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D:\Для расчета отгрузочных цен\"/>
    </mc:Choice>
  </mc:AlternateContent>
  <xr:revisionPtr revIDLastSave="0" documentId="13_ncr:1_{C749ACFA-7F66-4892-91A0-C99A9268FEC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Запрос Данных для расчета" sheetId="2" r:id="rId1"/>
    <sheet name="Оборудоание" sheetId="6" r:id="rId2"/>
    <sheet name="Расчет" sheetId="3" r:id="rId3"/>
    <sheet name="Справочник для Запроса" sheetId="5" r:id="rId4"/>
    <sheet name="Справочник цен, ЗП " sheetId="4" r:id="rId5"/>
  </sheets>
  <definedNames>
    <definedName name="_xlnm._FilterDatabase" localSheetId="4" hidden="1">'Справочник цен, ЗП '!$A$1:$M$9771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3" l="1"/>
  <c r="O15" i="3"/>
  <c r="F3108" i="4"/>
  <c r="W17" i="3"/>
  <c r="S16" i="3"/>
  <c r="R16" i="3"/>
  <c r="T16" i="3" s="1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O2" i="4"/>
  <c r="L50" i="4"/>
  <c r="L51" i="4"/>
  <c r="L52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" i="4"/>
  <c r="D5900" i="4"/>
  <c r="D5901" i="4"/>
  <c r="D5902" i="4"/>
  <c r="D5903" i="4"/>
  <c r="D5904" i="4"/>
  <c r="D5905" i="4"/>
  <c r="D5906" i="4"/>
  <c r="D5907" i="4"/>
  <c r="D5908" i="4"/>
  <c r="D5909" i="4"/>
  <c r="D5910" i="4"/>
  <c r="D5911" i="4"/>
  <c r="D5912" i="4"/>
  <c r="D5913" i="4"/>
  <c r="D5914" i="4"/>
  <c r="D5915" i="4"/>
  <c r="D5916" i="4"/>
  <c r="D5917" i="4"/>
  <c r="D5918" i="4"/>
  <c r="D5919" i="4"/>
  <c r="D5920" i="4"/>
  <c r="D5921" i="4"/>
  <c r="D5922" i="4"/>
  <c r="D5923" i="4"/>
  <c r="D5924" i="4"/>
  <c r="D5925" i="4"/>
  <c r="D5926" i="4"/>
  <c r="D5927" i="4"/>
  <c r="D5928" i="4"/>
  <c r="D5929" i="4"/>
  <c r="D5930" i="4"/>
  <c r="D5931" i="4"/>
  <c r="D5932" i="4"/>
  <c r="D5933" i="4"/>
  <c r="D5934" i="4"/>
  <c r="D5935" i="4"/>
  <c r="D5936" i="4"/>
  <c r="D5937" i="4"/>
  <c r="D5938" i="4"/>
  <c r="D5939" i="4"/>
  <c r="D5940" i="4"/>
  <c r="D5941" i="4"/>
  <c r="D5942" i="4"/>
  <c r="D5943" i="4"/>
  <c r="D5944" i="4"/>
  <c r="D5945" i="4"/>
  <c r="D5946" i="4"/>
  <c r="D5947" i="4"/>
  <c r="D5948" i="4"/>
  <c r="D5949" i="4"/>
  <c r="D5950" i="4"/>
  <c r="D5951" i="4"/>
  <c r="D5952" i="4"/>
  <c r="D5953" i="4"/>
  <c r="D5954" i="4"/>
  <c r="D5955" i="4"/>
  <c r="D5956" i="4"/>
  <c r="D5957" i="4"/>
  <c r="D5958" i="4"/>
  <c r="D5959" i="4"/>
  <c r="D5960" i="4"/>
  <c r="D5961" i="4"/>
  <c r="D5962" i="4"/>
  <c r="D5963" i="4"/>
  <c r="D5964" i="4"/>
  <c r="D5965" i="4"/>
  <c r="D5966" i="4"/>
  <c r="D5967" i="4"/>
  <c r="D5968" i="4"/>
  <c r="D5969" i="4"/>
  <c r="D5970" i="4"/>
  <c r="D5971" i="4"/>
  <c r="D5972" i="4"/>
  <c r="D5973" i="4"/>
  <c r="D5974" i="4"/>
  <c r="D5975" i="4"/>
  <c r="D5976" i="4"/>
  <c r="D5977" i="4"/>
  <c r="D5978" i="4"/>
  <c r="D5979" i="4"/>
  <c r="D5980" i="4"/>
  <c r="D5981" i="4"/>
  <c r="D5982" i="4"/>
  <c r="D5983" i="4"/>
  <c r="D5984" i="4"/>
  <c r="D5985" i="4"/>
  <c r="D5986" i="4"/>
  <c r="D5987" i="4"/>
  <c r="D5988" i="4"/>
  <c r="D5989" i="4"/>
  <c r="D5990" i="4"/>
  <c r="D5991" i="4"/>
  <c r="D5992" i="4"/>
  <c r="D5993" i="4"/>
  <c r="D5994" i="4"/>
  <c r="D5995" i="4"/>
  <c r="D5996" i="4"/>
  <c r="D5997" i="4"/>
  <c r="D5998" i="4"/>
  <c r="D5999" i="4"/>
  <c r="D6000" i="4"/>
  <c r="D6001" i="4"/>
  <c r="D6002" i="4"/>
  <c r="D6003" i="4"/>
  <c r="D6004" i="4"/>
  <c r="D6005" i="4"/>
  <c r="D6006" i="4"/>
  <c r="D6007" i="4"/>
  <c r="D6008" i="4"/>
  <c r="D6009" i="4"/>
  <c r="D6010" i="4"/>
  <c r="D6011" i="4"/>
  <c r="D6012" i="4"/>
  <c r="D6013" i="4"/>
  <c r="D6014" i="4"/>
  <c r="D6015" i="4"/>
  <c r="D6016" i="4"/>
  <c r="D6017" i="4"/>
  <c r="D6018" i="4"/>
  <c r="D6019" i="4"/>
  <c r="D6020" i="4"/>
  <c r="D6021" i="4"/>
  <c r="D6022" i="4"/>
  <c r="D6023" i="4"/>
  <c r="D6024" i="4"/>
  <c r="D6025" i="4"/>
  <c r="D6026" i="4"/>
  <c r="D6027" i="4"/>
  <c r="D6028" i="4"/>
  <c r="D6029" i="4"/>
  <c r="D6030" i="4"/>
  <c r="D6031" i="4"/>
  <c r="D6032" i="4"/>
  <c r="D6033" i="4"/>
  <c r="D6034" i="4"/>
  <c r="D6035" i="4"/>
  <c r="D6036" i="4"/>
  <c r="D6037" i="4"/>
  <c r="D6038" i="4"/>
  <c r="D6039" i="4"/>
  <c r="D6040" i="4"/>
  <c r="D6041" i="4"/>
  <c r="D6042" i="4"/>
  <c r="D6043" i="4"/>
  <c r="D6044" i="4"/>
  <c r="D6045" i="4"/>
  <c r="D6046" i="4"/>
  <c r="D6047" i="4"/>
  <c r="D6048" i="4"/>
  <c r="D6049" i="4"/>
  <c r="D6050" i="4"/>
  <c r="D6051" i="4"/>
  <c r="D6052" i="4"/>
  <c r="D6053" i="4"/>
  <c r="D6054" i="4"/>
  <c r="D6055" i="4"/>
  <c r="D6056" i="4"/>
  <c r="D6057" i="4"/>
  <c r="D6058" i="4"/>
  <c r="D6059" i="4"/>
  <c r="D6060" i="4"/>
  <c r="D6061" i="4"/>
  <c r="D6062" i="4"/>
  <c r="D6063" i="4"/>
  <c r="D6064" i="4"/>
  <c r="D6065" i="4"/>
  <c r="D6066" i="4"/>
  <c r="D6067" i="4"/>
  <c r="D6068" i="4"/>
  <c r="D6069" i="4"/>
  <c r="D6070" i="4"/>
  <c r="D6071" i="4"/>
  <c r="D6072" i="4"/>
  <c r="D6073" i="4"/>
  <c r="D6074" i="4"/>
  <c r="D6075" i="4"/>
  <c r="D6076" i="4"/>
  <c r="D6077" i="4"/>
  <c r="D6078" i="4"/>
  <c r="D6079" i="4"/>
  <c r="D6080" i="4"/>
  <c r="D6081" i="4"/>
  <c r="D6082" i="4"/>
  <c r="D6083" i="4"/>
  <c r="D6084" i="4"/>
  <c r="D6085" i="4"/>
  <c r="D6086" i="4"/>
  <c r="D6087" i="4"/>
  <c r="D6088" i="4"/>
  <c r="D6089" i="4"/>
  <c r="D6090" i="4"/>
  <c r="D6091" i="4"/>
  <c r="D6092" i="4"/>
  <c r="D6093" i="4"/>
  <c r="D6094" i="4"/>
  <c r="D6095" i="4"/>
  <c r="D6096" i="4"/>
  <c r="D6097" i="4"/>
  <c r="D6098" i="4"/>
  <c r="D6099" i="4"/>
  <c r="D6100" i="4"/>
  <c r="D6101" i="4"/>
  <c r="D6102" i="4"/>
  <c r="D6103" i="4"/>
  <c r="D6104" i="4"/>
  <c r="D6105" i="4"/>
  <c r="D6106" i="4"/>
  <c r="D6107" i="4"/>
  <c r="D6108" i="4"/>
  <c r="D6109" i="4"/>
  <c r="D6110" i="4"/>
  <c r="D6111" i="4"/>
  <c r="D6112" i="4"/>
  <c r="D6113" i="4"/>
  <c r="D6114" i="4"/>
  <c r="D6115" i="4"/>
  <c r="D6116" i="4"/>
  <c r="D6117" i="4"/>
  <c r="D6118" i="4"/>
  <c r="D6119" i="4"/>
  <c r="D6120" i="4"/>
  <c r="D6121" i="4"/>
  <c r="D6122" i="4"/>
  <c r="D6123" i="4"/>
  <c r="D6124" i="4"/>
  <c r="D6125" i="4"/>
  <c r="D6126" i="4"/>
  <c r="D6127" i="4"/>
  <c r="D6128" i="4"/>
  <c r="D6129" i="4"/>
  <c r="D6130" i="4"/>
  <c r="D6131" i="4"/>
  <c r="D6132" i="4"/>
  <c r="D6133" i="4"/>
  <c r="D6134" i="4"/>
  <c r="D6135" i="4"/>
  <c r="D6136" i="4"/>
  <c r="D6137" i="4"/>
  <c r="D6138" i="4"/>
  <c r="D6139" i="4"/>
  <c r="D6140" i="4"/>
  <c r="D6141" i="4"/>
  <c r="D6142" i="4"/>
  <c r="D6143" i="4"/>
  <c r="D6144" i="4"/>
  <c r="D6145" i="4"/>
  <c r="D6146" i="4"/>
  <c r="D6147" i="4"/>
  <c r="D6148" i="4"/>
  <c r="D6149" i="4"/>
  <c r="D6150" i="4"/>
  <c r="D6151" i="4"/>
  <c r="D6152" i="4"/>
  <c r="D6153" i="4"/>
  <c r="D6154" i="4"/>
  <c r="D6155" i="4"/>
  <c r="D6156" i="4"/>
  <c r="D6157" i="4"/>
  <c r="D6158" i="4"/>
  <c r="D6159" i="4"/>
  <c r="D6160" i="4"/>
  <c r="D6161" i="4"/>
  <c r="D6162" i="4"/>
  <c r="D6163" i="4"/>
  <c r="D6164" i="4"/>
  <c r="D6165" i="4"/>
  <c r="D6166" i="4"/>
  <c r="D6167" i="4"/>
  <c r="D6168" i="4"/>
  <c r="D6169" i="4"/>
  <c r="D6170" i="4"/>
  <c r="D6171" i="4"/>
  <c r="D6172" i="4"/>
  <c r="D6173" i="4"/>
  <c r="D6174" i="4"/>
  <c r="D6175" i="4"/>
  <c r="D6176" i="4"/>
  <c r="D6177" i="4"/>
  <c r="D6178" i="4"/>
  <c r="D6179" i="4"/>
  <c r="D6180" i="4"/>
  <c r="D6181" i="4"/>
  <c r="D6182" i="4"/>
  <c r="D6183" i="4"/>
  <c r="D6184" i="4"/>
  <c r="D6185" i="4"/>
  <c r="D6186" i="4"/>
  <c r="D6187" i="4"/>
  <c r="D6188" i="4"/>
  <c r="D6189" i="4"/>
  <c r="D6190" i="4"/>
  <c r="D6191" i="4"/>
  <c r="D6192" i="4"/>
  <c r="D6193" i="4"/>
  <c r="D6194" i="4"/>
  <c r="D6195" i="4"/>
  <c r="D6196" i="4"/>
  <c r="D6197" i="4"/>
  <c r="D6198" i="4"/>
  <c r="D6199" i="4"/>
  <c r="D6200" i="4"/>
  <c r="D6201" i="4"/>
  <c r="D6202" i="4"/>
  <c r="D6203" i="4"/>
  <c r="D6204" i="4"/>
  <c r="D6205" i="4"/>
  <c r="D6206" i="4"/>
  <c r="D6207" i="4"/>
  <c r="D6208" i="4"/>
  <c r="D6209" i="4"/>
  <c r="D6210" i="4"/>
  <c r="D6211" i="4"/>
  <c r="D6212" i="4"/>
  <c r="D6213" i="4"/>
  <c r="D6214" i="4"/>
  <c r="D6215" i="4"/>
  <c r="D6216" i="4"/>
  <c r="D6217" i="4"/>
  <c r="D6218" i="4"/>
  <c r="D6219" i="4"/>
  <c r="D6220" i="4"/>
  <c r="D6221" i="4"/>
  <c r="D6222" i="4"/>
  <c r="D6223" i="4"/>
  <c r="D6224" i="4"/>
  <c r="D6225" i="4"/>
  <c r="D6226" i="4"/>
  <c r="D6227" i="4"/>
  <c r="D6228" i="4"/>
  <c r="D6229" i="4"/>
  <c r="D6230" i="4"/>
  <c r="D6231" i="4"/>
  <c r="D6232" i="4"/>
  <c r="D6233" i="4"/>
  <c r="D6234" i="4"/>
  <c r="D6235" i="4"/>
  <c r="D6236" i="4"/>
  <c r="D6237" i="4"/>
  <c r="D6238" i="4"/>
  <c r="D6239" i="4"/>
  <c r="D6240" i="4"/>
  <c r="D6241" i="4"/>
  <c r="D6242" i="4"/>
  <c r="D6243" i="4"/>
  <c r="D6244" i="4"/>
  <c r="D6245" i="4"/>
  <c r="D6246" i="4"/>
  <c r="D6247" i="4"/>
  <c r="D6248" i="4"/>
  <c r="D6249" i="4"/>
  <c r="D6250" i="4"/>
  <c r="D6251" i="4"/>
  <c r="D6252" i="4"/>
  <c r="D6253" i="4"/>
  <c r="D6254" i="4"/>
  <c r="D6255" i="4"/>
  <c r="D6256" i="4"/>
  <c r="D6257" i="4"/>
  <c r="D6258" i="4"/>
  <c r="D6259" i="4"/>
  <c r="D6260" i="4"/>
  <c r="D6261" i="4"/>
  <c r="D6262" i="4"/>
  <c r="D6263" i="4"/>
  <c r="D6264" i="4"/>
  <c r="D6265" i="4"/>
  <c r="D6266" i="4"/>
  <c r="D6267" i="4"/>
  <c r="D6268" i="4"/>
  <c r="D6269" i="4"/>
  <c r="D6270" i="4"/>
  <c r="D6271" i="4"/>
  <c r="D6272" i="4"/>
  <c r="D6273" i="4"/>
  <c r="D6274" i="4"/>
  <c r="D6275" i="4"/>
  <c r="D6276" i="4"/>
  <c r="D6277" i="4"/>
  <c r="D6278" i="4"/>
  <c r="D6279" i="4"/>
  <c r="D6280" i="4"/>
  <c r="D6281" i="4"/>
  <c r="D6282" i="4"/>
  <c r="D6283" i="4"/>
  <c r="D6284" i="4"/>
  <c r="D6285" i="4"/>
  <c r="D6286" i="4"/>
  <c r="D6287" i="4"/>
  <c r="D6288" i="4"/>
  <c r="D6289" i="4"/>
  <c r="D6290" i="4"/>
  <c r="D6291" i="4"/>
  <c r="D6292" i="4"/>
  <c r="D6293" i="4"/>
  <c r="D6294" i="4"/>
  <c r="D6295" i="4"/>
  <c r="D6296" i="4"/>
  <c r="D6297" i="4"/>
  <c r="D6298" i="4"/>
  <c r="D6299" i="4"/>
  <c r="D6300" i="4"/>
  <c r="D6301" i="4"/>
  <c r="D6302" i="4"/>
  <c r="D6303" i="4"/>
  <c r="D6304" i="4"/>
  <c r="D6305" i="4"/>
  <c r="D6306" i="4"/>
  <c r="D6307" i="4"/>
  <c r="D6308" i="4"/>
  <c r="D6309" i="4"/>
  <c r="D6310" i="4"/>
  <c r="D6311" i="4"/>
  <c r="D6312" i="4"/>
  <c r="D6313" i="4"/>
  <c r="D6314" i="4"/>
  <c r="D6315" i="4"/>
  <c r="D6316" i="4"/>
  <c r="D6317" i="4"/>
  <c r="D6318" i="4"/>
  <c r="D6319" i="4"/>
  <c r="D6320" i="4"/>
  <c r="D6321" i="4"/>
  <c r="D6322" i="4"/>
  <c r="D6323" i="4"/>
  <c r="D6324" i="4"/>
  <c r="D6325" i="4"/>
  <c r="D6326" i="4"/>
  <c r="D6327" i="4"/>
  <c r="D6328" i="4"/>
  <c r="D6329" i="4"/>
  <c r="D6330" i="4"/>
  <c r="D6331" i="4"/>
  <c r="D6332" i="4"/>
  <c r="D6333" i="4"/>
  <c r="D6334" i="4"/>
  <c r="D6335" i="4"/>
  <c r="D6336" i="4"/>
  <c r="D6337" i="4"/>
  <c r="D6338" i="4"/>
  <c r="D6339" i="4"/>
  <c r="D6340" i="4"/>
  <c r="D6341" i="4"/>
  <c r="D6342" i="4"/>
  <c r="D6343" i="4"/>
  <c r="D6344" i="4"/>
  <c r="D6345" i="4"/>
  <c r="D6346" i="4"/>
  <c r="D6347" i="4"/>
  <c r="D6348" i="4"/>
  <c r="D6349" i="4"/>
  <c r="D6350" i="4"/>
  <c r="D6351" i="4"/>
  <c r="D6352" i="4"/>
  <c r="D6353" i="4"/>
  <c r="D6354" i="4"/>
  <c r="D6355" i="4"/>
  <c r="D6356" i="4"/>
  <c r="D6357" i="4"/>
  <c r="D6358" i="4"/>
  <c r="D6359" i="4"/>
  <c r="D6360" i="4"/>
  <c r="D6361" i="4"/>
  <c r="D6362" i="4"/>
  <c r="D6363" i="4"/>
  <c r="D6364" i="4"/>
  <c r="D6365" i="4"/>
  <c r="D6366" i="4"/>
  <c r="D6367" i="4"/>
  <c r="D6368" i="4"/>
  <c r="D6369" i="4"/>
  <c r="D6370" i="4"/>
  <c r="D6371" i="4"/>
  <c r="D6372" i="4"/>
  <c r="D6373" i="4"/>
  <c r="D6374" i="4"/>
  <c r="D6375" i="4"/>
  <c r="D6376" i="4"/>
  <c r="D6377" i="4"/>
  <c r="D6378" i="4"/>
  <c r="D6379" i="4"/>
  <c r="D6380" i="4"/>
  <c r="D6381" i="4"/>
  <c r="D6382" i="4"/>
  <c r="D6383" i="4"/>
  <c r="D6384" i="4"/>
  <c r="D6385" i="4"/>
  <c r="D6386" i="4"/>
  <c r="D6387" i="4"/>
  <c r="D6388" i="4"/>
  <c r="D6389" i="4"/>
  <c r="D6390" i="4"/>
  <c r="D6391" i="4"/>
  <c r="D6392" i="4"/>
  <c r="D6393" i="4"/>
  <c r="D6394" i="4"/>
  <c r="D6395" i="4"/>
  <c r="D6396" i="4"/>
  <c r="D6397" i="4"/>
  <c r="D6398" i="4"/>
  <c r="D6399" i="4"/>
  <c r="D6400" i="4"/>
  <c r="D6401" i="4"/>
  <c r="D6402" i="4"/>
  <c r="D6403" i="4"/>
  <c r="D6404" i="4"/>
  <c r="D6405" i="4"/>
  <c r="D6406" i="4"/>
  <c r="D6407" i="4"/>
  <c r="D6408" i="4"/>
  <c r="D6409" i="4"/>
  <c r="D6410" i="4"/>
  <c r="D6411" i="4"/>
  <c r="D6412" i="4"/>
  <c r="D6413" i="4"/>
  <c r="D6414" i="4"/>
  <c r="D6415" i="4"/>
  <c r="D6416" i="4"/>
  <c r="D6417" i="4"/>
  <c r="D6418" i="4"/>
  <c r="D6419" i="4"/>
  <c r="D6420" i="4"/>
  <c r="D6421" i="4"/>
  <c r="D6422" i="4"/>
  <c r="D6423" i="4"/>
  <c r="D6424" i="4"/>
  <c r="D6425" i="4"/>
  <c r="D6426" i="4"/>
  <c r="D6427" i="4"/>
  <c r="D6428" i="4"/>
  <c r="D6429" i="4"/>
  <c r="D6430" i="4"/>
  <c r="D6431" i="4"/>
  <c r="D6432" i="4"/>
  <c r="D6433" i="4"/>
  <c r="D6434" i="4"/>
  <c r="D6435" i="4"/>
  <c r="D6436" i="4"/>
  <c r="D6437" i="4"/>
  <c r="D6438" i="4"/>
  <c r="D6439" i="4"/>
  <c r="D6440" i="4"/>
  <c r="D6441" i="4"/>
  <c r="D6442" i="4"/>
  <c r="D6443" i="4"/>
  <c r="D6444" i="4"/>
  <c r="D6445" i="4"/>
  <c r="D6446" i="4"/>
  <c r="D6447" i="4"/>
  <c r="D6448" i="4"/>
  <c r="D6449" i="4"/>
  <c r="D6450" i="4"/>
  <c r="D6451" i="4"/>
  <c r="D6452" i="4"/>
  <c r="D6453" i="4"/>
  <c r="D6454" i="4"/>
  <c r="D6455" i="4"/>
  <c r="D6456" i="4"/>
  <c r="D6457" i="4"/>
  <c r="D6458" i="4"/>
  <c r="D6459" i="4"/>
  <c r="D6460" i="4"/>
  <c r="D6461" i="4"/>
  <c r="D6462" i="4"/>
  <c r="D6463" i="4"/>
  <c r="D6464" i="4"/>
  <c r="D6465" i="4"/>
  <c r="D6466" i="4"/>
  <c r="D6467" i="4"/>
  <c r="D6468" i="4"/>
  <c r="D6469" i="4"/>
  <c r="D6470" i="4"/>
  <c r="D6471" i="4"/>
  <c r="D6472" i="4"/>
  <c r="D6473" i="4"/>
  <c r="D6474" i="4"/>
  <c r="D6475" i="4"/>
  <c r="D6476" i="4"/>
  <c r="D6477" i="4"/>
  <c r="D6478" i="4"/>
  <c r="D6479" i="4"/>
  <c r="D6480" i="4"/>
  <c r="D6481" i="4"/>
  <c r="D6482" i="4"/>
  <c r="D6483" i="4"/>
  <c r="D6484" i="4"/>
  <c r="D6485" i="4"/>
  <c r="D6486" i="4"/>
  <c r="D6487" i="4"/>
  <c r="D6488" i="4"/>
  <c r="D6489" i="4"/>
  <c r="D6490" i="4"/>
  <c r="D6491" i="4"/>
  <c r="D6492" i="4"/>
  <c r="D6493" i="4"/>
  <c r="D6494" i="4"/>
  <c r="D6495" i="4"/>
  <c r="D6496" i="4"/>
  <c r="D6497" i="4"/>
  <c r="D6498" i="4"/>
  <c r="D6499" i="4"/>
  <c r="D6500" i="4"/>
  <c r="D6501" i="4"/>
  <c r="D6502" i="4"/>
  <c r="D6503" i="4"/>
  <c r="D6504" i="4"/>
  <c r="D6505" i="4"/>
  <c r="D6506" i="4"/>
  <c r="D6507" i="4"/>
  <c r="D6508" i="4"/>
  <c r="D6509" i="4"/>
  <c r="D6510" i="4"/>
  <c r="D6511" i="4"/>
  <c r="D6512" i="4"/>
  <c r="D6513" i="4"/>
  <c r="D6514" i="4"/>
  <c r="D6515" i="4"/>
  <c r="D6516" i="4"/>
  <c r="D6517" i="4"/>
  <c r="D6518" i="4"/>
  <c r="D6519" i="4"/>
  <c r="D6520" i="4"/>
  <c r="D6521" i="4"/>
  <c r="D6522" i="4"/>
  <c r="D6523" i="4"/>
  <c r="D6524" i="4"/>
  <c r="D6525" i="4"/>
  <c r="D6526" i="4"/>
  <c r="D6527" i="4"/>
  <c r="D6528" i="4"/>
  <c r="D6529" i="4"/>
  <c r="D6530" i="4"/>
  <c r="D6531" i="4"/>
  <c r="D6532" i="4"/>
  <c r="D6533" i="4"/>
  <c r="D6534" i="4"/>
  <c r="D6535" i="4"/>
  <c r="D6536" i="4"/>
  <c r="D6537" i="4"/>
  <c r="D6538" i="4"/>
  <c r="D6539" i="4"/>
  <c r="D6540" i="4"/>
  <c r="D6541" i="4"/>
  <c r="D6542" i="4"/>
  <c r="D6543" i="4"/>
  <c r="D6544" i="4"/>
  <c r="D6545" i="4"/>
  <c r="D6546" i="4"/>
  <c r="D6547" i="4"/>
  <c r="D6548" i="4"/>
  <c r="D6549" i="4"/>
  <c r="D6550" i="4"/>
  <c r="D6551" i="4"/>
  <c r="D6552" i="4"/>
  <c r="D6553" i="4"/>
  <c r="D6554" i="4"/>
  <c r="D6555" i="4"/>
  <c r="D6556" i="4"/>
  <c r="D6557" i="4"/>
  <c r="D6558" i="4"/>
  <c r="D6559" i="4"/>
  <c r="D6560" i="4"/>
  <c r="D6561" i="4"/>
  <c r="D6562" i="4"/>
  <c r="D6563" i="4"/>
  <c r="D6564" i="4"/>
  <c r="D6565" i="4"/>
  <c r="D6566" i="4"/>
  <c r="D6567" i="4"/>
  <c r="D6568" i="4"/>
  <c r="D6569" i="4"/>
  <c r="D6570" i="4"/>
  <c r="D6571" i="4"/>
  <c r="D6572" i="4"/>
  <c r="D6573" i="4"/>
  <c r="D6574" i="4"/>
  <c r="D6575" i="4"/>
  <c r="D6576" i="4"/>
  <c r="D6577" i="4"/>
  <c r="D6578" i="4"/>
  <c r="D6579" i="4"/>
  <c r="D6580" i="4"/>
  <c r="D6581" i="4"/>
  <c r="D6582" i="4"/>
  <c r="D6583" i="4"/>
  <c r="D6584" i="4"/>
  <c r="D6585" i="4"/>
  <c r="D6586" i="4"/>
  <c r="D6587" i="4"/>
  <c r="D6588" i="4"/>
  <c r="D6589" i="4"/>
  <c r="D6590" i="4"/>
  <c r="D6591" i="4"/>
  <c r="D6592" i="4"/>
  <c r="D6593" i="4"/>
  <c r="D6594" i="4"/>
  <c r="D6595" i="4"/>
  <c r="D6596" i="4"/>
  <c r="D6597" i="4"/>
  <c r="D6598" i="4"/>
  <c r="D6599" i="4"/>
  <c r="D6600" i="4"/>
  <c r="D6601" i="4"/>
  <c r="D6602" i="4"/>
  <c r="D6603" i="4"/>
  <c r="D6604" i="4"/>
  <c r="D6605" i="4"/>
  <c r="D6606" i="4"/>
  <c r="D6607" i="4"/>
  <c r="D6608" i="4"/>
  <c r="D6609" i="4"/>
  <c r="D6610" i="4"/>
  <c r="D6611" i="4"/>
  <c r="D6612" i="4"/>
  <c r="D6613" i="4"/>
  <c r="D6614" i="4"/>
  <c r="D6615" i="4"/>
  <c r="D6616" i="4"/>
  <c r="D6617" i="4"/>
  <c r="D6618" i="4"/>
  <c r="D6619" i="4"/>
  <c r="D6620" i="4"/>
  <c r="D6621" i="4"/>
  <c r="D6622" i="4"/>
  <c r="D6623" i="4"/>
  <c r="D6624" i="4"/>
  <c r="D6625" i="4"/>
  <c r="D6626" i="4"/>
  <c r="D6627" i="4"/>
  <c r="D6628" i="4"/>
  <c r="D6629" i="4"/>
  <c r="D6630" i="4"/>
  <c r="D6631" i="4"/>
  <c r="D6632" i="4"/>
  <c r="D6633" i="4"/>
  <c r="D6634" i="4"/>
  <c r="D6635" i="4"/>
  <c r="D6636" i="4"/>
  <c r="D6637" i="4"/>
  <c r="D6638" i="4"/>
  <c r="D6639" i="4"/>
  <c r="D6640" i="4"/>
  <c r="D6641" i="4"/>
  <c r="D6642" i="4"/>
  <c r="D6643" i="4"/>
  <c r="D6644" i="4"/>
  <c r="D6645" i="4"/>
  <c r="D6646" i="4"/>
  <c r="D6647" i="4"/>
  <c r="D6648" i="4"/>
  <c r="D6649" i="4"/>
  <c r="D6650" i="4"/>
  <c r="D6651" i="4"/>
  <c r="D6652" i="4"/>
  <c r="D6653" i="4"/>
  <c r="D6654" i="4"/>
  <c r="D6655" i="4"/>
  <c r="D6656" i="4"/>
  <c r="D6657" i="4"/>
  <c r="D6658" i="4"/>
  <c r="D6659" i="4"/>
  <c r="D6660" i="4"/>
  <c r="D6661" i="4"/>
  <c r="D6662" i="4"/>
  <c r="D6663" i="4"/>
  <c r="D6664" i="4"/>
  <c r="D6665" i="4"/>
  <c r="D6666" i="4"/>
  <c r="D6667" i="4"/>
  <c r="D6668" i="4"/>
  <c r="D6669" i="4"/>
  <c r="D6670" i="4"/>
  <c r="D6671" i="4"/>
  <c r="D6672" i="4"/>
  <c r="D6673" i="4"/>
  <c r="D6674" i="4"/>
  <c r="D6675" i="4"/>
  <c r="D6676" i="4"/>
  <c r="D6677" i="4"/>
  <c r="D6678" i="4"/>
  <c r="D6679" i="4"/>
  <c r="D6680" i="4"/>
  <c r="D6681" i="4"/>
  <c r="D6682" i="4"/>
  <c r="D6683" i="4"/>
  <c r="D6684" i="4"/>
  <c r="D6685" i="4"/>
  <c r="D6686" i="4"/>
  <c r="D6687" i="4"/>
  <c r="D6688" i="4"/>
  <c r="D6689" i="4"/>
  <c r="D6690" i="4"/>
  <c r="D6691" i="4"/>
  <c r="D6692" i="4"/>
  <c r="D6693" i="4"/>
  <c r="D6694" i="4"/>
  <c r="D6695" i="4"/>
  <c r="D6696" i="4"/>
  <c r="D6697" i="4"/>
  <c r="D6698" i="4"/>
  <c r="D6699" i="4"/>
  <c r="D6700" i="4"/>
  <c r="D6701" i="4"/>
  <c r="D6702" i="4"/>
  <c r="D6703" i="4"/>
  <c r="D6704" i="4"/>
  <c r="D6705" i="4"/>
  <c r="D6706" i="4"/>
  <c r="D6707" i="4"/>
  <c r="D6708" i="4"/>
  <c r="D6709" i="4"/>
  <c r="D6710" i="4"/>
  <c r="D6711" i="4"/>
  <c r="D6712" i="4"/>
  <c r="D6713" i="4"/>
  <c r="D6714" i="4"/>
  <c r="D6715" i="4"/>
  <c r="D6716" i="4"/>
  <c r="D6717" i="4"/>
  <c r="D6718" i="4"/>
  <c r="D6719" i="4"/>
  <c r="D6720" i="4"/>
  <c r="D6721" i="4"/>
  <c r="D6722" i="4"/>
  <c r="D6723" i="4"/>
  <c r="D6724" i="4"/>
  <c r="D6725" i="4"/>
  <c r="D6726" i="4"/>
  <c r="D6727" i="4"/>
  <c r="D6728" i="4"/>
  <c r="D6729" i="4"/>
  <c r="D6730" i="4"/>
  <c r="D6731" i="4"/>
  <c r="D6732" i="4"/>
  <c r="D6733" i="4"/>
  <c r="D6734" i="4"/>
  <c r="D6735" i="4"/>
  <c r="D6736" i="4"/>
  <c r="D6737" i="4"/>
  <c r="D6738" i="4"/>
  <c r="D6739" i="4"/>
  <c r="D6740" i="4"/>
  <c r="D6741" i="4"/>
  <c r="D6742" i="4"/>
  <c r="D6743" i="4"/>
  <c r="D6744" i="4"/>
  <c r="D6745" i="4"/>
  <c r="D6746" i="4"/>
  <c r="D6747" i="4"/>
  <c r="D6748" i="4"/>
  <c r="D6749" i="4"/>
  <c r="D6750" i="4"/>
  <c r="D6751" i="4"/>
  <c r="D6752" i="4"/>
  <c r="D6753" i="4"/>
  <c r="D6754" i="4"/>
  <c r="D6755" i="4"/>
  <c r="D6756" i="4"/>
  <c r="D6757" i="4"/>
  <c r="D6758" i="4"/>
  <c r="D6759" i="4"/>
  <c r="D6760" i="4"/>
  <c r="D6761" i="4"/>
  <c r="D6762" i="4"/>
  <c r="D6763" i="4"/>
  <c r="D6764" i="4"/>
  <c r="D6765" i="4"/>
  <c r="D6766" i="4"/>
  <c r="D6767" i="4"/>
  <c r="D6768" i="4"/>
  <c r="D6769" i="4"/>
  <c r="D6770" i="4"/>
  <c r="D6771" i="4"/>
  <c r="D6772" i="4"/>
  <c r="D6773" i="4"/>
  <c r="D6774" i="4"/>
  <c r="D6775" i="4"/>
  <c r="D6776" i="4"/>
  <c r="D6777" i="4"/>
  <c r="D6778" i="4"/>
  <c r="D6779" i="4"/>
  <c r="D6780" i="4"/>
  <c r="D6781" i="4"/>
  <c r="D6782" i="4"/>
  <c r="D6783" i="4"/>
  <c r="D6784" i="4"/>
  <c r="D6785" i="4"/>
  <c r="D6786" i="4"/>
  <c r="D6787" i="4"/>
  <c r="D6788" i="4"/>
  <c r="D6789" i="4"/>
  <c r="D6790" i="4"/>
  <c r="D6791" i="4"/>
  <c r="D6792" i="4"/>
  <c r="D6793" i="4"/>
  <c r="D6794" i="4"/>
  <c r="D6795" i="4"/>
  <c r="D6796" i="4"/>
  <c r="D6797" i="4"/>
  <c r="D6798" i="4"/>
  <c r="D6799" i="4"/>
  <c r="D6800" i="4"/>
  <c r="D6801" i="4"/>
  <c r="D6802" i="4"/>
  <c r="D6803" i="4"/>
  <c r="D6804" i="4"/>
  <c r="D6805" i="4"/>
  <c r="D6806" i="4"/>
  <c r="D6807" i="4"/>
  <c r="D6808" i="4"/>
  <c r="D6809" i="4"/>
  <c r="D6810" i="4"/>
  <c r="D6811" i="4"/>
  <c r="D6812" i="4"/>
  <c r="D6813" i="4"/>
  <c r="D6814" i="4"/>
  <c r="D6815" i="4"/>
  <c r="D6816" i="4"/>
  <c r="D6817" i="4"/>
  <c r="D6818" i="4"/>
  <c r="D6819" i="4"/>
  <c r="D6820" i="4"/>
  <c r="D6821" i="4"/>
  <c r="D6822" i="4"/>
  <c r="D6823" i="4"/>
  <c r="D6824" i="4"/>
  <c r="D6825" i="4"/>
  <c r="D6826" i="4"/>
  <c r="D6827" i="4"/>
  <c r="D6828" i="4"/>
  <c r="D6829" i="4"/>
  <c r="D6830" i="4"/>
  <c r="D6831" i="4"/>
  <c r="D6832" i="4"/>
  <c r="D6833" i="4"/>
  <c r="D6834" i="4"/>
  <c r="D6835" i="4"/>
  <c r="D6836" i="4"/>
  <c r="D6837" i="4"/>
  <c r="D6838" i="4"/>
  <c r="D6839" i="4"/>
  <c r="D6840" i="4"/>
  <c r="D6841" i="4"/>
  <c r="D6842" i="4"/>
  <c r="D6843" i="4"/>
  <c r="D6844" i="4"/>
  <c r="D6845" i="4"/>
  <c r="D6846" i="4"/>
  <c r="D6847" i="4"/>
  <c r="D6848" i="4"/>
  <c r="D6849" i="4"/>
  <c r="D6850" i="4"/>
  <c r="D6851" i="4"/>
  <c r="D6852" i="4"/>
  <c r="D6853" i="4"/>
  <c r="D6854" i="4"/>
  <c r="D6855" i="4"/>
  <c r="D6856" i="4"/>
  <c r="D6857" i="4"/>
  <c r="D6858" i="4"/>
  <c r="D6859" i="4"/>
  <c r="D6860" i="4"/>
  <c r="D6861" i="4"/>
  <c r="D6862" i="4"/>
  <c r="D6863" i="4"/>
  <c r="D6864" i="4"/>
  <c r="D6865" i="4"/>
  <c r="D6866" i="4"/>
  <c r="D6867" i="4"/>
  <c r="D6868" i="4"/>
  <c r="D6869" i="4"/>
  <c r="D6870" i="4"/>
  <c r="D6871" i="4"/>
  <c r="D6872" i="4"/>
  <c r="D6873" i="4"/>
  <c r="D6874" i="4"/>
  <c r="D6875" i="4"/>
  <c r="D6876" i="4"/>
  <c r="D6877" i="4"/>
  <c r="D6878" i="4"/>
  <c r="D6879" i="4"/>
  <c r="D6880" i="4"/>
  <c r="D6881" i="4"/>
  <c r="D6882" i="4"/>
  <c r="D6883" i="4"/>
  <c r="D6884" i="4"/>
  <c r="D6885" i="4"/>
  <c r="D6886" i="4"/>
  <c r="D6887" i="4"/>
  <c r="D6888" i="4"/>
  <c r="D6889" i="4"/>
  <c r="D6890" i="4"/>
  <c r="D6891" i="4"/>
  <c r="D6892" i="4"/>
  <c r="D6893" i="4"/>
  <c r="D6894" i="4"/>
  <c r="D6895" i="4"/>
  <c r="D6896" i="4"/>
  <c r="D6897" i="4"/>
  <c r="D6898" i="4"/>
  <c r="D6899" i="4"/>
  <c r="D6900" i="4"/>
  <c r="D6901" i="4"/>
  <c r="D6902" i="4"/>
  <c r="D6903" i="4"/>
  <c r="D6904" i="4"/>
  <c r="D6905" i="4"/>
  <c r="D6906" i="4"/>
  <c r="D6907" i="4"/>
  <c r="D6908" i="4"/>
  <c r="D6909" i="4"/>
  <c r="D6910" i="4"/>
  <c r="D6911" i="4"/>
  <c r="D6912" i="4"/>
  <c r="D6913" i="4"/>
  <c r="D6914" i="4"/>
  <c r="D6915" i="4"/>
  <c r="D6916" i="4"/>
  <c r="D6917" i="4"/>
  <c r="D6918" i="4"/>
  <c r="D6919" i="4"/>
  <c r="D6920" i="4"/>
  <c r="D6921" i="4"/>
  <c r="D6922" i="4"/>
  <c r="D6923" i="4"/>
  <c r="D6924" i="4"/>
  <c r="D6925" i="4"/>
  <c r="D6926" i="4"/>
  <c r="D6927" i="4"/>
  <c r="D6928" i="4"/>
  <c r="D6929" i="4"/>
  <c r="D6930" i="4"/>
  <c r="D6931" i="4"/>
  <c r="D6932" i="4"/>
  <c r="D6933" i="4"/>
  <c r="D6934" i="4"/>
  <c r="D6935" i="4"/>
  <c r="D6936" i="4"/>
  <c r="D6937" i="4"/>
  <c r="D6938" i="4"/>
  <c r="D6939" i="4"/>
  <c r="D6940" i="4"/>
  <c r="D6941" i="4"/>
  <c r="D6942" i="4"/>
  <c r="D6943" i="4"/>
  <c r="D6944" i="4"/>
  <c r="D6945" i="4"/>
  <c r="D6946" i="4"/>
  <c r="D6947" i="4"/>
  <c r="D6948" i="4"/>
  <c r="D6949" i="4"/>
  <c r="D6950" i="4"/>
  <c r="D6951" i="4"/>
  <c r="D6952" i="4"/>
  <c r="D6953" i="4"/>
  <c r="D6954" i="4"/>
  <c r="D6955" i="4"/>
  <c r="D6956" i="4"/>
  <c r="D6957" i="4"/>
  <c r="D6958" i="4"/>
  <c r="D6959" i="4"/>
  <c r="D6960" i="4"/>
  <c r="D6961" i="4"/>
  <c r="D6962" i="4"/>
  <c r="D6963" i="4"/>
  <c r="D6964" i="4"/>
  <c r="D6965" i="4"/>
  <c r="D6966" i="4"/>
  <c r="D6967" i="4"/>
  <c r="D6968" i="4"/>
  <c r="D6969" i="4"/>
  <c r="D6970" i="4"/>
  <c r="D6971" i="4"/>
  <c r="D6972" i="4"/>
  <c r="D6973" i="4"/>
  <c r="D6974" i="4"/>
  <c r="D6975" i="4"/>
  <c r="D6976" i="4"/>
  <c r="D6977" i="4"/>
  <c r="D6978" i="4"/>
  <c r="D6979" i="4"/>
  <c r="D6980" i="4"/>
  <c r="D6981" i="4"/>
  <c r="D6982" i="4"/>
  <c r="D6983" i="4"/>
  <c r="D6984" i="4"/>
  <c r="D6985" i="4"/>
  <c r="D6986" i="4"/>
  <c r="D6987" i="4"/>
  <c r="D6988" i="4"/>
  <c r="D6989" i="4"/>
  <c r="D6990" i="4"/>
  <c r="D6991" i="4"/>
  <c r="D6992" i="4"/>
  <c r="D6993" i="4"/>
  <c r="D6994" i="4"/>
  <c r="D6995" i="4"/>
  <c r="D6996" i="4"/>
  <c r="D6997" i="4"/>
  <c r="D6998" i="4"/>
  <c r="D6999" i="4"/>
  <c r="D7000" i="4"/>
  <c r="D7001" i="4"/>
  <c r="D7002" i="4"/>
  <c r="D7003" i="4"/>
  <c r="D7004" i="4"/>
  <c r="D7005" i="4"/>
  <c r="D7006" i="4"/>
  <c r="D7007" i="4"/>
  <c r="D7008" i="4"/>
  <c r="D7009" i="4"/>
  <c r="D7010" i="4"/>
  <c r="D7011" i="4"/>
  <c r="D7012" i="4"/>
  <c r="D7013" i="4"/>
  <c r="D7014" i="4"/>
  <c r="D7015" i="4"/>
  <c r="D7016" i="4"/>
  <c r="D7017" i="4"/>
  <c r="D7018" i="4"/>
  <c r="D7019" i="4"/>
  <c r="D7020" i="4"/>
  <c r="D7021" i="4"/>
  <c r="D7022" i="4"/>
  <c r="D7023" i="4"/>
  <c r="D7024" i="4"/>
  <c r="D7025" i="4"/>
  <c r="D7026" i="4"/>
  <c r="D7027" i="4"/>
  <c r="D7028" i="4"/>
  <c r="D7029" i="4"/>
  <c r="D7030" i="4"/>
  <c r="D7031" i="4"/>
  <c r="D7032" i="4"/>
  <c r="D7033" i="4"/>
  <c r="D7034" i="4"/>
  <c r="D7035" i="4"/>
  <c r="D7036" i="4"/>
  <c r="D7037" i="4"/>
  <c r="D7038" i="4"/>
  <c r="D7039" i="4"/>
  <c r="D7040" i="4"/>
  <c r="D7041" i="4"/>
  <c r="D7042" i="4"/>
  <c r="D7043" i="4"/>
  <c r="D7044" i="4"/>
  <c r="D7045" i="4"/>
  <c r="D7046" i="4"/>
  <c r="D7047" i="4"/>
  <c r="D7048" i="4"/>
  <c r="D7049" i="4"/>
  <c r="D7050" i="4"/>
  <c r="D7051" i="4"/>
  <c r="D7052" i="4"/>
  <c r="D7053" i="4"/>
  <c r="D7054" i="4"/>
  <c r="D7055" i="4"/>
  <c r="D7056" i="4"/>
  <c r="D7057" i="4"/>
  <c r="D7058" i="4"/>
  <c r="D7059" i="4"/>
  <c r="D7060" i="4"/>
  <c r="D7061" i="4"/>
  <c r="D7062" i="4"/>
  <c r="D7063" i="4"/>
  <c r="D7064" i="4"/>
  <c r="D7065" i="4"/>
  <c r="D7066" i="4"/>
  <c r="D7067" i="4"/>
  <c r="D7068" i="4"/>
  <c r="D7069" i="4"/>
  <c r="D7070" i="4"/>
  <c r="D7071" i="4"/>
  <c r="D7072" i="4"/>
  <c r="D7073" i="4"/>
  <c r="D7074" i="4"/>
  <c r="D7075" i="4"/>
  <c r="D7076" i="4"/>
  <c r="D7077" i="4"/>
  <c r="D7078" i="4"/>
  <c r="D7079" i="4"/>
  <c r="D7080" i="4"/>
  <c r="D7081" i="4"/>
  <c r="D7082" i="4"/>
  <c r="D7083" i="4"/>
  <c r="D7084" i="4"/>
  <c r="D7085" i="4"/>
  <c r="D7086" i="4"/>
  <c r="D7087" i="4"/>
  <c r="D7088" i="4"/>
  <c r="D7089" i="4"/>
  <c r="D7090" i="4"/>
  <c r="D7091" i="4"/>
  <c r="D7092" i="4"/>
  <c r="D7093" i="4"/>
  <c r="D7094" i="4"/>
  <c r="D7095" i="4"/>
  <c r="D7096" i="4"/>
  <c r="D7097" i="4"/>
  <c r="D7098" i="4"/>
  <c r="D7099" i="4"/>
  <c r="D7100" i="4"/>
  <c r="D7101" i="4"/>
  <c r="D7102" i="4"/>
  <c r="D7103" i="4"/>
  <c r="D7104" i="4"/>
  <c r="D7105" i="4"/>
  <c r="D7106" i="4"/>
  <c r="D7107" i="4"/>
  <c r="D7108" i="4"/>
  <c r="D7109" i="4"/>
  <c r="D7110" i="4"/>
  <c r="D7111" i="4"/>
  <c r="D7112" i="4"/>
  <c r="D7113" i="4"/>
  <c r="D7114" i="4"/>
  <c r="D7115" i="4"/>
  <c r="D7116" i="4"/>
  <c r="D7117" i="4"/>
  <c r="D7118" i="4"/>
  <c r="D7119" i="4"/>
  <c r="D7120" i="4"/>
  <c r="D7121" i="4"/>
  <c r="D7122" i="4"/>
  <c r="D7123" i="4"/>
  <c r="D7124" i="4"/>
  <c r="D7125" i="4"/>
  <c r="D7126" i="4"/>
  <c r="D7127" i="4"/>
  <c r="D7128" i="4"/>
  <c r="D7129" i="4"/>
  <c r="D7130" i="4"/>
  <c r="D7131" i="4"/>
  <c r="D7132" i="4"/>
  <c r="D7133" i="4"/>
  <c r="D7134" i="4"/>
  <c r="D7135" i="4"/>
  <c r="D7136" i="4"/>
  <c r="D7137" i="4"/>
  <c r="D7138" i="4"/>
  <c r="D7139" i="4"/>
  <c r="D7140" i="4"/>
  <c r="D7141" i="4"/>
  <c r="D7142" i="4"/>
  <c r="D7143" i="4"/>
  <c r="D7144" i="4"/>
  <c r="D7145" i="4"/>
  <c r="D7146" i="4"/>
  <c r="D7147" i="4"/>
  <c r="D7148" i="4"/>
  <c r="D7149" i="4"/>
  <c r="D7150" i="4"/>
  <c r="D7151" i="4"/>
  <c r="D7152" i="4"/>
  <c r="D7153" i="4"/>
  <c r="D7154" i="4"/>
  <c r="D7155" i="4"/>
  <c r="D7156" i="4"/>
  <c r="D7157" i="4"/>
  <c r="D7158" i="4"/>
  <c r="D7159" i="4"/>
  <c r="D7160" i="4"/>
  <c r="D7161" i="4"/>
  <c r="D7162" i="4"/>
  <c r="D7163" i="4"/>
  <c r="D7164" i="4"/>
  <c r="D7165" i="4"/>
  <c r="D7166" i="4"/>
  <c r="D7167" i="4"/>
  <c r="D7168" i="4"/>
  <c r="D7169" i="4"/>
  <c r="D7170" i="4"/>
  <c r="D7171" i="4"/>
  <c r="D7172" i="4"/>
  <c r="D7173" i="4"/>
  <c r="D7174" i="4"/>
  <c r="D7175" i="4"/>
  <c r="D7176" i="4"/>
  <c r="D7177" i="4"/>
  <c r="D7178" i="4"/>
  <c r="D7179" i="4"/>
  <c r="D7180" i="4"/>
  <c r="D7181" i="4"/>
  <c r="D7182" i="4"/>
  <c r="D7183" i="4"/>
  <c r="D7184" i="4"/>
  <c r="D7185" i="4"/>
  <c r="D7186" i="4"/>
  <c r="D7187" i="4"/>
  <c r="D7188" i="4"/>
  <c r="D7189" i="4"/>
  <c r="D7190" i="4"/>
  <c r="D7191" i="4"/>
  <c r="D7192" i="4"/>
  <c r="D7193" i="4"/>
  <c r="D7194" i="4"/>
  <c r="D7195" i="4"/>
  <c r="D7196" i="4"/>
  <c r="D7197" i="4"/>
  <c r="D7198" i="4"/>
  <c r="D7199" i="4"/>
  <c r="D7200" i="4"/>
  <c r="D7201" i="4"/>
  <c r="D7202" i="4"/>
  <c r="D7203" i="4"/>
  <c r="D7204" i="4"/>
  <c r="D7205" i="4"/>
  <c r="D7206" i="4"/>
  <c r="D7207" i="4"/>
  <c r="D7208" i="4"/>
  <c r="D7209" i="4"/>
  <c r="D7210" i="4"/>
  <c r="D7211" i="4"/>
  <c r="D7212" i="4"/>
  <c r="D7213" i="4"/>
  <c r="D7214" i="4"/>
  <c r="D7215" i="4"/>
  <c r="D7216" i="4"/>
  <c r="D7217" i="4"/>
  <c r="D7218" i="4"/>
  <c r="D7219" i="4"/>
  <c r="D7220" i="4"/>
  <c r="D7221" i="4"/>
  <c r="D7222" i="4"/>
  <c r="D7223" i="4"/>
  <c r="D7224" i="4"/>
  <c r="D7225" i="4"/>
  <c r="D7226" i="4"/>
  <c r="D7227" i="4"/>
  <c r="D7228" i="4"/>
  <c r="D7229" i="4"/>
  <c r="D7230" i="4"/>
  <c r="D7231" i="4"/>
  <c r="D7232" i="4"/>
  <c r="D7233" i="4"/>
  <c r="D7234" i="4"/>
  <c r="D7235" i="4"/>
  <c r="D7236" i="4"/>
  <c r="D7237" i="4"/>
  <c r="D7238" i="4"/>
  <c r="D7239" i="4"/>
  <c r="D7240" i="4"/>
  <c r="D7241" i="4"/>
  <c r="D7242" i="4"/>
  <c r="D7243" i="4"/>
  <c r="D7244" i="4"/>
  <c r="D7245" i="4"/>
  <c r="D7246" i="4"/>
  <c r="D7247" i="4"/>
  <c r="D7248" i="4"/>
  <c r="D7249" i="4"/>
  <c r="D7250" i="4"/>
  <c r="D7251" i="4"/>
  <c r="D7252" i="4"/>
  <c r="D7253" i="4"/>
  <c r="D7254" i="4"/>
  <c r="D7255" i="4"/>
  <c r="D7256" i="4"/>
  <c r="D7257" i="4"/>
  <c r="D7258" i="4"/>
  <c r="D7259" i="4"/>
  <c r="D7260" i="4"/>
  <c r="D7261" i="4"/>
  <c r="D7262" i="4"/>
  <c r="D7263" i="4"/>
  <c r="D7264" i="4"/>
  <c r="D7265" i="4"/>
  <c r="D7266" i="4"/>
  <c r="D7267" i="4"/>
  <c r="D7268" i="4"/>
  <c r="D7269" i="4"/>
  <c r="D7270" i="4"/>
  <c r="D7271" i="4"/>
  <c r="D7272" i="4"/>
  <c r="D7273" i="4"/>
  <c r="D7274" i="4"/>
  <c r="D7275" i="4"/>
  <c r="D7276" i="4"/>
  <c r="D7277" i="4"/>
  <c r="D7278" i="4"/>
  <c r="D7279" i="4"/>
  <c r="D7280" i="4"/>
  <c r="D7281" i="4"/>
  <c r="D7282" i="4"/>
  <c r="D7283" i="4"/>
  <c r="D7284" i="4"/>
  <c r="D7285" i="4"/>
  <c r="D7286" i="4"/>
  <c r="D7287" i="4"/>
  <c r="D7288" i="4"/>
  <c r="D7289" i="4"/>
  <c r="D7290" i="4"/>
  <c r="D7291" i="4"/>
  <c r="D7292" i="4"/>
  <c r="D7293" i="4"/>
  <c r="D7294" i="4"/>
  <c r="D7295" i="4"/>
  <c r="D7296" i="4"/>
  <c r="D7297" i="4"/>
  <c r="D7298" i="4"/>
  <c r="D7299" i="4"/>
  <c r="D7300" i="4"/>
  <c r="D7301" i="4"/>
  <c r="D7302" i="4"/>
  <c r="D7303" i="4"/>
  <c r="D7304" i="4"/>
  <c r="D7305" i="4"/>
  <c r="D7306" i="4"/>
  <c r="D7307" i="4"/>
  <c r="D7308" i="4"/>
  <c r="D7309" i="4"/>
  <c r="D7310" i="4"/>
  <c r="D7311" i="4"/>
  <c r="D7312" i="4"/>
  <c r="D7313" i="4"/>
  <c r="D7314" i="4"/>
  <c r="D7315" i="4"/>
  <c r="D7316" i="4"/>
  <c r="D7317" i="4"/>
  <c r="D7318" i="4"/>
  <c r="D7319" i="4"/>
  <c r="D7320" i="4"/>
  <c r="D7321" i="4"/>
  <c r="D7322" i="4"/>
  <c r="D7323" i="4"/>
  <c r="D7324" i="4"/>
  <c r="D7325" i="4"/>
  <c r="D7326" i="4"/>
  <c r="D7327" i="4"/>
  <c r="D7328" i="4"/>
  <c r="D7329" i="4"/>
  <c r="D7330" i="4"/>
  <c r="D7331" i="4"/>
  <c r="D7332" i="4"/>
  <c r="D7333" i="4"/>
  <c r="D7334" i="4"/>
  <c r="D7335" i="4"/>
  <c r="D7336" i="4"/>
  <c r="D7337" i="4"/>
  <c r="D7338" i="4"/>
  <c r="D7339" i="4"/>
  <c r="D7340" i="4"/>
  <c r="D7341" i="4"/>
  <c r="D7342" i="4"/>
  <c r="D7343" i="4"/>
  <c r="D7344" i="4"/>
  <c r="D7345" i="4"/>
  <c r="D7346" i="4"/>
  <c r="D7347" i="4"/>
  <c r="D7348" i="4"/>
  <c r="D7349" i="4"/>
  <c r="D7350" i="4"/>
  <c r="D7351" i="4"/>
  <c r="D7352" i="4"/>
  <c r="D7353" i="4"/>
  <c r="D7354" i="4"/>
  <c r="D7355" i="4"/>
  <c r="D7356" i="4"/>
  <c r="D7357" i="4"/>
  <c r="D7358" i="4"/>
  <c r="D7359" i="4"/>
  <c r="D7360" i="4"/>
  <c r="D7361" i="4"/>
  <c r="D7362" i="4"/>
  <c r="D7363" i="4"/>
  <c r="D7364" i="4"/>
  <c r="D7365" i="4"/>
  <c r="D7366" i="4"/>
  <c r="D7367" i="4"/>
  <c r="D7368" i="4"/>
  <c r="D7369" i="4"/>
  <c r="D7370" i="4"/>
  <c r="D7371" i="4"/>
  <c r="D7372" i="4"/>
  <c r="D7373" i="4"/>
  <c r="D7374" i="4"/>
  <c r="D7375" i="4"/>
  <c r="D7376" i="4"/>
  <c r="D7377" i="4"/>
  <c r="D7378" i="4"/>
  <c r="D7379" i="4"/>
  <c r="D7380" i="4"/>
  <c r="D7381" i="4"/>
  <c r="D7382" i="4"/>
  <c r="D7383" i="4"/>
  <c r="D7384" i="4"/>
  <c r="D7385" i="4"/>
  <c r="D7386" i="4"/>
  <c r="D7387" i="4"/>
  <c r="D7388" i="4"/>
  <c r="D7389" i="4"/>
  <c r="D7390" i="4"/>
  <c r="D7391" i="4"/>
  <c r="D7392" i="4"/>
  <c r="D7393" i="4"/>
  <c r="D7394" i="4"/>
  <c r="D7395" i="4"/>
  <c r="D7396" i="4"/>
  <c r="D7397" i="4"/>
  <c r="D7398" i="4"/>
  <c r="D7399" i="4"/>
  <c r="D7400" i="4"/>
  <c r="D7401" i="4"/>
  <c r="D7402" i="4"/>
  <c r="D7403" i="4"/>
  <c r="D7404" i="4"/>
  <c r="D7405" i="4"/>
  <c r="D7406" i="4"/>
  <c r="D7407" i="4"/>
  <c r="D7408" i="4"/>
  <c r="D7409" i="4"/>
  <c r="D7410" i="4"/>
  <c r="D7411" i="4"/>
  <c r="D7412" i="4"/>
  <c r="D7413" i="4"/>
  <c r="D7414" i="4"/>
  <c r="D7415" i="4"/>
  <c r="D7416" i="4"/>
  <c r="D7417" i="4"/>
  <c r="D7418" i="4"/>
  <c r="D7419" i="4"/>
  <c r="D7420" i="4"/>
  <c r="D7421" i="4"/>
  <c r="D7422" i="4"/>
  <c r="D7423" i="4"/>
  <c r="D7424" i="4"/>
  <c r="D7425" i="4"/>
  <c r="D7426" i="4"/>
  <c r="D7427" i="4"/>
  <c r="D7428" i="4"/>
  <c r="D7429" i="4"/>
  <c r="D7430" i="4"/>
  <c r="D7431" i="4"/>
  <c r="D7432" i="4"/>
  <c r="D7433" i="4"/>
  <c r="D7434" i="4"/>
  <c r="D7435" i="4"/>
  <c r="D7436" i="4"/>
  <c r="D7437" i="4"/>
  <c r="D7438" i="4"/>
  <c r="D7439" i="4"/>
  <c r="D7440" i="4"/>
  <c r="D7441" i="4"/>
  <c r="D7442" i="4"/>
  <c r="D7443" i="4"/>
  <c r="D7444" i="4"/>
  <c r="D7445" i="4"/>
  <c r="D7446" i="4"/>
  <c r="D7447" i="4"/>
  <c r="D7448" i="4"/>
  <c r="D7449" i="4"/>
  <c r="D7450" i="4"/>
  <c r="D7451" i="4"/>
  <c r="D7452" i="4"/>
  <c r="D7453" i="4"/>
  <c r="D7454" i="4"/>
  <c r="D7455" i="4"/>
  <c r="D7456" i="4"/>
  <c r="D7457" i="4"/>
  <c r="D7458" i="4"/>
  <c r="D7459" i="4"/>
  <c r="D7460" i="4"/>
  <c r="D7461" i="4"/>
  <c r="D7462" i="4"/>
  <c r="D7463" i="4"/>
  <c r="D7464" i="4"/>
  <c r="D7465" i="4"/>
  <c r="D7466" i="4"/>
  <c r="D7467" i="4"/>
  <c r="D7468" i="4"/>
  <c r="D7469" i="4"/>
  <c r="D7470" i="4"/>
  <c r="D7471" i="4"/>
  <c r="D7472" i="4"/>
  <c r="D7473" i="4"/>
  <c r="D7474" i="4"/>
  <c r="D7475" i="4"/>
  <c r="D7476" i="4"/>
  <c r="D7477" i="4"/>
  <c r="D7478" i="4"/>
  <c r="D7479" i="4"/>
  <c r="D7480" i="4"/>
  <c r="D7481" i="4"/>
  <c r="D7482" i="4"/>
  <c r="D7483" i="4"/>
  <c r="D7484" i="4"/>
  <c r="D7485" i="4"/>
  <c r="D7486" i="4"/>
  <c r="D7487" i="4"/>
  <c r="D7488" i="4"/>
  <c r="D7489" i="4"/>
  <c r="D7490" i="4"/>
  <c r="D7491" i="4"/>
  <c r="D7492" i="4"/>
  <c r="D7493" i="4"/>
  <c r="D7494" i="4"/>
  <c r="D7495" i="4"/>
  <c r="D7496" i="4"/>
  <c r="D7497" i="4"/>
  <c r="D7498" i="4"/>
  <c r="D7499" i="4"/>
  <c r="D7500" i="4"/>
  <c r="D7501" i="4"/>
  <c r="D7502" i="4"/>
  <c r="D7503" i="4"/>
  <c r="D7504" i="4"/>
  <c r="D7505" i="4"/>
  <c r="D7506" i="4"/>
  <c r="D7507" i="4"/>
  <c r="D7508" i="4"/>
  <c r="D7509" i="4"/>
  <c r="D7510" i="4"/>
  <c r="D7511" i="4"/>
  <c r="D7512" i="4"/>
  <c r="D7513" i="4"/>
  <c r="D7514" i="4"/>
  <c r="D7515" i="4"/>
  <c r="D7516" i="4"/>
  <c r="D7517" i="4"/>
  <c r="D7518" i="4"/>
  <c r="D7519" i="4"/>
  <c r="D7520" i="4"/>
  <c r="D7521" i="4"/>
  <c r="D7522" i="4"/>
  <c r="D7523" i="4"/>
  <c r="D7524" i="4"/>
  <c r="D7525" i="4"/>
  <c r="D7526" i="4"/>
  <c r="D7527" i="4"/>
  <c r="D7528" i="4"/>
  <c r="D7529" i="4"/>
  <c r="D7530" i="4"/>
  <c r="D7531" i="4"/>
  <c r="D7532" i="4"/>
  <c r="D7533" i="4"/>
  <c r="D7534" i="4"/>
  <c r="D7535" i="4"/>
  <c r="D7536" i="4"/>
  <c r="D7537" i="4"/>
  <c r="D7538" i="4"/>
  <c r="D7539" i="4"/>
  <c r="D7540" i="4"/>
  <c r="D7541" i="4"/>
  <c r="D7542" i="4"/>
  <c r="D7543" i="4"/>
  <c r="D7544" i="4"/>
  <c r="D7545" i="4"/>
  <c r="D7546" i="4"/>
  <c r="D7547" i="4"/>
  <c r="D7548" i="4"/>
  <c r="D7549" i="4"/>
  <c r="D7550" i="4"/>
  <c r="D7551" i="4"/>
  <c r="D7552" i="4"/>
  <c r="D7553" i="4"/>
  <c r="D7554" i="4"/>
  <c r="D7555" i="4"/>
  <c r="D7556" i="4"/>
  <c r="D7557" i="4"/>
  <c r="D7558" i="4"/>
  <c r="D7559" i="4"/>
  <c r="D7560" i="4"/>
  <c r="D7561" i="4"/>
  <c r="D7562" i="4"/>
  <c r="D7563" i="4"/>
  <c r="D7564" i="4"/>
  <c r="D7565" i="4"/>
  <c r="D7566" i="4"/>
  <c r="D7567" i="4"/>
  <c r="D7568" i="4"/>
  <c r="D7569" i="4"/>
  <c r="D7570" i="4"/>
  <c r="D7571" i="4"/>
  <c r="D7572" i="4"/>
  <c r="D7573" i="4"/>
  <c r="D7574" i="4"/>
  <c r="D7575" i="4"/>
  <c r="D7576" i="4"/>
  <c r="D7577" i="4"/>
  <c r="D7578" i="4"/>
  <c r="D7579" i="4"/>
  <c r="D7580" i="4"/>
  <c r="D7581" i="4"/>
  <c r="D7582" i="4"/>
  <c r="D7583" i="4"/>
  <c r="D7584" i="4"/>
  <c r="D7585" i="4"/>
  <c r="D7586" i="4"/>
  <c r="D7587" i="4"/>
  <c r="D7588" i="4"/>
  <c r="D7589" i="4"/>
  <c r="D7590" i="4"/>
  <c r="D7591" i="4"/>
  <c r="D7592" i="4"/>
  <c r="D7593" i="4"/>
  <c r="D7594" i="4"/>
  <c r="D7595" i="4"/>
  <c r="D7596" i="4"/>
  <c r="D7597" i="4"/>
  <c r="D7598" i="4"/>
  <c r="D7599" i="4"/>
  <c r="D7600" i="4"/>
  <c r="D7601" i="4"/>
  <c r="D7602" i="4"/>
  <c r="D7603" i="4"/>
  <c r="D7604" i="4"/>
  <c r="D7605" i="4"/>
  <c r="D7606" i="4"/>
  <c r="D7607" i="4"/>
  <c r="D7608" i="4"/>
  <c r="D7609" i="4"/>
  <c r="D7610" i="4"/>
  <c r="D7611" i="4"/>
  <c r="D7612" i="4"/>
  <c r="D7613" i="4"/>
  <c r="D7614" i="4"/>
  <c r="D7615" i="4"/>
  <c r="D7616" i="4"/>
  <c r="D7617" i="4"/>
  <c r="D7618" i="4"/>
  <c r="D7619" i="4"/>
  <c r="D7620" i="4"/>
  <c r="D7621" i="4"/>
  <c r="D7622" i="4"/>
  <c r="D7623" i="4"/>
  <c r="D7624" i="4"/>
  <c r="D7625" i="4"/>
  <c r="D7626" i="4"/>
  <c r="D7627" i="4"/>
  <c r="D7628" i="4"/>
  <c r="D7629" i="4"/>
  <c r="D7630" i="4"/>
  <c r="D7631" i="4"/>
  <c r="D7632" i="4"/>
  <c r="D7633" i="4"/>
  <c r="D7634" i="4"/>
  <c r="D7635" i="4"/>
  <c r="D7636" i="4"/>
  <c r="D7637" i="4"/>
  <c r="D7638" i="4"/>
  <c r="D7639" i="4"/>
  <c r="D7640" i="4"/>
  <c r="D7641" i="4"/>
  <c r="D7642" i="4"/>
  <c r="D7643" i="4"/>
  <c r="D7644" i="4"/>
  <c r="D7645" i="4"/>
  <c r="D7646" i="4"/>
  <c r="D7647" i="4"/>
  <c r="D7648" i="4"/>
  <c r="D7649" i="4"/>
  <c r="D7650" i="4"/>
  <c r="D7651" i="4"/>
  <c r="D7652" i="4"/>
  <c r="D7653" i="4"/>
  <c r="D7654" i="4"/>
  <c r="D7655" i="4"/>
  <c r="D7656" i="4"/>
  <c r="D7657" i="4"/>
  <c r="D7658" i="4"/>
  <c r="D7659" i="4"/>
  <c r="D7660" i="4"/>
  <c r="D7661" i="4"/>
  <c r="D7662" i="4"/>
  <c r="D7663" i="4"/>
  <c r="D7664" i="4"/>
  <c r="D7665" i="4"/>
  <c r="D7666" i="4"/>
  <c r="D7667" i="4"/>
  <c r="D7668" i="4"/>
  <c r="D7669" i="4"/>
  <c r="D7670" i="4"/>
  <c r="D7671" i="4"/>
  <c r="D7672" i="4"/>
  <c r="D7673" i="4"/>
  <c r="D7674" i="4"/>
  <c r="D7675" i="4"/>
  <c r="D7676" i="4"/>
  <c r="D7677" i="4"/>
  <c r="D7678" i="4"/>
  <c r="D7679" i="4"/>
  <c r="D7680" i="4"/>
  <c r="D7681" i="4"/>
  <c r="D7682" i="4"/>
  <c r="D7683" i="4"/>
  <c r="D7684" i="4"/>
  <c r="D7685" i="4"/>
  <c r="D7686" i="4"/>
  <c r="D7687" i="4"/>
  <c r="D7688" i="4"/>
  <c r="D7689" i="4"/>
  <c r="D7690" i="4"/>
  <c r="D7691" i="4"/>
  <c r="D7692" i="4"/>
  <c r="D7693" i="4"/>
  <c r="D7694" i="4"/>
  <c r="D7695" i="4"/>
  <c r="D7696" i="4"/>
  <c r="D7697" i="4"/>
  <c r="D7698" i="4"/>
  <c r="D7699" i="4"/>
  <c r="D7700" i="4"/>
  <c r="D7701" i="4"/>
  <c r="D7702" i="4"/>
  <c r="D7703" i="4"/>
  <c r="D7704" i="4"/>
  <c r="D7705" i="4"/>
  <c r="D7706" i="4"/>
  <c r="D7707" i="4"/>
  <c r="D7708" i="4"/>
  <c r="D7709" i="4"/>
  <c r="D7710" i="4"/>
  <c r="D7711" i="4"/>
  <c r="D7712" i="4"/>
  <c r="D7713" i="4"/>
  <c r="D7714" i="4"/>
  <c r="D7715" i="4"/>
  <c r="D7716" i="4"/>
  <c r="D7717" i="4"/>
  <c r="D7718" i="4"/>
  <c r="D7719" i="4"/>
  <c r="D7720" i="4"/>
  <c r="D7721" i="4"/>
  <c r="D7722" i="4"/>
  <c r="D7723" i="4"/>
  <c r="D7724" i="4"/>
  <c r="D7725" i="4"/>
  <c r="D7726" i="4"/>
  <c r="D7727" i="4"/>
  <c r="D7728" i="4"/>
  <c r="D7729" i="4"/>
  <c r="D7730" i="4"/>
  <c r="D7731" i="4"/>
  <c r="D7732" i="4"/>
  <c r="D7733" i="4"/>
  <c r="D7734" i="4"/>
  <c r="D7735" i="4"/>
  <c r="D7736" i="4"/>
  <c r="D7737" i="4"/>
  <c r="D7738" i="4"/>
  <c r="D7739" i="4"/>
  <c r="D7740" i="4"/>
  <c r="D7741" i="4"/>
  <c r="D7742" i="4"/>
  <c r="D7743" i="4"/>
  <c r="D7744" i="4"/>
  <c r="D7745" i="4"/>
  <c r="D7746" i="4"/>
  <c r="D7747" i="4"/>
  <c r="D7748" i="4"/>
  <c r="D7749" i="4"/>
  <c r="D7750" i="4"/>
  <c r="D7751" i="4"/>
  <c r="D7752" i="4"/>
  <c r="D7753" i="4"/>
  <c r="D7754" i="4"/>
  <c r="D7755" i="4"/>
  <c r="D7756" i="4"/>
  <c r="D7757" i="4"/>
  <c r="D7758" i="4"/>
  <c r="D7759" i="4"/>
  <c r="D7760" i="4"/>
  <c r="D7761" i="4"/>
  <c r="D7762" i="4"/>
  <c r="D7763" i="4"/>
  <c r="D7764" i="4"/>
  <c r="D7765" i="4"/>
  <c r="D7766" i="4"/>
  <c r="D7767" i="4"/>
  <c r="D7768" i="4"/>
  <c r="D7769" i="4"/>
  <c r="D7770" i="4"/>
  <c r="D7771" i="4"/>
  <c r="D7772" i="4"/>
  <c r="D7773" i="4"/>
  <c r="D7774" i="4"/>
  <c r="D7775" i="4"/>
  <c r="D7776" i="4"/>
  <c r="D7777" i="4"/>
  <c r="D7778" i="4"/>
  <c r="D7779" i="4"/>
  <c r="D7780" i="4"/>
  <c r="D7781" i="4"/>
  <c r="D7782" i="4"/>
  <c r="D7783" i="4"/>
  <c r="D7784" i="4"/>
  <c r="D7785" i="4"/>
  <c r="D7786" i="4"/>
  <c r="D7787" i="4"/>
  <c r="D7788" i="4"/>
  <c r="D7789" i="4"/>
  <c r="D7790" i="4"/>
  <c r="D7791" i="4"/>
  <c r="D7792" i="4"/>
  <c r="D7793" i="4"/>
  <c r="D7794" i="4"/>
  <c r="D7795" i="4"/>
  <c r="D7796" i="4"/>
  <c r="D7797" i="4"/>
  <c r="D7798" i="4"/>
  <c r="D7799" i="4"/>
  <c r="D7800" i="4"/>
  <c r="D7801" i="4"/>
  <c r="D7802" i="4"/>
  <c r="D7803" i="4"/>
  <c r="D7804" i="4"/>
  <c r="D7805" i="4"/>
  <c r="D7806" i="4"/>
  <c r="D7807" i="4"/>
  <c r="D7808" i="4"/>
  <c r="D7809" i="4"/>
  <c r="D7810" i="4"/>
  <c r="D7811" i="4"/>
  <c r="D7812" i="4"/>
  <c r="D7813" i="4"/>
  <c r="D7814" i="4"/>
  <c r="D7815" i="4"/>
  <c r="D7816" i="4"/>
  <c r="D7817" i="4"/>
  <c r="D7818" i="4"/>
  <c r="D7819" i="4"/>
  <c r="D7820" i="4"/>
  <c r="D7821" i="4"/>
  <c r="D7822" i="4"/>
  <c r="D7823" i="4"/>
  <c r="D7824" i="4"/>
  <c r="D7825" i="4"/>
  <c r="D7826" i="4"/>
  <c r="D7827" i="4"/>
  <c r="D7828" i="4"/>
  <c r="D7829" i="4"/>
  <c r="D7830" i="4"/>
  <c r="D7831" i="4"/>
  <c r="D7832" i="4"/>
  <c r="D7833" i="4"/>
  <c r="D7834" i="4"/>
  <c r="D7835" i="4"/>
  <c r="D7836" i="4"/>
  <c r="D7837" i="4"/>
  <c r="D7838" i="4"/>
  <c r="D7839" i="4"/>
  <c r="D7840" i="4"/>
  <c r="D7841" i="4"/>
  <c r="D7842" i="4"/>
  <c r="D7843" i="4"/>
  <c r="D7844" i="4"/>
  <c r="D7845" i="4"/>
  <c r="D7846" i="4"/>
  <c r="D7847" i="4"/>
  <c r="D7848" i="4"/>
  <c r="D7849" i="4"/>
  <c r="D7850" i="4"/>
  <c r="D7851" i="4"/>
  <c r="D7852" i="4"/>
  <c r="D7853" i="4"/>
  <c r="D7854" i="4"/>
  <c r="D7855" i="4"/>
  <c r="D7856" i="4"/>
  <c r="D7857" i="4"/>
  <c r="D7858" i="4"/>
  <c r="D7859" i="4"/>
  <c r="D7860" i="4"/>
  <c r="D7861" i="4"/>
  <c r="D7862" i="4"/>
  <c r="D7863" i="4"/>
  <c r="D7864" i="4"/>
  <c r="D7865" i="4"/>
  <c r="D7866" i="4"/>
  <c r="D7867" i="4"/>
  <c r="D7868" i="4"/>
  <c r="D7869" i="4"/>
  <c r="D7870" i="4"/>
  <c r="D7871" i="4"/>
  <c r="D7872" i="4"/>
  <c r="D7873" i="4"/>
  <c r="D7874" i="4"/>
  <c r="D7875" i="4"/>
  <c r="D7876" i="4"/>
  <c r="D7877" i="4"/>
  <c r="D7878" i="4"/>
  <c r="D7879" i="4"/>
  <c r="D7880" i="4"/>
  <c r="D7881" i="4"/>
  <c r="D7882" i="4"/>
  <c r="D7883" i="4"/>
  <c r="D7884" i="4"/>
  <c r="D7885" i="4"/>
  <c r="D7886" i="4"/>
  <c r="D7887" i="4"/>
  <c r="D7888" i="4"/>
  <c r="D7889" i="4"/>
  <c r="D7890" i="4"/>
  <c r="D7891" i="4"/>
  <c r="D7892" i="4"/>
  <c r="D7893" i="4"/>
  <c r="D7894" i="4"/>
  <c r="D7895" i="4"/>
  <c r="D7896" i="4"/>
  <c r="D7897" i="4"/>
  <c r="D7898" i="4"/>
  <c r="D7899" i="4"/>
  <c r="D7900" i="4"/>
  <c r="D7901" i="4"/>
  <c r="D7902" i="4"/>
  <c r="D7903" i="4"/>
  <c r="D7904" i="4"/>
  <c r="D7905" i="4"/>
  <c r="D7906" i="4"/>
  <c r="D7907" i="4"/>
  <c r="D7908" i="4"/>
  <c r="D7909" i="4"/>
  <c r="D7910" i="4"/>
  <c r="D7911" i="4"/>
  <c r="D7912" i="4"/>
  <c r="D7913" i="4"/>
  <c r="D7914" i="4"/>
  <c r="D7915" i="4"/>
  <c r="D7916" i="4"/>
  <c r="D7917" i="4"/>
  <c r="D7918" i="4"/>
  <c r="D7919" i="4"/>
  <c r="D7920" i="4"/>
  <c r="D7921" i="4"/>
  <c r="D7922" i="4"/>
  <c r="D7923" i="4"/>
  <c r="D7924" i="4"/>
  <c r="D7925" i="4"/>
  <c r="D7926" i="4"/>
  <c r="D7927" i="4"/>
  <c r="D7928" i="4"/>
  <c r="D7929" i="4"/>
  <c r="D7930" i="4"/>
  <c r="D7931" i="4"/>
  <c r="D7932" i="4"/>
  <c r="D7933" i="4"/>
  <c r="D7934" i="4"/>
  <c r="D7935" i="4"/>
  <c r="D7936" i="4"/>
  <c r="D7937" i="4"/>
  <c r="D7938" i="4"/>
  <c r="D7939" i="4"/>
  <c r="D7940" i="4"/>
  <c r="D7941" i="4"/>
  <c r="D7942" i="4"/>
  <c r="D7943" i="4"/>
  <c r="D7944" i="4"/>
  <c r="D7945" i="4"/>
  <c r="D7946" i="4"/>
  <c r="D7947" i="4"/>
  <c r="D7948" i="4"/>
  <c r="D7949" i="4"/>
  <c r="D7950" i="4"/>
  <c r="D7951" i="4"/>
  <c r="D7952" i="4"/>
  <c r="D7953" i="4"/>
  <c r="D7954" i="4"/>
  <c r="D7955" i="4"/>
  <c r="D7956" i="4"/>
  <c r="D7957" i="4"/>
  <c r="D7958" i="4"/>
  <c r="D7959" i="4"/>
  <c r="D7960" i="4"/>
  <c r="D7961" i="4"/>
  <c r="D7962" i="4"/>
  <c r="D7963" i="4"/>
  <c r="D7964" i="4"/>
  <c r="D7965" i="4"/>
  <c r="D7966" i="4"/>
  <c r="D7967" i="4"/>
  <c r="D7968" i="4"/>
  <c r="D7969" i="4"/>
  <c r="D7970" i="4"/>
  <c r="D7971" i="4"/>
  <c r="D7972" i="4"/>
  <c r="D7973" i="4"/>
  <c r="D7974" i="4"/>
  <c r="D7975" i="4"/>
  <c r="D7976" i="4"/>
  <c r="D7977" i="4"/>
  <c r="D7978" i="4"/>
  <c r="D7979" i="4"/>
  <c r="D7980" i="4"/>
  <c r="D7981" i="4"/>
  <c r="D7982" i="4"/>
  <c r="D7983" i="4"/>
  <c r="D7984" i="4"/>
  <c r="D7985" i="4"/>
  <c r="D7986" i="4"/>
  <c r="D7987" i="4"/>
  <c r="D7988" i="4"/>
  <c r="D7989" i="4"/>
  <c r="D7990" i="4"/>
  <c r="D7991" i="4"/>
  <c r="D7992" i="4"/>
  <c r="D7993" i="4"/>
  <c r="D7994" i="4"/>
  <c r="D7995" i="4"/>
  <c r="D7996" i="4"/>
  <c r="D7997" i="4"/>
  <c r="D7998" i="4"/>
  <c r="D7999" i="4"/>
  <c r="D8000" i="4"/>
  <c r="D8001" i="4"/>
  <c r="D8002" i="4"/>
  <c r="D8003" i="4"/>
  <c r="D8004" i="4"/>
  <c r="D8005" i="4"/>
  <c r="D8006" i="4"/>
  <c r="D8007" i="4"/>
  <c r="D8008" i="4"/>
  <c r="D8009" i="4"/>
  <c r="D8010" i="4"/>
  <c r="D8011" i="4"/>
  <c r="D8012" i="4"/>
  <c r="D8013" i="4"/>
  <c r="D8014" i="4"/>
  <c r="D8015" i="4"/>
  <c r="D8016" i="4"/>
  <c r="D8017" i="4"/>
  <c r="D8018" i="4"/>
  <c r="D8019" i="4"/>
  <c r="D8020" i="4"/>
  <c r="D8021" i="4"/>
  <c r="D8022" i="4"/>
  <c r="D8023" i="4"/>
  <c r="D8024" i="4"/>
  <c r="D8025" i="4"/>
  <c r="D8026" i="4"/>
  <c r="D8027" i="4"/>
  <c r="D8028" i="4"/>
  <c r="D8029" i="4"/>
  <c r="D8030" i="4"/>
  <c r="D8031" i="4"/>
  <c r="D8032" i="4"/>
  <c r="D8033" i="4"/>
  <c r="D8034" i="4"/>
  <c r="D8035" i="4"/>
  <c r="D8036" i="4"/>
  <c r="D8037" i="4"/>
  <c r="D8038" i="4"/>
  <c r="D8039" i="4"/>
  <c r="D8040" i="4"/>
  <c r="D8041" i="4"/>
  <c r="D8042" i="4"/>
  <c r="D8043" i="4"/>
  <c r="D8044" i="4"/>
  <c r="D8045" i="4"/>
  <c r="D8046" i="4"/>
  <c r="D8047" i="4"/>
  <c r="D8048" i="4"/>
  <c r="D8049" i="4"/>
  <c r="D8050" i="4"/>
  <c r="D8051" i="4"/>
  <c r="D8052" i="4"/>
  <c r="D8053" i="4"/>
  <c r="D8054" i="4"/>
  <c r="D8055" i="4"/>
  <c r="D8056" i="4"/>
  <c r="D8057" i="4"/>
  <c r="D8058" i="4"/>
  <c r="D8059" i="4"/>
  <c r="D8060" i="4"/>
  <c r="D8061" i="4"/>
  <c r="D8062" i="4"/>
  <c r="D8063" i="4"/>
  <c r="D8064" i="4"/>
  <c r="D8065" i="4"/>
  <c r="D8066" i="4"/>
  <c r="D8067" i="4"/>
  <c r="D8068" i="4"/>
  <c r="D8069" i="4"/>
  <c r="D8070" i="4"/>
  <c r="D8071" i="4"/>
  <c r="D8072" i="4"/>
  <c r="D8073" i="4"/>
  <c r="D8074" i="4"/>
  <c r="D8075" i="4"/>
  <c r="D8076" i="4"/>
  <c r="D8077" i="4"/>
  <c r="D8078" i="4"/>
  <c r="D8079" i="4"/>
  <c r="D8080" i="4"/>
  <c r="D8081" i="4"/>
  <c r="D8082" i="4"/>
  <c r="D8083" i="4"/>
  <c r="D8084" i="4"/>
  <c r="D8085" i="4"/>
  <c r="D8086" i="4"/>
  <c r="D8087" i="4"/>
  <c r="D8088" i="4"/>
  <c r="D8089" i="4"/>
  <c r="D8090" i="4"/>
  <c r="D8091" i="4"/>
  <c r="D8092" i="4"/>
  <c r="D8093" i="4"/>
  <c r="D8094" i="4"/>
  <c r="D8095" i="4"/>
  <c r="D8096" i="4"/>
  <c r="D8097" i="4"/>
  <c r="D8098" i="4"/>
  <c r="D8099" i="4"/>
  <c r="D8100" i="4"/>
  <c r="D8101" i="4"/>
  <c r="D8102" i="4"/>
  <c r="D8103" i="4"/>
  <c r="D8104" i="4"/>
  <c r="D8105" i="4"/>
  <c r="D8106" i="4"/>
  <c r="D8107" i="4"/>
  <c r="D8108" i="4"/>
  <c r="D8109" i="4"/>
  <c r="D8110" i="4"/>
  <c r="D8111" i="4"/>
  <c r="D8112" i="4"/>
  <c r="D8113" i="4"/>
  <c r="D8114" i="4"/>
  <c r="D8115" i="4"/>
  <c r="D8116" i="4"/>
  <c r="D8117" i="4"/>
  <c r="D8118" i="4"/>
  <c r="D8119" i="4"/>
  <c r="D8120" i="4"/>
  <c r="D8121" i="4"/>
  <c r="D8122" i="4"/>
  <c r="D8123" i="4"/>
  <c r="D8124" i="4"/>
  <c r="D8125" i="4"/>
  <c r="D8126" i="4"/>
  <c r="D8127" i="4"/>
  <c r="D8128" i="4"/>
  <c r="D8129" i="4"/>
  <c r="D8130" i="4"/>
  <c r="D8131" i="4"/>
  <c r="D8132" i="4"/>
  <c r="D8133" i="4"/>
  <c r="D8134" i="4"/>
  <c r="D8135" i="4"/>
  <c r="D8136" i="4"/>
  <c r="D8137" i="4"/>
  <c r="D8138" i="4"/>
  <c r="D8139" i="4"/>
  <c r="D8140" i="4"/>
  <c r="D8141" i="4"/>
  <c r="D8142" i="4"/>
  <c r="D8143" i="4"/>
  <c r="D8144" i="4"/>
  <c r="D8145" i="4"/>
  <c r="D8146" i="4"/>
  <c r="D8147" i="4"/>
  <c r="D8148" i="4"/>
  <c r="D8149" i="4"/>
  <c r="D8150" i="4"/>
  <c r="D8151" i="4"/>
  <c r="D8152" i="4"/>
  <c r="D8153" i="4"/>
  <c r="D8154" i="4"/>
  <c r="D8155" i="4"/>
  <c r="D8156" i="4"/>
  <c r="D8157" i="4"/>
  <c r="D8158" i="4"/>
  <c r="D8159" i="4"/>
  <c r="D8160" i="4"/>
  <c r="D8161" i="4"/>
  <c r="D8162" i="4"/>
  <c r="D8163" i="4"/>
  <c r="D8164" i="4"/>
  <c r="D8165" i="4"/>
  <c r="D8166" i="4"/>
  <c r="D8167" i="4"/>
  <c r="D8168" i="4"/>
  <c r="D8169" i="4"/>
  <c r="D8170" i="4"/>
  <c r="D8171" i="4"/>
  <c r="D8172" i="4"/>
  <c r="D8173" i="4"/>
  <c r="D8174" i="4"/>
  <c r="D8175" i="4"/>
  <c r="D8176" i="4"/>
  <c r="D8177" i="4"/>
  <c r="D8178" i="4"/>
  <c r="D8179" i="4"/>
  <c r="D8180" i="4"/>
  <c r="D8181" i="4"/>
  <c r="D8182" i="4"/>
  <c r="D8183" i="4"/>
  <c r="D8184" i="4"/>
  <c r="D8185" i="4"/>
  <c r="D8186" i="4"/>
  <c r="D8187" i="4"/>
  <c r="D8188" i="4"/>
  <c r="D8189" i="4"/>
  <c r="D8190" i="4"/>
  <c r="D8191" i="4"/>
  <c r="D8192" i="4"/>
  <c r="D8193" i="4"/>
  <c r="D8194" i="4"/>
  <c r="D8195" i="4"/>
  <c r="D8196" i="4"/>
  <c r="D8197" i="4"/>
  <c r="D8198" i="4"/>
  <c r="D8199" i="4"/>
  <c r="D8200" i="4"/>
  <c r="D8201" i="4"/>
  <c r="D8202" i="4"/>
  <c r="D8203" i="4"/>
  <c r="D8204" i="4"/>
  <c r="D8205" i="4"/>
  <c r="D8206" i="4"/>
  <c r="D8207" i="4"/>
  <c r="D8208" i="4"/>
  <c r="D8209" i="4"/>
  <c r="D8210" i="4"/>
  <c r="D8211" i="4"/>
  <c r="D8212" i="4"/>
  <c r="D8213" i="4"/>
  <c r="D8214" i="4"/>
  <c r="D8215" i="4"/>
  <c r="D8216" i="4"/>
  <c r="D8217" i="4"/>
  <c r="D8218" i="4"/>
  <c r="D8219" i="4"/>
  <c r="D8220" i="4"/>
  <c r="D8221" i="4"/>
  <c r="D8222" i="4"/>
  <c r="D8223" i="4"/>
  <c r="D8224" i="4"/>
  <c r="D8225" i="4"/>
  <c r="D8226" i="4"/>
  <c r="D8227" i="4"/>
  <c r="D8228" i="4"/>
  <c r="D8229" i="4"/>
  <c r="D8230" i="4"/>
  <c r="D8231" i="4"/>
  <c r="D8232" i="4"/>
  <c r="D8233" i="4"/>
  <c r="D8234" i="4"/>
  <c r="D8235" i="4"/>
  <c r="D8236" i="4"/>
  <c r="D8237" i="4"/>
  <c r="D8238" i="4"/>
  <c r="D8239" i="4"/>
  <c r="D8240" i="4"/>
  <c r="D8241" i="4"/>
  <c r="D8242" i="4"/>
  <c r="D8243" i="4"/>
  <c r="D8244" i="4"/>
  <c r="D8245" i="4"/>
  <c r="D8246" i="4"/>
  <c r="D8247" i="4"/>
  <c r="D8248" i="4"/>
  <c r="D8249" i="4"/>
  <c r="D8250" i="4"/>
  <c r="D8251" i="4"/>
  <c r="D8252" i="4"/>
  <c r="D8253" i="4"/>
  <c r="D8254" i="4"/>
  <c r="D8255" i="4"/>
  <c r="D8256" i="4"/>
  <c r="D8257" i="4"/>
  <c r="D8258" i="4"/>
  <c r="D8259" i="4"/>
  <c r="D8260" i="4"/>
  <c r="D8261" i="4"/>
  <c r="D8262" i="4"/>
  <c r="D8263" i="4"/>
  <c r="D8264" i="4"/>
  <c r="D8265" i="4"/>
  <c r="D8266" i="4"/>
  <c r="D8267" i="4"/>
  <c r="D8268" i="4"/>
  <c r="D8269" i="4"/>
  <c r="D8270" i="4"/>
  <c r="D8271" i="4"/>
  <c r="D8272" i="4"/>
  <c r="D8273" i="4"/>
  <c r="D8274" i="4"/>
  <c r="D8275" i="4"/>
  <c r="D8276" i="4"/>
  <c r="D8277" i="4"/>
  <c r="D8278" i="4"/>
  <c r="D8279" i="4"/>
  <c r="D8280" i="4"/>
  <c r="D8281" i="4"/>
  <c r="D8282" i="4"/>
  <c r="D8283" i="4"/>
  <c r="D8284" i="4"/>
  <c r="D8285" i="4"/>
  <c r="D8286" i="4"/>
  <c r="D8287" i="4"/>
  <c r="D8288" i="4"/>
  <c r="D8289" i="4"/>
  <c r="D8290" i="4"/>
  <c r="D8291" i="4"/>
  <c r="D8292" i="4"/>
  <c r="D8293" i="4"/>
  <c r="D8294" i="4"/>
  <c r="D8295" i="4"/>
  <c r="D8296" i="4"/>
  <c r="D8297" i="4"/>
  <c r="D8298" i="4"/>
  <c r="D8299" i="4"/>
  <c r="D8300" i="4"/>
  <c r="D8301" i="4"/>
  <c r="D8302" i="4"/>
  <c r="D8303" i="4"/>
  <c r="D8304" i="4"/>
  <c r="D8305" i="4"/>
  <c r="D8306" i="4"/>
  <c r="D8307" i="4"/>
  <c r="D8308" i="4"/>
  <c r="D8309" i="4"/>
  <c r="D8310" i="4"/>
  <c r="D8311" i="4"/>
  <c r="D8312" i="4"/>
  <c r="D8313" i="4"/>
  <c r="D8314" i="4"/>
  <c r="D8315" i="4"/>
  <c r="D8316" i="4"/>
  <c r="D8317" i="4"/>
  <c r="D8318" i="4"/>
  <c r="D8319" i="4"/>
  <c r="D8320" i="4"/>
  <c r="D8321" i="4"/>
  <c r="D8322" i="4"/>
  <c r="D8323" i="4"/>
  <c r="D8324" i="4"/>
  <c r="D8325" i="4"/>
  <c r="D8326" i="4"/>
  <c r="D8327" i="4"/>
  <c r="D8328" i="4"/>
  <c r="D8329" i="4"/>
  <c r="D8330" i="4"/>
  <c r="D8331" i="4"/>
  <c r="D8332" i="4"/>
  <c r="D8333" i="4"/>
  <c r="D8334" i="4"/>
  <c r="D8335" i="4"/>
  <c r="D8336" i="4"/>
  <c r="D8337" i="4"/>
  <c r="D8338" i="4"/>
  <c r="D8339" i="4"/>
  <c r="D8340" i="4"/>
  <c r="D8341" i="4"/>
  <c r="D8342" i="4"/>
  <c r="D8343" i="4"/>
  <c r="D8344" i="4"/>
  <c r="D8345" i="4"/>
  <c r="D8346" i="4"/>
  <c r="D8347" i="4"/>
  <c r="D8348" i="4"/>
  <c r="D8349" i="4"/>
  <c r="D8350" i="4"/>
  <c r="D8351" i="4"/>
  <c r="D8352" i="4"/>
  <c r="D8353" i="4"/>
  <c r="D8354" i="4"/>
  <c r="D8355" i="4"/>
  <c r="D8356" i="4"/>
  <c r="D8357" i="4"/>
  <c r="D8358" i="4"/>
  <c r="D8359" i="4"/>
  <c r="D8360" i="4"/>
  <c r="D8361" i="4"/>
  <c r="D8362" i="4"/>
  <c r="D8363" i="4"/>
  <c r="D8364" i="4"/>
  <c r="D8365" i="4"/>
  <c r="D8366" i="4"/>
  <c r="D8367" i="4"/>
  <c r="D8368" i="4"/>
  <c r="D8369" i="4"/>
  <c r="D8370" i="4"/>
  <c r="D8371" i="4"/>
  <c r="D8372" i="4"/>
  <c r="D8373" i="4"/>
  <c r="D8374" i="4"/>
  <c r="D8375" i="4"/>
  <c r="D8376" i="4"/>
  <c r="D8377" i="4"/>
  <c r="D8378" i="4"/>
  <c r="D8379" i="4"/>
  <c r="D8380" i="4"/>
  <c r="D8381" i="4"/>
  <c r="D8382" i="4"/>
  <c r="D8383" i="4"/>
  <c r="D8384" i="4"/>
  <c r="D8385" i="4"/>
  <c r="D8386" i="4"/>
  <c r="D8387" i="4"/>
  <c r="D8388" i="4"/>
  <c r="D8389" i="4"/>
  <c r="D8390" i="4"/>
  <c r="D8391" i="4"/>
  <c r="D8392" i="4"/>
  <c r="D8393" i="4"/>
  <c r="D8394" i="4"/>
  <c r="D8395" i="4"/>
  <c r="D8396" i="4"/>
  <c r="D8397" i="4"/>
  <c r="D8398" i="4"/>
  <c r="D8399" i="4"/>
  <c r="D8400" i="4"/>
  <c r="D8401" i="4"/>
  <c r="D8402" i="4"/>
  <c r="D8403" i="4"/>
  <c r="D8404" i="4"/>
  <c r="D8405" i="4"/>
  <c r="D8406" i="4"/>
  <c r="D8407" i="4"/>
  <c r="D8408" i="4"/>
  <c r="D8409" i="4"/>
  <c r="D8410" i="4"/>
  <c r="D8411" i="4"/>
  <c r="D8412" i="4"/>
  <c r="D8413" i="4"/>
  <c r="D8414" i="4"/>
  <c r="D8415" i="4"/>
  <c r="D8416" i="4"/>
  <c r="D8417" i="4"/>
  <c r="D8418" i="4"/>
  <c r="D8419" i="4"/>
  <c r="D8420" i="4"/>
  <c r="D8421" i="4"/>
  <c r="D8422" i="4"/>
  <c r="D8423" i="4"/>
  <c r="D8424" i="4"/>
  <c r="D8425" i="4"/>
  <c r="D8426" i="4"/>
  <c r="D8427" i="4"/>
  <c r="D8428" i="4"/>
  <c r="D8429" i="4"/>
  <c r="D8430" i="4"/>
  <c r="D8431" i="4"/>
  <c r="D8432" i="4"/>
  <c r="D8433" i="4"/>
  <c r="D8434" i="4"/>
  <c r="D8435" i="4"/>
  <c r="D8436" i="4"/>
  <c r="D8437" i="4"/>
  <c r="D8438" i="4"/>
  <c r="D8439" i="4"/>
  <c r="D8440" i="4"/>
  <c r="D8441" i="4"/>
  <c r="D8442" i="4"/>
  <c r="D8443" i="4"/>
  <c r="D8444" i="4"/>
  <c r="D8445" i="4"/>
  <c r="D8446" i="4"/>
  <c r="D8447" i="4"/>
  <c r="D8448" i="4"/>
  <c r="D8449" i="4"/>
  <c r="D8450" i="4"/>
  <c r="D8451" i="4"/>
  <c r="D8452" i="4"/>
  <c r="D8453" i="4"/>
  <c r="D8454" i="4"/>
  <c r="D8455" i="4"/>
  <c r="D8456" i="4"/>
  <c r="D8457" i="4"/>
  <c r="D8458" i="4"/>
  <c r="D8459" i="4"/>
  <c r="D8460" i="4"/>
  <c r="D8461" i="4"/>
  <c r="D8462" i="4"/>
  <c r="D8463" i="4"/>
  <c r="D8464" i="4"/>
  <c r="D8465" i="4"/>
  <c r="D8466" i="4"/>
  <c r="D8467" i="4"/>
  <c r="D8468" i="4"/>
  <c r="D8469" i="4"/>
  <c r="D8470" i="4"/>
  <c r="D8471" i="4"/>
  <c r="D8472" i="4"/>
  <c r="D8473" i="4"/>
  <c r="D8474" i="4"/>
  <c r="D8475" i="4"/>
  <c r="D8476" i="4"/>
  <c r="D8477" i="4"/>
  <c r="D8478" i="4"/>
  <c r="D8479" i="4"/>
  <c r="D8480" i="4"/>
  <c r="D8481" i="4"/>
  <c r="D8482" i="4"/>
  <c r="D8483" i="4"/>
  <c r="D8484" i="4"/>
  <c r="D8485" i="4"/>
  <c r="D8486" i="4"/>
  <c r="D8487" i="4"/>
  <c r="D8488" i="4"/>
  <c r="D8489" i="4"/>
  <c r="D8490" i="4"/>
  <c r="D8491" i="4"/>
  <c r="D8492" i="4"/>
  <c r="D8493" i="4"/>
  <c r="D8494" i="4"/>
  <c r="D8495" i="4"/>
  <c r="D8496" i="4"/>
  <c r="D8497" i="4"/>
  <c r="D8498" i="4"/>
  <c r="D8499" i="4"/>
  <c r="D8500" i="4"/>
  <c r="D8501" i="4"/>
  <c r="D8502" i="4"/>
  <c r="D8503" i="4"/>
  <c r="D8504" i="4"/>
  <c r="D8505" i="4"/>
  <c r="D8506" i="4"/>
  <c r="D8507" i="4"/>
  <c r="D8508" i="4"/>
  <c r="D8509" i="4"/>
  <c r="D8510" i="4"/>
  <c r="D8511" i="4"/>
  <c r="D8512" i="4"/>
  <c r="D8513" i="4"/>
  <c r="D8514" i="4"/>
  <c r="D8515" i="4"/>
  <c r="D8516" i="4"/>
  <c r="D8517" i="4"/>
  <c r="D8518" i="4"/>
  <c r="D8519" i="4"/>
  <c r="D8520" i="4"/>
  <c r="D8521" i="4"/>
  <c r="D8522" i="4"/>
  <c r="D8523" i="4"/>
  <c r="D8524" i="4"/>
  <c r="D8525" i="4"/>
  <c r="D8526" i="4"/>
  <c r="D8527" i="4"/>
  <c r="D8528" i="4"/>
  <c r="D8529" i="4"/>
  <c r="D8530" i="4"/>
  <c r="D8531" i="4"/>
  <c r="D8532" i="4"/>
  <c r="D8533" i="4"/>
  <c r="D8534" i="4"/>
  <c r="D8535" i="4"/>
  <c r="D8536" i="4"/>
  <c r="D8537" i="4"/>
  <c r="D8538" i="4"/>
  <c r="D8539" i="4"/>
  <c r="D8540" i="4"/>
  <c r="D8541" i="4"/>
  <c r="D8542" i="4"/>
  <c r="D8543" i="4"/>
  <c r="D8544" i="4"/>
  <c r="D8545" i="4"/>
  <c r="D8546" i="4"/>
  <c r="D8547" i="4"/>
  <c r="D8548" i="4"/>
  <c r="D8549" i="4"/>
  <c r="D8550" i="4"/>
  <c r="D8551" i="4"/>
  <c r="D8552" i="4"/>
  <c r="D8553" i="4"/>
  <c r="D8554" i="4"/>
  <c r="D8555" i="4"/>
  <c r="D8556" i="4"/>
  <c r="D8557" i="4"/>
  <c r="D8558" i="4"/>
  <c r="D8559" i="4"/>
  <c r="D8560" i="4"/>
  <c r="D8561" i="4"/>
  <c r="D8562" i="4"/>
  <c r="D8563" i="4"/>
  <c r="D8564" i="4"/>
  <c r="D8565" i="4"/>
  <c r="D8566" i="4"/>
  <c r="D8567" i="4"/>
  <c r="D8568" i="4"/>
  <c r="D8569" i="4"/>
  <c r="D8570" i="4"/>
  <c r="D8571" i="4"/>
  <c r="D8572" i="4"/>
  <c r="D8573" i="4"/>
  <c r="D8574" i="4"/>
  <c r="D8575" i="4"/>
  <c r="D8576" i="4"/>
  <c r="D8577" i="4"/>
  <c r="D8578" i="4"/>
  <c r="D8579" i="4"/>
  <c r="D8580" i="4"/>
  <c r="D8581" i="4"/>
  <c r="D8582" i="4"/>
  <c r="D8583" i="4"/>
  <c r="D8584" i="4"/>
  <c r="D8585" i="4"/>
  <c r="D8586" i="4"/>
  <c r="D8587" i="4"/>
  <c r="D8588" i="4"/>
  <c r="D8589" i="4"/>
  <c r="D8590" i="4"/>
  <c r="D8591" i="4"/>
  <c r="D8592" i="4"/>
  <c r="D8593" i="4"/>
  <c r="D8594" i="4"/>
  <c r="D8595" i="4"/>
  <c r="D8596" i="4"/>
  <c r="D8597" i="4"/>
  <c r="D8598" i="4"/>
  <c r="D8599" i="4"/>
  <c r="D8600" i="4"/>
  <c r="D8601" i="4"/>
  <c r="D8602" i="4"/>
  <c r="D8603" i="4"/>
  <c r="D8604" i="4"/>
  <c r="D8605" i="4"/>
  <c r="D8606" i="4"/>
  <c r="D8607" i="4"/>
  <c r="D8608" i="4"/>
  <c r="D8609" i="4"/>
  <c r="D8610" i="4"/>
  <c r="D8611" i="4"/>
  <c r="D8612" i="4"/>
  <c r="D8613" i="4"/>
  <c r="D8614" i="4"/>
  <c r="D8615" i="4"/>
  <c r="D8616" i="4"/>
  <c r="D8617" i="4"/>
  <c r="D8618" i="4"/>
  <c r="D8619" i="4"/>
  <c r="D8620" i="4"/>
  <c r="D8621" i="4"/>
  <c r="D8622" i="4"/>
  <c r="D8623" i="4"/>
  <c r="D8624" i="4"/>
  <c r="D8625" i="4"/>
  <c r="D8626" i="4"/>
  <c r="D8627" i="4"/>
  <c r="D8628" i="4"/>
  <c r="D8629" i="4"/>
  <c r="D8630" i="4"/>
  <c r="D8631" i="4"/>
  <c r="D8632" i="4"/>
  <c r="D8633" i="4"/>
  <c r="D8634" i="4"/>
  <c r="D8635" i="4"/>
  <c r="D8636" i="4"/>
  <c r="D8637" i="4"/>
  <c r="D8638" i="4"/>
  <c r="D8639" i="4"/>
  <c r="D8640" i="4"/>
  <c r="D8641" i="4"/>
  <c r="D8642" i="4"/>
  <c r="D8643" i="4"/>
  <c r="D8644" i="4"/>
  <c r="D8645" i="4"/>
  <c r="D8646" i="4"/>
  <c r="D8647" i="4"/>
  <c r="D8648" i="4"/>
  <c r="D8649" i="4"/>
  <c r="D8650" i="4"/>
  <c r="D8651" i="4"/>
  <c r="D8652" i="4"/>
  <c r="D8653" i="4"/>
  <c r="D8654" i="4"/>
  <c r="D8655" i="4"/>
  <c r="D8656" i="4"/>
  <c r="D8657" i="4"/>
  <c r="D8658" i="4"/>
  <c r="D8659" i="4"/>
  <c r="D8660" i="4"/>
  <c r="D8661" i="4"/>
  <c r="D8662" i="4"/>
  <c r="D8663" i="4"/>
  <c r="D8664" i="4"/>
  <c r="D8665" i="4"/>
  <c r="D8666" i="4"/>
  <c r="D8667" i="4"/>
  <c r="D8668" i="4"/>
  <c r="D8669" i="4"/>
  <c r="D8670" i="4"/>
  <c r="D8671" i="4"/>
  <c r="D8672" i="4"/>
  <c r="D8673" i="4"/>
  <c r="D8674" i="4"/>
  <c r="D8675" i="4"/>
  <c r="D8676" i="4"/>
  <c r="D8677" i="4"/>
  <c r="D8678" i="4"/>
  <c r="D8679" i="4"/>
  <c r="D8680" i="4"/>
  <c r="D8681" i="4"/>
  <c r="D8682" i="4"/>
  <c r="D8683" i="4"/>
  <c r="D8684" i="4"/>
  <c r="D8685" i="4"/>
  <c r="D8686" i="4"/>
  <c r="D8687" i="4"/>
  <c r="D8688" i="4"/>
  <c r="D8689" i="4"/>
  <c r="D8690" i="4"/>
  <c r="D8691" i="4"/>
  <c r="D8692" i="4"/>
  <c r="D8693" i="4"/>
  <c r="D8694" i="4"/>
  <c r="D8695" i="4"/>
  <c r="D8696" i="4"/>
  <c r="D8697" i="4"/>
  <c r="D8698" i="4"/>
  <c r="D8699" i="4"/>
  <c r="D8700" i="4"/>
  <c r="D8701" i="4"/>
  <c r="D8702" i="4"/>
  <c r="D8703" i="4"/>
  <c r="D8704" i="4"/>
  <c r="D8705" i="4"/>
  <c r="D8706" i="4"/>
  <c r="D8707" i="4"/>
  <c r="D8708" i="4"/>
  <c r="D8709" i="4"/>
  <c r="D8710" i="4"/>
  <c r="D8711" i="4"/>
  <c r="D8712" i="4"/>
  <c r="D8713" i="4"/>
  <c r="D8714" i="4"/>
  <c r="D8715" i="4"/>
  <c r="D8716" i="4"/>
  <c r="D8717" i="4"/>
  <c r="D8718" i="4"/>
  <c r="D8719" i="4"/>
  <c r="D8720" i="4"/>
  <c r="D8721" i="4"/>
  <c r="D8722" i="4"/>
  <c r="D8723" i="4"/>
  <c r="D8724" i="4"/>
  <c r="D8725" i="4"/>
  <c r="D8726" i="4"/>
  <c r="D8727" i="4"/>
  <c r="D8728" i="4"/>
  <c r="D8729" i="4"/>
  <c r="D8730" i="4"/>
  <c r="D8731" i="4"/>
  <c r="D8732" i="4"/>
  <c r="D8733" i="4"/>
  <c r="D8734" i="4"/>
  <c r="D8735" i="4"/>
  <c r="D8736" i="4"/>
  <c r="D8737" i="4"/>
  <c r="D8738" i="4"/>
  <c r="D8739" i="4"/>
  <c r="D8740" i="4"/>
  <c r="D8741" i="4"/>
  <c r="D8742" i="4"/>
  <c r="D8743" i="4"/>
  <c r="D8744" i="4"/>
  <c r="D8745" i="4"/>
  <c r="D8746" i="4"/>
  <c r="D8747" i="4"/>
  <c r="D8748" i="4"/>
  <c r="D8749" i="4"/>
  <c r="D8750" i="4"/>
  <c r="D8751" i="4"/>
  <c r="D8752" i="4"/>
  <c r="D8753" i="4"/>
  <c r="D8754" i="4"/>
  <c r="D8755" i="4"/>
  <c r="D8756" i="4"/>
  <c r="D8757" i="4"/>
  <c r="D8758" i="4"/>
  <c r="D8759" i="4"/>
  <c r="D8760" i="4"/>
  <c r="D8761" i="4"/>
  <c r="D8762" i="4"/>
  <c r="D8763" i="4"/>
  <c r="D8764" i="4"/>
  <c r="D8765" i="4"/>
  <c r="D8766" i="4"/>
  <c r="D8767" i="4"/>
  <c r="D8768" i="4"/>
  <c r="D8769" i="4"/>
  <c r="D8770" i="4"/>
  <c r="D8771" i="4"/>
  <c r="D8772" i="4"/>
  <c r="D8773" i="4"/>
  <c r="D8774" i="4"/>
  <c r="D8775" i="4"/>
  <c r="D8776" i="4"/>
  <c r="D8777" i="4"/>
  <c r="D8778" i="4"/>
  <c r="D8779" i="4"/>
  <c r="D8780" i="4"/>
  <c r="D8781" i="4"/>
  <c r="D8782" i="4"/>
  <c r="D8783" i="4"/>
  <c r="D8784" i="4"/>
  <c r="D8785" i="4"/>
  <c r="D8786" i="4"/>
  <c r="D8787" i="4"/>
  <c r="D8788" i="4"/>
  <c r="D8789" i="4"/>
  <c r="D8790" i="4"/>
  <c r="D8791" i="4"/>
  <c r="D8792" i="4"/>
  <c r="D8793" i="4"/>
  <c r="D8794" i="4"/>
  <c r="D8795" i="4"/>
  <c r="D8796" i="4"/>
  <c r="D8797" i="4"/>
  <c r="D8798" i="4"/>
  <c r="D8799" i="4"/>
  <c r="D8800" i="4"/>
  <c r="D8801" i="4"/>
  <c r="D8802" i="4"/>
  <c r="D8803" i="4"/>
  <c r="D8804" i="4"/>
  <c r="D8805" i="4"/>
  <c r="D8806" i="4"/>
  <c r="D8807" i="4"/>
  <c r="D8808" i="4"/>
  <c r="D8809" i="4"/>
  <c r="D8810" i="4"/>
  <c r="D8811" i="4"/>
  <c r="D8812" i="4"/>
  <c r="D8813" i="4"/>
  <c r="D8814" i="4"/>
  <c r="D8815" i="4"/>
  <c r="D8816" i="4"/>
  <c r="D8817" i="4"/>
  <c r="D8818" i="4"/>
  <c r="D8819" i="4"/>
  <c r="D8820" i="4"/>
  <c r="D8821" i="4"/>
  <c r="D8822" i="4"/>
  <c r="D8823" i="4"/>
  <c r="D8824" i="4"/>
  <c r="D8825" i="4"/>
  <c r="D8826" i="4"/>
  <c r="D8827" i="4"/>
  <c r="D8828" i="4"/>
  <c r="D8829" i="4"/>
  <c r="D8830" i="4"/>
  <c r="D8831" i="4"/>
  <c r="D8832" i="4"/>
  <c r="D8833" i="4"/>
  <c r="D8834" i="4"/>
  <c r="D8835" i="4"/>
  <c r="D8836" i="4"/>
  <c r="D8837" i="4"/>
  <c r="D8838" i="4"/>
  <c r="D8839" i="4"/>
  <c r="D8840" i="4"/>
  <c r="D8841" i="4"/>
  <c r="D8842" i="4"/>
  <c r="D8843" i="4"/>
  <c r="D8844" i="4"/>
  <c r="D8845" i="4"/>
  <c r="D8846" i="4"/>
  <c r="D8847" i="4"/>
  <c r="D8848" i="4"/>
  <c r="D8849" i="4"/>
  <c r="D8850" i="4"/>
  <c r="D8851" i="4"/>
  <c r="D8852" i="4"/>
  <c r="D8853" i="4"/>
  <c r="D8854" i="4"/>
  <c r="D8855" i="4"/>
  <c r="D8856" i="4"/>
  <c r="D8857" i="4"/>
  <c r="D8858" i="4"/>
  <c r="D8859" i="4"/>
  <c r="D8860" i="4"/>
  <c r="D8861" i="4"/>
  <c r="D8862" i="4"/>
  <c r="D8863" i="4"/>
  <c r="D8864" i="4"/>
  <c r="D8865" i="4"/>
  <c r="D8866" i="4"/>
  <c r="D8867" i="4"/>
  <c r="D8868" i="4"/>
  <c r="D8869" i="4"/>
  <c r="D8870" i="4"/>
  <c r="D8871" i="4"/>
  <c r="D8872" i="4"/>
  <c r="D8873" i="4"/>
  <c r="D8874" i="4"/>
  <c r="D8875" i="4"/>
  <c r="D8876" i="4"/>
  <c r="D8877" i="4"/>
  <c r="D8878" i="4"/>
  <c r="D8879" i="4"/>
  <c r="D8880" i="4"/>
  <c r="D8881" i="4"/>
  <c r="D8882" i="4"/>
  <c r="D8883" i="4"/>
  <c r="D8884" i="4"/>
  <c r="D8885" i="4"/>
  <c r="D8886" i="4"/>
  <c r="D8887" i="4"/>
  <c r="D8888" i="4"/>
  <c r="D8889" i="4"/>
  <c r="D8890" i="4"/>
  <c r="D8891" i="4"/>
  <c r="D8892" i="4"/>
  <c r="D8893" i="4"/>
  <c r="D8894" i="4"/>
  <c r="D8895" i="4"/>
  <c r="D8896" i="4"/>
  <c r="D8897" i="4"/>
  <c r="D8898" i="4"/>
  <c r="D8899" i="4"/>
  <c r="D8900" i="4"/>
  <c r="D8901" i="4"/>
  <c r="D8902" i="4"/>
  <c r="D8903" i="4"/>
  <c r="D8904" i="4"/>
  <c r="D8905" i="4"/>
  <c r="D8906" i="4"/>
  <c r="D8907" i="4"/>
  <c r="D8908" i="4"/>
  <c r="D8909" i="4"/>
  <c r="D8910" i="4"/>
  <c r="D8911" i="4"/>
  <c r="D8912" i="4"/>
  <c r="D8913" i="4"/>
  <c r="D8914" i="4"/>
  <c r="D8915" i="4"/>
  <c r="D8916" i="4"/>
  <c r="D8917" i="4"/>
  <c r="D8918" i="4"/>
  <c r="D8919" i="4"/>
  <c r="D8920" i="4"/>
  <c r="D8921" i="4"/>
  <c r="D8922" i="4"/>
  <c r="D8923" i="4"/>
  <c r="D8924" i="4"/>
  <c r="D8925" i="4"/>
  <c r="D8926" i="4"/>
  <c r="D8927" i="4"/>
  <c r="D8928" i="4"/>
  <c r="D8929" i="4"/>
  <c r="D8930" i="4"/>
  <c r="D8931" i="4"/>
  <c r="D8932" i="4"/>
  <c r="D8933" i="4"/>
  <c r="D8934" i="4"/>
  <c r="D8935" i="4"/>
  <c r="D8936" i="4"/>
  <c r="D8937" i="4"/>
  <c r="D8938" i="4"/>
  <c r="D8939" i="4"/>
  <c r="D8940" i="4"/>
  <c r="D8941" i="4"/>
  <c r="D8942" i="4"/>
  <c r="D8943" i="4"/>
  <c r="D8944" i="4"/>
  <c r="D8945" i="4"/>
  <c r="D8946" i="4"/>
  <c r="D8947" i="4"/>
  <c r="D8948" i="4"/>
  <c r="D8949" i="4"/>
  <c r="D8950" i="4"/>
  <c r="D8951" i="4"/>
  <c r="D8952" i="4"/>
  <c r="D8953" i="4"/>
  <c r="D8954" i="4"/>
  <c r="D8955" i="4"/>
  <c r="D8956" i="4"/>
  <c r="D8957" i="4"/>
  <c r="D8958" i="4"/>
  <c r="D8959" i="4"/>
  <c r="D8960" i="4"/>
  <c r="D8961" i="4"/>
  <c r="D8962" i="4"/>
  <c r="D8963" i="4"/>
  <c r="D8964" i="4"/>
  <c r="D8965" i="4"/>
  <c r="D8966" i="4"/>
  <c r="D8967" i="4"/>
  <c r="D8968" i="4"/>
  <c r="D8969" i="4"/>
  <c r="D8970" i="4"/>
  <c r="D8971" i="4"/>
  <c r="D8972" i="4"/>
  <c r="D8973" i="4"/>
  <c r="D8974" i="4"/>
  <c r="D8975" i="4"/>
  <c r="D8976" i="4"/>
  <c r="D8977" i="4"/>
  <c r="D8978" i="4"/>
  <c r="D8979" i="4"/>
  <c r="D8980" i="4"/>
  <c r="D8981" i="4"/>
  <c r="D8982" i="4"/>
  <c r="D8983" i="4"/>
  <c r="D8984" i="4"/>
  <c r="D8985" i="4"/>
  <c r="D8986" i="4"/>
  <c r="D8987" i="4"/>
  <c r="D8988" i="4"/>
  <c r="D8989" i="4"/>
  <c r="D8990" i="4"/>
  <c r="D8991" i="4"/>
  <c r="D8992" i="4"/>
  <c r="D8993" i="4"/>
  <c r="D8994" i="4"/>
  <c r="D8995" i="4"/>
  <c r="D8996" i="4"/>
  <c r="D8997" i="4"/>
  <c r="D8998" i="4"/>
  <c r="D8999" i="4"/>
  <c r="D9000" i="4"/>
  <c r="D9001" i="4"/>
  <c r="D9002" i="4"/>
  <c r="D9003" i="4"/>
  <c r="D9004" i="4"/>
  <c r="D9005" i="4"/>
  <c r="D9006" i="4"/>
  <c r="D9007" i="4"/>
  <c r="D9008" i="4"/>
  <c r="D9009" i="4"/>
  <c r="D9010" i="4"/>
  <c r="D9011" i="4"/>
  <c r="D9012" i="4"/>
  <c r="D9013" i="4"/>
  <c r="D9014" i="4"/>
  <c r="D9015" i="4"/>
  <c r="D9016" i="4"/>
  <c r="D9017" i="4"/>
  <c r="D9018" i="4"/>
  <c r="D9019" i="4"/>
  <c r="D9020" i="4"/>
  <c r="D9021" i="4"/>
  <c r="D9022" i="4"/>
  <c r="D9023" i="4"/>
  <c r="D9024" i="4"/>
  <c r="D9025" i="4"/>
  <c r="D9026" i="4"/>
  <c r="D9027" i="4"/>
  <c r="D9028" i="4"/>
  <c r="D9029" i="4"/>
  <c r="D9030" i="4"/>
  <c r="D9031" i="4"/>
  <c r="D9032" i="4"/>
  <c r="D9033" i="4"/>
  <c r="D9034" i="4"/>
  <c r="D9035" i="4"/>
  <c r="D9036" i="4"/>
  <c r="D9037" i="4"/>
  <c r="D9038" i="4"/>
  <c r="D9039" i="4"/>
  <c r="D9040" i="4"/>
  <c r="D9041" i="4"/>
  <c r="D9042" i="4"/>
  <c r="D9043" i="4"/>
  <c r="D9044" i="4"/>
  <c r="D9045" i="4"/>
  <c r="D9046" i="4"/>
  <c r="D9047" i="4"/>
  <c r="D9048" i="4"/>
  <c r="D9049" i="4"/>
  <c r="D9050" i="4"/>
  <c r="D9051" i="4"/>
  <c r="D9052" i="4"/>
  <c r="D9053" i="4"/>
  <c r="D9054" i="4"/>
  <c r="D9055" i="4"/>
  <c r="D9056" i="4"/>
  <c r="D9057" i="4"/>
  <c r="D9058" i="4"/>
  <c r="D9059" i="4"/>
  <c r="D9060" i="4"/>
  <c r="D9061" i="4"/>
  <c r="D9062" i="4"/>
  <c r="D9063" i="4"/>
  <c r="D9064" i="4"/>
  <c r="D9065" i="4"/>
  <c r="D9066" i="4"/>
  <c r="D9067" i="4"/>
  <c r="D9068" i="4"/>
  <c r="D9069" i="4"/>
  <c r="D9070" i="4"/>
  <c r="D9071" i="4"/>
  <c r="D9072" i="4"/>
  <c r="D9073" i="4"/>
  <c r="D9074" i="4"/>
  <c r="D9075" i="4"/>
  <c r="D9076" i="4"/>
  <c r="D9077" i="4"/>
  <c r="D9078" i="4"/>
  <c r="D9079" i="4"/>
  <c r="D9080" i="4"/>
  <c r="D9081" i="4"/>
  <c r="D9082" i="4"/>
  <c r="D9083" i="4"/>
  <c r="D9084" i="4"/>
  <c r="D9085" i="4"/>
  <c r="D9086" i="4"/>
  <c r="D9087" i="4"/>
  <c r="D9088" i="4"/>
  <c r="D9089" i="4"/>
  <c r="D9090" i="4"/>
  <c r="D9091" i="4"/>
  <c r="D9092" i="4"/>
  <c r="D9093" i="4"/>
  <c r="D9094" i="4"/>
  <c r="D9095" i="4"/>
  <c r="D9096" i="4"/>
  <c r="D9097" i="4"/>
  <c r="D9098" i="4"/>
  <c r="D9099" i="4"/>
  <c r="D9100" i="4"/>
  <c r="D9101" i="4"/>
  <c r="D9102" i="4"/>
  <c r="D9103" i="4"/>
  <c r="D9104" i="4"/>
  <c r="D9105" i="4"/>
  <c r="D9106" i="4"/>
  <c r="D9107" i="4"/>
  <c r="D9108" i="4"/>
  <c r="D9109" i="4"/>
  <c r="D9110" i="4"/>
  <c r="D9111" i="4"/>
  <c r="D9112" i="4"/>
  <c r="D9113" i="4"/>
  <c r="D9114" i="4"/>
  <c r="D9115" i="4"/>
  <c r="D9116" i="4"/>
  <c r="D9117" i="4"/>
  <c r="D9118" i="4"/>
  <c r="D9119" i="4"/>
  <c r="D9120" i="4"/>
  <c r="D9121" i="4"/>
  <c r="D9122" i="4"/>
  <c r="D9123" i="4"/>
  <c r="D9124" i="4"/>
  <c r="D9125" i="4"/>
  <c r="D9126" i="4"/>
  <c r="D9127" i="4"/>
  <c r="D9128" i="4"/>
  <c r="D9129" i="4"/>
  <c r="D9130" i="4"/>
  <c r="D9131" i="4"/>
  <c r="D9132" i="4"/>
  <c r="D9133" i="4"/>
  <c r="D9134" i="4"/>
  <c r="D9135" i="4"/>
  <c r="D9136" i="4"/>
  <c r="D9137" i="4"/>
  <c r="D9138" i="4"/>
  <c r="D9139" i="4"/>
  <c r="D9140" i="4"/>
  <c r="D9141" i="4"/>
  <c r="D9142" i="4"/>
  <c r="D9143" i="4"/>
  <c r="D9144" i="4"/>
  <c r="D9145" i="4"/>
  <c r="D9146" i="4"/>
  <c r="D9147" i="4"/>
  <c r="D9148" i="4"/>
  <c r="D9149" i="4"/>
  <c r="D9150" i="4"/>
  <c r="D9151" i="4"/>
  <c r="D9152" i="4"/>
  <c r="D9153" i="4"/>
  <c r="D9154" i="4"/>
  <c r="D9155" i="4"/>
  <c r="D9156" i="4"/>
  <c r="D9157" i="4"/>
  <c r="D9158" i="4"/>
  <c r="D9159" i="4"/>
  <c r="D9160" i="4"/>
  <c r="D9161" i="4"/>
  <c r="D9162" i="4"/>
  <c r="D9163" i="4"/>
  <c r="D9164" i="4"/>
  <c r="D9165" i="4"/>
  <c r="D9166" i="4"/>
  <c r="D9167" i="4"/>
  <c r="D9168" i="4"/>
  <c r="D9169" i="4"/>
  <c r="D9170" i="4"/>
  <c r="D9171" i="4"/>
  <c r="D9172" i="4"/>
  <c r="D9173" i="4"/>
  <c r="D9174" i="4"/>
  <c r="D9175" i="4"/>
  <c r="D9176" i="4"/>
  <c r="D9177" i="4"/>
  <c r="D9178" i="4"/>
  <c r="D9179" i="4"/>
  <c r="D9180" i="4"/>
  <c r="D9181" i="4"/>
  <c r="D9182" i="4"/>
  <c r="D9183" i="4"/>
  <c r="D9184" i="4"/>
  <c r="D9185" i="4"/>
  <c r="D9186" i="4"/>
  <c r="D9187" i="4"/>
  <c r="D9188" i="4"/>
  <c r="D9189" i="4"/>
  <c r="D9190" i="4"/>
  <c r="D9191" i="4"/>
  <c r="D9192" i="4"/>
  <c r="D9193" i="4"/>
  <c r="D9194" i="4"/>
  <c r="D9195" i="4"/>
  <c r="D9196" i="4"/>
  <c r="D9197" i="4"/>
  <c r="D9198" i="4"/>
  <c r="D9199" i="4"/>
  <c r="D9200" i="4"/>
  <c r="D9201" i="4"/>
  <c r="D9202" i="4"/>
  <c r="D9203" i="4"/>
  <c r="D9204" i="4"/>
  <c r="D9205" i="4"/>
  <c r="D9206" i="4"/>
  <c r="D9207" i="4"/>
  <c r="D9208" i="4"/>
  <c r="D9209" i="4"/>
  <c r="D9210" i="4"/>
  <c r="D9211" i="4"/>
  <c r="D9212" i="4"/>
  <c r="D9213" i="4"/>
  <c r="D9214" i="4"/>
  <c r="D9215" i="4"/>
  <c r="D9216" i="4"/>
  <c r="D9217" i="4"/>
  <c r="D9218" i="4"/>
  <c r="D9219" i="4"/>
  <c r="D9220" i="4"/>
  <c r="D9221" i="4"/>
  <c r="D9222" i="4"/>
  <c r="D9223" i="4"/>
  <c r="D9224" i="4"/>
  <c r="D9225" i="4"/>
  <c r="D9226" i="4"/>
  <c r="D9227" i="4"/>
  <c r="D9228" i="4"/>
  <c r="D9229" i="4"/>
  <c r="D9230" i="4"/>
  <c r="D9231" i="4"/>
  <c r="D9232" i="4"/>
  <c r="D9233" i="4"/>
  <c r="D9234" i="4"/>
  <c r="D9235" i="4"/>
  <c r="D9236" i="4"/>
  <c r="D9237" i="4"/>
  <c r="D9238" i="4"/>
  <c r="D9239" i="4"/>
  <c r="D9240" i="4"/>
  <c r="D9241" i="4"/>
  <c r="D9242" i="4"/>
  <c r="D9243" i="4"/>
  <c r="D9244" i="4"/>
  <c r="D9245" i="4"/>
  <c r="D9246" i="4"/>
  <c r="D9247" i="4"/>
  <c r="D9248" i="4"/>
  <c r="D9249" i="4"/>
  <c r="D9250" i="4"/>
  <c r="D9251" i="4"/>
  <c r="D9252" i="4"/>
  <c r="D9253" i="4"/>
  <c r="D9254" i="4"/>
  <c r="D9255" i="4"/>
  <c r="D9256" i="4"/>
  <c r="D9257" i="4"/>
  <c r="D9258" i="4"/>
  <c r="D9259" i="4"/>
  <c r="D9260" i="4"/>
  <c r="D9261" i="4"/>
  <c r="D9262" i="4"/>
  <c r="D9263" i="4"/>
  <c r="D9264" i="4"/>
  <c r="D9265" i="4"/>
  <c r="D9266" i="4"/>
  <c r="D9267" i="4"/>
  <c r="D9268" i="4"/>
  <c r="D9269" i="4"/>
  <c r="D9270" i="4"/>
  <c r="D9271" i="4"/>
  <c r="D9272" i="4"/>
  <c r="D9273" i="4"/>
  <c r="D9274" i="4"/>
  <c r="D9275" i="4"/>
  <c r="D9276" i="4"/>
  <c r="D9277" i="4"/>
  <c r="D9278" i="4"/>
  <c r="D9279" i="4"/>
  <c r="D9280" i="4"/>
  <c r="D9281" i="4"/>
  <c r="D9282" i="4"/>
  <c r="D9283" i="4"/>
  <c r="D9284" i="4"/>
  <c r="D9285" i="4"/>
  <c r="D9286" i="4"/>
  <c r="D9287" i="4"/>
  <c r="D9288" i="4"/>
  <c r="D9289" i="4"/>
  <c r="D9290" i="4"/>
  <c r="D9291" i="4"/>
  <c r="D9292" i="4"/>
  <c r="D9293" i="4"/>
  <c r="D9294" i="4"/>
  <c r="D9295" i="4"/>
  <c r="D9296" i="4"/>
  <c r="D9297" i="4"/>
  <c r="D9298" i="4"/>
  <c r="D9299" i="4"/>
  <c r="D9300" i="4"/>
  <c r="D9301" i="4"/>
  <c r="D9302" i="4"/>
  <c r="D9303" i="4"/>
  <c r="D9304" i="4"/>
  <c r="D9305" i="4"/>
  <c r="D9306" i="4"/>
  <c r="D9307" i="4"/>
  <c r="D9308" i="4"/>
  <c r="D9309" i="4"/>
  <c r="D9310" i="4"/>
  <c r="D9311" i="4"/>
  <c r="D9312" i="4"/>
  <c r="D9313" i="4"/>
  <c r="D9314" i="4"/>
  <c r="D9315" i="4"/>
  <c r="D9316" i="4"/>
  <c r="D9317" i="4"/>
  <c r="D9318" i="4"/>
  <c r="D9319" i="4"/>
  <c r="D9320" i="4"/>
  <c r="D9321" i="4"/>
  <c r="D9322" i="4"/>
  <c r="D9323" i="4"/>
  <c r="D9324" i="4"/>
  <c r="D9325" i="4"/>
  <c r="D9326" i="4"/>
  <c r="D9327" i="4"/>
  <c r="D9328" i="4"/>
  <c r="D9329" i="4"/>
  <c r="D9330" i="4"/>
  <c r="D9331" i="4"/>
  <c r="D9332" i="4"/>
  <c r="D9333" i="4"/>
  <c r="D9334" i="4"/>
  <c r="D9335" i="4"/>
  <c r="D9336" i="4"/>
  <c r="D9337" i="4"/>
  <c r="D9338" i="4"/>
  <c r="D9339" i="4"/>
  <c r="D9340" i="4"/>
  <c r="D9341" i="4"/>
  <c r="D9342" i="4"/>
  <c r="D9343" i="4"/>
  <c r="D9344" i="4"/>
  <c r="D9345" i="4"/>
  <c r="D9346" i="4"/>
  <c r="D9347" i="4"/>
  <c r="D9348" i="4"/>
  <c r="D9349" i="4"/>
  <c r="D9350" i="4"/>
  <c r="D9351" i="4"/>
  <c r="D9352" i="4"/>
  <c r="D9353" i="4"/>
  <c r="D9354" i="4"/>
  <c r="D9355" i="4"/>
  <c r="D9356" i="4"/>
  <c r="D9357" i="4"/>
  <c r="D9358" i="4"/>
  <c r="D9359" i="4"/>
  <c r="D9360" i="4"/>
  <c r="D9361" i="4"/>
  <c r="D9362" i="4"/>
  <c r="D9363" i="4"/>
  <c r="D9364" i="4"/>
  <c r="D9365" i="4"/>
  <c r="D9366" i="4"/>
  <c r="D9367" i="4"/>
  <c r="D9368" i="4"/>
  <c r="D9369" i="4"/>
  <c r="D9370" i="4"/>
  <c r="D9371" i="4"/>
  <c r="D9372" i="4"/>
  <c r="D9373" i="4"/>
  <c r="D9374" i="4"/>
  <c r="D9375" i="4"/>
  <c r="D9376" i="4"/>
  <c r="D9377" i="4"/>
  <c r="D9378" i="4"/>
  <c r="D9379" i="4"/>
  <c r="D9380" i="4"/>
  <c r="D9381" i="4"/>
  <c r="D9382" i="4"/>
  <c r="D9383" i="4"/>
  <c r="D9384" i="4"/>
  <c r="D9385" i="4"/>
  <c r="D9386" i="4"/>
  <c r="D9387" i="4"/>
  <c r="D9388" i="4"/>
  <c r="D9389" i="4"/>
  <c r="D9390" i="4"/>
  <c r="D9391" i="4"/>
  <c r="D9392" i="4"/>
  <c r="D9393" i="4"/>
  <c r="D9394" i="4"/>
  <c r="D9395" i="4"/>
  <c r="D9396" i="4"/>
  <c r="D9397" i="4"/>
  <c r="D9398" i="4"/>
  <c r="D9399" i="4"/>
  <c r="D9400" i="4"/>
  <c r="D9401" i="4"/>
  <c r="D9402" i="4"/>
  <c r="D9403" i="4"/>
  <c r="D9404" i="4"/>
  <c r="D9405" i="4"/>
  <c r="D9406" i="4"/>
  <c r="D9407" i="4"/>
  <c r="D9408" i="4"/>
  <c r="D9409" i="4"/>
  <c r="D9410" i="4"/>
  <c r="D9411" i="4"/>
  <c r="D9412" i="4"/>
  <c r="D9413" i="4"/>
  <c r="D9414" i="4"/>
  <c r="D9415" i="4"/>
  <c r="D9416" i="4"/>
  <c r="D9417" i="4"/>
  <c r="D9418" i="4"/>
  <c r="D9419" i="4"/>
  <c r="D9420" i="4"/>
  <c r="D9421" i="4"/>
  <c r="D9422" i="4"/>
  <c r="D9423" i="4"/>
  <c r="D9424" i="4"/>
  <c r="D9425" i="4"/>
  <c r="D9426" i="4"/>
  <c r="D9427" i="4"/>
  <c r="D9428" i="4"/>
  <c r="D9429" i="4"/>
  <c r="D9430" i="4"/>
  <c r="D9431" i="4"/>
  <c r="D9432" i="4"/>
  <c r="D9433" i="4"/>
  <c r="D9434" i="4"/>
  <c r="D9435" i="4"/>
  <c r="D9436" i="4"/>
  <c r="D9437" i="4"/>
  <c r="D9438" i="4"/>
  <c r="D9439" i="4"/>
  <c r="D9440" i="4"/>
  <c r="D9441" i="4"/>
  <c r="D9442" i="4"/>
  <c r="D9443" i="4"/>
  <c r="D9444" i="4"/>
  <c r="D9445" i="4"/>
  <c r="D9446" i="4"/>
  <c r="D9447" i="4"/>
  <c r="D9448" i="4"/>
  <c r="D9449" i="4"/>
  <c r="D9450" i="4"/>
  <c r="D9451" i="4"/>
  <c r="D9452" i="4"/>
  <c r="D9453" i="4"/>
  <c r="D9454" i="4"/>
  <c r="D9455" i="4"/>
  <c r="D9456" i="4"/>
  <c r="D9457" i="4"/>
  <c r="D9458" i="4"/>
  <c r="D9459" i="4"/>
  <c r="D9460" i="4"/>
  <c r="D9461" i="4"/>
  <c r="D9462" i="4"/>
  <c r="D9463" i="4"/>
  <c r="D9464" i="4"/>
  <c r="D9465" i="4"/>
  <c r="D9466" i="4"/>
  <c r="D9467" i="4"/>
  <c r="D9468" i="4"/>
  <c r="D9469" i="4"/>
  <c r="D9470" i="4"/>
  <c r="D9471" i="4"/>
  <c r="D9472" i="4"/>
  <c r="D9473" i="4"/>
  <c r="D9474" i="4"/>
  <c r="D9475" i="4"/>
  <c r="D9476" i="4"/>
  <c r="D9477" i="4"/>
  <c r="D9478" i="4"/>
  <c r="D9479" i="4"/>
  <c r="D9480" i="4"/>
  <c r="D9481" i="4"/>
  <c r="D9482" i="4"/>
  <c r="D9483" i="4"/>
  <c r="D9484" i="4"/>
  <c r="D9485" i="4"/>
  <c r="D9486" i="4"/>
  <c r="D9487" i="4"/>
  <c r="D9488" i="4"/>
  <c r="D9489" i="4"/>
  <c r="D9490" i="4"/>
  <c r="D9491" i="4"/>
  <c r="D9492" i="4"/>
  <c r="D9493" i="4"/>
  <c r="D9494" i="4"/>
  <c r="D9495" i="4"/>
  <c r="D9496" i="4"/>
  <c r="D9497" i="4"/>
  <c r="D9498" i="4"/>
  <c r="D9499" i="4"/>
  <c r="D9500" i="4"/>
  <c r="D9501" i="4"/>
  <c r="D9502" i="4"/>
  <c r="D9503" i="4"/>
  <c r="D9504" i="4"/>
  <c r="D9505" i="4"/>
  <c r="D9506" i="4"/>
  <c r="D9507" i="4"/>
  <c r="D9508" i="4"/>
  <c r="D9509" i="4"/>
  <c r="D9510" i="4"/>
  <c r="D9511" i="4"/>
  <c r="D9512" i="4"/>
  <c r="D9513" i="4"/>
  <c r="D9514" i="4"/>
  <c r="D9515" i="4"/>
  <c r="D9516" i="4"/>
  <c r="D9517" i="4"/>
  <c r="D9518" i="4"/>
  <c r="D9519" i="4"/>
  <c r="D9520" i="4"/>
  <c r="D9521" i="4"/>
  <c r="D9522" i="4"/>
  <c r="D9523" i="4"/>
  <c r="D9524" i="4"/>
  <c r="D9525" i="4"/>
  <c r="D9526" i="4"/>
  <c r="D9527" i="4"/>
  <c r="D9528" i="4"/>
  <c r="D9529" i="4"/>
  <c r="D9530" i="4"/>
  <c r="D9531" i="4"/>
  <c r="D9532" i="4"/>
  <c r="D9533" i="4"/>
  <c r="D9534" i="4"/>
  <c r="D9535" i="4"/>
  <c r="D9536" i="4"/>
  <c r="D9537" i="4"/>
  <c r="D9538" i="4"/>
  <c r="D9539" i="4"/>
  <c r="D9540" i="4"/>
  <c r="D9541" i="4"/>
  <c r="D9542" i="4"/>
  <c r="D9543" i="4"/>
  <c r="D9544" i="4"/>
  <c r="D9545" i="4"/>
  <c r="D9546" i="4"/>
  <c r="D9547" i="4"/>
  <c r="D9548" i="4"/>
  <c r="D9549" i="4"/>
  <c r="D9550" i="4"/>
  <c r="D9551" i="4"/>
  <c r="D9552" i="4"/>
  <c r="D9553" i="4"/>
  <c r="D9554" i="4"/>
  <c r="D9555" i="4"/>
  <c r="D9556" i="4"/>
  <c r="D9557" i="4"/>
  <c r="D9558" i="4"/>
  <c r="D9559" i="4"/>
  <c r="D9560" i="4"/>
  <c r="D9561" i="4"/>
  <c r="D9562" i="4"/>
  <c r="D9563" i="4"/>
  <c r="D9564" i="4"/>
  <c r="D9565" i="4"/>
  <c r="D9566" i="4"/>
  <c r="D9567" i="4"/>
  <c r="D9568" i="4"/>
  <c r="D9569" i="4"/>
  <c r="D9570" i="4"/>
  <c r="D9571" i="4"/>
  <c r="D9572" i="4"/>
  <c r="D9573" i="4"/>
  <c r="D9574" i="4"/>
  <c r="D9575" i="4"/>
  <c r="D9576" i="4"/>
  <c r="D9577" i="4"/>
  <c r="D9578" i="4"/>
  <c r="D9579" i="4"/>
  <c r="D9580" i="4"/>
  <c r="D9581" i="4"/>
  <c r="D9582" i="4"/>
  <c r="D9583" i="4"/>
  <c r="D9584" i="4"/>
  <c r="D9585" i="4"/>
  <c r="D9586" i="4"/>
  <c r="D9587" i="4"/>
  <c r="D9588" i="4"/>
  <c r="D9589" i="4"/>
  <c r="D9590" i="4"/>
  <c r="D9591" i="4"/>
  <c r="D9592" i="4"/>
  <c r="D9593" i="4"/>
  <c r="D9594" i="4"/>
  <c r="D9595" i="4"/>
  <c r="D9596" i="4"/>
  <c r="D9597" i="4"/>
  <c r="D9598" i="4"/>
  <c r="D9599" i="4"/>
  <c r="D9600" i="4"/>
  <c r="D9601" i="4"/>
  <c r="D9602" i="4"/>
  <c r="D9603" i="4"/>
  <c r="D9604" i="4"/>
  <c r="D9605" i="4"/>
  <c r="D9606" i="4"/>
  <c r="D9607" i="4"/>
  <c r="D9608" i="4"/>
  <c r="D9609" i="4"/>
  <c r="D9610" i="4"/>
  <c r="D9611" i="4"/>
  <c r="D9612" i="4"/>
  <c r="D9613" i="4"/>
  <c r="D9614" i="4"/>
  <c r="D9615" i="4"/>
  <c r="D9616" i="4"/>
  <c r="D9617" i="4"/>
  <c r="D9618" i="4"/>
  <c r="D9619" i="4"/>
  <c r="D9620" i="4"/>
  <c r="D9621" i="4"/>
  <c r="D9622" i="4"/>
  <c r="D9623" i="4"/>
  <c r="D9624" i="4"/>
  <c r="D9625" i="4"/>
  <c r="D9626" i="4"/>
  <c r="D9627" i="4"/>
  <c r="D9628" i="4"/>
  <c r="D9629" i="4"/>
  <c r="D9630" i="4"/>
  <c r="D9631" i="4"/>
  <c r="D9632" i="4"/>
  <c r="D9633" i="4"/>
  <c r="D9634" i="4"/>
  <c r="D9635" i="4"/>
  <c r="D9636" i="4"/>
  <c r="D9637" i="4"/>
  <c r="D9638" i="4"/>
  <c r="D9639" i="4"/>
  <c r="D9640" i="4"/>
  <c r="D9641" i="4"/>
  <c r="D9642" i="4"/>
  <c r="D9643" i="4"/>
  <c r="D9644" i="4"/>
  <c r="D9645" i="4"/>
  <c r="D9646" i="4"/>
  <c r="D9647" i="4"/>
  <c r="D9648" i="4"/>
  <c r="D9649" i="4"/>
  <c r="D9650" i="4"/>
  <c r="D9651" i="4"/>
  <c r="D9652" i="4"/>
  <c r="D9653" i="4"/>
  <c r="D9654" i="4"/>
  <c r="D9655" i="4"/>
  <c r="D9656" i="4"/>
  <c r="D9657" i="4"/>
  <c r="D9658" i="4"/>
  <c r="D9659" i="4"/>
  <c r="D9660" i="4"/>
  <c r="D9661" i="4"/>
  <c r="D9662" i="4"/>
  <c r="D9663" i="4"/>
  <c r="D9664" i="4"/>
  <c r="D9665" i="4"/>
  <c r="D9666" i="4"/>
  <c r="D9667" i="4"/>
  <c r="D9668" i="4"/>
  <c r="D9669" i="4"/>
  <c r="D9670" i="4"/>
  <c r="D9671" i="4"/>
  <c r="D9672" i="4"/>
  <c r="D9673" i="4"/>
  <c r="D9674" i="4"/>
  <c r="D9675" i="4"/>
  <c r="D9676" i="4"/>
  <c r="D9677" i="4"/>
  <c r="D9678" i="4"/>
  <c r="D9679" i="4"/>
  <c r="D9680" i="4"/>
  <c r="D9681" i="4"/>
  <c r="D9682" i="4"/>
  <c r="D9683" i="4"/>
  <c r="D9684" i="4"/>
  <c r="D9685" i="4"/>
  <c r="D9686" i="4"/>
  <c r="D9687" i="4"/>
  <c r="D9688" i="4"/>
  <c r="D9689" i="4"/>
  <c r="D9690" i="4"/>
  <c r="D9691" i="4"/>
  <c r="D9692" i="4"/>
  <c r="D9693" i="4"/>
  <c r="D9694" i="4"/>
  <c r="D9695" i="4"/>
  <c r="D9696" i="4"/>
  <c r="D9697" i="4"/>
  <c r="D9698" i="4"/>
  <c r="D9699" i="4"/>
  <c r="D9700" i="4"/>
  <c r="D9701" i="4"/>
  <c r="D9702" i="4"/>
  <c r="D9703" i="4"/>
  <c r="D9704" i="4"/>
  <c r="D9705" i="4"/>
  <c r="D9706" i="4"/>
  <c r="D9707" i="4"/>
  <c r="D9708" i="4"/>
  <c r="D9709" i="4"/>
  <c r="D9710" i="4"/>
  <c r="D9711" i="4"/>
  <c r="D9712" i="4"/>
  <c r="D9713" i="4"/>
  <c r="D9714" i="4"/>
  <c r="D9715" i="4"/>
  <c r="D9716" i="4"/>
  <c r="D9717" i="4"/>
  <c r="D9718" i="4"/>
  <c r="D9719" i="4"/>
  <c r="D9720" i="4"/>
  <c r="D9721" i="4"/>
  <c r="D9722" i="4"/>
  <c r="D9723" i="4"/>
  <c r="D9724" i="4"/>
  <c r="D9725" i="4"/>
  <c r="D9726" i="4"/>
  <c r="D9727" i="4"/>
  <c r="D9728" i="4"/>
  <c r="D9729" i="4"/>
  <c r="D9730" i="4"/>
  <c r="D9731" i="4"/>
  <c r="D9732" i="4"/>
  <c r="D9733" i="4"/>
  <c r="D9734" i="4"/>
  <c r="D9735" i="4"/>
  <c r="D9736" i="4"/>
  <c r="D9737" i="4"/>
  <c r="D9738" i="4"/>
  <c r="D9739" i="4"/>
  <c r="D9740" i="4"/>
  <c r="D9741" i="4"/>
  <c r="D9742" i="4"/>
  <c r="D9743" i="4"/>
  <c r="D9744" i="4"/>
  <c r="D9745" i="4"/>
  <c r="D9746" i="4"/>
  <c r="D9747" i="4"/>
  <c r="D9748" i="4"/>
  <c r="D9749" i="4"/>
  <c r="D9750" i="4"/>
  <c r="D9751" i="4"/>
  <c r="D9752" i="4"/>
  <c r="D9753" i="4"/>
  <c r="D9754" i="4"/>
  <c r="D9755" i="4"/>
  <c r="D9756" i="4"/>
  <c r="D9757" i="4"/>
  <c r="D9758" i="4"/>
  <c r="D9759" i="4"/>
  <c r="D9760" i="4"/>
  <c r="D9761" i="4"/>
  <c r="D9762" i="4"/>
  <c r="D9763" i="4"/>
  <c r="D9764" i="4"/>
  <c r="D9765" i="4"/>
  <c r="D9766" i="4"/>
  <c r="D9767" i="4"/>
  <c r="D9768" i="4"/>
  <c r="D9769" i="4"/>
  <c r="D9770" i="4"/>
  <c r="D9771" i="4"/>
  <c r="D5880" i="4"/>
  <c r="D5881" i="4"/>
  <c r="D5882" i="4"/>
  <c r="D5883" i="4"/>
  <c r="D5884" i="4"/>
  <c r="D5885" i="4"/>
  <c r="D5886" i="4"/>
  <c r="D5887" i="4"/>
  <c r="D5888" i="4"/>
  <c r="D5889" i="4"/>
  <c r="D5890" i="4"/>
  <c r="D5891" i="4"/>
  <c r="D5892" i="4"/>
  <c r="D5893" i="4"/>
  <c r="D5894" i="4"/>
  <c r="D5895" i="4"/>
  <c r="D5896" i="4"/>
  <c r="D5897" i="4"/>
  <c r="D5898" i="4"/>
  <c r="D5899" i="4"/>
  <c r="C5880" i="4"/>
  <c r="C5881" i="4"/>
  <c r="C5882" i="4"/>
  <c r="C5883" i="4"/>
  <c r="C5884" i="4"/>
  <c r="C5885" i="4"/>
  <c r="C5886" i="4"/>
  <c r="C5887" i="4"/>
  <c r="C5888" i="4"/>
  <c r="C5889" i="4"/>
  <c r="C5890" i="4"/>
  <c r="C5891" i="4"/>
  <c r="C5892" i="4"/>
  <c r="C5893" i="4"/>
  <c r="C5894" i="4"/>
  <c r="C5895" i="4"/>
  <c r="C5896" i="4"/>
  <c r="C5897" i="4"/>
  <c r="C5898" i="4"/>
  <c r="C5899" i="4"/>
  <c r="C5900" i="4"/>
  <c r="C5901" i="4"/>
  <c r="C5902" i="4"/>
  <c r="C5903" i="4"/>
  <c r="C5904" i="4"/>
  <c r="C5905" i="4"/>
  <c r="C5906" i="4"/>
  <c r="C5907" i="4"/>
  <c r="C5908" i="4"/>
  <c r="C5909" i="4"/>
  <c r="C5910" i="4"/>
  <c r="C5911" i="4"/>
  <c r="C5912" i="4"/>
  <c r="C5913" i="4"/>
  <c r="C5914" i="4"/>
  <c r="C5915" i="4"/>
  <c r="C5916" i="4"/>
  <c r="C5917" i="4"/>
  <c r="C5918" i="4"/>
  <c r="C5919" i="4"/>
  <c r="C5920" i="4"/>
  <c r="C5921" i="4"/>
  <c r="C5922" i="4"/>
  <c r="C5923" i="4"/>
  <c r="C5924" i="4"/>
  <c r="C5925" i="4"/>
  <c r="C5926" i="4"/>
  <c r="C5927" i="4"/>
  <c r="C5928" i="4"/>
  <c r="C5929" i="4"/>
  <c r="C5930" i="4"/>
  <c r="C5931" i="4"/>
  <c r="C5932" i="4"/>
  <c r="C5933" i="4"/>
  <c r="C5934" i="4"/>
  <c r="C5935" i="4"/>
  <c r="C5936" i="4"/>
  <c r="C5937" i="4"/>
  <c r="C5938" i="4"/>
  <c r="C5939" i="4"/>
  <c r="C5940" i="4"/>
  <c r="C5941" i="4"/>
  <c r="C5942" i="4"/>
  <c r="C5943" i="4"/>
  <c r="C5944" i="4"/>
  <c r="C5945" i="4"/>
  <c r="C5946" i="4"/>
  <c r="C5947" i="4"/>
  <c r="C5948" i="4"/>
  <c r="C5949" i="4"/>
  <c r="C5950" i="4"/>
  <c r="C5951" i="4"/>
  <c r="C5952" i="4"/>
  <c r="C5953" i="4"/>
  <c r="C5954" i="4"/>
  <c r="C5955" i="4"/>
  <c r="C5956" i="4"/>
  <c r="C5957" i="4"/>
  <c r="C5958" i="4"/>
  <c r="C5959" i="4"/>
  <c r="C5960" i="4"/>
  <c r="C5961" i="4"/>
  <c r="C5962" i="4"/>
  <c r="C5963" i="4"/>
  <c r="C5964" i="4"/>
  <c r="C5965" i="4"/>
  <c r="C5966" i="4"/>
  <c r="C5967" i="4"/>
  <c r="C5968" i="4"/>
  <c r="C5969" i="4"/>
  <c r="C5970" i="4"/>
  <c r="C5971" i="4"/>
  <c r="C5972" i="4"/>
  <c r="C5973" i="4"/>
  <c r="C5974" i="4"/>
  <c r="C5975" i="4"/>
  <c r="C5976" i="4"/>
  <c r="C5977" i="4"/>
  <c r="C5978" i="4"/>
  <c r="C5979" i="4"/>
  <c r="C5980" i="4"/>
  <c r="C5981" i="4"/>
  <c r="C5982" i="4"/>
  <c r="C5983" i="4"/>
  <c r="C5984" i="4"/>
  <c r="C5985" i="4"/>
  <c r="C5986" i="4"/>
  <c r="C5987" i="4"/>
  <c r="C5988" i="4"/>
  <c r="C5989" i="4"/>
  <c r="C5990" i="4"/>
  <c r="C5991" i="4"/>
  <c r="C5992" i="4"/>
  <c r="C5993" i="4"/>
  <c r="C5994" i="4"/>
  <c r="C5995" i="4"/>
  <c r="C5996" i="4"/>
  <c r="C5997" i="4"/>
  <c r="C5998" i="4"/>
  <c r="C5999" i="4"/>
  <c r="C6000" i="4"/>
  <c r="C6001" i="4"/>
  <c r="C6002" i="4"/>
  <c r="C6003" i="4"/>
  <c r="C6004" i="4"/>
  <c r="C6005" i="4"/>
  <c r="C6006" i="4"/>
  <c r="C6007" i="4"/>
  <c r="C6008" i="4"/>
  <c r="C6009" i="4"/>
  <c r="C6010" i="4"/>
  <c r="C6011" i="4"/>
  <c r="C6012" i="4"/>
  <c r="C6013" i="4"/>
  <c r="C6014" i="4"/>
  <c r="C6015" i="4"/>
  <c r="C6016" i="4"/>
  <c r="C6017" i="4"/>
  <c r="C6018" i="4"/>
  <c r="C6019" i="4"/>
  <c r="C6020" i="4"/>
  <c r="C6021" i="4"/>
  <c r="C6022" i="4"/>
  <c r="C6023" i="4"/>
  <c r="C6024" i="4"/>
  <c r="C6025" i="4"/>
  <c r="C6026" i="4"/>
  <c r="C6027" i="4"/>
  <c r="C6028" i="4"/>
  <c r="C6029" i="4"/>
  <c r="C6030" i="4"/>
  <c r="C6031" i="4"/>
  <c r="C6032" i="4"/>
  <c r="C6033" i="4"/>
  <c r="C6034" i="4"/>
  <c r="C6035" i="4"/>
  <c r="C6036" i="4"/>
  <c r="C6037" i="4"/>
  <c r="C6038" i="4"/>
  <c r="C6039" i="4"/>
  <c r="C6040" i="4"/>
  <c r="C6041" i="4"/>
  <c r="C6042" i="4"/>
  <c r="C6043" i="4"/>
  <c r="C6044" i="4"/>
  <c r="C6045" i="4"/>
  <c r="C6046" i="4"/>
  <c r="C6047" i="4"/>
  <c r="C6048" i="4"/>
  <c r="C6049" i="4"/>
  <c r="C6050" i="4"/>
  <c r="C6051" i="4"/>
  <c r="C6052" i="4"/>
  <c r="C6053" i="4"/>
  <c r="C6054" i="4"/>
  <c r="C6055" i="4"/>
  <c r="C6056" i="4"/>
  <c r="C6057" i="4"/>
  <c r="C6058" i="4"/>
  <c r="C6059" i="4"/>
  <c r="C6060" i="4"/>
  <c r="C6061" i="4"/>
  <c r="C6062" i="4"/>
  <c r="C6063" i="4"/>
  <c r="C6064" i="4"/>
  <c r="C6065" i="4"/>
  <c r="C6066" i="4"/>
  <c r="C6067" i="4"/>
  <c r="C6068" i="4"/>
  <c r="C6069" i="4"/>
  <c r="C6070" i="4"/>
  <c r="C6071" i="4"/>
  <c r="C6072" i="4"/>
  <c r="C6073" i="4"/>
  <c r="C6074" i="4"/>
  <c r="C6075" i="4"/>
  <c r="C6076" i="4"/>
  <c r="C6077" i="4"/>
  <c r="C6078" i="4"/>
  <c r="C6079" i="4"/>
  <c r="C6080" i="4"/>
  <c r="C6081" i="4"/>
  <c r="C6082" i="4"/>
  <c r="C6083" i="4"/>
  <c r="C6084" i="4"/>
  <c r="C6085" i="4"/>
  <c r="C6086" i="4"/>
  <c r="C6087" i="4"/>
  <c r="C6088" i="4"/>
  <c r="C6089" i="4"/>
  <c r="C6090" i="4"/>
  <c r="C6091" i="4"/>
  <c r="C6092" i="4"/>
  <c r="C6093" i="4"/>
  <c r="C6094" i="4"/>
  <c r="C6095" i="4"/>
  <c r="C6096" i="4"/>
  <c r="C6097" i="4"/>
  <c r="C6098" i="4"/>
  <c r="C6099" i="4"/>
  <c r="C6100" i="4"/>
  <c r="C6101" i="4"/>
  <c r="C6102" i="4"/>
  <c r="C6103" i="4"/>
  <c r="C6104" i="4"/>
  <c r="C6105" i="4"/>
  <c r="C6106" i="4"/>
  <c r="C6107" i="4"/>
  <c r="C6108" i="4"/>
  <c r="C6109" i="4"/>
  <c r="C6110" i="4"/>
  <c r="C6111" i="4"/>
  <c r="C6112" i="4"/>
  <c r="C6113" i="4"/>
  <c r="C6114" i="4"/>
  <c r="C6115" i="4"/>
  <c r="C6116" i="4"/>
  <c r="C6117" i="4"/>
  <c r="C6118" i="4"/>
  <c r="C6119" i="4"/>
  <c r="C6120" i="4"/>
  <c r="C6121" i="4"/>
  <c r="C6122" i="4"/>
  <c r="C6123" i="4"/>
  <c r="C6124" i="4"/>
  <c r="C6125" i="4"/>
  <c r="C6126" i="4"/>
  <c r="C6127" i="4"/>
  <c r="C6128" i="4"/>
  <c r="C6129" i="4"/>
  <c r="C6130" i="4"/>
  <c r="C6131" i="4"/>
  <c r="C6132" i="4"/>
  <c r="C6133" i="4"/>
  <c r="C6134" i="4"/>
  <c r="C6135" i="4"/>
  <c r="C6136" i="4"/>
  <c r="C6137" i="4"/>
  <c r="C6138" i="4"/>
  <c r="C6139" i="4"/>
  <c r="C6140" i="4"/>
  <c r="C6141" i="4"/>
  <c r="C6142" i="4"/>
  <c r="C6143" i="4"/>
  <c r="C6144" i="4"/>
  <c r="C6145" i="4"/>
  <c r="C6146" i="4"/>
  <c r="C6147" i="4"/>
  <c r="C6148" i="4"/>
  <c r="C6149" i="4"/>
  <c r="C6150" i="4"/>
  <c r="C6151" i="4"/>
  <c r="C6152" i="4"/>
  <c r="C6153" i="4"/>
  <c r="C6154" i="4"/>
  <c r="C6155" i="4"/>
  <c r="C6156" i="4"/>
  <c r="C6157" i="4"/>
  <c r="C6158" i="4"/>
  <c r="C6159" i="4"/>
  <c r="C6160" i="4"/>
  <c r="C6161" i="4"/>
  <c r="C6162" i="4"/>
  <c r="C6163" i="4"/>
  <c r="C6164" i="4"/>
  <c r="C6165" i="4"/>
  <c r="C6166" i="4"/>
  <c r="C6167" i="4"/>
  <c r="C6168" i="4"/>
  <c r="C6169" i="4"/>
  <c r="C6170" i="4"/>
  <c r="C6171" i="4"/>
  <c r="C6172" i="4"/>
  <c r="C6173" i="4"/>
  <c r="C6174" i="4"/>
  <c r="C6175" i="4"/>
  <c r="C6176" i="4"/>
  <c r="C6177" i="4"/>
  <c r="C6178" i="4"/>
  <c r="C6179" i="4"/>
  <c r="C6180" i="4"/>
  <c r="C6181" i="4"/>
  <c r="C6182" i="4"/>
  <c r="C6183" i="4"/>
  <c r="C6184" i="4"/>
  <c r="C6185" i="4"/>
  <c r="C6186" i="4"/>
  <c r="C6187" i="4"/>
  <c r="C6188" i="4"/>
  <c r="C6189" i="4"/>
  <c r="C6190" i="4"/>
  <c r="C6191" i="4"/>
  <c r="C6192" i="4"/>
  <c r="C6193" i="4"/>
  <c r="C6194" i="4"/>
  <c r="C6195" i="4"/>
  <c r="C6196" i="4"/>
  <c r="C6197" i="4"/>
  <c r="C6198" i="4"/>
  <c r="C6199" i="4"/>
  <c r="C6200" i="4"/>
  <c r="C6201" i="4"/>
  <c r="C6202" i="4"/>
  <c r="C6203" i="4"/>
  <c r="C6204" i="4"/>
  <c r="C6205" i="4"/>
  <c r="C6206" i="4"/>
  <c r="C6207" i="4"/>
  <c r="C6208" i="4"/>
  <c r="C6209" i="4"/>
  <c r="C6210" i="4"/>
  <c r="C6211" i="4"/>
  <c r="C6212" i="4"/>
  <c r="C6213" i="4"/>
  <c r="C6214" i="4"/>
  <c r="C6215" i="4"/>
  <c r="C6216" i="4"/>
  <c r="C6217" i="4"/>
  <c r="C6218" i="4"/>
  <c r="C6219" i="4"/>
  <c r="C6220" i="4"/>
  <c r="C6221" i="4"/>
  <c r="C6222" i="4"/>
  <c r="C6223" i="4"/>
  <c r="C6224" i="4"/>
  <c r="C6225" i="4"/>
  <c r="C6226" i="4"/>
  <c r="C6227" i="4"/>
  <c r="C6228" i="4"/>
  <c r="C6229" i="4"/>
  <c r="C6230" i="4"/>
  <c r="C6231" i="4"/>
  <c r="C6232" i="4"/>
  <c r="C6233" i="4"/>
  <c r="C6234" i="4"/>
  <c r="C6235" i="4"/>
  <c r="C6236" i="4"/>
  <c r="C6237" i="4"/>
  <c r="C6238" i="4"/>
  <c r="C6239" i="4"/>
  <c r="C6240" i="4"/>
  <c r="C6241" i="4"/>
  <c r="C6242" i="4"/>
  <c r="C6243" i="4"/>
  <c r="C6244" i="4"/>
  <c r="C6245" i="4"/>
  <c r="C6246" i="4"/>
  <c r="C6247" i="4"/>
  <c r="C6248" i="4"/>
  <c r="C6249" i="4"/>
  <c r="C6250" i="4"/>
  <c r="C6251" i="4"/>
  <c r="C6252" i="4"/>
  <c r="C6253" i="4"/>
  <c r="C6254" i="4"/>
  <c r="C6255" i="4"/>
  <c r="C6256" i="4"/>
  <c r="C6257" i="4"/>
  <c r="C6258" i="4"/>
  <c r="C6259" i="4"/>
  <c r="C6260" i="4"/>
  <c r="C6261" i="4"/>
  <c r="C6262" i="4"/>
  <c r="C6263" i="4"/>
  <c r="C6264" i="4"/>
  <c r="C6265" i="4"/>
  <c r="C6266" i="4"/>
  <c r="C6267" i="4"/>
  <c r="C6268" i="4"/>
  <c r="C6269" i="4"/>
  <c r="C6270" i="4"/>
  <c r="C6271" i="4"/>
  <c r="C6272" i="4"/>
  <c r="C6273" i="4"/>
  <c r="C6274" i="4"/>
  <c r="C6275" i="4"/>
  <c r="C6276" i="4"/>
  <c r="C6277" i="4"/>
  <c r="C6278" i="4"/>
  <c r="C6279" i="4"/>
  <c r="C6280" i="4"/>
  <c r="C6281" i="4"/>
  <c r="C6282" i="4"/>
  <c r="C6283" i="4"/>
  <c r="C6284" i="4"/>
  <c r="C6285" i="4"/>
  <c r="C6286" i="4"/>
  <c r="C6287" i="4"/>
  <c r="C6288" i="4"/>
  <c r="C6289" i="4"/>
  <c r="C6290" i="4"/>
  <c r="C6291" i="4"/>
  <c r="C6292" i="4"/>
  <c r="C6293" i="4"/>
  <c r="C6294" i="4"/>
  <c r="C6295" i="4"/>
  <c r="C6296" i="4"/>
  <c r="C6297" i="4"/>
  <c r="C6298" i="4"/>
  <c r="C6299" i="4"/>
  <c r="C6300" i="4"/>
  <c r="C6301" i="4"/>
  <c r="C6302" i="4"/>
  <c r="C6303" i="4"/>
  <c r="C6304" i="4"/>
  <c r="C6305" i="4"/>
  <c r="C6306" i="4"/>
  <c r="C6307" i="4"/>
  <c r="C6308" i="4"/>
  <c r="C6309" i="4"/>
  <c r="C6310" i="4"/>
  <c r="C6311" i="4"/>
  <c r="C6312" i="4"/>
  <c r="C6313" i="4"/>
  <c r="C6314" i="4"/>
  <c r="C6315" i="4"/>
  <c r="C6316" i="4"/>
  <c r="C6317" i="4"/>
  <c r="C6318" i="4"/>
  <c r="C6319" i="4"/>
  <c r="C6320" i="4"/>
  <c r="C6321" i="4"/>
  <c r="C6322" i="4"/>
  <c r="C6323" i="4"/>
  <c r="C6324" i="4"/>
  <c r="C6325" i="4"/>
  <c r="C6326" i="4"/>
  <c r="C6327" i="4"/>
  <c r="C6328" i="4"/>
  <c r="C6329" i="4"/>
  <c r="C6330" i="4"/>
  <c r="C6331" i="4"/>
  <c r="C6332" i="4"/>
  <c r="C6333" i="4"/>
  <c r="C6334" i="4"/>
  <c r="C6335" i="4"/>
  <c r="C6336" i="4"/>
  <c r="C6337" i="4"/>
  <c r="C6338" i="4"/>
  <c r="C6339" i="4"/>
  <c r="C6340" i="4"/>
  <c r="C6341" i="4"/>
  <c r="C6342" i="4"/>
  <c r="C6343" i="4"/>
  <c r="C6344" i="4"/>
  <c r="C6345" i="4"/>
  <c r="C6346" i="4"/>
  <c r="C6347" i="4"/>
  <c r="C6348" i="4"/>
  <c r="C6349" i="4"/>
  <c r="C6350" i="4"/>
  <c r="C6351" i="4"/>
  <c r="C6352" i="4"/>
  <c r="C6353" i="4"/>
  <c r="C6354" i="4"/>
  <c r="C6355" i="4"/>
  <c r="C6356" i="4"/>
  <c r="C6357" i="4"/>
  <c r="C6358" i="4"/>
  <c r="C6359" i="4"/>
  <c r="C6360" i="4"/>
  <c r="C6361" i="4"/>
  <c r="C6362" i="4"/>
  <c r="C6363" i="4"/>
  <c r="C6364" i="4"/>
  <c r="C6365" i="4"/>
  <c r="C6366" i="4"/>
  <c r="C6367" i="4"/>
  <c r="C6368" i="4"/>
  <c r="C6369" i="4"/>
  <c r="C6370" i="4"/>
  <c r="C6371" i="4"/>
  <c r="C6372" i="4"/>
  <c r="C6373" i="4"/>
  <c r="C6374" i="4"/>
  <c r="C6375" i="4"/>
  <c r="C6376" i="4"/>
  <c r="C6377" i="4"/>
  <c r="C6378" i="4"/>
  <c r="C6379" i="4"/>
  <c r="C6380" i="4"/>
  <c r="C6381" i="4"/>
  <c r="C6382" i="4"/>
  <c r="C6383" i="4"/>
  <c r="C6384" i="4"/>
  <c r="C6385" i="4"/>
  <c r="C6386" i="4"/>
  <c r="C6387" i="4"/>
  <c r="C6388" i="4"/>
  <c r="C6389" i="4"/>
  <c r="C6390" i="4"/>
  <c r="C6391" i="4"/>
  <c r="C6392" i="4"/>
  <c r="C6393" i="4"/>
  <c r="C6394" i="4"/>
  <c r="C6395" i="4"/>
  <c r="C6396" i="4"/>
  <c r="C6397" i="4"/>
  <c r="C6398" i="4"/>
  <c r="C6399" i="4"/>
  <c r="C6400" i="4"/>
  <c r="C6401" i="4"/>
  <c r="C6402" i="4"/>
  <c r="C6403" i="4"/>
  <c r="C6404" i="4"/>
  <c r="C6405" i="4"/>
  <c r="C6406" i="4"/>
  <c r="C6407" i="4"/>
  <c r="C6408" i="4"/>
  <c r="C6409" i="4"/>
  <c r="C6410" i="4"/>
  <c r="C6411" i="4"/>
  <c r="C6412" i="4"/>
  <c r="C6413" i="4"/>
  <c r="C6414" i="4"/>
  <c r="C6415" i="4"/>
  <c r="C6416" i="4"/>
  <c r="C6417" i="4"/>
  <c r="C6418" i="4"/>
  <c r="C6419" i="4"/>
  <c r="C6420" i="4"/>
  <c r="C6421" i="4"/>
  <c r="C6422" i="4"/>
  <c r="C6423" i="4"/>
  <c r="C6424" i="4"/>
  <c r="C6425" i="4"/>
  <c r="C6426" i="4"/>
  <c r="C6427" i="4"/>
  <c r="C6428" i="4"/>
  <c r="C6429" i="4"/>
  <c r="C6430" i="4"/>
  <c r="C6431" i="4"/>
  <c r="C6432" i="4"/>
  <c r="C6433" i="4"/>
  <c r="C6434" i="4"/>
  <c r="C6435" i="4"/>
  <c r="C6436" i="4"/>
  <c r="C6437" i="4"/>
  <c r="C6438" i="4"/>
  <c r="C6439" i="4"/>
  <c r="C6440" i="4"/>
  <c r="C6441" i="4"/>
  <c r="C6442" i="4"/>
  <c r="C6443" i="4"/>
  <c r="C6444" i="4"/>
  <c r="C6445" i="4"/>
  <c r="C6446" i="4"/>
  <c r="C6447" i="4"/>
  <c r="C6448" i="4"/>
  <c r="C6449" i="4"/>
  <c r="C6450" i="4"/>
  <c r="C6451" i="4"/>
  <c r="C6452" i="4"/>
  <c r="C6453" i="4"/>
  <c r="C6454" i="4"/>
  <c r="C6455" i="4"/>
  <c r="C6456" i="4"/>
  <c r="C6457" i="4"/>
  <c r="C6458" i="4"/>
  <c r="C6459" i="4"/>
  <c r="C6460" i="4"/>
  <c r="C6461" i="4"/>
  <c r="C6462" i="4"/>
  <c r="C6463" i="4"/>
  <c r="C6464" i="4"/>
  <c r="C6465" i="4"/>
  <c r="C6466" i="4"/>
  <c r="C6467" i="4"/>
  <c r="C6468" i="4"/>
  <c r="C6469" i="4"/>
  <c r="C6470" i="4"/>
  <c r="C6471" i="4"/>
  <c r="C6472" i="4"/>
  <c r="C6473" i="4"/>
  <c r="C6474" i="4"/>
  <c r="C6475" i="4"/>
  <c r="C6476" i="4"/>
  <c r="C6477" i="4"/>
  <c r="C6478" i="4"/>
  <c r="C6479" i="4"/>
  <c r="C6480" i="4"/>
  <c r="C6481" i="4"/>
  <c r="C6482" i="4"/>
  <c r="C6483" i="4"/>
  <c r="C6484" i="4"/>
  <c r="C6485" i="4"/>
  <c r="C6486" i="4"/>
  <c r="C6487" i="4"/>
  <c r="C6488" i="4"/>
  <c r="C6489" i="4"/>
  <c r="C6490" i="4"/>
  <c r="C6491" i="4"/>
  <c r="C6492" i="4"/>
  <c r="C6493" i="4"/>
  <c r="C6494" i="4"/>
  <c r="C6495" i="4"/>
  <c r="C6496" i="4"/>
  <c r="C6497" i="4"/>
  <c r="C6498" i="4"/>
  <c r="C6499" i="4"/>
  <c r="C6500" i="4"/>
  <c r="AB18" i="3"/>
  <c r="AA18" i="3"/>
  <c r="Z18" i="3"/>
  <c r="AC18" i="3" s="1"/>
  <c r="V17" i="3"/>
  <c r="K11" i="3"/>
  <c r="L13" i="3"/>
  <c r="K13" i="3"/>
  <c r="J13" i="3"/>
  <c r="M13" i="3" s="1"/>
  <c r="L12" i="3"/>
  <c r="K12" i="3"/>
  <c r="J12" i="3"/>
  <c r="M12" i="3" s="1"/>
  <c r="L11" i="3"/>
  <c r="J11" i="3"/>
  <c r="J3" i="4"/>
  <c r="K3" i="4" s="1"/>
  <c r="J4" i="4"/>
  <c r="K4" i="4" s="1"/>
  <c r="J6" i="4"/>
  <c r="J5" i="4"/>
  <c r="K5" i="4" s="1"/>
  <c r="J7" i="4"/>
  <c r="K7" i="4" s="1"/>
  <c r="J8" i="4"/>
  <c r="K8" i="4" s="1"/>
  <c r="J9" i="4"/>
  <c r="K9" i="4" s="1"/>
  <c r="J10" i="4"/>
  <c r="K10" i="4" s="1"/>
  <c r="J11" i="4"/>
  <c r="K11" i="4" s="1"/>
  <c r="J14" i="4"/>
  <c r="J12" i="4"/>
  <c r="K12" i="4" s="1"/>
  <c r="J13" i="4"/>
  <c r="K13" i="4" s="1"/>
  <c r="J15" i="4"/>
  <c r="K15" i="4" s="1"/>
  <c r="J16" i="4"/>
  <c r="K16" i="4" s="1"/>
  <c r="J18" i="4"/>
  <c r="J17" i="4"/>
  <c r="K17" i="4" s="1"/>
  <c r="J20" i="4"/>
  <c r="J19" i="4"/>
  <c r="K19" i="4" s="1"/>
  <c r="J21" i="4"/>
  <c r="K21" i="4" s="1"/>
  <c r="J22" i="4"/>
  <c r="K22" i="4" s="1"/>
  <c r="J23" i="4"/>
  <c r="K23" i="4" s="1"/>
  <c r="J25" i="4"/>
  <c r="J27" i="4"/>
  <c r="J24" i="4"/>
  <c r="K24" i="4" s="1"/>
  <c r="J29" i="4"/>
  <c r="J28" i="4"/>
  <c r="K28" i="4" s="1"/>
  <c r="J31" i="4"/>
  <c r="J26" i="4"/>
  <c r="K26" i="4" s="1"/>
  <c r="J30" i="4"/>
  <c r="K30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J40" i="4"/>
  <c r="K40" i="4" s="1"/>
  <c r="J41" i="4"/>
  <c r="J42" i="4"/>
  <c r="K42" i="4" s="1"/>
  <c r="J43" i="4"/>
  <c r="K43" i="4" s="1"/>
  <c r="J44" i="4"/>
  <c r="J45" i="4"/>
  <c r="K45" i="4" s="1"/>
  <c r="J46" i="4"/>
  <c r="K46" i="4" s="1"/>
  <c r="J47" i="4"/>
  <c r="K47" i="4" s="1"/>
  <c r="J48" i="4"/>
  <c r="K48" i="4" s="1"/>
  <c r="J49" i="4"/>
  <c r="K49" i="4" s="1"/>
  <c r="J51" i="4"/>
  <c r="J50" i="4"/>
  <c r="K50" i="4" s="1"/>
  <c r="J52" i="4"/>
  <c r="K52" i="4" s="1"/>
  <c r="J2" i="4"/>
  <c r="K2" i="4" s="1"/>
  <c r="G9" i="3"/>
  <c r="G8" i="3"/>
  <c r="G7" i="3"/>
  <c r="G6" i="3"/>
  <c r="F9" i="3"/>
  <c r="F8" i="3"/>
  <c r="F7" i="3"/>
  <c r="E9" i="3"/>
  <c r="H9" i="3" s="1"/>
  <c r="E8" i="3"/>
  <c r="A8" i="3" s="1"/>
  <c r="E7" i="3"/>
  <c r="A7" i="3" s="1"/>
  <c r="E6" i="3"/>
  <c r="A6" i="3" s="1"/>
  <c r="D4" i="3"/>
  <c r="A4" i="3"/>
  <c r="F6" i="3"/>
  <c r="Q15" i="3" l="1"/>
  <c r="U16" i="3"/>
  <c r="U14" i="3" s="1"/>
  <c r="U4" i="3" s="1"/>
  <c r="H6" i="3"/>
  <c r="I6" i="3" s="1"/>
  <c r="C6" i="3" s="1"/>
  <c r="N13" i="3"/>
  <c r="C13" i="3" s="1"/>
  <c r="AD18" i="3"/>
  <c r="N12" i="3"/>
  <c r="C12" i="3" s="1"/>
  <c r="M11" i="3"/>
  <c r="N11" i="3" s="1"/>
  <c r="Y17" i="3"/>
  <c r="C17" i="3" s="1"/>
  <c r="A11" i="3"/>
  <c r="A13" i="3"/>
  <c r="A12" i="3"/>
  <c r="H8" i="3"/>
  <c r="I8" i="3" s="1"/>
  <c r="C8" i="3" s="1"/>
  <c r="H7" i="3"/>
  <c r="I7" i="3" s="1"/>
  <c r="C7" i="3" s="1"/>
  <c r="I9" i="3"/>
  <c r="C9" i="3" s="1"/>
  <c r="A9" i="3"/>
  <c r="C16" i="3" l="1"/>
  <c r="C18" i="3"/>
  <c r="AD14" i="3"/>
  <c r="AD4" i="3" s="1"/>
  <c r="Y14" i="3"/>
  <c r="Y4" i="3" s="1"/>
  <c r="C5" i="3"/>
  <c r="C11" i="3"/>
  <c r="N10" i="3"/>
  <c r="N4" i="3" s="1"/>
  <c r="I5" i="3"/>
  <c r="I4" i="3" s="1"/>
  <c r="Q14" i="3" l="1"/>
  <c r="Q4" i="3" s="1"/>
  <c r="C15" i="3"/>
  <c r="C14" i="3" s="1"/>
  <c r="C10" i="3"/>
  <c r="C19" i="3" l="1"/>
  <c r="C20" i="3" l="1"/>
  <c r="C21" i="3" l="1"/>
  <c r="C22" i="3" s="1"/>
  <c r="C4" i="3" l="1"/>
</calcChain>
</file>

<file path=xl/sharedStrings.xml><?xml version="1.0" encoding="utf-8"?>
<sst xmlns="http://schemas.openxmlformats.org/spreadsheetml/2006/main" count="28079" uniqueCount="11879">
  <si>
    <t>Пластик для 3D-принтера (Titan GF-12 черный) 1.75мм</t>
  </si>
  <si>
    <t>кг</t>
  </si>
  <si>
    <t>Заработная плата</t>
  </si>
  <si>
    <t>Isolon 500 3020 AH D702 2x1</t>
  </si>
  <si>
    <t>шт.</t>
  </si>
  <si>
    <t>Оператор лазерных установок 3 разряда /Участок механической обработки /</t>
  </si>
  <si>
    <t>IRFIX  Аэрозольный клей для текстиля SPREY FIX  400мл 20252</t>
  </si>
  <si>
    <t>Поликарбонат монолитный Borrex черный 2000х3000х3мм</t>
  </si>
  <si>
    <t>м2</t>
  </si>
  <si>
    <t>Isolon 500 3010 AH D742 1.5</t>
  </si>
  <si>
    <t>Амотризация</t>
  </si>
  <si>
    <t>Стоимость покупки мартрицы, на 20 000 изделий</t>
  </si>
  <si>
    <t>НДС</t>
  </si>
  <si>
    <t>Прочие прямые производственные расходы</t>
  </si>
  <si>
    <t>Электроэнергия</t>
  </si>
  <si>
    <t>Упаковка</t>
  </si>
  <si>
    <t>Материалы, ч.т.</t>
  </si>
  <si>
    <t>Работы, в т.ч</t>
  </si>
  <si>
    <t>Налог на прибыль</t>
  </si>
  <si>
    <t>Ресурс матрицы, шт</t>
  </si>
  <si>
    <t>Матрица, в .т.ч.</t>
  </si>
  <si>
    <t>Электроэнергия, в т.ч.</t>
  </si>
  <si>
    <t xml:space="preserve">Стоимость 1 Квт/Ч </t>
  </si>
  <si>
    <t>Упаковка, в .ч.</t>
  </si>
  <si>
    <t>Накладные расходы, 20%</t>
  </si>
  <si>
    <t>Рентабельность, 10%</t>
  </si>
  <si>
    <t>Стоимость матрицы на единицу, руб</t>
  </si>
  <si>
    <t>Затраты на электроэнергию, руб</t>
  </si>
  <si>
    <t xml:space="preserve">Итого, на 1 ед, руб. </t>
  </si>
  <si>
    <t>1.</t>
  </si>
  <si>
    <t>Наименование продукции</t>
  </si>
  <si>
    <t>2.</t>
  </si>
  <si>
    <t>Количество едениц выпущенной продукции. Выпуск, шт.</t>
  </si>
  <si>
    <t>3.</t>
  </si>
  <si>
    <t>Название цеха</t>
  </si>
  <si>
    <t>4.</t>
  </si>
  <si>
    <t>Название станка</t>
  </si>
  <si>
    <t>4.1.</t>
  </si>
  <si>
    <t xml:space="preserve">Кол-во часов работы станка при вышеуказанном выпуске в строке 2) </t>
  </si>
  <si>
    <t>5.</t>
  </si>
  <si>
    <t>Название сырья или материала</t>
  </si>
  <si>
    <t>5.1.</t>
  </si>
  <si>
    <t>Ед.измерения материалов</t>
  </si>
  <si>
    <t>5.2.</t>
  </si>
  <si>
    <t>Расход сырья на 1 единицу изделия</t>
  </si>
  <si>
    <t>6.</t>
  </si>
  <si>
    <t>Должность производственного рабочего</t>
  </si>
  <si>
    <t>6.1.</t>
  </si>
  <si>
    <t>Количество часов на изготовление деталей всего выпуска одного вида изделия (количество деталей выпуска, указано в пункте 2.).</t>
  </si>
  <si>
    <t>6.2.</t>
  </si>
  <si>
    <t xml:space="preserve">(Для мех.цеха, при производстве изделий комплектом на одной раскладке). Количество часов на партию изделий в одной раскладке. Если заполняется данная ячейка, предыдущая не заполняется. На все изделия при этом, используемые в раскладке, должны быть заполнены подобные таблицы) </t>
  </si>
  <si>
    <t>7.</t>
  </si>
  <si>
    <t xml:space="preserve">Стоимость покупки мартрицы/ Стоимость жертвенного стола, руб. </t>
  </si>
  <si>
    <t>7.1.</t>
  </si>
  <si>
    <t>8.1.</t>
  </si>
  <si>
    <t>8.2.</t>
  </si>
  <si>
    <t>Ед.измерения</t>
  </si>
  <si>
    <t>8.3.</t>
  </si>
  <si>
    <t>Номенклатура</t>
  </si>
  <si>
    <t>Документ</t>
  </si>
  <si>
    <t>Цена</t>
  </si>
  <si>
    <t xml:space="preserve"> Micro JST GH1.25 150mm 9Р Single Connector 28AWG </t>
  </si>
  <si>
    <t>Приходная накладная 270 (вх. 6) от 12.02.2024</t>
  </si>
  <si>
    <t xml:space="preserve"> Доставка товара клиенту</t>
  </si>
  <si>
    <t>Дополнительные расходы 577 (вх. 3359) от 07.05.2024</t>
  </si>
  <si>
    <t xml:space="preserve"> кабель USB</t>
  </si>
  <si>
    <t>Приходная накладная 5206 (вх. 116) от 22.10.2024</t>
  </si>
  <si>
    <t xml:space="preserve"> Комплект разработчика радиоканала, Microhard pMDDL2350 </t>
  </si>
  <si>
    <t>Приходная накладная 4262 (вх. 65) от 01.03.2024 (удален) (не проведен)</t>
  </si>
  <si>
    <t xml:space="preserve"> Разъемы питания АКБ male 10 pin  </t>
  </si>
  <si>
    <t>Приходная накладная 1193 (вх. 119) от 14.05.2024</t>
  </si>
  <si>
    <t>!!!!!!!!Футболка т.-синяя L (48-50)</t>
  </si>
  <si>
    <t>Приходная накладная 4334 (вх. 146164) от 10.07.2024</t>
  </si>
  <si>
    <t>(ДЛАБ.563561.006) Аккумуляторная батарея Сибирь 34000mAh</t>
  </si>
  <si>
    <t>Приходная накладная 5223 (вх. 20241022-2) от 23.10.2024</t>
  </si>
  <si>
    <t>[Компьютер] C825475Ц-AMD Ryzen 7 5700G / MicroStar A520M-A PRO / 16GB / SSD 512GB</t>
  </si>
  <si>
    <t>Приходная накладная 1837 (вх. 2407-9) от 24.07.2024</t>
  </si>
  <si>
    <t>[Ноутбук] C835390Ц-NUC / I70000 Платформа / 2x16GB / SSD 1Tb</t>
  </si>
  <si>
    <t>Приходная накладная 1213 (вх. 36467Ц) от 16.05.2024</t>
  </si>
  <si>
    <t>0,4 - 0,8 мм, Набор сверел для печатных плат 10шт</t>
  </si>
  <si>
    <t>Приходная накладная 3960 (вх. 0788454) от 16.09.2024</t>
  </si>
  <si>
    <t>0,8 - 1,2 мм, Набор сверел для печатных плат 10шт</t>
  </si>
  <si>
    <t>0.056мкФ X7R 50В 10% 0805</t>
  </si>
  <si>
    <t>0.1Вт 0603 5.1 кОм, 5%, Чип резистор (SMD)\Тайвань</t>
  </si>
  <si>
    <t>Приходная накладная 251 (вх. 0096455) от 06.02.2024</t>
  </si>
  <si>
    <t>0.25Вт 1206      220 Ом, 1%, Чип резистор (SMD)\Тайвань</t>
  </si>
  <si>
    <t>Приходная накладная 3841 (вх. 0763559) от 10.09.2024</t>
  </si>
  <si>
    <t>0.25Вт 1206 (перемычка) 0 Ом, 1%, Чип резистор (SMD)</t>
  </si>
  <si>
    <t>0.25Вт 1206 1 кОм, 5%, Чип резистор (SMD)\Тайвань</t>
  </si>
  <si>
    <t>0.25Вт 1206 10 кОм, 5%, Чип резистор (SMD)\Тайвань</t>
  </si>
  <si>
    <t>0.25Вт 1206 100 кОм, 5%, Чип резистор (SMD)\Тайвань</t>
  </si>
  <si>
    <t>0.25Вт 1206 100 Ом, 1%, Чип резистор (SMD)</t>
  </si>
  <si>
    <t>0.25Вт 1206 100 Ом, 1%, Чип резистор (SMD)\Тайвань</t>
  </si>
  <si>
    <t>0.25Вт 1206 18 Ом, 1%, Чип резистор (SMD)</t>
  </si>
  <si>
    <t>0.25Вт 1206 20 кОм, 5%, Чип резистор (SMD)\Тайвань</t>
  </si>
  <si>
    <t>0.25Вт 1206 4.7 кОм, 1%, Чип резистор (SMD)</t>
  </si>
  <si>
    <t>0.25Вт 1206 47 кОм, 5%, Чип резистор (SMD)\Тайвань</t>
  </si>
  <si>
    <t>0.25Вт 1206 5.1 кОм, 5%, Чип резистор (SMD)\Тайвань</t>
  </si>
  <si>
    <t>0.25Вт 1206(перемычка) 0 Ом 5%, Чип резистор (SMD) \Тайвань</t>
  </si>
  <si>
    <t>0430300001@MOLEX</t>
  </si>
  <si>
    <t>Приходная накладная 2141 (вх. 824633) от 20.08.2024</t>
  </si>
  <si>
    <t>0603WAF1003T5E</t>
  </si>
  <si>
    <t>Приходная накладная 942 (вх. 794660) от 11.04.2024</t>
  </si>
  <si>
    <t>0603WAF200JT5E</t>
  </si>
  <si>
    <t>Приходная накладная 1041 (вх. 797647) от 19.04.2024</t>
  </si>
  <si>
    <t>0603WAF2400T5E</t>
  </si>
  <si>
    <t>0603WAF2800T5E</t>
  </si>
  <si>
    <t>0603WAF4122T5E</t>
  </si>
  <si>
    <t>0603WAF5102T5E</t>
  </si>
  <si>
    <t>0603WAF510JT5E</t>
  </si>
  <si>
    <t>0603WAF7501T5E</t>
  </si>
  <si>
    <t>100пФ NPO 50В 5% 0805</t>
  </si>
  <si>
    <t>100пФ NPO 50В 5% 1206</t>
  </si>
  <si>
    <t>100СМ Сервоудлинитель с разъёмами (JR) и фиксатором 26AWG (1шт)</t>
  </si>
  <si>
    <t>Приходная накладная 197 (вх. 30) от 09.01.2024</t>
  </si>
  <si>
    <t>1054500101</t>
  </si>
  <si>
    <t>Приходная накладная 943 (вх. 794659) от 11.04.2024</t>
  </si>
  <si>
    <t>10m Length ячменная бцмага для изоляции аккумулятора , 120 мм</t>
  </si>
  <si>
    <t>Авансовый отчет 183 от 18.04.2024</t>
  </si>
  <si>
    <t>10-дюймовая вакуумная шина 22X10-10</t>
  </si>
  <si>
    <t>Приходная накладная 3849 (вх. 102) от 10.09.2024</t>
  </si>
  <si>
    <t>10пФ NPO 50В 5% 0805</t>
  </si>
  <si>
    <t>1-1437565-6</t>
  </si>
  <si>
    <t>Приходная накладная 356 (вх. 1676) от 15.02.2024</t>
  </si>
  <si>
    <t>12пФ NPO 50В 5% 0805</t>
  </si>
  <si>
    <t>15,6" Ноутбук Huawei MateBook D 15 (BoDE-WFH9)(FHD/IPS) i5 1155G7/16384/SSD 512/UMA/No OS/Space Grey</t>
  </si>
  <si>
    <t>Приходная накладная 799 (вх. ФЦ3-007693/8257) от 21.03.2024</t>
  </si>
  <si>
    <t>15.6" Ноутбук ASUS EXPERT BOOK (B1502CBA-BQ0421)(FHD/IPS)i3-1215U/8192/SSD 256/UMA/DOS/Star Black</t>
  </si>
  <si>
    <t>Приходная накладная 1431 (вх. Е-00101933/9517) от 14.05.2024</t>
  </si>
  <si>
    <t>150пФ NPO 50В 5% 0805</t>
  </si>
  <si>
    <t>15СМ Сервоудлинитель с разъёмами (JR)</t>
  </si>
  <si>
    <t>17.3" Ноутбук MSI GF76 Кatana( B12VFK-271XRU)(FHD/IPS/144Hz)i7 12650H/16384/SSD 512/NV RTX4060/Black</t>
  </si>
  <si>
    <t>181555600 Дисплей Gaggi Titanium</t>
  </si>
  <si>
    <t>Приходная накладная 1048 (вх. 1777 - БЕЛ) от 22.04.2024</t>
  </si>
  <si>
    <t>18пФ NPO 50В 5% 0805</t>
  </si>
  <si>
    <t>1N4148WS</t>
  </si>
  <si>
    <t>Приходная накладная 353 (вх. 1672) от 15.02.2024</t>
  </si>
  <si>
    <t>1N4148WS, Диод 100В 0.15А [SOD-323]\Hottech</t>
  </si>
  <si>
    <t>2006 5V PH2.0-2Pin Вентилятор центробежный 20x20x6 мм\СКБ Элемент</t>
  </si>
  <si>
    <t>Приходная накладная 4887 (вх. 0847353) от 03.10.2024</t>
  </si>
  <si>
    <t>22пФ NPO 50В 5% 0805</t>
  </si>
  <si>
    <t>2400 Прямой ровинг ECR24-2400</t>
  </si>
  <si>
    <t>Приходная накладная 2260 (вх. ПП-1891) от 29.08.2024</t>
  </si>
  <si>
    <t>27" Монитор ARDOR GAMING AURORA AQ27H3</t>
  </si>
  <si>
    <t>Приходная накладная 988 (вх. УТ-339) от 16.04.2024</t>
  </si>
  <si>
    <t>2CW and 2CCW Motor + 8331 Silver 4 pcs</t>
  </si>
  <si>
    <t>Авансовый отчет 261 от 19.01.2024</t>
  </si>
  <si>
    <t>2N7002, Транзистор N-MOSFET 60В 115мА [SOT-23-3]\UMW</t>
  </si>
  <si>
    <t>2N7002,215</t>
  </si>
  <si>
    <t>Приходная накладная 369 (вх. 1670) от 15.02.2024</t>
  </si>
  <si>
    <t>2SK3018</t>
  </si>
  <si>
    <t>Приходная накладная 1698 (вх. 0566549) от 12.07.2024</t>
  </si>
  <si>
    <t>2-местное распределительное подключение 90 642 1/2</t>
  </si>
  <si>
    <t>Приходная накладная 5370 (вх. 283) от 30.10.2024</t>
  </si>
  <si>
    <t>2х осевая камера U-30T</t>
  </si>
  <si>
    <t>Приходная накладная 1378 (вх. 220) от 07.06.2024</t>
  </si>
  <si>
    <t>30пФ NPO 50В 5% 0805</t>
  </si>
  <si>
    <t>30СМ Сервоудлинитель с разъёмами (JR) и фиксатором 26AWG (1шт)</t>
  </si>
  <si>
    <t>3296W-1-102LF (СП5-2ВБ), 1 кОм, Резистор подстроечный\Bourns</t>
  </si>
  <si>
    <t>3296W-1-103LF (СП5-2ВБ), 10 кОм, Резистор подстроечный\Bourns</t>
  </si>
  <si>
    <t>3296W-1-104LF (СП5-2ВБ), 100 кОм, Резистор подстроечный\Bourns</t>
  </si>
  <si>
    <t>3296W-1-202LF (СП5-2ВБ), 2 кОм, Резистор подстроечный\Bourns</t>
  </si>
  <si>
    <t>3296W-1-502LF (СП5-2ВБ), 5 кОм, Резистор подстроечный\Bourns</t>
  </si>
  <si>
    <t>3314G-1-101E,  100 Ом, Резистор подстроечный\Bourns</t>
  </si>
  <si>
    <t>3314G-1-201E,  200 Ом, Резистор подстроечный\Bourns</t>
  </si>
  <si>
    <t>35-227-0 EL, Антистатический кейс с ручками</t>
  </si>
  <si>
    <t>Приходная накладная 111 (вх. 0414515-МСК) от 19.01.2024</t>
  </si>
  <si>
    <t>38-0050, Крепеж, Кронштейн для телевизора 10"- 27", наклонно-поворотный\Rexant</t>
  </si>
  <si>
    <t>Приходная накладная 961 (вх. 4043) от 12.04.2024</t>
  </si>
  <si>
    <t>3D принтер Creaty 3D K1 MAX</t>
  </si>
  <si>
    <t>Приходная накладная 2189 (вх. 23) от 20.08.2024</t>
  </si>
  <si>
    <t>3D щуп Digital</t>
  </si>
  <si>
    <t>Приходная накладная 415 (вх. 90) от 22.02.2024</t>
  </si>
  <si>
    <t>3М Лента клейкая двусторонняя акриловая GT6008F 20 мм х 2 м 4607166909879</t>
  </si>
  <si>
    <t>Приходная накладная 1891 (вх. 8489957-МСК) от 29.07.2024</t>
  </si>
  <si>
    <t>3М Лента клейкая двусторонняя акриловая GT6008F 6мм х 5м 4607166909152</t>
  </si>
  <si>
    <t>Приходная накладная 5322 (вх. 12827273-МСК) от 25.10.2024</t>
  </si>
  <si>
    <t>3М Лента клейкая двусторонняя акриловая GT6008F 8 мм х 2 мм 4607166909848</t>
  </si>
  <si>
    <t>Приходная накладная 4277 (вх. 11702771-МСК) от 27.09.2024</t>
  </si>
  <si>
    <t>3М Праймер 94, 14 мл 4627189351455</t>
  </si>
  <si>
    <t>Приходная накладная 281 (вх. 1518322-МСК) от 14.02.2024</t>
  </si>
  <si>
    <t>3-осевой гироскоп Pololu</t>
  </si>
  <si>
    <t>Авансовый отчет 245  от 14.05.2024</t>
  </si>
  <si>
    <t>3-х проводной Вольтметр с цифровым дисплеем желтый 0,28 DC 0-100V постоянного тока &amp; автомобильный м</t>
  </si>
  <si>
    <t>Приходная накладная 2304 (вх. 231948/475) от 03.09.2024</t>
  </si>
  <si>
    <t>430450601</t>
  </si>
  <si>
    <t>47пФ NPO 50В 5% 0805</t>
  </si>
  <si>
    <t>5,8G 40CH 7-дюймовый FPV монитор LCD5802D</t>
  </si>
  <si>
    <t>Приходная накладная 1507 (вх. 63) от 21.06.2024</t>
  </si>
  <si>
    <t>5.6пФ NPO 50В 5% 0805</t>
  </si>
  <si>
    <t>500X5Г САХАР БЕЛЫЙ RIOBA КРИСТАЛЛИЧЕСКИЙ ЭКСТРА</t>
  </si>
  <si>
    <t>Приходная накладная 4314 (вх. R240257843-H43995101760) от 25.07.2024</t>
  </si>
  <si>
    <t>6*6 светильник световым узором, крышка переключателя , 6*6 кнопочный колпачек, С12  головной убор. к</t>
  </si>
  <si>
    <t>Авансовый отчет 243 от 15.02.2024</t>
  </si>
  <si>
    <t>60СМ Сервоудлинитель с разъёмами (JR)</t>
  </si>
  <si>
    <t>687106149022</t>
  </si>
  <si>
    <t>Приходная накладная 585 (вх. 2429) от 12.03.2024</t>
  </si>
  <si>
    <t>68пФ NPO 50В 5% 0805</t>
  </si>
  <si>
    <t>78L05-300, Микросхема</t>
  </si>
  <si>
    <t>8.0пФ NPO 50В 5% 0805</t>
  </si>
  <si>
    <t>82пФ NPO 50В 5% 1206</t>
  </si>
  <si>
    <t>902-131A1011D10100</t>
  </si>
  <si>
    <t>906-351A1011D10200</t>
  </si>
  <si>
    <t>A7670C-MASL</t>
  </si>
  <si>
    <t>aax.tech СВЕТИЛЬНИК АРКТИК (АЙСБЕРГ-СЛИМ) 38W-4000LM IP65 5000-5500К ОПАЛ aax085-38-op-5k</t>
  </si>
  <si>
    <t>Приходная накладная 169 (вх. 0705053-МСК) от 26.01.2024</t>
  </si>
  <si>
    <t>ABRAFORM Бумага укрывная маскировочная универсальная 410-200 AF-PAPER-410-200</t>
  </si>
  <si>
    <t>Приходная накладная 1582 (вх. 7555142-МСК) от 28.06.2024</t>
  </si>
  <si>
    <t>ABRAFORM Бумага укрывная маскировочная универсальная 620-200 AF-PAPER-620-200</t>
  </si>
  <si>
    <t>ABRAFORM Бумага укрывная маскировочная универсальная 900-200 AF-PAPER-900-200</t>
  </si>
  <si>
    <t>ABRO Герметик прокладок красный 999 США 85г+\ABRO</t>
  </si>
  <si>
    <t>Приходная накладная 2305 (вх. 0733300) от 03.09.2024</t>
  </si>
  <si>
    <t>AC0402FR-07120KL</t>
  </si>
  <si>
    <t>Приходная накладная 305 (вх. 1277) от 07.02.2024</t>
  </si>
  <si>
    <t>AccordTec ББП-50 (исп.1) Блок бесперебойного питания, 12В, 5А, под АКБ 7А/ч, металл</t>
  </si>
  <si>
    <t>Приходная накладная 1973 (вх. 8876) от 05.08.2024</t>
  </si>
  <si>
    <t>ACS758LCB-050U-PFF-T, Датчик тока 50А [PFF Leadform] \Allegro</t>
  </si>
  <si>
    <t>ADA тепловизор tempro vision 256 professional</t>
  </si>
  <si>
    <t>Приходная накладная 183 (вх. 0909182-МСК) от 31.01.2024</t>
  </si>
  <si>
    <t>ADL5611ARKZ-R7</t>
  </si>
  <si>
    <t>ADUM-1201 модуль гальванической развязки CJMCU-1201</t>
  </si>
  <si>
    <t>Приходная накладная 4817 (вх. 518) от 01.10.2024</t>
  </si>
  <si>
    <t>AE&amp;T Молоток обратный 16 предметов</t>
  </si>
  <si>
    <t>Приходная накладная 1456 (вх. 7042391-МСК) от 18.06.2024</t>
  </si>
  <si>
    <t>AE&amp;T Приспособление для правки радиаторов TA-A7113</t>
  </si>
  <si>
    <t>Приходная накладная 1865 (вх. 8876426-МСК) от 25.07.2024</t>
  </si>
  <si>
    <t>AEG бур SDS+ 6 x 160 AAKSDS6160 4932478682</t>
  </si>
  <si>
    <t>AEG бур SDS+ 8 x 460 AAKSDS8460 4932478693</t>
  </si>
  <si>
    <t>AFC01-S45FCC-00</t>
  </si>
  <si>
    <t>AFT05MS006NT1, Транзистор LDMOS, High Ruggedness N-канал, 136-941 МГц, 6 Вт, 7.5 В [PLD-1.5W]\NXP</t>
  </si>
  <si>
    <t>AIKO ключница KEY-20 S183CH011000</t>
  </si>
  <si>
    <t>Приходная накладная 96 (вх. 0329420-МСК) от 17.01.2024</t>
  </si>
  <si>
    <t>AIKO Сейф TM-63T</t>
  </si>
  <si>
    <t>Приходная накладная 1918 (вх. 9029731-МСК) от 30.07.2024</t>
  </si>
  <si>
    <t>Airline Вилка нагрузочная (Тестер батарей) ABT-12-02</t>
  </si>
  <si>
    <t>Приходная накладная 5281 (вх. 12569049-МСК) от 24.10.2024</t>
  </si>
  <si>
    <t>Airline Насос перекачки топлива/масла из бочки ручной роторный AT-GG-14</t>
  </si>
  <si>
    <t>Приходная накладная 1448 (вх. 6977778-МСК) от 17.06.2024</t>
  </si>
  <si>
    <t>Airline Прикуриватель-разветвитель 2 гнезда с витым шнуром</t>
  </si>
  <si>
    <t>Приходная накладная 745 (вх. 3271652-БЛГ) от 26.03.2024</t>
  </si>
  <si>
    <t>Akfix набор для экспресс склеивания 705,65 гр+200 мл</t>
  </si>
  <si>
    <t>Приходная накладная 1512 (вх. 7216433-МСК) от 21.06.2024</t>
  </si>
  <si>
    <t>AKK Infinite DVR VTX для записи видео с курсовой камеры без помех</t>
  </si>
  <si>
    <t>Приходная накладная 737 (вх. 0146751736-0029/1601) от 16.01.2024</t>
  </si>
  <si>
    <t>ALC5616-CGT</t>
  </si>
  <si>
    <t>Alcadrain Гофра для унитаза 110мм L-240-600мм для чугунных труб A97 00022278</t>
  </si>
  <si>
    <t>Приходная накладная 561 (вх. 2668050-МСК) от 13.03.2024</t>
  </si>
  <si>
    <t>AMPLF0530-1R0</t>
  </si>
  <si>
    <t>AMS1117-3.3, Микросхема, Линейный регулятор с малым падением напряжения, 1А, 3.3В [SOT-223]\UMW</t>
  </si>
  <si>
    <t>AMS1117-5.0, Микросхема, Линейный регулятор с малым падением напряжения, 1А, 5В [SOT-223]\UMW</t>
  </si>
  <si>
    <t>AMS1117-ADJ</t>
  </si>
  <si>
    <t>AO3400A</t>
  </si>
  <si>
    <t>AO4485</t>
  </si>
  <si>
    <t>AP2112K-3.3TRG1 микросхема Diodes Inc.</t>
  </si>
  <si>
    <t>Приходная накладная 770 (вх. 2347) от 09.03.2024</t>
  </si>
  <si>
    <t>AP6256</t>
  </si>
  <si>
    <t>Apacer DDR4 DIMM 16GB</t>
  </si>
  <si>
    <t>Приходная накладная 1978 (вх. КС002301) от 05.08.2024</t>
  </si>
  <si>
    <t>APECS Замки висячие PD-01-63 6замков+5ключей 11651</t>
  </si>
  <si>
    <t>Приходная накладная 553 (вх. 2716357-МСК) от 14.03.2024</t>
  </si>
  <si>
    <t>APT1608CGCK</t>
  </si>
  <si>
    <t>Arduino /PD/QC Туре-C триггер</t>
  </si>
  <si>
    <t>Авансовый отчет 248  от 14.05.2024</t>
  </si>
  <si>
    <t>Argon one v2 Корпус охлаждения для Raspberry pi4</t>
  </si>
  <si>
    <t>Приходная накладная 288 (вх. 0155232321-0002/1302) от 13.02.2024</t>
  </si>
  <si>
    <t>Arlight Блок питания ARJ-KE36250</t>
  </si>
  <si>
    <t>Приходная накладная 3852 (вх. 10889136-МСК) от 11.09.2024</t>
  </si>
  <si>
    <t>Arlight Блок питания ARJ-KE481050 1шт</t>
  </si>
  <si>
    <t>Приходная накладная 2066 (вх. 9715111-МСК) от 14.08.2024</t>
  </si>
  <si>
    <t>Astrohim Смазка силиконовая аэрозоль, 520мл</t>
  </si>
  <si>
    <t>Приходная накладная 3928 (вх. 11066694-МСК) от 16.09.2024</t>
  </si>
  <si>
    <t>ATMEGA128-16AU, Микросхема, Микроконтроллер 8-Бит, AVR, 16МГц, 128КБ Flash [TQFP-64]\Microchip</t>
  </si>
  <si>
    <t>ATMEGA1284P-PU, Микросхема, Микроконтроллер 8-Бит, AVR, 20МГц, 128КБ Flash [DIP-40]\Microchip</t>
  </si>
  <si>
    <t>ATMEGA16-16AU, Микросхема, Микроконтроллер 8-Бит, AVR, 16МГц, 16КБ Flash [TQFP-44]\Microchip</t>
  </si>
  <si>
    <t>ATMEGA16-16PU, Микросхема, Микроконтроллер 8-Бит, AVR, 16МГц, 16КБ Flash [DIP-40]\Microchip</t>
  </si>
  <si>
    <t>ATMEGA168-20AUR, Микросхема, Микроконтроллер 8 бит, AVR Family ATmega168 Series Microcontrollers, 20</t>
  </si>
  <si>
    <t>ATMEGA8-16AUR, Микросхема, MCU 8-bit ATmega AVR RISC 8KB Flash 5V 32-Pin TQFP T/R\Microchip</t>
  </si>
  <si>
    <t>Приходная накладная 838 (вх. 0259149-БЕЛ) от 27.03.2024</t>
  </si>
  <si>
    <t>ATMEGA8-16PU, Микросхема, Микроконтроллер 8-Бит, AVR, 16МГц, 8КБ Flash [DIP-28]\Microchip</t>
  </si>
  <si>
    <t>ATmega8A-AU</t>
  </si>
  <si>
    <t>ATmega8A-AU микросхема Atmel/Microchip</t>
  </si>
  <si>
    <t>Приходная накладная 4147 (вх. 1987) от 27.02.2024</t>
  </si>
  <si>
    <t>Attache Вешалка-плечики деревянная с выемками и перекладиной белая , размер 48-50, 3 шт 808704</t>
  </si>
  <si>
    <t>Приходная накладная 166 (вх. 0705050-МСК) от 26.01.2024</t>
  </si>
  <si>
    <t>Attache Диспенсер для клейкой ленты упаковочной 50 мм 382347</t>
  </si>
  <si>
    <t>Приходная накладная 5062 (вх. 12071038-МСК) от 07.10.2024</t>
  </si>
  <si>
    <t>Attache Линейка 30 см с держателем прозрачная</t>
  </si>
  <si>
    <t>Attache Маркер пеинт лак 2 мм белый</t>
  </si>
  <si>
    <t>Приходная накладная 1753 (вх. 8489180-МСК) от 18.07.2024</t>
  </si>
  <si>
    <t>Attache Маркер перманентный универсальный Economy черный 2-3 мм 475786</t>
  </si>
  <si>
    <t>Авансовый отчет 164  от 23.08.2024</t>
  </si>
  <si>
    <t>Attache Скобы для степлера №24/6 оцинкованные 2-30лис 1000 шт в уп.Россия 562538</t>
  </si>
  <si>
    <t>Приходная накладная 2082 (вх. 9763582-БЛГ) от 15.08.2024</t>
  </si>
  <si>
    <t>Attache Степлер Power №24/6-26/6-24/8 до 50л., металл., черный 989503</t>
  </si>
  <si>
    <t>Atten MS-300 ремонтная паяльная станция + ИП 56Вт</t>
  </si>
  <si>
    <t>Приходная накладная 4182 (вх. 2796) от 24.09.2024</t>
  </si>
  <si>
    <t>AUTOPROFI Канистра стальная,горизонтальная,оцинкованная,горловина с навинч.крышкой, перепускной клап</t>
  </si>
  <si>
    <t>Приходная накладная 619 (вх. 2525597-БЕЛ) от 10.03.2024</t>
  </si>
  <si>
    <t>AV Engineering Гофра для унитаза 350 мм AVE129350</t>
  </si>
  <si>
    <t>Приходная накладная 5140 (вх. 12221050-МСК) от 10.10.2024</t>
  </si>
  <si>
    <t>AVIORA Изолента ХБ 15мм 20 м вес 180 г. 305-045</t>
  </si>
  <si>
    <t>Приходная накладная 914 (вх. 3896256-БЛГ) от 09.04.2024</t>
  </si>
  <si>
    <t>AVIORA Изолента ХБ 19мм 7 м вес 90 г. 305-046</t>
  </si>
  <si>
    <t>Приходная накладная 548 (вх. 2558779-МСК) от 11.03.2024</t>
  </si>
  <si>
    <t>A-VM МОП плоский, 80х11 см, акрил AL3516</t>
  </si>
  <si>
    <t>Приходная накладная 495 (вх. 2112998-МСК) от 28.02.2024</t>
  </si>
  <si>
    <t>AYK-250 VTOL</t>
  </si>
  <si>
    <t>Приходная накладная 39 (вх. LT002362/5) от 11.01.2024</t>
  </si>
  <si>
    <t>AY-KA Колодка 3 гнезда, с заземлением, c крышкой каучуковая 5530000</t>
  </si>
  <si>
    <t>Приходная накладная 1117 (вх. 4822349-МСК) от 02.05.2024</t>
  </si>
  <si>
    <t>AY-KA Универсальный адаптер переходник 16А</t>
  </si>
  <si>
    <t>Приходная накладная 521 (вх. 2409755-МСК) от 06.03.2024</t>
  </si>
  <si>
    <t>B5819WS-TP</t>
  </si>
  <si>
    <t>B82498F3390J000</t>
  </si>
  <si>
    <t>BA-99C(Compact NS) 630/315A</t>
  </si>
  <si>
    <t>Приходная накладная 2226 (вх. 1521) от 27.08.2024</t>
  </si>
  <si>
    <t>Ballu Насос дренажный Machine DС Pump Pro проточный, 12 л/ч НС-1248311</t>
  </si>
  <si>
    <t>Baofeng Рация UV-5R/3800мАч;</t>
  </si>
  <si>
    <t>Приходная накладная 327 (вх. 1723503-МСК) от 19.02.2024</t>
  </si>
  <si>
    <t>BARTEX Набор ключей трубчатый, 6 пр, , 6-17 мм, цинк, + 2 съемных рычага 170000</t>
  </si>
  <si>
    <t>BAT41KFILM диод ST</t>
  </si>
  <si>
    <t>BAT54C.215</t>
  </si>
  <si>
    <t>bbk Микроволновая печь 20MWS-711M/WS белый/серебро 00-00000605</t>
  </si>
  <si>
    <t>Приходная накладная 89 (вх. 0329421-МСК) от 18.01.2024</t>
  </si>
  <si>
    <t>BC817-25,235</t>
  </si>
  <si>
    <t>BEFAST Дюбель распорный с шипами , синий цвет 6х30 1000 шт. K060301000BS</t>
  </si>
  <si>
    <t>Приходная накладная 1451 (вх. 6884893-МСК) от 17.06.2024</t>
  </si>
  <si>
    <t>BERKUT Автомабильный протативный компрессор R17</t>
  </si>
  <si>
    <t>BH-18650-B1BA002</t>
  </si>
  <si>
    <t>BKW0603UC4N7JGT</t>
  </si>
  <si>
    <t>BKW0603UC8N2JGT</t>
  </si>
  <si>
    <t>BlackWeld Канистра металлическая 20 литров 140559</t>
  </si>
  <si>
    <t>Приходная накладная 5180 (вх. 12581855-БЛГ) от 18.10.2024</t>
  </si>
  <si>
    <t>BLM15PD121SN1D дроссель Murata</t>
  </si>
  <si>
    <t>BLM18PG121SH1D</t>
  </si>
  <si>
    <t>Приходная накладная 400 (вх. 1671) от 15.02.2024</t>
  </si>
  <si>
    <t>BLM18PG181SH1D</t>
  </si>
  <si>
    <t>Приходная накладная 1218 (вх. 4188) от 17.05.2024</t>
  </si>
  <si>
    <t>BLM18PG181SN1D</t>
  </si>
  <si>
    <t>Приходная накладная 306 (вх. 1278) от 07.02.2024</t>
  </si>
  <si>
    <t>BLSC-020200N-C винт-саморез 2х20мм</t>
  </si>
  <si>
    <t>Приходная накладная 4451 (вх. 10354) от 09.01.2024</t>
  </si>
  <si>
    <t>BMI055</t>
  </si>
  <si>
    <t>Приходная накладная 689 (вх. 3067) от 22.03.2024</t>
  </si>
  <si>
    <t>BMP280</t>
  </si>
  <si>
    <t>Приходная накладная 641 (вх. 2786) от 20.03.2024</t>
  </si>
  <si>
    <t>Bosch Аккумуляторный шуруповерт GSR 120-Li</t>
  </si>
  <si>
    <t>Приходная накладная 678 (вх. 3170704-БЕЛ) от 25.03.2024</t>
  </si>
  <si>
    <t>Bosch Сверло SDS plus-5x8x100x160 2608833789</t>
  </si>
  <si>
    <t>BQ25700AEVM-732</t>
  </si>
  <si>
    <t>Приходная накладная 1167 (вх. 1780) от 07.05.2024</t>
  </si>
  <si>
    <t>BQ25700ARSNR</t>
  </si>
  <si>
    <t>BRABIX Тележка уборочная, 2 съемных ведра по 25 л, механический отжим, корзина, , Турция, 607903</t>
  </si>
  <si>
    <t>Приходная накладная 86 (вх. 0329423-МСК) от 18.01.2024</t>
  </si>
  <si>
    <t>BRAUBERG Доска магнитно-маркерная 100x150см, алюминиевая рамка,Extra, 237556</t>
  </si>
  <si>
    <t>Приходная накладная 383 (вх. 1839977-МСК) от 21.02.2024</t>
  </si>
  <si>
    <t>BRAUBERG Маркер для CD и DVD , ЧЕРНЫЙ, супертонкий металлический наконечник 0,5мм, 150512</t>
  </si>
  <si>
    <t>BRAUBERG Пленки-заготовки для ламинирования, комплект 100 шт., 530803</t>
  </si>
  <si>
    <t>Приходная накладная 2205 (вх. 10173736-МСК) от 26.08.2024</t>
  </si>
  <si>
    <t>BRAUBERG Сумка деловая для офиса и учебы "Sidney"</t>
  </si>
  <si>
    <t>Приходная накладная 1283 (вх. 5886364-МСК) от 24.05.2024</t>
  </si>
  <si>
    <t>BRAUBERG Шкафчик на 20 ключей, 200х160х80 мм, с замком, +20 брелоков, серый, 290337</t>
  </si>
  <si>
    <t>Приходная накладная 2316 (вх. 10589722-МСК) от 04.09.2024</t>
  </si>
  <si>
    <t>Bravat Смеситель Eler F1191238CP-RUS для раковины</t>
  </si>
  <si>
    <t>Приходная накладная 1295 (вх. 5943083-МСК) от 27.05.2024</t>
  </si>
  <si>
    <t>Brulex очиститель силикона Sillicon-Enterner 5л</t>
  </si>
  <si>
    <t>Приходная накладная 1595 (вх. 850) от 01.07.2024</t>
  </si>
  <si>
    <t>BSMD1206-150-16V</t>
  </si>
  <si>
    <t>BSS84 транзистор YJ</t>
  </si>
  <si>
    <t>BTI Гофра разрезная вн.д. 8,5 мм (50/уп)</t>
  </si>
  <si>
    <t>Приходная накладная 5346 (вх. 13065826-МСК) от 29.10.2024</t>
  </si>
  <si>
    <t>Bucovice Tools Набор метчиков из 2-х шт. M 2,5шаг 0.45 мм. 110025</t>
  </si>
  <si>
    <t>Приходная накладная 1021 (вх. 4293855-МСК) от 18.04.2024</t>
  </si>
  <si>
    <t>Bucovice Tools Набор метчиков из 3-х шт</t>
  </si>
  <si>
    <t>Приходная накладная 253 (вх. 1408950-МСК) от 12.02.2024</t>
  </si>
  <si>
    <t>BWMMCX-KEF</t>
  </si>
  <si>
    <t>BWSMA-KE11</t>
  </si>
  <si>
    <t>BWU.FL-IPEX1</t>
  </si>
  <si>
    <t>Bylectrica Роз. 2-местн. ОУ с заз.конт. IP54, серия ПРАЛЕСКА АКВА, серый, РА16-303 03</t>
  </si>
  <si>
    <t>Bylectrica Роз. 3-местн. ОУ с с земл. IP54, серия ПРАЛЕСКА АКВА, серый, РА16-0132(03) РА16-0132 (03)</t>
  </si>
  <si>
    <t>Приходная накладная 5260 (вх. 12827271-МСК) от 23.10.2024</t>
  </si>
  <si>
    <t>C2718488 (2.54-1*4P)</t>
  </si>
  <si>
    <t>C834894Ц-AMD Ryzen 7 5700G / MicroStar A520M-A PRO / 16GB / SSD 512GB</t>
  </si>
  <si>
    <t>Приходная накладная 1156 (вх. 34670Ц) от 07.05.2024</t>
  </si>
  <si>
    <t>Cablexpert Отвертка с набором бит, 50 предметов TK-SD-11R</t>
  </si>
  <si>
    <t>Приходная накладная 2229 (вх. 10238387-БЛГ) от 27.08.2024</t>
  </si>
  <si>
    <t>Cablexpert Отвертка с набором бит, 73 предмета TK-SD-10R</t>
  </si>
  <si>
    <t>Приходная накладная 3981 (вх. 10670269-БЛГ) от 17.09.2024</t>
  </si>
  <si>
    <t>Cablexpert Патч-корд медный UTP кат.5e, 0.25м</t>
  </si>
  <si>
    <t>Приходная накладная 1401 (вх. 6731433-МСК) от 11.06.2024</t>
  </si>
  <si>
    <t>Cablexpert Ферритовое кольцо , пластиковая защелка, диаметр 7мм</t>
  </si>
  <si>
    <t>Приходная накладная 1280 (вх. 5886367-МСК) от 24.05.2024</t>
  </si>
  <si>
    <t>CARVILLE RACING Антифриз CR лобридный флуор. -40С, Si-OAT, G12++, фиолет, готовый, ст.бочка L2018020</t>
  </si>
  <si>
    <t>Приходная накладная 1920 (вх. 9029730-МСК) от 30.07.2024</t>
  </si>
  <si>
    <t>CBR LCD Монитор 27 MF-2706</t>
  </si>
  <si>
    <t>Приходная накладная 410 (вх. УТ-134) от 21.02.2024</t>
  </si>
  <si>
    <t>CBR Монитор 27 MF-2701</t>
  </si>
  <si>
    <t>Приходная накладная 1844 (вх. КС002273) от 24.07.2024</t>
  </si>
  <si>
    <t>CC0201KRX5R8BB102 чип-конденсатор Yageo</t>
  </si>
  <si>
    <t>Приходная накладная 4153 (вх. 1910) от 26.02.2024</t>
  </si>
  <si>
    <t>CC0201KRX5R8BB104</t>
  </si>
  <si>
    <t>CC0201MRX5R6BB105</t>
  </si>
  <si>
    <t>CC0402JRNPO9BN100</t>
  </si>
  <si>
    <t>CC0402JRNPO9BN101</t>
  </si>
  <si>
    <t>CC0402JRNPO9BN120</t>
  </si>
  <si>
    <t>CC0402JRNPO9BN220</t>
  </si>
  <si>
    <t>CC0402KRNPO9BN470</t>
  </si>
  <si>
    <t>CC0402KRX5R6BB104</t>
  </si>
  <si>
    <t>CC0402KRX5R6BB105</t>
  </si>
  <si>
    <t>CC0402KRX5R7BB225</t>
  </si>
  <si>
    <t>CC0402KRX7R7BB102</t>
  </si>
  <si>
    <t>CC0402KRX7R7BB104</t>
  </si>
  <si>
    <t>CC0402KRX7R9BB102 конденсатор YAGEO</t>
  </si>
  <si>
    <t>CC0402KRX7R9BB103</t>
  </si>
  <si>
    <t>CC0402KRX7R9BB104</t>
  </si>
  <si>
    <t>CC0402KRX7R9BB221 конденсатор Yageo</t>
  </si>
  <si>
    <t>CC0402KRX7R9BB223</t>
  </si>
  <si>
    <t>CC0402KRX7R9BB473</t>
  </si>
  <si>
    <t>CC0402MRX5R5BB106</t>
  </si>
  <si>
    <t>CC0603BRNPO9BN2R4</t>
  </si>
  <si>
    <t>CC0603CRNPO9BN6R8</t>
  </si>
  <si>
    <t>CC0603JRNPO9BN101</t>
  </si>
  <si>
    <t>CC0603JRNPO9BN102</t>
  </si>
  <si>
    <t>CC0603JRNPO9BN120</t>
  </si>
  <si>
    <t>CC0603JRNPO9BN220</t>
  </si>
  <si>
    <t>CC0603JRNPO9BN221</t>
  </si>
  <si>
    <t>CC0603KPX7R9BB104</t>
  </si>
  <si>
    <t>CC0603KRX5R6BB475</t>
  </si>
  <si>
    <t>CC0603KRX7R0BB104</t>
  </si>
  <si>
    <t>CC0603KRX7R8BB224</t>
  </si>
  <si>
    <t>CC0603KRX7R9BB102</t>
  </si>
  <si>
    <t>Приходная накладная 354 (вх. 780958) от 14.02.2024</t>
  </si>
  <si>
    <t>CC0603KRX7R9BB104</t>
  </si>
  <si>
    <t>CC0603KRX7R9BB105</t>
  </si>
  <si>
    <t>CC0805KKX5R5BB106</t>
  </si>
  <si>
    <t>CC0805KKX5R7BB106</t>
  </si>
  <si>
    <t>CC0805MKX5R8BB226</t>
  </si>
  <si>
    <t>CC1206KKX7R0BB225</t>
  </si>
  <si>
    <t>CCGX09T304-LC YBG101 пластина</t>
  </si>
  <si>
    <t>Приходная накладная 898 (вх. УТ-5157) от 05.04.2024</t>
  </si>
  <si>
    <t>CCMT09T302-EF YBG205 пластина</t>
  </si>
  <si>
    <t>CCMT09T304-EM YBG205 пластина</t>
  </si>
  <si>
    <t>CD4052BM/TR</t>
  </si>
  <si>
    <t>CDC Pneumatics Рапид папа переход на фитинг цанговый 12мм</t>
  </si>
  <si>
    <t>CF-100 (С1-4) 1 Вт, 680 Ом, 5%, Резистор углеродистый</t>
  </si>
  <si>
    <t>Приходная накладная 2179 (вх. 0707361) от 22.08.2024</t>
  </si>
  <si>
    <t>CF-25 (С1-4) 0.25 Вт, 1 кОм, 5%, Резистор углеродистый\Тайвань</t>
  </si>
  <si>
    <t>CFN0805-FX-R010ELF</t>
  </si>
  <si>
    <t>CGA9P3X7R1H226M250KB</t>
  </si>
  <si>
    <t>CHINT Авт. выкл. DZ158-125H 3P 125A 10kA х-ка 8-12In 158109</t>
  </si>
  <si>
    <t>Cicle Лопата снеговая пластиковая "Купец" с алюм. планкой, мет. черенком и V-ручкой 4607156366996</t>
  </si>
  <si>
    <t>Приходная накладная 240 (вх. 0916377-МСК) от 31.01.2024</t>
  </si>
  <si>
    <t>CJ3401</t>
  </si>
  <si>
    <t>CL10A106MO8NQNC</t>
  </si>
  <si>
    <t>CL10A106MQ8NNNC</t>
  </si>
  <si>
    <t>CL10A226MO7JZNC</t>
  </si>
  <si>
    <t>CL10A226MO7JZNC конденсатор Samsung</t>
  </si>
  <si>
    <t>CL10A475KO8NNNC конденсатор Samsung</t>
  </si>
  <si>
    <t>CL21A106KBYQNNE</t>
  </si>
  <si>
    <t>CL21A226MAQNNNE</t>
  </si>
  <si>
    <t>CL21A475KBQNNNE конденсатор Samsung</t>
  </si>
  <si>
    <t>CL31A106MBHNNNE</t>
  </si>
  <si>
    <t>CL9195A12L5M</t>
  </si>
  <si>
    <t>CNIC Набор радиусных шаблонов №1 R 1-6мм</t>
  </si>
  <si>
    <t>CNIC Угольник прецизионный гранитный 400x250x40мм</t>
  </si>
  <si>
    <t>Приходная накладная 105 (вх. 0414518-МСК) от 19.01.2024</t>
  </si>
  <si>
    <t>Colad Набор шпателей пластмассовых 5шт красный</t>
  </si>
  <si>
    <t>Приходная накладная 5122 (вх. 75) от 01.01.2024</t>
  </si>
  <si>
    <t>Color Штамп самонаборный</t>
  </si>
  <si>
    <t>Приходная накладная 1152 (вх. 095050) от 07.05.2024</t>
  </si>
  <si>
    <t>connector  для аккумулятора дрона разьем шаг 2,7 мм</t>
  </si>
  <si>
    <t>COSMO COSMOFEN цианоакрилатный клей CA-500.200 (50)</t>
  </si>
  <si>
    <t>Приходная накладная 285 (вх. 1518319-МСК) от 14.02.2024</t>
  </si>
  <si>
    <t>CP-15-9 Классик ESD RAL7035 Сол рабочий 1500х900мм</t>
  </si>
  <si>
    <t>Приходная накладная 5211 (вх. 6633) от 22.10.2024</t>
  </si>
  <si>
    <t>CPU AMD Ryzen 7 5700G OEM</t>
  </si>
  <si>
    <t>Приходная накладная 1248 (вх. УТ-457) от 21.05.2024</t>
  </si>
  <si>
    <t>CPU AMD Ryzen 7 5700G, 8/16, 3.8-4.6GHz, 512KB/4MB/16MB, AM4, 65W, Radeon, OEM, 1</t>
  </si>
  <si>
    <t>Приходная накладная 409 (вх. УТ-135) от 21.02.2024</t>
  </si>
  <si>
    <t>CRCW0402510RJNED</t>
  </si>
  <si>
    <t>Приходная накладная 365 (вх. 1669) от 15.02.2024</t>
  </si>
  <si>
    <t>CX-WZ-JB-261 Антенна 1400</t>
  </si>
  <si>
    <t>Приходная накладная 5139 (вх. 20240918-4) от 10.10.2024</t>
  </si>
  <si>
    <t>Cетевой переходник USB-LAN, Ethernet адаптер, RJ45 100 Мбит/с</t>
  </si>
  <si>
    <t>Приходная накладная 2285 (вх. 202408300001 ) от 02.09.2024</t>
  </si>
  <si>
    <t>D.BOR Бур SDS-plus ZENTRO 6x100/160, 4-cutting 4351</t>
  </si>
  <si>
    <t>DAEWOO Пылесос промышленный DAVC 6030S</t>
  </si>
  <si>
    <t>Приходная накладная 1754 (вх. 8489183-МСК) от 18.07.2024</t>
  </si>
  <si>
    <t>DEKO Держатель прецизионный с зажимами и лупой  HT18, 62мм, 2,5х увеличение065-0925</t>
  </si>
  <si>
    <t>Приходная накладная 1691 (вх. 8135435-БЛГ) от 11.07.2024</t>
  </si>
  <si>
    <t>DEKO Держатель прецизионный с зажимами и лупой HT18, 60мм, 3х увеличение 065-0925</t>
  </si>
  <si>
    <t>DEKO Набор головок BS09 9 шт. 5-13 мм, 065-0583</t>
  </si>
  <si>
    <t>Приходная накладная 1150 (вх. 4704153-МСК) от 07.05.2024</t>
  </si>
  <si>
    <t>DEKraft Выключатель авт. мод. 3п C 20А ВА-101 4.5кА 11079DEK 121920</t>
  </si>
  <si>
    <t>Приходная накладная 2201 (вх. 10173442-МСК) от 26.08.2024</t>
  </si>
  <si>
    <t>DELI Зажимные клещи с удлиненными прямыми губкамиDL20015B 220мм (рабочий ход 70мм, регулировочный ви</t>
  </si>
  <si>
    <t>DELI Набор прецизионных отверток DL241057 56 бит, сталь S2 + Cr-V, пластиковый кейс 147045</t>
  </si>
  <si>
    <t>Приходная накладная 1609 (вх. 7530858-БЛГ) от 26.06.2024</t>
  </si>
  <si>
    <t>DELI Съемник подшипников трехзахватный DL-S6</t>
  </si>
  <si>
    <t>Delta-Park Органайзер OR-15</t>
  </si>
  <si>
    <t>Приходная накладная 4018 (вх. 11305247-МСК) от 19.09.2024</t>
  </si>
  <si>
    <t>Dewalt Бесщеточная дрель-шуруповерт</t>
  </si>
  <si>
    <t>DeWalt Дрель акк DCD 710</t>
  </si>
  <si>
    <t>Приходная накладная 1182 (вх. 5377885-МСК) от 14.05.2024</t>
  </si>
  <si>
    <t>DF40C-100DS-0.4V(51)</t>
  </si>
  <si>
    <t>DF40C-24DS-0.4V(51)</t>
  </si>
  <si>
    <t>Diaflex Ниппель оцинкованный, 125 мм</t>
  </si>
  <si>
    <t>Приходная накладная 1399 (вх. 6731432-МСК) от 11.06.2024</t>
  </si>
  <si>
    <t>Diaflex Отвод для воздуховодов 125 мм. 90 гр</t>
  </si>
  <si>
    <t>Приходная накладная 1475 (вх. 7109554-МСК) от 19.06.2024</t>
  </si>
  <si>
    <t>Diaflex Регулятор скорости вентилятора MTY 1,5</t>
  </si>
  <si>
    <t>Приходная накладная 254 (вх. 1408953-МСК) от 12.02.2024</t>
  </si>
  <si>
    <t>DIN 931 Болт с шестигранной головкой М12х220</t>
  </si>
  <si>
    <t>Приходная накладная 1722 (вх. КА-1050) от 16.07.2024</t>
  </si>
  <si>
    <t>DIN -рейка (100см) оцинкованная 1мм IEK</t>
  </si>
  <si>
    <t>Приходная накладная 5329 (вх. ТТД00323132) от 25.10.2024</t>
  </si>
  <si>
    <t>DIN16903 D Вставка резьбовая М3х4.5 латунь</t>
  </si>
  <si>
    <t>Приходная накладная 849 (вх. 23993) от 28.03.2024</t>
  </si>
  <si>
    <t>DIN16903 В Вставка резьбовая М3х5 латунь</t>
  </si>
  <si>
    <t>Приходная накладная 847 (вх. 23596) от 27.03.2024</t>
  </si>
  <si>
    <t>Din-рейка 20см перфорированная оцинкованная</t>
  </si>
  <si>
    <t>Приходная накладная 2137 (вх. 9960512-МСК) от 20.08.2024</t>
  </si>
  <si>
    <t>Din-рейка 60см перфорированная оцинкованная</t>
  </si>
  <si>
    <t>Приходная накладная 2009 (вх. 9459859-МСК) от 08.08.2024</t>
  </si>
  <si>
    <t>DIRECT ELEKTRIC Кабельный канал ПВХ 25х16 белый</t>
  </si>
  <si>
    <t>Приходная накладная 540 (вх. 2525595-БЕЛ) от 10.03.2024</t>
  </si>
  <si>
    <t>DKC PDA-45N 100 Рамка-суппорт под 2 модуля 45x45 мм 5 шт в уп. 00514</t>
  </si>
  <si>
    <t>DKC PDA-ЗDN 100 Рамка-суппорт под 6 модулей VIVA 10353</t>
  </si>
  <si>
    <t>Приходная накладная 1923 (вх. 9029736-МСК) от 30.07.2024</t>
  </si>
  <si>
    <t>DKC Кабель-канал TA-GN 100x40 дл.2м</t>
  </si>
  <si>
    <t>Приходная накладная 5067 (вх. 12071043-МСК) от 07.10.2024</t>
  </si>
  <si>
    <t>DKC Кабель-канал TA-GN 100x60</t>
  </si>
  <si>
    <t>DKC Кабель-канал TMC 22/1x10 дл.2м</t>
  </si>
  <si>
    <t>Приходная накладная 1932 (вх. 9099546-МСК) от 31.07.2024</t>
  </si>
  <si>
    <t>DKC Рамка уст. под VIVA 2мод. PDA-DN 100</t>
  </si>
  <si>
    <t>DKC Труба ПВХ гофро c протяж. d20мм</t>
  </si>
  <si>
    <t>Приходная накладная 1731 (вх. 8435310-МСК) от 17.07.2024</t>
  </si>
  <si>
    <t>DKC Угол плоский для каб.-кан. 2шт 100x60 NPAN 01745</t>
  </si>
  <si>
    <t>DLW21SN900SQ2L</t>
  </si>
  <si>
    <t>DM3AT-SF-PEJM5 разъём Hirose</t>
  </si>
  <si>
    <t>DMN62D0U-7</t>
  </si>
  <si>
    <t>Dobrin Стул барный DISCO (серебристый) 1010-LM DISCO</t>
  </si>
  <si>
    <t>Приходная накладная 581 (вх. 00883) от 18.03.2024</t>
  </si>
  <si>
    <t>DolleX Стяжка для крепления груза эластичная паук SPD - 06</t>
  </si>
  <si>
    <t>DOORLOCK Доводчик DL77N size 4/5 серебристый, крепежные размеры 162-168ммX19мм 75540</t>
  </si>
  <si>
    <t>Приходная накладная 429 (вх. 0700882-МСК) от 26.01.2024</t>
  </si>
  <si>
    <t>DORI Наконечник медный луженый JG-16 16мм2 6шт. 2622</t>
  </si>
  <si>
    <t>DPS 01.00.11-22 Стекло</t>
  </si>
  <si>
    <t>Приходная накладная 191 (вх. 97) от 30.01.2024</t>
  </si>
  <si>
    <t>DS1158-04-01PS8V8R</t>
  </si>
  <si>
    <t>DSV Стяжка для крепления груза 38мм*4,6м, 2,0т</t>
  </si>
  <si>
    <t>DT-133 термометр</t>
  </si>
  <si>
    <t>Приходная накладная 407 (вх. 240222047) от 22.02.2024</t>
  </si>
  <si>
    <t>Dupont line</t>
  </si>
  <si>
    <t>Авансовый отчет 507  от 18.10.2024</t>
  </si>
  <si>
    <t>DX-HPY - плата выравнивания портала</t>
  </si>
  <si>
    <t>Приходная накладная 3829 (вх. 49) от 09.09.2024</t>
  </si>
  <si>
    <t>DXL 03.00.09 Стекло XL 8мм</t>
  </si>
  <si>
    <t>Приходная накладная 1126 (вх. 432) от 03.05.2024</t>
  </si>
  <si>
    <t>E32-433T33S</t>
  </si>
  <si>
    <t>Edding Маркер глянцевый лаковый, круглый наконечник, 0,8 мм Белый, E-792/49</t>
  </si>
  <si>
    <t>Приходная накладная 1856 (вх. 8826098-МСК) от 25.07.2024</t>
  </si>
  <si>
    <t>EDDING Маркер лаковый E-792/49 белый</t>
  </si>
  <si>
    <t>Приходная накладная 1355 (вх. 6289206-МСК) от 05.06.2024</t>
  </si>
  <si>
    <t>Edding Перманентный маркер, 1 мм Красный</t>
  </si>
  <si>
    <t>Приходная накладная 325 (вх. 1723502-МСК) от 19.02.2024</t>
  </si>
  <si>
    <t>Edding Перманентный маркер, 1 мм Черный</t>
  </si>
  <si>
    <t>EEEFK1E101SP</t>
  </si>
  <si>
    <t>EFELE Очиститель контактов CL-547 Spray 520 мл</t>
  </si>
  <si>
    <t>EFELE Очиститель-обезжириватель поверхностей 520 мл</t>
  </si>
  <si>
    <t>EFELE Смазочный шприц Lube Shuttle под одну руку</t>
  </si>
  <si>
    <t>Приходная накладная 1284 (вх. 5886368-МСК) от 24.05.2024</t>
  </si>
  <si>
    <t>EKF Автоматический выключатель 160А</t>
  </si>
  <si>
    <t>Приходная накладная 1971 (вх. 9250104-МСК) от 05.08.2024</t>
  </si>
  <si>
    <t>EKF Автоматический выключатель 1P 16А</t>
  </si>
  <si>
    <t>EKF Автоматический выключатель 3P 16А</t>
  </si>
  <si>
    <t>EKF Автоматический выключатель 3P 20А</t>
  </si>
  <si>
    <t>EKF Автоматический выключатель 3P 25А</t>
  </si>
  <si>
    <t>EKF Блок питания на дин рейку 75 Вт,Uвх ~ 220 В AC m, Uвых - 24 В DC постоянного тока DR-E-75W-24</t>
  </si>
  <si>
    <t>Приходная накладная 2139 (вх. 055/45003) от 20.08.2024</t>
  </si>
  <si>
    <t>EKF Выключатель автоматический 3P 42кА</t>
  </si>
  <si>
    <t>EKF Наклейка "Запрещается курить" P01 (200x200мм.) (10 шт.) PROxima an-3-09</t>
  </si>
  <si>
    <t>Приходная накладная 336 (вх. 1408946-МСК) от 12.02.2024</t>
  </si>
  <si>
    <t>EKF Таймер электронный ТЭ-80 PROxima te-80</t>
  </si>
  <si>
    <t>EKF Устройство Защитного Отключения ВД-100 4P 40А/30мА</t>
  </si>
  <si>
    <t>Elbox Комплект заземления для шкафов EMS EMS-PZ</t>
  </si>
  <si>
    <t>Приходная накладная 1798 (вх. 114473/823) от 22.07.2024</t>
  </si>
  <si>
    <t>Electrolux Блок управления Transformer Electronic ECH/TUE4</t>
  </si>
  <si>
    <t>Приходная накладная 5257 (вх. 12827270-МСК) от 23.10.2024</t>
  </si>
  <si>
    <t>Electrolux Вентилятор вытяжной Basic EAFB-150T с таймером НС-1126789</t>
  </si>
  <si>
    <t>Electrolux Отопительный модуль конвектора Air Gate Transformer</t>
  </si>
  <si>
    <t>Electrolux радиатор масляный Sport line EOH/M-5221N - 11 секций НС-1100933</t>
  </si>
  <si>
    <t>Приходная накладная 28 (вх. 0103397-МСК) от 09.01.2024</t>
  </si>
  <si>
    <t>ELEMENT Губка для очистки жал паяльников УВЛАЖНЕННАЯ 80x50мм ГОЛУБАЯ</t>
  </si>
  <si>
    <t>ELEMENT Паяльная станцияфен+паяльник</t>
  </si>
  <si>
    <t>Приходная накладная 447 (вх. 1998439-МСК) от 26.02.2024</t>
  </si>
  <si>
    <t>ELKA Гибкая подводка для воды (оплетка нерж.сталь) 1/2, вр/нр, 500см</t>
  </si>
  <si>
    <t>Emas Микро-выключатель MK1KIM3, MK1KIM3</t>
  </si>
  <si>
    <t>Приходная накладная 969 (вх. 4053423-МСК) от 15.04.2024</t>
  </si>
  <si>
    <t>Emax AVAN оригинальный</t>
  </si>
  <si>
    <t>Авансовый отчет 202  от 19.07.2024</t>
  </si>
  <si>
    <t>ERA Storm YWF4E 400</t>
  </si>
  <si>
    <t>Приходная накладная 199 (вх. 1012736-МСК) от 02.02.2024</t>
  </si>
  <si>
    <t>ES07B-GS08 диод Vishay</t>
  </si>
  <si>
    <t>ESC регулятор мотора T-Motor Flame 60A 6-12S v2</t>
  </si>
  <si>
    <t>Приходная накладная 4913 (вх. Ф-Т260701) от 26.07.2024</t>
  </si>
  <si>
    <t>ESC регулятор мотора T-Motor Flame 80A HV 6-12S v2</t>
  </si>
  <si>
    <t>ESC, Полетный контроллер:: iFlight BLITZ F7 Pro Combo Set</t>
  </si>
  <si>
    <t>ESD8351XV2T1G</t>
  </si>
  <si>
    <t>ESD9B3.3ST5G</t>
  </si>
  <si>
    <t>ESD9B5.0ST5G</t>
  </si>
  <si>
    <t>Ethernet-коммутатор MES2424, 24 порта 10/100/1000BASE-T, 4 порта 1000BASE-X/10GBASE-R, L2, 220В AC (</t>
  </si>
  <si>
    <t>Приходная накладная 4436 (вх. Tr000003726) от 30.01.2024</t>
  </si>
  <si>
    <t>Ethernet-коммутатор MES2424P, 24 порта 10/100/1000BASE-T (PoE/PoE+), 4 порта - 1</t>
  </si>
  <si>
    <t>Приходная накладная 4269 (вх. Tr000003726) от 30.01.2024</t>
  </si>
  <si>
    <t>Ethernet-коммутатор MES2424P, 24 порта 10/100/1000BASE-T (PoE/PoE+), 4 порта - 2</t>
  </si>
  <si>
    <t>Ethernet-коммутатор MES5332A, 1x10/100/1000BASE-T (ООВ), 32x10GBASE-R (SFP+)/1000BASE-X (SFP)-1</t>
  </si>
  <si>
    <t>Ethernet-коммутатор MES5332A, 1x10/100/1000BASE-T (ООВ), 32x10GBASE-R (SFP+)/1000BASE-X (SFP)-2</t>
  </si>
  <si>
    <t>EUROHOUSE Щетка для уборки с длинной ручкой</t>
  </si>
  <si>
    <t>EVECS L1515n, люк ревизионный ln 172x172 нажимной фланец 150x150 пластик evecs 90-08062</t>
  </si>
  <si>
    <t>Приходная накладная 1892 (вх. 8701015-МСК) от 29.07.2024</t>
  </si>
  <si>
    <t>EVER PLAST 50 труба 1 м пп (толщ.1.5мм) 552363</t>
  </si>
  <si>
    <t>Приходная накладная 59 (вх. 0234598-МСК) от 15.01.2024</t>
  </si>
  <si>
    <t>EX03010S3P, Вентилятор ExeGate 30x30x10 мм</t>
  </si>
  <si>
    <t>EZETEK Наконечник ТМЛ 10, медь луженая 53663</t>
  </si>
  <si>
    <t>EZETEK Наконечник ТМЛ 25-10-8, медь луженая 53667</t>
  </si>
  <si>
    <t>FASTER TOOLS Бокорезы мини 125 мм 1523</t>
  </si>
  <si>
    <t>FASTER TOOLS Ключи рожково-накидные с трещеткой 8 мм 2647</t>
  </si>
  <si>
    <t>Приходная накладная 2155 (вх. 9951002-БЛГ) от 21.08.2024</t>
  </si>
  <si>
    <t>FB2010S12H@5BYTES</t>
  </si>
  <si>
    <t>Приходная накладная 2089 (вх. 823417) от 16.08.2024</t>
  </si>
  <si>
    <t>FC-135R 32.7680KA-AC3</t>
  </si>
  <si>
    <t>FD2010S05U@FANOVER</t>
  </si>
  <si>
    <t>Приходная накладная 2288 (вх. 828314) от 02.09.2024</t>
  </si>
  <si>
    <t>FD6288Q микросхема Fortior Tech</t>
  </si>
  <si>
    <t>FE1.1S</t>
  </si>
  <si>
    <t>FE1.1S-BSOP28BPTR</t>
  </si>
  <si>
    <t>FE-L280 Электромагнитный замок</t>
  </si>
  <si>
    <t>Приходная накладная 1976 (вх. 8875) от 05.08.2024</t>
  </si>
  <si>
    <t>FHW0603UC068JST</t>
  </si>
  <si>
    <t>FHW0805UC8N2JGT</t>
  </si>
  <si>
    <t>Filum Адаптер 0,15 м,, 1920x1080, разъемы: hdmi a male-vga female-mini jack female, пакет FL-A-HM-VG</t>
  </si>
  <si>
    <t>Приходная накладная 710 (вх. 3232814-МСК) от 26.03.2024</t>
  </si>
  <si>
    <t>Finfire Автономное устройство порошкового пожаротушения Сфера</t>
  </si>
  <si>
    <t>Fischer DUOPOWER 10x80 ДЮБЕЛЬ 25шт</t>
  </si>
  <si>
    <t>FIT IT Магнит телескопический 170-860 мм 64781</t>
  </si>
  <si>
    <t>Приходная накладная 4202 (вх. 11594069-МСК) от 25.09.2024</t>
  </si>
  <si>
    <t>FIT IT Пистолет обдувочный с набором насадок</t>
  </si>
  <si>
    <t>Приходная накладная 180 (вх. 0909178-МСК) от 31.01.2024</t>
  </si>
  <si>
    <t>FIT IT Ролик полиакрил мини Профи, с серо/красной полосой, диам.15/42 мм, 100 мм 02681</t>
  </si>
  <si>
    <t>Приходная накладная 819 (вх. 3286143-МСК) от 27.03.2024</t>
  </si>
  <si>
    <t>FIT IT Стамеска полукруглая с пластиковой ручкой 12 мм</t>
  </si>
  <si>
    <t>Авансовый отчет 158  от 29.08.2024</t>
  </si>
  <si>
    <t>FIT IT Стамеска полукруглая с пластиковой ручкой 14 мм</t>
  </si>
  <si>
    <t>FIT IT Стамеска полукруглая с пластиковой ручкой 16 мм</t>
  </si>
  <si>
    <t>FIT IT Стамеска полукруглая с пластиковой ручкой 18 мм</t>
  </si>
  <si>
    <t>Приходная накладная 1487 (вх. 7162299-МСК) от 20.06.2024</t>
  </si>
  <si>
    <t>FIT IT Угольник столярный желтый 350 мм 19435</t>
  </si>
  <si>
    <t>Приходная накладная 338 (вх. 1408955-МСК) от 12.02.2024</t>
  </si>
  <si>
    <t>FIT IT Утконосы Стайл, черно-желтая ручка, молибденовое покрытие 160 мм 50646</t>
  </si>
  <si>
    <t>FIT Адаптер переходник угловой 90 градусов, насадка для шуруповерта дрели с ключевым патроном</t>
  </si>
  <si>
    <t>Приходная накладная 2318 (вх. 156929/4419) от 04.09.2024</t>
  </si>
  <si>
    <t>FIT Биты кованые, сталь S2, односторонние 100 мм</t>
  </si>
  <si>
    <t>Приходная накладная 1281 (вх. 5886365-МСК) от 24.05.2024</t>
  </si>
  <si>
    <t>Fluke 15В+ цифровой мультиметр</t>
  </si>
  <si>
    <t>Fluke-219 токоизмерительные клещи</t>
  </si>
  <si>
    <t>Flying Bear 3D принтер Ghost6</t>
  </si>
  <si>
    <t>Приходная накладная 1818 (вх. 1701641/15) от 23.07.2024</t>
  </si>
  <si>
    <t>FM25V01A-GTR</t>
  </si>
  <si>
    <t>Приходная накладная 104 (вх. 2) от 15.01.2024</t>
  </si>
  <si>
    <t>FM25V01A-GTR Микросхема Infineon</t>
  </si>
  <si>
    <t>FMS - шпаклевка грунт для форм, 3,78л</t>
  </si>
  <si>
    <t>Приходная накладная 4964 (вх. 17879) от 01.01.2024</t>
  </si>
  <si>
    <t>FNIRSI-FNB58 ТЕСТЕР USB вольтметра</t>
  </si>
  <si>
    <t>Авансовый отчет 180 от 18.04.2024</t>
  </si>
  <si>
    <t>FNR5012S1R0MT</t>
  </si>
  <si>
    <t>Folsen Клейкая сигнальная лента 50мм x 33м, желто-чёрная</t>
  </si>
  <si>
    <t>Приходная накладная 1358 (вх. 6460302-МСК) от 05.06.2024</t>
  </si>
  <si>
    <t>Fomeron Пистолет для монтажной пены</t>
  </si>
  <si>
    <t>FORTISFLEX Бирка кабельная 100шт</t>
  </si>
  <si>
    <t>FORTISFLEX Оплетка кабельная из полиэстера XP-20</t>
  </si>
  <si>
    <t>FORTISFLEX Оплетка кабельная из полиэстера XP-8</t>
  </si>
  <si>
    <t>FORTISFLEX Стяжки стальные СКС /304/ 4,6x800</t>
  </si>
  <si>
    <t>FOXEER DALPROP F3 DIY FPV3</t>
  </si>
  <si>
    <t>Приходная накладная 5153 (вх. 405) от 11.10.2024</t>
  </si>
  <si>
    <t>FPV видео-очки Skyzone SKY04X V2</t>
  </si>
  <si>
    <t>Приходная накладная 1611 (вх. 72) от 27.06.2024</t>
  </si>
  <si>
    <t>FPV Патч Антенна</t>
  </si>
  <si>
    <t>FPV Приемник beastfpv elrs 915 MHz RX</t>
  </si>
  <si>
    <t>Авансовый отчет 199  от 23.07.2024</t>
  </si>
  <si>
    <t>FPV Связка приемник=передатчик Foxeer 4/9G с антенной</t>
  </si>
  <si>
    <t>Авансовый отчет 167  от 21.08.2024</t>
  </si>
  <si>
    <t>FR4 100х100мм 18/18 (1.5мм, 18мкм), Стеклотекстолит</t>
  </si>
  <si>
    <t>FR4 300х400мм 18/18 (1.5мм, 18мкм) Стеклотекстолит</t>
  </si>
  <si>
    <t>FRL0805FR300TS резистор FOJAN</t>
  </si>
  <si>
    <t>FUBAG Пневмопистолет DGL170/4</t>
  </si>
  <si>
    <t>Приходная накладная 110 (вх. 0414519-МСК) от 19.01.2024</t>
  </si>
  <si>
    <t>FUBAG Разъемное соединение рапид муфта _1/2"M</t>
  </si>
  <si>
    <t>FUBAG Разъемное соединение рапид муфта _1/4"M</t>
  </si>
  <si>
    <t>FUBAG Шланг спиральный с фитингами</t>
  </si>
  <si>
    <t>FXL0530-1R0-M</t>
  </si>
  <si>
    <t>GAH ALBERTS Уголок оцинкованный 30х30х30х2мм</t>
  </si>
  <si>
    <t>Приходная накладная 1282 (вх. 5886376-МСК) от 24.05.2024</t>
  </si>
  <si>
    <t>Gauss Фонарь прожекторный GFL602 11W 400lm Li-ion 4800mAh LED 1/10/30</t>
  </si>
  <si>
    <t>GAZPROMNEFT Масло Hydraulic HVLP-46 205л</t>
  </si>
  <si>
    <t>Приходная накладная 5350 (вх. 13073816-МСК) от 29.10.2024</t>
  </si>
  <si>
    <t>GBU810, Диодный мост 8А 1000В</t>
  </si>
  <si>
    <t>GCM188R71H103KA37J</t>
  </si>
  <si>
    <t>Gembird Сетевой адаптер Ethernet USB 3.0 - Fast Ethernet adapter NIC-U3</t>
  </si>
  <si>
    <t>Приходная накладная 1992 (вх. 9290668-БЛГ) от 06.08.2024</t>
  </si>
  <si>
    <t>GERHANS Кухонная мойка из нержавеющей стали 50x44 Сатин K35044</t>
  </si>
  <si>
    <t>Приходная накладная 5280 (вх. 12569039-МСК) от 24.10.2024</t>
  </si>
  <si>
    <t>Germez Очиститель монтажных пистолетов 450 мл 6501601</t>
  </si>
  <si>
    <t>Приходная накладная 2119 (вх. 9878867-БЛГ) от 19.08.2024</t>
  </si>
  <si>
    <t>GHR-02V-S корпус розетки на кабель</t>
  </si>
  <si>
    <t>Приходная накладная 3784 (вх. 9114) от 06.09.2024</t>
  </si>
  <si>
    <t>GHR-03V-S</t>
  </si>
  <si>
    <t>Приходная накладная 693 (вх. 0239764) от 21.03.2024</t>
  </si>
  <si>
    <t>GHR-08V-S</t>
  </si>
  <si>
    <t>Приходная накладная 3848 (вх. 99) от 10.09.2024</t>
  </si>
  <si>
    <t>GHR-09V-S</t>
  </si>
  <si>
    <t>Приходная накладная 984 (вх. 0306869) от 16.04.2024</t>
  </si>
  <si>
    <t>Gigant 2-х проводная клемма 50 шт/уп</t>
  </si>
  <si>
    <t>Gigant 3-х проводная клемма 50 шт/уп</t>
  </si>
  <si>
    <t>Gigant Батарейка Alkaline ААА блистер 12 шт</t>
  </si>
  <si>
    <t>Приходная накладная 3975 (вх. 11182225-МСК) от 17.09.2024</t>
  </si>
  <si>
    <t>Gigant Бита для шуруповерта PH2</t>
  </si>
  <si>
    <t>Приходная накладная 37 (вх. 0137946-МСК) от 11.01.2024</t>
  </si>
  <si>
    <t>Gigant Болторез, 600 мм</t>
  </si>
  <si>
    <t>Приходная накладная 5262 (вх. 12827272-МСК) от 23.10.2024</t>
  </si>
  <si>
    <t>Gigant Диск отрезной по металлу 125х1,2х22 мм CDI C41/125-1,2</t>
  </si>
  <si>
    <t>Gigant Измерительная рулетка 5x25мм с магнитным крюком GWM525</t>
  </si>
  <si>
    <t>Gigant Круг лепестковый 125x22,2 P127</t>
  </si>
  <si>
    <t>Авансовый отчет 160  от 28.08.2024</t>
  </si>
  <si>
    <t>Gigant Круг лепестковый 125x22,2 P80 G-11037</t>
  </si>
  <si>
    <t>Gigant Круги фибергласовые отрезные, 32x2,0x1,0 5шт. GCRAWF032-5</t>
  </si>
  <si>
    <t>Gigant Кувалда 1500 грамм с фибергласовой рукояткой SLH15-1</t>
  </si>
  <si>
    <t>Gigant Кувалда 2000 грамм с фибергласовой рукояткой</t>
  </si>
  <si>
    <t>Приходная накладная 1851 (вх. 8826094-МСК) от 25.07.2024</t>
  </si>
  <si>
    <t>Gigant Лента клейкая двусторонняя 38мм х25м GIT-23</t>
  </si>
  <si>
    <t>Gigant Лента клейкая малярная 25мм x 50м GIT-26</t>
  </si>
  <si>
    <t>Приходная накладная 2115 (вх. 9870556-МСК) от 19.08.2024</t>
  </si>
  <si>
    <t>Gigant Лента клейкая малярная 50мм x 25м GIT-27</t>
  </si>
  <si>
    <t>Gigant Лопата совковая из рельсовой стали с ребрами жесткости GRS-02</t>
  </si>
  <si>
    <t>Gigant Набор 8-ми сегментных лезвий 18мм, 10шт</t>
  </si>
  <si>
    <t>Приходная накладная 1035 (вх. 4276926-БЛГ) от 16.04.2024</t>
  </si>
  <si>
    <t>Gigant Набор бит 61 шт</t>
  </si>
  <si>
    <t>Gigant Набор бит универсальный с адаптером G-11444</t>
  </si>
  <si>
    <t>Gigant Набор инструментов 19 предметов GT-19</t>
  </si>
  <si>
    <t>Приходная накладная 1933 (вх. 9099550-МСК) от 31.07.2024</t>
  </si>
  <si>
    <t>Gigant Набор отверток 14 штук</t>
  </si>
  <si>
    <t>Gigant Набор отверток с магнитным наконечником 11 предметов GSS 11</t>
  </si>
  <si>
    <t>Приходная накладная 5282 (вх. 12569038-МСК) от 24.10.2024</t>
  </si>
  <si>
    <t>Gigant набор сверл 99 шт G-11088</t>
  </si>
  <si>
    <t>Gigant Обезжириватель 1л GDG-1</t>
  </si>
  <si>
    <t>Gigant Отвертка PH2x75 с магнитным наконечником</t>
  </si>
  <si>
    <t>Gigant Пистолетная быстрозажимная струбцина 300 мм GPQC 300</t>
  </si>
  <si>
    <t>Gigant Поворотные слесарные тиски BV 125</t>
  </si>
  <si>
    <t>Gigant Подводка 1/2х100см Р-100-GG</t>
  </si>
  <si>
    <t>Приходная накладная 976 (вх. 4053419-МСК) от 15.04.2024</t>
  </si>
  <si>
    <t>Gigant Подводка гибкая для воды с оплеткой из нержавеющей стали 1/2"х80 см г/г P-80-GG</t>
  </si>
  <si>
    <t>Приходная накладная 542 (вх. 2670967-МСК) от 13.03.2024</t>
  </si>
  <si>
    <t>Gigant Припой с канифолью 100 гр. 2.0 мм /Sn60 Pb40 Flux 2.2% SP-003</t>
  </si>
  <si>
    <t>Gigant Саморезы п/сф сверло цинк 1 кг, 4,2x32 123577</t>
  </si>
  <si>
    <t>Приходная накладная 547 (вх. 2668048-МСК) от 13.03.2024</t>
  </si>
  <si>
    <t>Gigant Сверлильный станок DP1016</t>
  </si>
  <si>
    <t>Gigant Сигнальная лента желтая, 50мм х 25м GIT-3</t>
  </si>
  <si>
    <t>Gigant Смазка медная термостойкая 405 мл, аэрозоль G-305</t>
  </si>
  <si>
    <t>Gigant Смазка проникающая WD 405 мл, аэрозоль G-302</t>
  </si>
  <si>
    <t>Приходная накладная 5325 (вх. 12930090-МСК) от 25.10.2024</t>
  </si>
  <si>
    <t>Gigant Стеллаж СТФ , G-СТФ-1064-2,0</t>
  </si>
  <si>
    <t>Gigant Стеллаж СТФ,G-СТФ-1064-2,0</t>
  </si>
  <si>
    <t>Gigant Угломер переставной с транспортиром 150 мм</t>
  </si>
  <si>
    <t>Gigant Хомут-стяжка ленточная 2,5*160 черный,100 шт G/1/1</t>
  </si>
  <si>
    <t>Gigant Хомут-стяжка ленточная 4,8х400 черный</t>
  </si>
  <si>
    <t>Приходная накладная 379 (вх. 1839979-МСК) от 21.02.2024</t>
  </si>
  <si>
    <t>Gigant Хомут-стяжка ленточная 5*500 черный,100 шт G/1/10</t>
  </si>
  <si>
    <t>Gigant Цельнометаллическая линейка 300 мм GMR 300</t>
  </si>
  <si>
    <t>Приходная накладная 71 (вх. 0285488-МСК) от 16.01.2024</t>
  </si>
  <si>
    <t>Gigant Цельнометаллическая линейка 500 мм GMR 500</t>
  </si>
  <si>
    <t>Приходная накладная 623 (вх. 2920390-МСК) от 19.03.2024</t>
  </si>
  <si>
    <t>Gigant Шкаф ALR, G-ALR2010</t>
  </si>
  <si>
    <t>Приходная накладная 1383 (вх. 6631180-МСК) от 10.06.2024</t>
  </si>
  <si>
    <t>Gigant Шкаф ARL, G-ALR2010</t>
  </si>
  <si>
    <t>Приходная накладная 1350 (вх. 6289575) от 04.06.2024</t>
  </si>
  <si>
    <t>Gigant Шкаф архивный ШХА , G-ШХА-900(50)</t>
  </si>
  <si>
    <t>Приходная накладная 2199 (вх. 10175075-МСК) от 26.08.2024</t>
  </si>
  <si>
    <t>Gigant Шланг спиральный 10 м; 12x8 мм; рапид G-1150</t>
  </si>
  <si>
    <t>Приходная накладная 284 (вх. 1518321-МСК) от 14.02.2024</t>
  </si>
  <si>
    <t>Gigant Электропаяльник ЭПЦН 100 д</t>
  </si>
  <si>
    <t>GLANZEN Катушка без провода с выносным барабаном Ф240мм EL-01-240 00-00006424</t>
  </si>
  <si>
    <t>GMK325BJ226MM-P</t>
  </si>
  <si>
    <t>GNL-3012HD, Светодиод красный 60° d=3мм 5-10мКд 700нМ (Red)\G-nor</t>
  </si>
  <si>
    <t>GNSS система Holybro DroneCAN RM3100 Professional Grade Compass</t>
  </si>
  <si>
    <t>Приходная накладная 4910 (вх. Ф-Т310701) от 31.07.2024</t>
  </si>
  <si>
    <t>GNSS система Holybro H-RTK M8P Rover Lite</t>
  </si>
  <si>
    <t>Приходная накладная 4911 (вх. Ф-Т300701) от 30.07.2024</t>
  </si>
  <si>
    <t>GP Алкалиновые батарейки Super Alkaline 15А АA - 10 шт. 15A-2CRB10</t>
  </si>
  <si>
    <t>Приходная накладная 4306 (вх. 202407280006) от 28.07.2024</t>
  </si>
  <si>
    <t>GP Алкалиновые батарейки Super Alkaline АA</t>
  </si>
  <si>
    <t>Приходная накладная 161 (вх. 0705047-МСК) от 26.01.2024</t>
  </si>
  <si>
    <t>GP Алкалиновые батарейки Super Alkaline ААA(10шт)</t>
  </si>
  <si>
    <t>Приходная накладная 2221 (вх. 202408190002) от 27.08.2024</t>
  </si>
  <si>
    <t>GP Литиевая дисковая батарейка Lithium, набор 10шт</t>
  </si>
  <si>
    <t>GPS модуль Holybro M9N Pixhawk 4/6c</t>
  </si>
  <si>
    <t>GPS модуль nano m10</t>
  </si>
  <si>
    <t>Приходная накладная 1430 (вх. 236) от 13.06.2024</t>
  </si>
  <si>
    <t>GPS Приемник CUAV NEO 3</t>
  </si>
  <si>
    <t>Приходная накладная 2125 (вх. 383) от 19.08.2024</t>
  </si>
  <si>
    <t>GPS приемник Holybro m9n</t>
  </si>
  <si>
    <t>Приходная накладная 3859 (вх. 438) от 11.09.2024</t>
  </si>
  <si>
    <t>GPS трекер S20</t>
  </si>
  <si>
    <t>Приходная накладная 1246 (вх. 705) от 21.05.2024</t>
  </si>
  <si>
    <t>GPS-трекер для персонала ADM50 ГЛОНАСС</t>
  </si>
  <si>
    <t>Приходная накладная 1725 (вх. 288) от 16.07.2024</t>
  </si>
  <si>
    <t>GQCR2020K16-15 резец</t>
  </si>
  <si>
    <t>Приходная накладная 1140 (вх. УТ-6743) от 06.05.2024</t>
  </si>
  <si>
    <t>Grass Держатель мопов рамочный, 80х10 см, металл, серый IT-0468</t>
  </si>
  <si>
    <t>Приходная накладная 341 (вх. 1568770-МСК) от 15.02.2024</t>
  </si>
  <si>
    <t>Grass Очиститель после ремонта Cement Cleaner 5.5кг 125305</t>
  </si>
  <si>
    <t>Grass Средство для удаления от пятен скотча клея антиграффити жидкость растворитель Antigraffiti 600</t>
  </si>
  <si>
    <t>Приходная накладная 231 (вх. 0793334-МСК) от 29.01.2024</t>
  </si>
  <si>
    <t>Green Giade Набор мебели для пикника мраморный белый М790-1</t>
  </si>
  <si>
    <t>GREENBERG Верстак-стол</t>
  </si>
  <si>
    <t>Приходная накладная 1409 (вх. 6801235-МСК) от 13.06.2024</t>
  </si>
  <si>
    <t>GRIFF Штатив магнитный 176x150мм, усил. отрыва 80 кг</t>
  </si>
  <si>
    <t>GRM1555C1H120JA01D конденсатор Murata</t>
  </si>
  <si>
    <t>GRM1555C1H1R0BA01D</t>
  </si>
  <si>
    <t>GRM1555C1H621GA01D</t>
  </si>
  <si>
    <t>GRM1555C1H9R0DA01D</t>
  </si>
  <si>
    <t>GRM1555C2A221JE01D</t>
  </si>
  <si>
    <t>GRM155R60J225ME15D конденсатор Murata</t>
  </si>
  <si>
    <t>GRM155R61H105KE05D конденсатор Murata</t>
  </si>
  <si>
    <t>GRM155R61H224KE01D конденсатор Murata</t>
  </si>
  <si>
    <t>GRM155R71H104KE14D конденсатор Murata</t>
  </si>
  <si>
    <t>GRM1885C1H5R1C</t>
  </si>
  <si>
    <t>GRM1885C1HR30C</t>
  </si>
  <si>
    <t>GRM188R60J476ME15D</t>
  </si>
  <si>
    <t>GRM188R61A226ME15D</t>
  </si>
  <si>
    <t>GRM188R61C225KE15D</t>
  </si>
  <si>
    <t>GRM188R61E475KE11D</t>
  </si>
  <si>
    <t>GRM188R6YA106MA73D конденсатор Murata</t>
  </si>
  <si>
    <t>GRM2165C1H1R2C</t>
  </si>
  <si>
    <t>GRM2165C1H270J</t>
  </si>
  <si>
    <t>GRM2165C1H2R0C**</t>
  </si>
  <si>
    <t>GRM2165C1H330J</t>
  </si>
  <si>
    <t>GRM2165C1H3R0C</t>
  </si>
  <si>
    <t>GRM2165C1H4R3C</t>
  </si>
  <si>
    <t>GRM21B5C1H223JA01L</t>
  </si>
  <si>
    <t>GRM21BR61A476ME15K</t>
  </si>
  <si>
    <t>Приходная накладная 717 (вх. 3163) от 26.03.2024</t>
  </si>
  <si>
    <t>GRM21BR61E106KA73L</t>
  </si>
  <si>
    <t>GRM21BR71H104KA01L</t>
  </si>
  <si>
    <t>Приходная накладная 54 (вх. 40) от 09.01.2024</t>
  </si>
  <si>
    <t>GRM319R72A104KA01D</t>
  </si>
  <si>
    <t>GRM31B5C2J102JW01L</t>
  </si>
  <si>
    <t>GRM31CR60J107ME39L конденсатор Murata</t>
  </si>
  <si>
    <t>GRM31CR61C226KE15L</t>
  </si>
  <si>
    <t>GRM31CR61E476ME44L конденсатор Murata</t>
  </si>
  <si>
    <t>GRM31CR61H106KA12L</t>
  </si>
  <si>
    <t>GRM31CR71E106KA12L</t>
  </si>
  <si>
    <t>GROSS Заклёпочник литой, усиленный, заклёпки 2,4-4,8мм</t>
  </si>
  <si>
    <t>Приходная накладная 72 (вх. 0285486-МСК) от 16.01.2024</t>
  </si>
  <si>
    <t>GROSS Ключ трубный рычажный №3, 2 цельнокованый</t>
  </si>
  <si>
    <t>GROSS Ключ трубный рычажный, №4, 3", цельнокованый</t>
  </si>
  <si>
    <t>GROSS Молоток слесарный, 300 г</t>
  </si>
  <si>
    <t>Приходная накладная 670 (вх. 3071209-МСК) от 22.03.2024</t>
  </si>
  <si>
    <t>GROSS Рулетка Ergonomisch 10м х 25мм</t>
  </si>
  <si>
    <t>Приходная накладная 707 (вх. 3232817-МСК) от 26.03.2024</t>
  </si>
  <si>
    <t>GROSS Рулетка Experte, 3 м x 19 мм, двухкомпон. корпус, магнит, двухстор. разметка, нейлон 32574</t>
  </si>
  <si>
    <t>GROSS Щипцы для зачистки электропроводов, 0,05-8 кв. мм// 17718</t>
  </si>
  <si>
    <t>Приходная накладная 4291 (вх. 11756442-МСК) от 30.09.2024</t>
  </si>
  <si>
    <t>Groz Стойка индикаторная</t>
  </si>
  <si>
    <t>GTS-9 ремень зубчатый ширина 9 мм</t>
  </si>
  <si>
    <t>GY-BMI 160, гироскоп/акселерометр с цифровым выходом</t>
  </si>
  <si>
    <t>Авансовый отчет 192 от 12.04.2024</t>
  </si>
  <si>
    <t>GY-BMI 160, гироскоп/акселерометр со встроенным DMP процессором и выходом</t>
  </si>
  <si>
    <t>Haiba Кран для писсуара hb33001 551178</t>
  </si>
  <si>
    <t>Приходная накладная 3911 (вх. 10825314-МСК) от 12.09.2024</t>
  </si>
  <si>
    <t>HANDSKIT Комплект спуджеров (лопаток) 3 шт SPU3PCS</t>
  </si>
  <si>
    <t>Приходная накладная 1572 (вх. 7496232-МСК) от 27.06.2024</t>
  </si>
  <si>
    <t>HANDSKIT Стружка для очистки жал паяльника в колбе (Черная) COLBBL</t>
  </si>
  <si>
    <t>Hans Ложемент отвёрток и Г-образных ключей, 30 предметов.</t>
  </si>
  <si>
    <t>Hans Продувочный пистолет 4" 100мм</t>
  </si>
  <si>
    <t>Приходная накладная 2204 (вх. 10173443-МСК) от 26.08.2024</t>
  </si>
  <si>
    <t>Harrison Трубка черная pu 8x12 мм длина 100 м</t>
  </si>
  <si>
    <t>Приходная накладная 1229 (вх. 5601618-МСК) от 20.05.2024</t>
  </si>
  <si>
    <t>Harter fast Отвердитель для 2К</t>
  </si>
  <si>
    <t>Приходная накладная 1132 (вх. 24014534) от 03.05.2024</t>
  </si>
  <si>
    <t>Hawkeye Little Pilot 10 дюймов IPS 1280x720 1000lux 5,8G 48CH DVR FPV монитор 3S-6S</t>
  </si>
  <si>
    <t>Приходная накладная 193 (вх. 27) от 26.01.2024</t>
  </si>
  <si>
    <t>HDMI-переключатель,4 порта,4К,просмотр 4к</t>
  </si>
  <si>
    <t>Авансовый отчет 184  от 12.08.2024</t>
  </si>
  <si>
    <t>HG Пруток латунный ЛС59-1 диаметр 12мм, длина 300 мм</t>
  </si>
  <si>
    <t>Приходная накладная 94 (вх. 0376545-МСК) от 18.01.2024</t>
  </si>
  <si>
    <t>HIGEN Auto Wipe Blue нетканые салфетки в листах,46гр.,синие,1/4,60*32см.,1пач.*50лст. AT235</t>
  </si>
  <si>
    <t>HOCO X90 TYPE-C/TYPE-C BLACK</t>
  </si>
  <si>
    <t>Авансовый отчет 168  от 21.08.2024</t>
  </si>
  <si>
    <t>HOEGERT TECHNIK Набор отверток и бит, 114 пр, сталь S2 HT1S099</t>
  </si>
  <si>
    <t>HR911130A</t>
  </si>
  <si>
    <t>HR911130C</t>
  </si>
  <si>
    <t>HSSE 6H DIN 371-B 800 метчик машинный M 1.6</t>
  </si>
  <si>
    <t>Huter Свеча зажигания 4T F7RTC 71/2/28</t>
  </si>
  <si>
    <t>Приходная накладная 381 (вх. 1839980-МСК) от 21.02.2024</t>
  </si>
  <si>
    <t>Hyperline PWC-IEC13-SHM-3.0-BK Кабель питания компьютера (Schuko+C13) (3x1.00), 10A, угловая вилка,</t>
  </si>
  <si>
    <t>Приходная накладная 4448 (вх. Tr000000335) от 11.01.2024</t>
  </si>
  <si>
    <t>Hyperline Стяжка нейлоновая неоткрывающаяся GT-100MC 16033</t>
  </si>
  <si>
    <t>HYR-1101A (GSA-1101A) (SMA-7801A) (SMA-C58P)(S-M111F), Разъем SMA, штекер, RG-58, обжим (Crimp)\HOYU</t>
  </si>
  <si>
    <t>HYR-1141 (GSA-1141), Разъем SMA, гнездо угловое, на плату\HOYUTEC</t>
  </si>
  <si>
    <t>HYR-1148, Разъем SMA, штекер на плату прямой\HOYUTEC</t>
  </si>
  <si>
    <t>ICM-42688-P датчик TDK</t>
  </si>
  <si>
    <t>IEK Бокс ЩРН-П-24 ИЭК MKP12-N-24-40-10</t>
  </si>
  <si>
    <t>IEK Коробка расп. км41256 100x100x50мм о/к ip54 8 вв. (7035) UKO31-100-100-050-K03-54</t>
  </si>
  <si>
    <t>IN HOME Розетка 1ая с з/к BOLLETO белая</t>
  </si>
  <si>
    <t>INA181A1IDBVR</t>
  </si>
  <si>
    <t>Inforce бита для шуруповерта PH1 L=25мм 2шт в упаковке 11-01-379</t>
  </si>
  <si>
    <t>Приходная накладная 10 (вх. 0026223-МСК) от 06.01.2024</t>
  </si>
  <si>
    <t>Inforce быстрозажимная струбцина 60х600мм</t>
  </si>
  <si>
    <t>Приходная накладная 4290 (вх. 11756427-МСК) от 30.09.2024</t>
  </si>
  <si>
    <t>Inforce Круг лепестковый 125x22,2 P40 11-01-038</t>
  </si>
  <si>
    <t>Inforce Круг лепестковый 125x22,2 P60 11-01-039</t>
  </si>
  <si>
    <t>Inforce Лестница трехсекционная 3x14 ЛП-03-14</t>
  </si>
  <si>
    <t>Inforce Лестница трехсекционная 3x7 ЛП-03-07</t>
  </si>
  <si>
    <t>Приходная накладная 1317 (вх. 6234737-МСК) от 31.05.2024</t>
  </si>
  <si>
    <t>Inforce Набор бит 14 предметов</t>
  </si>
  <si>
    <t>Inforce Набор бит с держателем 56 предметов 11-01-288</t>
  </si>
  <si>
    <t>Inforce Набор отверток ударных 6 шт</t>
  </si>
  <si>
    <t>Inforce Набор сверл по металлу 1-6*0,1мм HSS-Co 11-01-328</t>
  </si>
  <si>
    <t>Приходная накладная 1755 (вх. 8490683-МСК) от 18.07.2024</t>
  </si>
  <si>
    <t>Inforce Профессиональные бокорезы 160 мм 06-18-04</t>
  </si>
  <si>
    <t>Inforce Рулетка с тройным стопом</t>
  </si>
  <si>
    <t>Inforce Рулетка с тройным стопом 5Х25 06-11-71</t>
  </si>
  <si>
    <t>Inforce Сверло по металлу HSS-G 9х125х81 мм</t>
  </si>
  <si>
    <t>Inforce Штангенциркуль цифровой 0-150мм/0-6"*0.01мм/0.0005" 06-11-39</t>
  </si>
  <si>
    <t>INGCO Бокорезы 180мм INDUSTRIAL HHLDCP28180</t>
  </si>
  <si>
    <t>INGCO Бокорезы усиленные 200 мм INDUSTRIAL HHHDCP28200</t>
  </si>
  <si>
    <t>INGCO Набор шарнирно-губцевого инструмента</t>
  </si>
  <si>
    <t>Приходная накладная 334 (вх. 1723504-МСК) от 19.02.2024</t>
  </si>
  <si>
    <t>Intro USB кабель CI650 typeC белый 1м</t>
  </si>
  <si>
    <t>IP5306-I2C</t>
  </si>
  <si>
    <t>IPT007N06NATMA1</t>
  </si>
  <si>
    <t>Приходная накладная 376 (вх. 1750) от 19.02.2024</t>
  </si>
  <si>
    <t>IRFZ44N, Транзистор\BLUEROCK</t>
  </si>
  <si>
    <t>ISMA Ключи комбинированные, набор 12пр. (6-15, 17, 19мм) ISMA-5124MP DV(58245)</t>
  </si>
  <si>
    <t>Приходная накладная 5258 (вх. 12827269-МСК) от 23.10.2024</t>
  </si>
  <si>
    <t>Isolon 500 3010 AH D702 1.5</t>
  </si>
  <si>
    <t>Приходная накладная 903 (вх. 916) от 05.04.2024</t>
  </si>
  <si>
    <t>Приходная накладная 843 (вх. 859) от 01.04.2024</t>
  </si>
  <si>
    <t>Isolon 500 3030 AH D702 2x1</t>
  </si>
  <si>
    <t>Приходная накладная 3843 (вх. 2828) от 10.09.2024</t>
  </si>
  <si>
    <t>IT-1102W</t>
  </si>
  <si>
    <t>iTOK Кабель КГтп-ХЛ 5x2,5 (10 метров)</t>
  </si>
  <si>
    <t>Приходная накладная 2050 (вх. 9206631-МСК) от 13.08.2024</t>
  </si>
  <si>
    <t>IZELTAS Ключ Г-образн. 6-гран.17 мм</t>
  </si>
  <si>
    <t>IZELTAS Ключ накидной силовой ударный 42 мм</t>
  </si>
  <si>
    <t>Приходная накладная 1413 (вх. 6801259-МСК) от 13.06.2024</t>
  </si>
  <si>
    <t>Izoway Пленка полиэтиленовая</t>
  </si>
  <si>
    <t>Приходная накладная 179 (вх. 0909180-МСК) от 31.01.2024</t>
  </si>
  <si>
    <t>Jakemy Набор отвёрток 66 в 1</t>
  </si>
  <si>
    <t>Приходная накладная 1717 (вх. 8370156-МСК) от 16.07.2024</t>
  </si>
  <si>
    <t>Jeta PRO Грунт эпоксидный + отвердитель</t>
  </si>
  <si>
    <t>Приходная накладная 4225 (вх. 11646) от 26.09.2024</t>
  </si>
  <si>
    <t>Jeta Safety Нарукавники от порезов термостойкие из кевлара, 56см, 1 пара</t>
  </si>
  <si>
    <t>Приходная накладная 1921 (вх. 9029732-МСК) от 30.07.2024</t>
  </si>
  <si>
    <t>Jeta Safety Противопылевой комплект, размер M</t>
  </si>
  <si>
    <t>Jeta Шпаклевка 5541</t>
  </si>
  <si>
    <t>Jetservice Губка автомольная крупнопористая 250x120x60мм СП-168</t>
  </si>
  <si>
    <t>JETTOOLS Органайзер с подвесом 170x80x25 мм 3 отделения JT550444</t>
  </si>
  <si>
    <t>Jokari Клещи для снятия изоляции Super 4 plus 20050</t>
  </si>
  <si>
    <t>Приходная накладная 283 (вх. 1518320-МСК) от 14.02.2024</t>
  </si>
  <si>
    <t>Jonnesway P066A Пассатижи многофункциональные утконосы 6" 48281</t>
  </si>
  <si>
    <t>Приходная накладная 2197 (вх. 10043394-БЛГ) от 23.08.2024</t>
  </si>
  <si>
    <t>Jonnesway Набор щипцов для стопорных колец</t>
  </si>
  <si>
    <t>JRB1H471M05001000200000B</t>
  </si>
  <si>
    <t>JSD Набор цанг ER11 1-7mm -13pcs пластик.кейс cb20003</t>
  </si>
  <si>
    <t>Приходная накладная 829 (вх. 3388198-МСК) от 29.03.2024</t>
  </si>
  <si>
    <t>JTC вставка 1/4 DR 6-гранная 2x25мм S2</t>
  </si>
  <si>
    <t>Приходная накладная 36 (вх. 0137944-МСК) от 11.01.2024</t>
  </si>
  <si>
    <t>JTC Вставка 1/4 DR T6H 30мм</t>
  </si>
  <si>
    <t>Приходная накладная 456 (вх. 2112996-МСК) от 28.02.2024</t>
  </si>
  <si>
    <t>JTC Кернер автоматический /1/20/200-3927</t>
  </si>
  <si>
    <t>Приходная накладная 1703 (вх. 8259686-МСК) от 15.07.2024</t>
  </si>
  <si>
    <t>JTC Переходник для компрессора F1/2" мама</t>
  </si>
  <si>
    <t>JTC Переходник для компрессора М1/2" папа</t>
  </si>
  <si>
    <t>JTC Соединитель быстросъемный композитный двухрежимный JTC-C20SMA</t>
  </si>
  <si>
    <t>Приходная накладная 883 (вх. 3605484-МСК) от 03.04.2024</t>
  </si>
  <si>
    <t>JTC Съемник подшипников универсальный двух- и трехзахватный 4, захват 76-102мм /1/16-35164</t>
  </si>
  <si>
    <t>K4F6E3S4HM-MGCJ</t>
  </si>
  <si>
    <t>KATANA Масло для направляющих скольжения SHINOGI CGLP 68, канистра 20л 400</t>
  </si>
  <si>
    <t>Приходная накладная 1919 (вх. 9029713-МСК) от 30.07.2024</t>
  </si>
  <si>
    <t>KENDO Комбинированные плоскогубцы 200 мм 10103</t>
  </si>
  <si>
    <t>KENDO сантехнический трос для прочистки канализационных труб 5м*9мм 50203</t>
  </si>
  <si>
    <t>KERRY Фиксатор резьбы неразъёмный термостойкий (красный) KR-161</t>
  </si>
  <si>
    <t>Приходная накладная 5266 (вх. 12827267-МСК) от 24.10.2024</t>
  </si>
  <si>
    <t>KEYANG Аккумуляторная сабельная пила RS20BLH-30V</t>
  </si>
  <si>
    <t>Kinex Резьбомер М+W+G, 58 шаблонов</t>
  </si>
  <si>
    <t>KING TONY Отвертка торцевая 5,5 мм, 225 мм</t>
  </si>
  <si>
    <t>KINGMAX CLS0911W 26g сервопривод высокого напряжения</t>
  </si>
  <si>
    <t>Приходная накладная 26 (вх. 3) от 09.01.2024</t>
  </si>
  <si>
    <t>Kingston DDR4 16 GB</t>
  </si>
  <si>
    <t>Приходная накладная 4878 (вх. УТ-1007) от 03.10.2024</t>
  </si>
  <si>
    <t>KlestO Ключница K-20R 1228921</t>
  </si>
  <si>
    <t>Приходная накладная 1147 (вх. 4822365-МСК) от 06.05.2024</t>
  </si>
  <si>
    <t>KLMDG4UCTB-B041</t>
  </si>
  <si>
    <t>Приходная накладная 450 (вх. 1961) от 27.02.2024</t>
  </si>
  <si>
    <t>KLS1-207-1-02-S (PLS-2)</t>
  </si>
  <si>
    <t>KLS1-207-1-03-S</t>
  </si>
  <si>
    <t>KLS2-128I-5.00-03P-4S, Клеммник винтовой 3 контакта, шаг 5.0 мм\KLS</t>
  </si>
  <si>
    <t>Приходная накладная 3842 (вх. 0766749) от 10.09.2024</t>
  </si>
  <si>
    <t>KNIPEX COBRA QuickSet клещи переставные с фиксатором</t>
  </si>
  <si>
    <t>Knipex БОКОРЕЗЫ</t>
  </si>
  <si>
    <t>KOPOS Кабельный канал напольный 2 метра LO 75 LD LO 75_LD</t>
  </si>
  <si>
    <t>Приходная накладная 1730 (вх. 8435356-МСК) от 17.07.2024</t>
  </si>
  <si>
    <t>KOPOS Кабельный канал напольный LO 35 HD LO 35_HD</t>
  </si>
  <si>
    <t>Приходная накладная 1648 (вх. 7872474-МСК) от 05.07.2024</t>
  </si>
  <si>
    <t>KOPOS Кабельный канал напольный LO 50_KD</t>
  </si>
  <si>
    <t>KPC357NT0CTLD</t>
  </si>
  <si>
    <t>KRAFT Знак авар. остановки с усил. корп. в пласт. пенале</t>
  </si>
  <si>
    <t>KRAFT Клещи зажимные 180мм KT 700954</t>
  </si>
  <si>
    <t>KRAFT Набор: отверточная рукоятка 65 предметов KT 700447</t>
  </si>
  <si>
    <t>KRAFTOOL AutoStop Рулетка с автостопом 5 м</t>
  </si>
  <si>
    <t>Приходная накладная 378 (вх. 1839976-МСК) от 21.02.2024</t>
  </si>
  <si>
    <t>Kraftool CK-6 стриппер, 0.2-6мм2,22630</t>
  </si>
  <si>
    <t>KRAFTOOL Precision прецизионные бокорезы чистый рез 115 мм</t>
  </si>
  <si>
    <t>KRAFTOOL Precision прецизионные бокорезы чистый рез 155 мм 220017-8-15_z01</t>
  </si>
  <si>
    <t>KRAFTOOL Перчатки с покрытием из вспененного нитрила, размер L</t>
  </si>
  <si>
    <t>KRASS Клемма заземления КЗ-300</t>
  </si>
  <si>
    <t>KSV.012001.600.01-1 крм модем</t>
  </si>
  <si>
    <t>KSV.012001.600.02 крм модем</t>
  </si>
  <si>
    <t>KSV.012001.600.05 крм модем</t>
  </si>
  <si>
    <t>KSV.012001.600.06 крм модем</t>
  </si>
  <si>
    <t>KSV.012001.600.08-1 крм модем</t>
  </si>
  <si>
    <t>KSV.012001.600.09-1 крм модем</t>
  </si>
  <si>
    <t>KSV.012001.600.13 крм модем</t>
  </si>
  <si>
    <t>KSV.012001.600.16 для крм модем</t>
  </si>
  <si>
    <t>KSV.012001.600.17 для крм модем</t>
  </si>
  <si>
    <t>Приходная накладная 4163 (вх. 20240920-1) от 23.09.2024</t>
  </si>
  <si>
    <t>KSV.012001.604.01 Кабель энкодера 270 мм</t>
  </si>
  <si>
    <t>Приходная накладная 1253 (вх. 65) от 21.05.2024</t>
  </si>
  <si>
    <t>L7809ABD2T</t>
  </si>
  <si>
    <t>LAMMIN Заглушка ВК 50 Lm35010001150</t>
  </si>
  <si>
    <t>Приходная накладная 4447 (вх. 0135784-МСК) от 11.01.2024</t>
  </si>
  <si>
    <t>LANMASTER Оптическая розетка на 2 адаптера SC, 86х86х24 мм, белая LAN-SBF2-WH</t>
  </si>
  <si>
    <t>Приходная накладная 864 (вх. 3552998-МСК) от 02.04.2024</t>
  </si>
  <si>
    <t>LAVR Очищающая паста для рук с абразивом 200 мл</t>
  </si>
  <si>
    <t>LAVR Очищающая паста для рук с гранулами 200 мл</t>
  </si>
  <si>
    <t>LAVR Смазка цепи для мотоциклов дорожная MOTO, 140 мл</t>
  </si>
  <si>
    <t>LC319310767CN</t>
  </si>
  <si>
    <t>LCD дисплей Nokia 5110</t>
  </si>
  <si>
    <t>Приходная накладная 852 (вх. 219) от 28.03.2024</t>
  </si>
  <si>
    <t>LCD экран 10,1 дюйма</t>
  </si>
  <si>
    <t>Приходная накладная 1681 (вх. 201) от 10.07.2024</t>
  </si>
  <si>
    <t>LED- тестер для зарядки литиевых и литевых батарей, 4,2-29,4 в ассортименте</t>
  </si>
  <si>
    <t>LEDEME Смеситель для кухни с гайкой, нержавейка, L74998A-4 65892</t>
  </si>
  <si>
    <t>LEOCH Аккумулятор для ИБП DJM</t>
  </si>
  <si>
    <t>LGS63030</t>
  </si>
  <si>
    <t>LH26-FS/BLB/E27</t>
  </si>
  <si>
    <t>Li18650/3000, Аккумулятор Li-ion 18650, 3000mAh</t>
  </si>
  <si>
    <t>L-KLS1-285-1-N-1-R</t>
  </si>
  <si>
    <t>Приходная накладная 653 (вх. 2797) от 21.03.2024</t>
  </si>
  <si>
    <t>L-KLS1-SMA012-RG-58C/U, разъем SMA на кабель RG-58\KLS</t>
  </si>
  <si>
    <t>LM217MDT</t>
  </si>
  <si>
    <t>LM2596 DC-DC Module, Встраиваемый стабилизатор напряжения--xl4015 (тубус)</t>
  </si>
  <si>
    <t>Приходная накладная 399 (вх. 58) от 19.02.2024</t>
  </si>
  <si>
    <t>LM2665M6/NOPB микросхема Texas Instruments</t>
  </si>
  <si>
    <t>LMR16030PDDAR</t>
  </si>
  <si>
    <t>LMR36520FADDAR преобразователь Texas Instruments</t>
  </si>
  <si>
    <t>LOM Линейка измерительная , металлическая, 500 мм</t>
  </si>
  <si>
    <t>LP3983SAB5F-08</t>
  </si>
  <si>
    <t>LQG15HN12NJ</t>
  </si>
  <si>
    <t>LQG15HN1N5S</t>
  </si>
  <si>
    <t>LQG18HN47NJ</t>
  </si>
  <si>
    <t>LQG18HN8N2J</t>
  </si>
  <si>
    <t>LQH32MN470K</t>
  </si>
  <si>
    <t>LQH43MN821K03L</t>
  </si>
  <si>
    <t>LQH44PN4R7MP0L</t>
  </si>
  <si>
    <t>LQW18AN10NG00D</t>
  </si>
  <si>
    <t>LQW18AN27NG</t>
  </si>
  <si>
    <t>LQW18AN33NG</t>
  </si>
  <si>
    <t>LQW18ANR10J</t>
  </si>
  <si>
    <t>LR2725-24R00025F1 резистор RALEC</t>
  </si>
  <si>
    <t>LR8341A-T33</t>
  </si>
  <si>
    <t>LRS-350N2-36, Источник питания, Блок питания, 36В,9.7А,349Вт\MEAN WELL</t>
  </si>
  <si>
    <t>Приходная накладная 2023 (вх. 0671372) от 09.08.2024</t>
  </si>
  <si>
    <t>LTST-C190GKT Светодиод Lite-ON</t>
  </si>
  <si>
    <t>Luscan Luscan Насадка МОП плоская Дуэт хлопок микрофибра 40x11 см бежевая 1016068</t>
  </si>
  <si>
    <t>Приходная накладная 340 (вх. 1265282-МСК) от 08.02.2024</t>
  </si>
  <si>
    <t>Luscan Luscan Насадка МОП плоская хлопок 40x11 см бежевая 1016067</t>
  </si>
  <si>
    <t>Luscan Полотенца бумажные д/дисп.Z сл. 2 сл втор 200 л 21 пач/уп</t>
  </si>
  <si>
    <t>Luscan Полотенца бумажныеZ-сложения 2-слойные белые , арт. 784581</t>
  </si>
  <si>
    <t>Приходная накладная 342 (вх. 1568748-МСК) от 15.02.2024</t>
  </si>
  <si>
    <t>Luscan Средство для стекол и зеркал Professional 500 мл , с нашатырным спиртом 1054687</t>
  </si>
  <si>
    <t>Lusin Lub PZO 152</t>
  </si>
  <si>
    <t>Приходная накладная 577 (вх. 283) от 11.03.2024</t>
  </si>
  <si>
    <t>Lusin MC 1718</t>
  </si>
  <si>
    <t>Lusin Protect G 31F</t>
  </si>
  <si>
    <t>MAKEL Колодка удлинителя 6-м с заземл. MGP 181</t>
  </si>
  <si>
    <t>Makita Сверло 5x85мм по дереву</t>
  </si>
  <si>
    <t>Приходная накладная 4288 (вх. 11756434-МСК) от 30.09.2024</t>
  </si>
  <si>
    <t>MAMK2520T2R2M</t>
  </si>
  <si>
    <t>Markal Маркер для замасленных поверхностей, 3 мм, белый</t>
  </si>
  <si>
    <t>Martika Контейнер для пищевых продуктов 10л</t>
  </si>
  <si>
    <t>Martika Контейнер для пищевых продуктов 10л С207П</t>
  </si>
  <si>
    <t>Приходная накладная 1940 (вх. 8556518-БЛГ) от 31.07.2024</t>
  </si>
  <si>
    <t>Martika Корзина для мусора "Феста" 11л С722</t>
  </si>
  <si>
    <t>Приходная накладная 395 (вх. 1787981-МСК) от 20.02.2024</t>
  </si>
  <si>
    <t>MasterProf Набор прокладок для кнопочного смесителя ИС.130257</t>
  </si>
  <si>
    <t>MasterProf Набор сантехнических прокладок № 1, MP-У ИС.130253</t>
  </si>
  <si>
    <t>MasterProf Прокладка для смывного бачка круглая 112x85x13 белая, MP-У ИС.130252</t>
  </si>
  <si>
    <t>Matek оптический датчик потока lidar 3901-L0X</t>
  </si>
  <si>
    <t>Приходная накладная 1469 (вх. 62) от 18.06.2024</t>
  </si>
  <si>
    <t>MATRIX Биты с торцевыми головками 10mm- 45mm 2шт</t>
  </si>
  <si>
    <t>MATRIX Валик сменный ГИРПАИНТ, 250мм, ворс 12мм, D48мм, Dручки-8 мм, полиакрил// 80750</t>
  </si>
  <si>
    <t>MATRIX Кисть флейцевая ВОДНЫЕ КРАСКИ Color Line 100x12 мм 83348</t>
  </si>
  <si>
    <t>MATRIX Лезвия, 18 мм, 10 шт., многосегментные// MATRIX 79312</t>
  </si>
  <si>
    <t>MATRIX Молоток слесарный, 100 г, фибергласовая обрезиненная рукоятка// 10315</t>
  </si>
  <si>
    <t>MATRIX Набор ключей комбинированных, трещоточных 22 шт</t>
  </si>
  <si>
    <t>MATRIX Ручка для валиков 250 мм, D 8 мм, никелированная// 81245</t>
  </si>
  <si>
    <t>MATRIX сверло ступенчатое 72353</t>
  </si>
  <si>
    <t>MAX40200AUK+</t>
  </si>
  <si>
    <t>Mayatech MT5 MT10 PRO  прибор для измерения упорной тяги двигателя/буртинга 10кг 6-28в</t>
  </si>
  <si>
    <t>Авансовый отчет 148  от 18.09.2024</t>
  </si>
  <si>
    <t>MC7812CD2TG</t>
  </si>
  <si>
    <t>Приходная накладная 355 (вх. 780957) от 14.02.2024</t>
  </si>
  <si>
    <t>MDA1050-220M индуктивность KOHERelec</t>
  </si>
  <si>
    <t>MDA7050-150M индуктивность KOHERelec</t>
  </si>
  <si>
    <t>Mean Well Источник питания AC/DC</t>
  </si>
  <si>
    <t>Приходная накладная 324 (вх. 1723505-МСК) от 19.02.2024</t>
  </si>
  <si>
    <t>M-ER Весы 333ACP-150.50</t>
  </si>
  <si>
    <t>Приходная накладная 1677 (вх. 8093911-МСК) от 10.07.2024</t>
  </si>
  <si>
    <t>MESSER Ступенчатое сверло со спиральной канавкой 4-12ММ 9 ступеней</t>
  </si>
  <si>
    <t>Metabo Аккум. дрель-шуруповерт PowerMaxx BS 12 V 2х2.0</t>
  </si>
  <si>
    <t>Приходная накладная 1758 (вх. 8489956-МСК) от 18.07.2024</t>
  </si>
  <si>
    <t>Metabo АККУМУЛЯТОРНЫЙ ШУРУПОВЕРТ</t>
  </si>
  <si>
    <t>Приходная накладная 504 (вх. 2360222-МСК) от 05.03.2024</t>
  </si>
  <si>
    <t>Metabo Круг отрез. нерж SP-Novorapid 125x1.0x22,23 мм RU 617162000</t>
  </si>
  <si>
    <t>Metabo Набор HSS-Co 19 свёрел 1-10мм в мет.кор. 627157000</t>
  </si>
  <si>
    <t>MFK-TORG Замок для щитка с трехгранным ключом</t>
  </si>
  <si>
    <t>MF-NSMF050-2</t>
  </si>
  <si>
    <t>MIC5219-5.0YM5-TR микросхема Microchip</t>
  </si>
  <si>
    <t>Micro JST GH1.25 150mm 10Р Single Connector 28AWG</t>
  </si>
  <si>
    <t>Micro JST GH1.25 150mm 3Р Single Connector 28AWG</t>
  </si>
  <si>
    <t>Micro JST GH1.25 150mm 4Р Single Connector 28AWG</t>
  </si>
  <si>
    <t>Micro JST GH1.25 150mm 5Р Single Connector 28AWG</t>
  </si>
  <si>
    <t>Micro JST GH1.25 150mm 6Р Single Connector 28AWG</t>
  </si>
  <si>
    <t>Micro JST GH1.25 150mm 7Р Single Connector 28AWG</t>
  </si>
  <si>
    <t>Micro JST GH1.25 150mm 8Р Single Connector 28AWG</t>
  </si>
  <si>
    <t>MIXLINE Мойка врез 50х65 0,8 лев вып 3 1/2 18см с сифоном 533713</t>
  </si>
  <si>
    <t>MKS Nano4 3.1 c ТМС2225 Плата управления для 3D принтера</t>
  </si>
  <si>
    <t>Приходная накладная 1305 (вх. 1254172/2) от 27.05.2024</t>
  </si>
  <si>
    <t>ML Верстак1800 ML4 с экраном</t>
  </si>
  <si>
    <t>Приходная накладная 1529 (вх. 1710) от 24.06.2024</t>
  </si>
  <si>
    <t>MN501-S IP45 Navigator Type UAV Multi-Motor KV300</t>
  </si>
  <si>
    <t>Приходная накладная 1603 (вх. 67) от 27.06.2024</t>
  </si>
  <si>
    <t>Mobil Смазка автомобильная "Mobilgrease XHP 222</t>
  </si>
  <si>
    <t>MOLYKOTE Пластичная смазка  Longterm 2 Plus</t>
  </si>
  <si>
    <t>Приходная накладная 130 (вх. 0505580-МСК) от 22.01.2024</t>
  </si>
  <si>
    <t>MOS Пинцет прямой нержавеющий 125 мм 67437М</t>
  </si>
  <si>
    <t>MOXA EDS-P206A-4PoE-T</t>
  </si>
  <si>
    <t>Приходная накладная 5101 (вх. 463) от 10.01.2024</t>
  </si>
  <si>
    <t>MP9942GJ-Z</t>
  </si>
  <si>
    <t>MT3608</t>
  </si>
  <si>
    <t>N2LX12100 Фреза спиральная двухзаходная 12мм</t>
  </si>
  <si>
    <t>Приходная накладная 1925 (вх. 7653) от 30.07.2024</t>
  </si>
  <si>
    <t>Navigator Колодки КЗВ 14 092 NTB-HPEZ-S12-15/WH (уп.10шт)</t>
  </si>
  <si>
    <t>Приходная накладная 1879 (вх. 8933543-МСК) от 29.07.2024</t>
  </si>
  <si>
    <t>Navigator Набор трубок термоус. ТУТ NST-4-12-10-34-M 71192 (34 шт в уп.)</t>
  </si>
  <si>
    <t>Navigator Шина нулевая на DIN-изол. в оболочке 8x12-14</t>
  </si>
  <si>
    <t>Приходная накладная 2242 (вх. 10316409-МСК) от 28.08.2024</t>
  </si>
  <si>
    <t>NBPT Трубка PU 8*6-100M - ПРОЗРАЧНАЯ</t>
  </si>
  <si>
    <t>Приходная накладная 1388 (вх. 6627931-МСК) от 10.06.2024</t>
  </si>
  <si>
    <t>NCP15XH103F03RC датчик температуры Murata</t>
  </si>
  <si>
    <t>NE-AD Выключатель 3-кл., 10А, 250В, MULTIMA, Белый</t>
  </si>
  <si>
    <t>NE-AD Колодка штепсельная 3-гн. с крышками, 16А, IP54</t>
  </si>
  <si>
    <t>NE-AD Колодка штепсельная 4-гн. с крышкой 16А, IP54</t>
  </si>
  <si>
    <t>NFC Подшипник 80100 6000 ZZ 80100 (6000 ZZ) NFC</t>
  </si>
  <si>
    <t>Приходная накладная 1228 (вх. 5601621-МСК) от 20.05.2024</t>
  </si>
  <si>
    <t>Nika Вешалка Комфорт напольная черная</t>
  </si>
  <si>
    <t>Приходная накладная 109 (вх. 0414516-МСК) от 19.01.2024</t>
  </si>
  <si>
    <t>NIKOMAX Коммутационный шнур U/UTP 4 пары, белый, 0,3м</t>
  </si>
  <si>
    <t>NMC-PC4UD55B-003-WT патч корд медный</t>
  </si>
  <si>
    <t>Приходная накладная 3865 (вх. РнФ201435) от 11.09.2024</t>
  </si>
  <si>
    <t>NORDBERG Воздушный фильтр с редуктором, 1/4", 2000 л/мин NP8212</t>
  </si>
  <si>
    <t>Nord-Yada Клавиша 250V 16А черная (4конт.) ON-OFF (2шт в уп)</t>
  </si>
  <si>
    <t>Приходная накладная 1581 (вх. 7555137-МСК) от 28.06.2024</t>
  </si>
  <si>
    <t>Nord-Yada Трубка термоусадочная 1,0 мм/0,5 мм длина 1м черная 5 шт 905400</t>
  </si>
  <si>
    <t>Nord-Yada Хомут червячный 32-50мм нерж.сталь</t>
  </si>
  <si>
    <t>Приходная накладная 1393 (вх. 6627926-МСК) от 10.06.2024</t>
  </si>
  <si>
    <t>NORGAU Головка измерительная 0,8-0,01 рычажно - зубчатая</t>
  </si>
  <si>
    <t>NORGAU Штангенциркуль с круговой шкалой 0-150 мм/0,02 мм, тип NCR-1502, 040027015</t>
  </si>
  <si>
    <t>NORGAU Штангенциркуль с круговой шкалой 300 мм/0,02 мм, тип NCR-3002 с поверкой, 040027030/П</t>
  </si>
  <si>
    <t>Novol Шпатлевка Жидкая банка (0.8л)</t>
  </si>
  <si>
    <t>Приходная накладная 1853 (вх. 8826092-МСК) от 25.07.2024</t>
  </si>
  <si>
    <t>NTCG163JF103FT1</t>
  </si>
  <si>
    <t>NTD20N06LT4G</t>
  </si>
  <si>
    <t>Приходная накладная 184 (вх. 0074163) от 31.01.2024</t>
  </si>
  <si>
    <t>NTMFS5C628NLT1G транзистор ONSEMI</t>
  </si>
  <si>
    <t>NV Print Картридж NVP совместимый для Xerox Phaser NV-106R02773</t>
  </si>
  <si>
    <t>NV Швабра для мопов кентукки синий NV-MOP107B</t>
  </si>
  <si>
    <t>Olto Термопот TP-5001 O00002737</t>
  </si>
  <si>
    <t>Ombra OMT108S Универсальный набор инструмента</t>
  </si>
  <si>
    <t>Optiline Салфетка из микрофибры 30x30см</t>
  </si>
  <si>
    <t>Приходная накладная 382 (вх. 1839978-МСК) от 21.02.2024</t>
  </si>
  <si>
    <t>ORIO ОРИО крышка для унитаза регулируемая белая. К-01</t>
  </si>
  <si>
    <t>Приходная накладная 60 (вх. 0137951-МСК) от 11.01.2024</t>
  </si>
  <si>
    <t>OXION Колодка клеммная 6 пар 60а</t>
  </si>
  <si>
    <t>Oxiss Скотч универсальный 48/100/40 прозрачный 4630025428235</t>
  </si>
  <si>
    <t>Приходная накладная 2228 (вх. 10238394-БЛГ) от 27.08.2024</t>
  </si>
  <si>
    <t>OZONE Мешок синтетический для стружкооткоса</t>
  </si>
  <si>
    <t>Приходная накладная 1661 (вх. 7926348-МСК) от 08.07.2024</t>
  </si>
  <si>
    <t>P600M</t>
  </si>
  <si>
    <t>Приходная накладная 1222 (вх. 0408744) от 17.05.2024</t>
  </si>
  <si>
    <t>PAM8403DR</t>
  </si>
  <si>
    <t>Panzer-90 ключ трубный</t>
  </si>
  <si>
    <t>Приходная накладная 1183 (вх. 5377879-МСК) от 14.05.2024</t>
  </si>
  <si>
    <t>PCE Вилка кабельная 16А 400V 3P+N+E IP44 015-6</t>
  </si>
  <si>
    <t>PD/QC/AFC триггер быстрой зарядки Type-C до 65W</t>
  </si>
  <si>
    <t>Приходная накладная 750 (вх. 0146751736-0080/2003) от 20.03.2024</t>
  </si>
  <si>
    <t>PENG127OWAL мебель для персонала POLO Стол118*68*75см, Светлый дуб/алюминий</t>
  </si>
  <si>
    <t>Приходная накладная 81 (вх. 17) от 17.01.2024</t>
  </si>
  <si>
    <t>PESD5V0S1BA,115 диод NEX</t>
  </si>
  <si>
    <t>Phonemate Набор жал паяльника медных ST0206 5шт М7762902</t>
  </si>
  <si>
    <t>PHR-2 Корпус розетки</t>
  </si>
  <si>
    <t>Приходная накладная 4194 (вх. 235) от 24.09.2024</t>
  </si>
  <si>
    <t>PHR-4</t>
  </si>
  <si>
    <t>PJ-342B-TX-SMT</t>
  </si>
  <si>
    <t>PLACE Опора 1.5мм RAL5015 гладкая полуматовая</t>
  </si>
  <si>
    <t>Приходная накладная 1967 (вх. ЦБ-4481) от 02.08.2024</t>
  </si>
  <si>
    <t>PLACE Столешница металлическая 2000х700мм</t>
  </si>
  <si>
    <t>Plastim Вентиляционная решетка с фильтром IP54 PFI3000</t>
  </si>
  <si>
    <t>PMV65XPEA</t>
  </si>
  <si>
    <t>Pobedit Н-р 1/4 6-гран. торц. гол. с трещеткой</t>
  </si>
  <si>
    <t>Приходная накладная 154 (вх. 0655470-МСК) от 25.01.2024</t>
  </si>
  <si>
    <t>Poding легкая трубка пластиковая светодиодная осветлитеольная трубка RoHS</t>
  </si>
  <si>
    <t>Power Cube Фильтр-удл. PC PRO 5м 6р</t>
  </si>
  <si>
    <t>Приходная накладная 458 (вх. 2113000-МСК) от 28.02.2024</t>
  </si>
  <si>
    <t>Power Cube Фильтр-удлинитель белый 16А/3,5кВт, SPG(5+1)-16B-1,9M</t>
  </si>
  <si>
    <t>Precision отвертка для точных работ TX6</t>
  </si>
  <si>
    <t>Prio Новая вода Набор картриджей для М410 К 687</t>
  </si>
  <si>
    <t>Приходная накладная 2151 (вх. 9652204-МСК) от 20.08.2024</t>
  </si>
  <si>
    <t>Pro Legend Весы ювелирные электронные МН-999 0,01-600 гр. PL6106</t>
  </si>
  <si>
    <t>Pro Legend Клеммная колодка винтовая с крышкой, 12 контактов, М4, 35 А, 600 В, 8 AWG</t>
  </si>
  <si>
    <t>Pro'sKit ProsKit Лента-поглот.олова DP-033E/термостойкий корпус/ 00356580</t>
  </si>
  <si>
    <t>ProsKit Длинногубцы 166мм</t>
  </si>
  <si>
    <t>ProsKit Дозатор MS-035 1шт=1уп,/2/ 00191928</t>
  </si>
  <si>
    <t>Приходная накладная 1836 (вх. 8701017-МСК) от 24.07.2024</t>
  </si>
  <si>
    <t>ProsKit Клещи для обжима витой пары</t>
  </si>
  <si>
    <t>Приходная накладная 2315 (вх. 10589721-МСК) от 04.09.2024</t>
  </si>
  <si>
    <t>ProsKit Отсос 8PK-366NA</t>
  </si>
  <si>
    <t>ProsKit Пинцет антистатический</t>
  </si>
  <si>
    <t>PRTR5V0U2X</t>
  </si>
  <si>
    <t>PT50-3T-J Светодиодная сигнальная колонна трехцветная с зумером 85дБ</t>
  </si>
  <si>
    <t>Приходная накладная 2129 (вх. 5067) от 19.08.2024</t>
  </si>
  <si>
    <t>PUNTO Корпус замка ML85-50 CP хром 43057</t>
  </si>
  <si>
    <t>Приходная накладная 1893 (вх. 8370157-МСК) от 29.07.2024</t>
  </si>
  <si>
    <t>PUSB3AB4Z</t>
  </si>
  <si>
    <t>PZ254-1-02-Z-8.5</t>
  </si>
  <si>
    <t>PZ254-1-03-Z-8.5</t>
  </si>
  <si>
    <t>PZ254-1-05-Z-8.5</t>
  </si>
  <si>
    <t>QC16R050-R005 YBG205 пластина</t>
  </si>
  <si>
    <t>QC16R075-R01 YBG205 пластина</t>
  </si>
  <si>
    <t>QEAD2020R12 резец</t>
  </si>
  <si>
    <t>QEBD2020R14 резец</t>
  </si>
  <si>
    <t>QMC5883L датчик QST</t>
  </si>
  <si>
    <t>QNAP TS-h973AX-32G NAS сервер сетевое хранилище</t>
  </si>
  <si>
    <t>Приходная накладная 751 (вх. 0146751736-0008/2601) от 26.01.2024</t>
  </si>
  <si>
    <t>QUICKO Термостойкий коврик для пайки и ремонта S130 (350x250мм) QTS130</t>
  </si>
  <si>
    <t>Приходная накладная 5184 (вх. 12569040-МСК) от 21.10.2024</t>
  </si>
  <si>
    <t>QUICKO Термостойкий магнитный коврик для пайки и ремонта S160 (450x300мм) QTS160</t>
  </si>
  <si>
    <t>RAGE By VIRA Лезвия д/ножей сегм. титан. 18 мм 5 шт. 832018</t>
  </si>
  <si>
    <t>RAGE By VIRA Молоток гвоздодер 450г 900224</t>
  </si>
  <si>
    <t>RC0201FR-071K62L</t>
  </si>
  <si>
    <t>RC0201FR-071RL</t>
  </si>
  <si>
    <t>RC0201FR-07499RL</t>
  </si>
  <si>
    <t>RC0201FR-074K02L</t>
  </si>
  <si>
    <t>RC0201JR-070RL</t>
  </si>
  <si>
    <t>RC0402FR-070RL</t>
  </si>
  <si>
    <t>RC0402FR-07100KL</t>
  </si>
  <si>
    <t>RC0402FR-07100RL</t>
  </si>
  <si>
    <t>RC0402FR-07100RL резистор Yageo</t>
  </si>
  <si>
    <t>RC0402FR-0710KL</t>
  </si>
  <si>
    <t>RC0402FR-0710KL резистор YAGEO</t>
  </si>
  <si>
    <t>RC0402FR-0710RL</t>
  </si>
  <si>
    <t>RC0402FR-0710RL резистор Yageo</t>
  </si>
  <si>
    <t>RC0402FR-0712K4L  резистор Yageo</t>
  </si>
  <si>
    <t>RC0402FR-07133RL</t>
  </si>
  <si>
    <t>RC0402FR-0713KL</t>
  </si>
  <si>
    <t>RC0402FR-07150KL</t>
  </si>
  <si>
    <t>RC0402FR-07165KL</t>
  </si>
  <si>
    <t>RC0402FR-07180KL</t>
  </si>
  <si>
    <t>RC0402FR-071K5L</t>
  </si>
  <si>
    <t>RC0402FR-071KL</t>
  </si>
  <si>
    <t>RC0402FR-071ML</t>
  </si>
  <si>
    <t>RC0402FR-07200KL</t>
  </si>
  <si>
    <t>RC0402FR-0720KL</t>
  </si>
  <si>
    <t>RC0402FR-0722KL</t>
  </si>
  <si>
    <t>RC0402FR-0722KL резистор Yageo</t>
  </si>
  <si>
    <t>RC0402FR-0722RL</t>
  </si>
  <si>
    <t>RC0402FR-0722RL  резистор Yageo</t>
  </si>
  <si>
    <t>RC0402FR-07240KL</t>
  </si>
  <si>
    <t>RC0402FR-07240RL</t>
  </si>
  <si>
    <t>RC0402FR-0724K9L резистор Yageo</t>
  </si>
  <si>
    <t>RC0402FR-07267KL</t>
  </si>
  <si>
    <t>RC0402FR-072K2L чип-резистор YAGEO</t>
  </si>
  <si>
    <t>RC0402FR-072K49L</t>
  </si>
  <si>
    <t>RC0402FR-072K4L</t>
  </si>
  <si>
    <t>RC0402FR-072K7L</t>
  </si>
  <si>
    <t>RC0402FR-072KL</t>
  </si>
  <si>
    <t>RC0402FR-072ML</t>
  </si>
  <si>
    <t>RC0402FR-072R2L</t>
  </si>
  <si>
    <t>RC0402FR-072RL</t>
  </si>
  <si>
    <t>RC0402FR-07300KL</t>
  </si>
  <si>
    <t>RC0402FR-0730KL</t>
  </si>
  <si>
    <t>RC0402FR-07330RL Резисторы Yageo</t>
  </si>
  <si>
    <t>RC0402FR-0733KL</t>
  </si>
  <si>
    <t>RC0402FR-0733RL</t>
  </si>
  <si>
    <t>RC0402FR-073KL резистор YAGEO</t>
  </si>
  <si>
    <t>RC0402FR-07470RL</t>
  </si>
  <si>
    <t>RC0402FR-0747KL</t>
  </si>
  <si>
    <t>RC0402FR-075K1L</t>
  </si>
  <si>
    <t>RC0402FR-0762KL</t>
  </si>
  <si>
    <t>RC0402FR-076K8L</t>
  </si>
  <si>
    <t>RC0402FR-0782KL</t>
  </si>
  <si>
    <t>RC0402FR-078K2L</t>
  </si>
  <si>
    <t>RC0402JR-070RL резистор YAGEO</t>
  </si>
  <si>
    <t>RC0402JR-071K8L резисторы Yageo</t>
  </si>
  <si>
    <t>RC0402JR-071KL</t>
  </si>
  <si>
    <t>RC0402JR-071KL резистор Yageo</t>
  </si>
  <si>
    <t>RC0402JR-07200KL</t>
  </si>
  <si>
    <t>RC0402JR-072K2L</t>
  </si>
  <si>
    <t>RC0402JR-07300RL</t>
  </si>
  <si>
    <t>RC0402JR-074K7L</t>
  </si>
  <si>
    <t>RC0402JR-075K1L</t>
  </si>
  <si>
    <t>RC0402JR-0791KL</t>
  </si>
  <si>
    <t>RC0603FR-070RL</t>
  </si>
  <si>
    <t>RC0603FR-07100KL</t>
  </si>
  <si>
    <t>RC0603FR-0710KL</t>
  </si>
  <si>
    <t>RC0603FR-0710KL резистор YAG</t>
  </si>
  <si>
    <t>RC0603FR-0710KL Резисторы Yageo</t>
  </si>
  <si>
    <t>RC0603FR-0710RL резистор YAG</t>
  </si>
  <si>
    <t>Приходная накладная 4152 (вх. 1909) от 26.02.2024</t>
  </si>
  <si>
    <t>RC0603FR-0717K4L</t>
  </si>
  <si>
    <t>RC0603FR-071K6L</t>
  </si>
  <si>
    <t>RC0603FR-071K6L резистор YAG</t>
  </si>
  <si>
    <t>RC0603FR-071KL</t>
  </si>
  <si>
    <t>RC0603FR-0722RL</t>
  </si>
  <si>
    <t>RC0603FR-072K2L</t>
  </si>
  <si>
    <t>RC0603FR-072R4L</t>
  </si>
  <si>
    <t>RC0603FR-0749K9L</t>
  </si>
  <si>
    <t>RC0603FR-075R1L</t>
  </si>
  <si>
    <t>RC0603FR-0775RL  резистор Yageo</t>
  </si>
  <si>
    <t>RC0603JR-071K8L</t>
  </si>
  <si>
    <t>RC0603JR-07240RL</t>
  </si>
  <si>
    <t>RCLAMP0524PATCT</t>
  </si>
  <si>
    <t>RCMOY 1.2 Ghz РАДИОУПРАВЛЯЕМЫЙ БЕСПРОВОДНОЙ ПЕРЕДАТЧИК С НИЗКИМ ПРОХОДОМ МИНИ-ФИЛЬТР ДЛЯ</t>
  </si>
  <si>
    <t>RD01MUS2-T113</t>
  </si>
  <si>
    <t>RD07MVS1-501</t>
  </si>
  <si>
    <t>RD6018W RUIDENG WiFi USB цифровой DC-DC преобразователь 1080Вт, Источник питания\RuiDeng</t>
  </si>
  <si>
    <t>RENNSTEIG КЕРНЕРЫ</t>
  </si>
  <si>
    <t>Приходная накладная 2067 (вх. 9715117-МСК) от 14.08.2024</t>
  </si>
  <si>
    <t>REXANT 1.0/0.5 мм 1м термоусадка красная 50 шт 20-1004</t>
  </si>
  <si>
    <t>REXANT 3.0 / 1.5 мм 1м термоусадка черная 50 шт в уп 20-3006</t>
  </si>
  <si>
    <t>Приходная накладная 5177 (вх. 12535874-БЛГ) от 17.10.2024</t>
  </si>
  <si>
    <t>REXANT 5.0 / 2.5 мм 1м термоусадка черная 20-5006</t>
  </si>
  <si>
    <t>REXANT CT-3616 Набор для пайки /6 предметов/ /ZD-151/ 12-6031</t>
  </si>
  <si>
    <t>REXANT Блок питания 24 В 150 Вт 6,25 А</t>
  </si>
  <si>
    <t>Приходная накладная 330 (вх. 1723501-МСК) от 19.02.2024</t>
  </si>
  <si>
    <t>REXANT Блок распределительный рбд-160а на din-рейку</t>
  </si>
  <si>
    <t>Приходная накладная 552 (вх. 2621454-МСК) от 12.03.2024</t>
  </si>
  <si>
    <t>REXANT Вакуумный экстрактор припоя оловоотсос, пластик, прозрачно-красный 12-0204</t>
  </si>
  <si>
    <t>REXANT Вилка прямая влагозащищенная, с/з, 16 А, IP44 каучук</t>
  </si>
  <si>
    <t>REXANT Губка для очистки паяльного жала (93x50 мм) для ZD-99 12-0191</t>
  </si>
  <si>
    <t>REXANT Зажим крокодил в изоляторе, длина 46 мм, ток 5A, 2 шт 16-0002-9</t>
  </si>
  <si>
    <t>REXANT Зажим монтажный прямой 270 мм 12-4344-8</t>
  </si>
  <si>
    <t>REXANT Инструмент для заделки и обрезки витой пары</t>
  </si>
  <si>
    <t>REXANT Источник питания 12В-150Вт-12,5А</t>
  </si>
  <si>
    <t>REXANT Кабель витая пара FTP 4PR 24AWG,CAT5e STRANDED Бухта 305 м 01-0145</t>
  </si>
  <si>
    <t>Приходная накладная 1237 (вх. 5679521-БЛГ) от 20.05.2024</t>
  </si>
  <si>
    <t>REXANT Клеевая 55.0/16.0мм 3:1 1м термоусадка черная 26-0055</t>
  </si>
  <si>
    <t>REXANT Клеевая термоусадка 18/6 мм, 3:1, 10 шт. по 1 м, прозрачная 26-1809</t>
  </si>
  <si>
    <t>Приходная накладная 5178 (вх. 12535885-БЛГ) от 17.10.2024</t>
  </si>
  <si>
    <t>REXANT Кримпер для обжима F и BNC разъёмов RG-59, RG-58, RG-62, RG-174, F.O. /ht-301 G/ 12-3213</t>
  </si>
  <si>
    <t>REXANT Лента двусторонняя клейкая, прозрачный, на акриловой основе, 20 мм, ролик 5 м 09-6520</t>
  </si>
  <si>
    <t>REXANT Лента для удаления припоя, 3,0мм x 1,5м, медная 09-3004</t>
  </si>
  <si>
    <t>REXANT Медная лента оплетка для удаления припоя</t>
  </si>
  <si>
    <t>REXANT Набор скальпель со сменными лезвичми 7 предметов</t>
  </si>
  <si>
    <t>REXANT Набор скальпель со сменными лезвиями 7 предметов</t>
  </si>
  <si>
    <t>Приходная накладная 370 (вх. 66860) от 21.02.2024</t>
  </si>
  <si>
    <t>REXANT Наклейка-запрещающий знак Использование мобильных телефонов запрещено 150x150 мм  56-0042</t>
  </si>
  <si>
    <t>REXANT Наклейка-знак пожарной безопасности Огнетушитель 200x200 мм 5 шт 56-0051</t>
  </si>
  <si>
    <t>REXANT Наклейка-знак пожарной безопасности Пожарный кран 200x200 мм 5 шт 56-0055</t>
  </si>
  <si>
    <t>REXANT Наконечник штыревой втулочный изолированный F-12 мм 2.5 мм синий 100 шт</t>
  </si>
  <si>
    <t>REXANT Наконечник штыревой втулочный изолированный F-12 мм 6 мм зеленый 100 шт</t>
  </si>
  <si>
    <t>REXANT Паяльник Мини /без БП/ 12V/8 Вт /ZD-20A/ 12-0120</t>
  </si>
  <si>
    <t>REXANT Паяльник с регулировкой температуры и дисплеем, подставка, 5 жал, керамический 65 вт</t>
  </si>
  <si>
    <t>Приходная накладная 1718 (вх. 8370158-МСК) от 16.07.2024</t>
  </si>
  <si>
    <t>REXANT Пинцет изогнутый, узкий 125мм/ 12-0378</t>
  </si>
  <si>
    <t>REXANT Пинцет изогнутый, узкий, фиксатор, рифленый 155мм ПРОФИ 12-0355</t>
  </si>
  <si>
    <t>REXANT Пинцет прямой, рифленый 155мм ПРОФИ 12-0365</t>
  </si>
  <si>
    <t>REXANT Припой с канифолью, 250г, ?0,6мм, (олово 60%, свинец 40%), катушка 09-3311</t>
  </si>
  <si>
    <t>REXANT Стеклотекстолит 1-сторонний 09-4045</t>
  </si>
  <si>
    <t>REXANT Термоусаживаемая трубка двухстенная клеевая 4,8/2,4 мм, черная, 10 шт. по 1 м 26-2102</t>
  </si>
  <si>
    <t>REXANT Термоусаживаемая трубка с клеевым слоем 33.0/8.0мм 4:1 1м черная 26-0033</t>
  </si>
  <si>
    <t>REXANT Трубка термоусаживаемая 8,0/4,0 мм черная, ролик 2,44 м 29-0046</t>
  </si>
  <si>
    <t>REXANT Шина PE земля в комбинированном зеленом изоляторе на DIN-рейку 6x9 мм 12 групп 11-2309</t>
  </si>
  <si>
    <t>Приходная накладная 446 (вх. 2062580-МСК) от 27.02.2024</t>
  </si>
  <si>
    <t>REXANT Шина нулевая в комбинированном синем изоляторе на DIN-рейку 8x12 мм 12 групп 11-2318</t>
  </si>
  <si>
    <t>REXANT Шина нулевая в комбинированном синем изоляторе на DIN-рейку 8x12 мм 6 групп 11-2312</t>
  </si>
  <si>
    <t>REXANT Шина соединительная типа PIN 12 штырей</t>
  </si>
  <si>
    <t>Приходная накладная 182 (вх. 0909216-МСК) от 01.02.2024</t>
  </si>
  <si>
    <t>REXANT Шина соединительная типа PIN штырь 1Р 63 А 1 м 11-2241</t>
  </si>
  <si>
    <t>RGK R5 рулетка</t>
  </si>
  <si>
    <t>Приходная накладная 2161 (вх. 240820020) от 22.08.2024</t>
  </si>
  <si>
    <t>Riebo R4 промышленная камера</t>
  </si>
  <si>
    <t>Приходная накладная 1564 (вх. 275) от 27.06.2024</t>
  </si>
  <si>
    <t>Riebo r6 промышленная камера</t>
  </si>
  <si>
    <t>Rizzel Анкер клиновой 8x100 белый цинк 80шт 00-00446926</t>
  </si>
  <si>
    <t>Приходная накладная 979 (вх. 4053422-МСК) от 12.04.2024</t>
  </si>
  <si>
    <t>RK08H11100RB</t>
  </si>
  <si>
    <t>Приходная накладная 718 (вх. 3164) от 26.03.2024</t>
  </si>
  <si>
    <t>RK3399K</t>
  </si>
  <si>
    <t>RK808-D</t>
  </si>
  <si>
    <t>RL0603FR-070R5L</t>
  </si>
  <si>
    <t>RLB0712-100KL, 10 мкГн, Индуктивность, Катушка индуктивности\Bourns</t>
  </si>
  <si>
    <t>Robiton VT-005 отвертка индикаторная многофункциональная BL1 13179</t>
  </si>
  <si>
    <t>Rockforce Утконосы комбинированные 160мм</t>
  </si>
  <si>
    <t>ROMMEL шкаф для хранения мобильных телефонов шст-17 00015599</t>
  </si>
  <si>
    <t>Rox Box Контейнер на роликах с крышкой 120л, прозрачный</t>
  </si>
  <si>
    <t>Rox Box Контейнер на роликах с крышкой 35л, прозрачный</t>
  </si>
  <si>
    <t>Приходная накладная 1778 (вх. 8542048-МСК) от 19.07.2024</t>
  </si>
  <si>
    <t>Rox Box Контейнер с крышкой 36л, прозрачный</t>
  </si>
  <si>
    <t>Приходная накладная 2333 (вх. UT-6443) от 05.09.2024</t>
  </si>
  <si>
    <t>Rox Box Контейнер с крышкой 70л, прозрачный</t>
  </si>
  <si>
    <t>Rox Box Контейнер с крышкой, 3,5 л, прозрачный</t>
  </si>
  <si>
    <t>Rox Box Контейнер с крышкой, 8 л, прозрачный M-008-00.07</t>
  </si>
  <si>
    <t>Rox Box Ящик п/п 210х170х95 мм с крышкой прозрачный</t>
  </si>
  <si>
    <t>Приходная накладная 1934 (вх. 9099455-МСК) от 31.07.2024</t>
  </si>
  <si>
    <t>RS0102YUTDS8</t>
  </si>
  <si>
    <t>RT0402DRE075K1L резистор Yageo</t>
  </si>
  <si>
    <t>RTL8211E-VB-CG</t>
  </si>
  <si>
    <t>RUSKLAD Тележка грузовая КГЛ 200 блок d160мм КГЛ 200 блок 160</t>
  </si>
  <si>
    <t>Приходная накладная 164 (вх. 0705052-МСК) от 26.01.2024</t>
  </si>
  <si>
    <t>RUSKLAD Тележка платформенная</t>
  </si>
  <si>
    <t>Приходная накладная 2236 (вх. 10316415-МСК) от 28.08.2024</t>
  </si>
  <si>
    <t>RUSKLAD Тележка платформенная с резиновым покрытием ТПР 4 (600x1200) d160мм ТПР 4 160</t>
  </si>
  <si>
    <t>Приходная накладная 1781 (вх. 8542053-МСК) от 19.07.2024</t>
  </si>
  <si>
    <t>RUSKLAD Тележка платформенная с резиновым покрытием ТПР 5 (700x1200) d160мм</t>
  </si>
  <si>
    <t>Приходная накладная 1570 (вх. 7496233-МСК) от 27.06.2024</t>
  </si>
  <si>
    <t>RUSKLAD Тележка сервисная двух ярусная СТ 5 (700x1200) d125мм</t>
  </si>
  <si>
    <t>Приходная накладная 1650 (вх. 7872505-МСК) от 05.07.2024</t>
  </si>
  <si>
    <t>Rvc Подводка к смесителям 60 см пара Мх10x60 и Мх10x70 ДЛИННЫЙ ШТУЦЕР 04437</t>
  </si>
  <si>
    <t>RX-40 cмазка универсальная</t>
  </si>
  <si>
    <t>Приходная накладная 455 (вх. 2112991-МСК) от 28.02.2024</t>
  </si>
  <si>
    <t>Ryobi ONE+ аккумулятор 5.0Aч + зарядное устройство</t>
  </si>
  <si>
    <t>Ryobi ONE+ Бесщеточный лобзик R18JS7-0  без аккумулятора в комплекте 5133004223</t>
  </si>
  <si>
    <t>Ryobi Инструмент многофункциональный RMT200S 5133001818</t>
  </si>
  <si>
    <t>Приходная накладная 4189 (вх. 21541) от 24.09.2024</t>
  </si>
  <si>
    <t>Ryobi Набор пилок для лобзика RAK10JSB 5132002702</t>
  </si>
  <si>
    <t>Ryobi Прямошлифовальная машина EHT150V</t>
  </si>
  <si>
    <t>S12M-SCLCR09 резец</t>
  </si>
  <si>
    <t>S16-SCLCR09 резец</t>
  </si>
  <si>
    <t>S3216000201080B5 кристалл JGHC</t>
  </si>
  <si>
    <t>S3D16.000000A20F30T осциллятор SCTF Elec</t>
  </si>
  <si>
    <t>S9012, Транзистор PNP 25В 0.5А HFE=120…400 0.3Вт [SOT -23-3]\Hottech</t>
  </si>
  <si>
    <t>S9013, Транзистор NPN 25В 0.5А HFE=120…400 0.3Вт [SOT -23-3]\Hottech</t>
  </si>
  <si>
    <t>SAFFIT Лампа светодиодная SBG4515 Шарик E14 15W</t>
  </si>
  <si>
    <t>SAFFIT Лампа светодиодная SBG4515 Шарик E27 15W</t>
  </si>
  <si>
    <t>SAMGRUPP Замок навесной s-60.7 (3 ключа) 12624</t>
  </si>
  <si>
    <t>Приходная накладная 1894 (вх. 8766163-МСК) от 29.07.2024</t>
  </si>
  <si>
    <t>Sanfix Лён сантехнический чесаный 50 гр., 40727</t>
  </si>
  <si>
    <t>Приходная накладная 170 (вх. 0563992-МСК) от 23.01.2024</t>
  </si>
  <si>
    <t>Satechi 70MAI Dash Cam Pro Plus Видеорегистратор с камерой заднего вида</t>
  </si>
  <si>
    <t>SCE-080/90-CCG2 FXD103 сверло</t>
  </si>
  <si>
    <t>SCE-100/90-CCG2 FXD103 сверло</t>
  </si>
  <si>
    <t>SCLCR2020K09 резец</t>
  </si>
  <si>
    <t>SCT2001T</t>
  </si>
  <si>
    <t>SDA-0125-CCG3 FXD103 сверло</t>
  </si>
  <si>
    <t>SDA-0130-CCG3 FXD103 сверло</t>
  </si>
  <si>
    <t>SDA-0205-CCG5 FXD103 сверло</t>
  </si>
  <si>
    <t>SDA-0400-CCG5 FXD103 сверло</t>
  </si>
  <si>
    <t>SDA-0420-CCG5 FXD103 сверло</t>
  </si>
  <si>
    <t>SDA-0850-CCG5 FXD103 сверло</t>
  </si>
  <si>
    <t>SDR0805-100ML</t>
  </si>
  <si>
    <t>SER2020K16 резец</t>
  </si>
  <si>
    <t>SFP+ 10GE модуль, 0.3 км, MM, 2 волокна, 850 nm, LC, DDM (FH-SP851TCDL03)</t>
  </si>
  <si>
    <t>SFP+ Direct attach cable, 10G, 1m (FH-DP1T30SS01)</t>
  </si>
  <si>
    <t>SHPI Заглушка с наружной резьбой M1/2 P-42-1</t>
  </si>
  <si>
    <t>SHR-08V-S-B JST</t>
  </si>
  <si>
    <t>Приходная накладная 55 (вх. 39) от 09.01.2024</t>
  </si>
  <si>
    <t>SHREDDER-CS Дозатор, диспенсер, 500 мл, прозрачная колба, механический, встраиваемый, CS-K07L</t>
  </si>
  <si>
    <t>Приходная накладная 5283 (вх. 12569047-МСК) от 24.10.2024</t>
  </si>
  <si>
    <t>SHTOK КЭ-6 Клещи электромонтажные 03401</t>
  </si>
  <si>
    <t>SHTOK Пассатижи 1000В 160 мм 08103</t>
  </si>
  <si>
    <t>SHTOK ПАССАТИЖИ, СЕРИЯ ACRUX, 200ММ</t>
  </si>
  <si>
    <t>SI1012X-T1-GE3 транзистор Vishay</t>
  </si>
  <si>
    <t>SI3421DV-T1-GE3 транзистор Vishay</t>
  </si>
  <si>
    <t>Sigur Е510 Сетевой контроллер</t>
  </si>
  <si>
    <t>Приходная накладная 2038 (вх. 9015) от 12.08.2024</t>
  </si>
  <si>
    <t>SKRAB Лезвия сменные 25мм 0,7мм 10шт SK5 26787</t>
  </si>
  <si>
    <t>Skydroid FPV Diversiti OTG 5.8G приемник для Android</t>
  </si>
  <si>
    <t>Авансовый отчет 186  от 06.08.2024</t>
  </si>
  <si>
    <t>SKYLAND Стол письменный S-1400 Дуб Сонома светлый 1400*600*760 SIMPLE sk-01233970</t>
  </si>
  <si>
    <t>Приходная накладная 1364 (вх. 6460322-МСК) от 05.06.2024</t>
  </si>
  <si>
    <t>SKYZONE Cobra X V4 Очки (FPV)</t>
  </si>
  <si>
    <t>SL Фреза 32-10</t>
  </si>
  <si>
    <t>Приходная накладная 3939 (вх. УТ-13486) от 16.09.2024</t>
  </si>
  <si>
    <t>SL Фреза 32-12</t>
  </si>
  <si>
    <t>SL Фреза 32-16</t>
  </si>
  <si>
    <t>SL Фреза 32-8</t>
  </si>
  <si>
    <t>SM04B-SRSS-TB(LF)(SN)</t>
  </si>
  <si>
    <t>SM05B-GHS-TB</t>
  </si>
  <si>
    <t>Приходная накладная 584 (вх. 2428) от 12.03.2024</t>
  </si>
  <si>
    <t>SM06B-GHS-TB разъем JST</t>
  </si>
  <si>
    <t>SM06B-SRSS-TB</t>
  </si>
  <si>
    <t>SM08B-SRSS-TB[LF][SN] JST</t>
  </si>
  <si>
    <t>SM10B-GHS-TB разъем JST</t>
  </si>
  <si>
    <t>Smartbuy  белый microSDHC/SDHC USB 3.0</t>
  </si>
  <si>
    <t>Приходная накладная 567 (вх. 106) от 18.03.2024</t>
  </si>
  <si>
    <t>Smartec ST-ER115 Устройство разблокировки двери</t>
  </si>
  <si>
    <t>Приходная накладная 1975 (вх. 8889) от 05.08.2024</t>
  </si>
  <si>
    <t>Smartec ST-EX010SM кнопка металлическая</t>
  </si>
  <si>
    <t>Приходная накладная 76 (вх. 0329422-МСК) от 17.01.2024</t>
  </si>
  <si>
    <t>SMBJ60CA</t>
  </si>
  <si>
    <t>SMC 100х150, Упаковка, Пакет упаковочный ZIP антистатический с металлизацией (1шт)\Elme</t>
  </si>
  <si>
    <t>Приходная накладная 102 (вх. 0035694) от 18.01.2024</t>
  </si>
  <si>
    <t>SMC 150 х 200, Упаковка, Пакет упаковочный ZIP антистатический с металлизацией (1шт)\Elme</t>
  </si>
  <si>
    <t>SMC 200 х 250, Упаковка, Пакет упаковочный ZIP антистатический с металлизацией (1шт)\Elme</t>
  </si>
  <si>
    <t>SMF05CT1G</t>
  </si>
  <si>
    <t>SMN-303</t>
  </si>
  <si>
    <t>SN04-N NPN NO (5шт)</t>
  </si>
  <si>
    <t>Приходная накладная 4002 (вх. 192845/975) от 18.09.2024</t>
  </si>
  <si>
    <t>SN74LVC1G06DCKR</t>
  </si>
  <si>
    <t>SOLID подложка листовая XPS под напольные покрытия 5х1050х500мм</t>
  </si>
  <si>
    <t>Приходная накладная 1422 (вх. 610) от 13.06.2024</t>
  </si>
  <si>
    <t>SONNEN Вентилятор напольный SFT-45W-40-01, 451035</t>
  </si>
  <si>
    <t>Приходная накладная 1890 (вх. 8601787-МСК) от 29.07.2024</t>
  </si>
  <si>
    <t>SORMAT Герметик для резьбовых соединений 505 50 мл 9630235050</t>
  </si>
  <si>
    <t>Приходная накладная 5081 (вх. 12071039-МСК) от 08.10.2024</t>
  </si>
  <si>
    <t>SPARTA Оловоотсос паяльный металлический</t>
  </si>
  <si>
    <t>SPC комплект ножек</t>
  </si>
  <si>
    <t>Приходная накладная 1069 (вх. ЦБ-2228) от 23.04.2024</t>
  </si>
  <si>
    <t>SPC комплект перемычек</t>
  </si>
  <si>
    <t>SPF-5043Z, Микросхема</t>
  </si>
  <si>
    <t>SPH-002T-P0.5S Контакт для розетки</t>
  </si>
  <si>
    <t>SPM3015T-2R2M-LR</t>
  </si>
  <si>
    <t>SPM3015T-3R3M-LR</t>
  </si>
  <si>
    <t>SPM5020T-3R3M-LR</t>
  </si>
  <si>
    <t>SPP Столешница  ATT</t>
  </si>
  <si>
    <t>SPS комплект заземления</t>
  </si>
  <si>
    <t>SPS тумба подвесная</t>
  </si>
  <si>
    <t>SRN5040-100M</t>
  </si>
  <si>
    <t>SS34</t>
  </si>
  <si>
    <t>SS36</t>
  </si>
  <si>
    <t>SSD KINGSTON 2.5" A400 480 Гб SATA III</t>
  </si>
  <si>
    <t>Приходная накладная 1961 (вх. КС002302) от 01.08.2024</t>
  </si>
  <si>
    <t>SSD Netac 128Gb</t>
  </si>
  <si>
    <t>Приходная накладная 1096 (вх. УТ-393) от 26.04.2024</t>
  </si>
  <si>
    <t>SSHL-002T-P0.2</t>
  </si>
  <si>
    <t>Приходная накладная 1168 (вх. 837) от 07.05.2024</t>
  </si>
  <si>
    <t>STAFF Маркер перманентный Profit PM-105, ЧЕРНЫЙ, тонкий металлический наконечник 0,5 мм, 152170</t>
  </si>
  <si>
    <t>Staff Маркер перманентный двусторонний Manager, ЧЕРНЫЙ, наконечники 0,8мм / 2,2мм, 151625</t>
  </si>
  <si>
    <t>STARFIX Заклепка вытяжная 4,8x12 мм 25 штук</t>
  </si>
  <si>
    <t>STAYER Hercules Набор стамесок-долот 4 шт</t>
  </si>
  <si>
    <t>STAYER Hercules профессиональный пистолет для монтажной пены 06861_z03</t>
  </si>
  <si>
    <t>STAYER Набор : Напильники с двухкомпонентной рукояткой,плоский,полукруглый,трехгранный,квадратный,кр</t>
  </si>
  <si>
    <t>Приходная накладная 423 (вх. 1998407-МСК) от 26.02.2024</t>
  </si>
  <si>
    <t>Stayer Органайзер HANDY -11 пластиковый 38051-11_z01</t>
  </si>
  <si>
    <t>Приходная накладная 981 (вх. 4128661- БЕЛ) от 14.04.2024</t>
  </si>
  <si>
    <t>STAYER Паук Резинки для крепления багажа 8 крюков, 800 мм 40510_z01</t>
  </si>
  <si>
    <t>Steelfix Саморезы с пресс-шайбой, острые, 1кг 4,2х16</t>
  </si>
  <si>
    <t>Приходная накладная 1634 (вх. 7555168-МСК) от 27.06.2024</t>
  </si>
  <si>
    <t>STEELREX Болт DIN 603 мебельный, цинк М10x130</t>
  </si>
  <si>
    <t>STEELREX Болт DIN 933 кл 5,8, цинк М 6x50 кор. с ок. - 50 шт. 0211006050B400005032</t>
  </si>
  <si>
    <t>Приходная накладная 5138 (вх. 12137123-БЛГ) от 10.10.2024</t>
  </si>
  <si>
    <t>STEKKER Коробка распределительная LD524, водонепроницаемая на 4 выхода, 450V, 140x100x36, черный</t>
  </si>
  <si>
    <t>STELS Полка для инструмента 47,5 см., серая</t>
  </si>
  <si>
    <t>STELS Полка для инструмента 62,5 см., серая</t>
  </si>
  <si>
    <t>STELS Ремень багажный с крюками, 0,05x6м, храповый механизм//Россия 54385</t>
  </si>
  <si>
    <t>St-er115 устройство разблокировки двери</t>
  </si>
  <si>
    <t>Приходная накладная 848 (вх. td-929) от 29.03.2024</t>
  </si>
  <si>
    <t>ST-Link программатор</t>
  </si>
  <si>
    <t>STM32F302CBT6</t>
  </si>
  <si>
    <t>STM32F407VGT6 микросхема STM</t>
  </si>
  <si>
    <t>STPS2H100A диод STM</t>
  </si>
  <si>
    <t>Sturm 7010-05-12S Клеевые стержни для пистолета 12 шт</t>
  </si>
  <si>
    <t>SUNSTEP Коврик влаговпитывающий Ребристый 90х150 см, черный 35-073</t>
  </si>
  <si>
    <t>SVEN Фильтр SF-08E-16 1,8 м (8 розеток с защитными шторками,16А) черный, цветная коробка SV-021603</t>
  </si>
  <si>
    <t>SVJCR2020K11 резец</t>
  </si>
  <si>
    <t>SWFS Саморез ШУЦ PN 2,5х10 /1000шт/ тов-019514</t>
  </si>
  <si>
    <t>SX1B27.000F1010F30 кристалл SCTF</t>
  </si>
  <si>
    <t>SY6280AAC</t>
  </si>
  <si>
    <t>SY8088AAC</t>
  </si>
  <si>
    <t>SY8089AAAC</t>
  </si>
  <si>
    <t>SY8368QNC</t>
  </si>
  <si>
    <t>SYNTHETIUM SN40 Многофункциональная проникающая смазка, аэрозоль 650 мл SN4006</t>
  </si>
  <si>
    <t>SYNTHETIUM Смазка силиконовая520мл SN4615</t>
  </si>
  <si>
    <t>SYR837PKC</t>
  </si>
  <si>
    <t>SYR838PKC</t>
  </si>
  <si>
    <t>Systeme Electric ( Schneider Electric) Механизм розетки 1-м СП ATLAS DESIGN с заземл. 16А бел. ATN00</t>
  </si>
  <si>
    <t>Systeme Electric( Schneider Electric) Розетка 4-м ОП BLANCA 16A 250B защ.шторки с заземл.</t>
  </si>
  <si>
    <t>SZC21 2P-M-FB Разьем</t>
  </si>
  <si>
    <t>Приходная накладная 850 (вх. 410) от 30.03.2024</t>
  </si>
  <si>
    <t>SZC21 3P-M-FE Разьем</t>
  </si>
  <si>
    <t>SZC21 4P-M-FB Разьем</t>
  </si>
  <si>
    <t>T520A107M006ATE045</t>
  </si>
  <si>
    <t>TAXM8M4RDBCCT2T</t>
  </si>
  <si>
    <t>TC358775XBG(EL1)</t>
  </si>
  <si>
    <t>TDM Держатель для пайки многофункциональный ДПМ</t>
  </si>
  <si>
    <t>TDM Зажим "крокодил" ЗК 15А 53мм красный/черный 1шт+1шт SQ0541-0020</t>
  </si>
  <si>
    <t>Приходная накладная 5337 (вх. 0935620) от 28.10.2024</t>
  </si>
  <si>
    <t>T-DS1070-SC600</t>
  </si>
  <si>
    <t>Tecfi Дюбельгвоздь YZ потайн 6x40 40 шт 147501</t>
  </si>
  <si>
    <t>Tech-Krep Анкер дюбель Молли М5x52 4 шт</t>
  </si>
  <si>
    <t>Приходная накладная 5349 (вх. 13065825-МСК) от 29.10.2024</t>
  </si>
  <si>
    <t>Tech-Krep Гайка DIN934 шестигранная оцинк. М12 10 шт/упак</t>
  </si>
  <si>
    <t>Tech-Krep Дюбель для гипсокартона "бабочка" 10x50 с сам. 4x60 40 шт</t>
  </si>
  <si>
    <t>Tech-Krep Заклепка 3,2х6 100Шт</t>
  </si>
  <si>
    <t>Tech-Krep Заклепка 4,0x16 100 шт</t>
  </si>
  <si>
    <t>Tech-Krep Саморез ШСГД 3,8x35 30 шт - пакет 113128</t>
  </si>
  <si>
    <t>Приходная накладная 2230 (вх. 10238361-БЛГ) от 27.08.2024</t>
  </si>
  <si>
    <t>TF-15x15</t>
  </si>
  <si>
    <t>Tip активатор Weller облуживатель жал</t>
  </si>
  <si>
    <t>Приходная накладная 483 (вх. 456) от 05.03.2024</t>
  </si>
  <si>
    <t>TM-161-M5x0.8-6H TA метчик</t>
  </si>
  <si>
    <t>TM-261-M2.5x0.45-6H TA метчик</t>
  </si>
  <si>
    <t>T-Motor Air Gear 355+ECS(комплект)</t>
  </si>
  <si>
    <t>Приходная накладная 4000 (вх. 000000528) от 18.09.2024</t>
  </si>
  <si>
    <t>T-Motor Air Gear 450+ESC (комплект) v2</t>
  </si>
  <si>
    <t>Приходная накладная 274 (вх. 000000069) от 08.02.2024</t>
  </si>
  <si>
    <t>T-Motor G*10.5 2шт</t>
  </si>
  <si>
    <t>Приходная накладная 1466 (вх. 68) от 18.06.2024</t>
  </si>
  <si>
    <t>T-Motor MF 3016 2шт</t>
  </si>
  <si>
    <t>TO-1608BC-PG диод OASISTEK</t>
  </si>
  <si>
    <t>Приходная накладная 758 (вх. 2105) от 01.03.2024</t>
  </si>
  <si>
    <t>Topfort Маркер лаковый industrial 1 мм белый</t>
  </si>
  <si>
    <t>Приходная накладная 5326 (вх. 12930091-МСК) от 25.10.2024</t>
  </si>
  <si>
    <t>Topfort Маркер лаковый industrial 2 мм белый</t>
  </si>
  <si>
    <t>TopOn Аккумуляторный фонарь LED 8 Вт</t>
  </si>
  <si>
    <t>TopOn внешний аккумулятор 96000mah</t>
  </si>
  <si>
    <t>Приходная накладная 520 (вх. 2409756-МСК) от 06.03.2024</t>
  </si>
  <si>
    <t>TOPTUL Набор экстракторов 5 предметов</t>
  </si>
  <si>
    <t>TOR Рым-болт DIN 580 20мм 1000900</t>
  </si>
  <si>
    <t>TORGWIN Свеча зажигания F7TC 4-х тактная для двигателей</t>
  </si>
  <si>
    <t>Приходная накладная 2044 (вх. 9652216-МСК) от 13.08.2024</t>
  </si>
  <si>
    <t>TORGWIN Угольные щетки для эл-инст. 04-106 УШМ-150, ДП-1200Wt / 6х10х16мм (10пар.)</t>
  </si>
  <si>
    <t>Приходная накладная 5064 (вх. 12071037-МСК) от 07.10.2024</t>
  </si>
  <si>
    <t>TORGWIN Угольные щетки для эл-инст. 04-118 УШМ-150 6х10х15мм (10пар.)</t>
  </si>
  <si>
    <t>TORK Бумага туалетная 170 м Advanced 2-слойная белая 120231 126502 22151</t>
  </si>
  <si>
    <t>Приходная накладная 980 (вх. 4053425-МСК) от 12.04.2024</t>
  </si>
  <si>
    <t>TORK Полотенца листовые Multifold арт. 471150 H2 (21 пачка в уп.) 25525</t>
  </si>
  <si>
    <t>TPH2501-TR</t>
  </si>
  <si>
    <t>TQP7M9106</t>
  </si>
  <si>
    <t>Приходная накладная 1160 (вх. 800734) от 07.05.2024</t>
  </si>
  <si>
    <t>TRIO-DIAMOND Диски алмазные 30 мм для гравировальной машинки, 141030</t>
  </si>
  <si>
    <t>Приходная накладная 860 (вх. 3552999-МСК) от 02.04.2024</t>
  </si>
  <si>
    <t>Truper Набор губцевого инструмента 3 шт</t>
  </si>
  <si>
    <t>Приходная накладная 2253 (вх. 10361715-МСК) от 29.08.2024</t>
  </si>
  <si>
    <t>TS-1088R-02026 переключатель XUNPU</t>
  </si>
  <si>
    <t>TS36CA-0.6 250gf 031</t>
  </si>
  <si>
    <t>TSPROF Набор шестигранных отверток №5, в чехле TS-MS1800136</t>
  </si>
  <si>
    <t>TSPROF Отвертка шестигранная 2,0мм</t>
  </si>
  <si>
    <t>TSPROF Отвертка шестигранная 2,5мм</t>
  </si>
  <si>
    <t>TSPROF Отвертка шестигранная 2.0 мм TS- MS1800150</t>
  </si>
  <si>
    <t>Приходная накладная 4875 (вх. 32951) от 03.10.2024</t>
  </si>
  <si>
    <t>TSPROF Отвертка шестигранная 2.5мм TS- MS1800160</t>
  </si>
  <si>
    <t>TSX-3225 24.000MF15X-AC3</t>
  </si>
  <si>
    <t>TSX-3225 25.0000MF20P-C0</t>
  </si>
  <si>
    <t>TX2400-JKD-20</t>
  </si>
  <si>
    <t>TX868-JKD-20</t>
  </si>
  <si>
    <t>TXS0108EPWR</t>
  </si>
  <si>
    <t>Приходная накладная 375 (вх. 1749) от 19.02.2024</t>
  </si>
  <si>
    <t>TYPE-C 6P(073)</t>
  </si>
  <si>
    <t>Type-C триггер быстрой зарядки PD/QC</t>
  </si>
  <si>
    <t>Приходная накладная 756 (вх. 202403310001) от 31.03.2024</t>
  </si>
  <si>
    <t>Tytan PROFESSIONAL клей монтажный Classic Fix каучуковый прозрачный 310мл 43340</t>
  </si>
  <si>
    <t>TZ-P4-1615RGBTCA1-0.55T светодиод TUOZHAN</t>
  </si>
  <si>
    <t>U.FL-R-SMT-1, (U.FL-R-SMT-1[80])</t>
  </si>
  <si>
    <t>U2HS Комплект 2-кан приемник DWB100HT 433.92мгц</t>
  </si>
  <si>
    <t>Приходная накладная 910 (вх. 255) от 08.04.2024</t>
  </si>
  <si>
    <t>U7-V2.0 Power Type UAV Motor KV280</t>
  </si>
  <si>
    <t>Uctem-Plas Ручка для держателя мопов, 140 см ARF201-B</t>
  </si>
  <si>
    <t>UGREEN USB  Удлинитель кабель USB 3.0 для смарт-ноутбука</t>
  </si>
  <si>
    <t>Авансовый отчет 166  от 21.08.2024</t>
  </si>
  <si>
    <t>Ugreen Разветвитель usb hud  с переключателе 4хUSB</t>
  </si>
  <si>
    <t>Авансовый отчет 194  от 26.07.2024</t>
  </si>
  <si>
    <t>Unibob лента Клейкая Алюмин 50 мм Х 50 м 211750</t>
  </si>
  <si>
    <t>Unibob лента Клейкая Армиров 48 мм Х 40 м Серая 214997</t>
  </si>
  <si>
    <t>Приходная накладная 1058 (вх. 4413738-МСК) от 22.04.2024</t>
  </si>
  <si>
    <t>Uniel UET-VAS-060B20 24V IP20 Блок питания, 60Вт. UL-00002429</t>
  </si>
  <si>
    <t>Uniel Светильник настольный на струбцине/LED/500Lm/4500K/Dimmer/TLD-524 Black/8W/ 10608</t>
  </si>
  <si>
    <t>Приходная накладная 5263 (вх. 12827268-МСК) от 23.10.2024</t>
  </si>
  <si>
    <t>UniStor BELFAST Двойная стойка для одежды, передвижная на колёсиках, макс. нагрузка до 25 кг. 211171</t>
  </si>
  <si>
    <t>UNI-T UT612 Измеритель LCR цифровой с автодиапазоном</t>
  </si>
  <si>
    <t>UNI-T Портативный мультиметр UT33D</t>
  </si>
  <si>
    <t>UNIVersal Удлинитель s-304а пвс 3/1,5 4гн. с заземлением, с выключателем, длина 5м (еврослот) 1735</t>
  </si>
  <si>
    <t>Приходная накладная 5347 (вх. 13065827-МСК) от 29.10.2024</t>
  </si>
  <si>
    <t>UNIVersal Удлинитель s-304а пвс 3/1,5 4гн. с заземлением, с выключателем, длина 7м (еврослот) 1736</t>
  </si>
  <si>
    <t>UNIVersal Удлинитель е-302а пвс 3/1,5 2гн. с заземлением, длина 3м</t>
  </si>
  <si>
    <t>UNIVET Открытые защитные очки, покрытие Vanguard Plus</t>
  </si>
  <si>
    <t>USB camera 1080P объектив 3,6мм(тубус)</t>
  </si>
  <si>
    <t>USB HUB (переходник-разветвитель) 10 в 1  4k Hdmi RJ45</t>
  </si>
  <si>
    <t>Приходная накладная 4280 (вх. 952922/162) от 27.09.2024</t>
  </si>
  <si>
    <t>USB type c usb разветвитель 3.0 type-c usb hub 8 в 1 хаб HDMI 4K</t>
  </si>
  <si>
    <t>USB type s разветвитель 3.0 type-c hub 11 в 1</t>
  </si>
  <si>
    <t>Приходная накладная 703 (вх. 0146751736-0081/1903) от 19.03.2024</t>
  </si>
  <si>
    <t>USB Концентраторы HUB-07MB Black</t>
  </si>
  <si>
    <t>Приходная накладная 1054 (вх. 4413737-МСК) от 22.04.2024</t>
  </si>
  <si>
    <t>USB микрофон TEVO-M3B</t>
  </si>
  <si>
    <t>Приходная накладная 1381 (вх. 8796) от 07.06.2024</t>
  </si>
  <si>
    <t>USB4105-GF-A</t>
  </si>
  <si>
    <t>USBLC6-2P6 диод TECH PUB</t>
  </si>
  <si>
    <t>USB-разветлитель Ugreen</t>
  </si>
  <si>
    <t>UTP1306, Источник питания 0-32V-6A 1LED\Uni Trend</t>
  </si>
  <si>
    <t>Приходная накладная 1585 (вх. 0538046) от 28.06.2024</t>
  </si>
  <si>
    <t>UWX1A221MCL1GB</t>
  </si>
  <si>
    <t>Приходная накладная 690 (вх. 3068) от 22.03.2024</t>
  </si>
  <si>
    <t>U-Клипса серая для гофры d25</t>
  </si>
  <si>
    <t>VCGT110302-SF YNG151C пластина</t>
  </si>
  <si>
    <t>VCGT110304-SF YBG205 пластина</t>
  </si>
  <si>
    <t>Vektor Сетевой фильтр Z NEW 3.5 кВт 3м</t>
  </si>
  <si>
    <t>Приходная накладная 1389 (вх. 6627927-МСК) от 10.06.2024</t>
  </si>
  <si>
    <t>Vileda Professional Средство чистящее для водостойких поверхностей Dr. Schnell Forol</t>
  </si>
  <si>
    <t>VIRA RAGE Биты торсионные S2 PH2x70мм 5шт. 554127</t>
  </si>
  <si>
    <t>VIRA Лезвия д/ножей сегм. титан. 9 мм 5 шт. 832009</t>
  </si>
  <si>
    <t>VIRA Лезвия д/ножей сегментные 18мм 10шт 831502</t>
  </si>
  <si>
    <t>VIRA Набор надфилей 6шт 822011</t>
  </si>
  <si>
    <t>VIRA Набор торсионных бит s2 ph2x70 мм 5 шт. rage by 554173</t>
  </si>
  <si>
    <t>VIRA Нож 18мм</t>
  </si>
  <si>
    <t>VIRA Нож 9мм</t>
  </si>
  <si>
    <t>VIRA Нож cтроительный Auto lock 25 мм RAGE 831404</t>
  </si>
  <si>
    <t>VIRA Сверло ступенчатое 6-38 мм</t>
  </si>
  <si>
    <t>VISTO Щит распределительный EXtet DIA-16N-PGW навесной, 1 шт 511404308</t>
  </si>
  <si>
    <t>Приходная накладная 1782 (вх. 8542105-МСК) от 19.07.2024</t>
  </si>
  <si>
    <t>VJ0402A180JXJPW1BC</t>
  </si>
  <si>
    <t>VKG A-9400 Соединительная колодка</t>
  </si>
  <si>
    <t>VKG G-02 Узел заземления универсальный</t>
  </si>
  <si>
    <t>VOREL Набор нерж. шпателей тип "японский"</t>
  </si>
  <si>
    <t>Приходная накладная 1827 (вх. 8701034-МСК) от 24.07.2024</t>
  </si>
  <si>
    <t>VOREL Штангенциркуль стрелочный 150мм/0,02мм</t>
  </si>
  <si>
    <t>VORTEX Коврик ячеистый, грязесборный Профи 80х120х2,2см 20041</t>
  </si>
  <si>
    <t>VS1H220ME054000CE0</t>
  </si>
  <si>
    <t>W.E.P Лабораторный источник питания 3005d M22755</t>
  </si>
  <si>
    <t>Приходная накладная 1238 (вх. 5679527) от 20.05.2024</t>
  </si>
  <si>
    <t>W2210A (207A) Sakura картридж для HP, черный, 1350 к.</t>
  </si>
  <si>
    <t>Приходная накладная 4338 (вх. 403555) от 01.07.2024</t>
  </si>
  <si>
    <t>W2211A (207A) Sakura картридж для HP, черный, 1250 к.</t>
  </si>
  <si>
    <t>W2212A (207A) Sakura картридж для HP, черный, 1250 к.</t>
  </si>
  <si>
    <t>W2213A (207A) Sakura картридж для HP, черный, 1250 к.</t>
  </si>
  <si>
    <t>WAGO Клемма 221-412 100 шт</t>
  </si>
  <si>
    <t>WAGO Клемма 222-412</t>
  </si>
  <si>
    <t>WAGO Клемма221-413 50 шт.</t>
  </si>
  <si>
    <t>WAGO Клеммы 15 шт</t>
  </si>
  <si>
    <t>WAGO Соединительная клемма с рычажком 221-415 5-ти проводная 0,14-4мм?, 450В, 32А, без пасты, 25 шт.</t>
  </si>
  <si>
    <t>WD-40 Средство для тысячи применений</t>
  </si>
  <si>
    <t>Приходная накладная 1175 (вх. 5236684-МСК) от 13.05.2024</t>
  </si>
  <si>
    <t>Web-камера A4Tech PK-925H черный</t>
  </si>
  <si>
    <t>Приходная накладная 4212 (вх. 258135) от 25.09.2024</t>
  </si>
  <si>
    <t>Web-камера Logitech HD Pro C920 черный</t>
  </si>
  <si>
    <t>Приходная накладная 1346 (вх. 146750) от 04.06.2024</t>
  </si>
  <si>
    <t>WERA VDE 17 Universal 1 Набор насадок 1000V</t>
  </si>
  <si>
    <t>WERA Набор инструментов с трещоткой, битами, головками</t>
  </si>
  <si>
    <t>WERA НАБОР КЮЧЕЙ</t>
  </si>
  <si>
    <t>WIEDERKRAFT Набор сверл по металлу 1-13 мм шаг 0.5 мм HSS-Co 25 шт металлический кейс WDK-DC25</t>
  </si>
  <si>
    <t>WIEDERKRAFT Перчатки защитные легкие бесшовные размер L, пара WDK-PU01B/L</t>
  </si>
  <si>
    <t>WIEDERKRAFT Сушка однокассетная мобильная ИК WDK-1A</t>
  </si>
  <si>
    <t>Приходная накладная 1307 (вх. 6050393-МСК) от 28.05.2024</t>
  </si>
  <si>
    <t>Wi-Fi адаптер intel AX200</t>
  </si>
  <si>
    <t>Приходная накладная 276 (вх. 251170/997) от 13.02.2024</t>
  </si>
  <si>
    <t>Wi-Fi адаптер TP-Link T3U</t>
  </si>
  <si>
    <t>Приходная накладная 4026 (вх. 1909-8) от 19.09.2024</t>
  </si>
  <si>
    <t>WOG Многоцелевая универсальная проникающая смазка WG-40 (WD40) с профессиональным распылителем 2 в 1</t>
  </si>
  <si>
    <t>Wolta Лампа LED7.5Вт 4000K GU5.3 25SMR16-220-7.5GU5.3</t>
  </si>
  <si>
    <t>Woodville Стол бриз лдсп ясень светлый</t>
  </si>
  <si>
    <t>Приходная накладная 541 (вх. 2658396-БЕЛ) от 12.03.2024</t>
  </si>
  <si>
    <t>Woodville Стол бриз лдсп ясень светлый 292528</t>
  </si>
  <si>
    <t>WORKMATE Лезвия для канцелярских ножей , 18 мм, 10 штук в упаковке 14-1829</t>
  </si>
  <si>
    <t>WORKPRO Набор слесарных зубил (3шт)</t>
  </si>
  <si>
    <t>WRline WR-UTP-4P-C5E-LSZH-GY Кабель витая пара, неэкранированный U/UTP, категория 5e, 4 пары (0,50 м</t>
  </si>
  <si>
    <t>X322512MSB4SI</t>
  </si>
  <si>
    <t>XC6206P332MR-G</t>
  </si>
  <si>
    <t>XF19R 1000w</t>
  </si>
  <si>
    <t>Приходная накладная 1337 (вх. 2) от 04.06.2024</t>
  </si>
  <si>
    <t>XGLASS Лента клейкая двухсторонняя Полипропилен 50мм х 25м</t>
  </si>
  <si>
    <t>Xiaomi Аккумуляторная отвертка</t>
  </si>
  <si>
    <t>Приходная накладная 259 (вх. 1408959-МСК) от 12.02.2024</t>
  </si>
  <si>
    <t>XIHCELNANF-12MHZ</t>
  </si>
  <si>
    <t>XL-1608SURC-06</t>
  </si>
  <si>
    <t>XL-1608SYGC-06</t>
  </si>
  <si>
    <t>XL-1608UBC-04</t>
  </si>
  <si>
    <t>XL-1608UWC-04</t>
  </si>
  <si>
    <t>YATO Набор шетигр. 3,0-17мм CrV 10шт.</t>
  </si>
  <si>
    <t>YATO Отвертка гибкая с битами 31 пр</t>
  </si>
  <si>
    <t>YATO Пинцет прямой 140мм YT-6903</t>
  </si>
  <si>
    <t>YATO Щетка-ерш для чистки труб 20мм YT-47695</t>
  </si>
  <si>
    <t>YNR4030-100M</t>
  </si>
  <si>
    <t>YNR5040-101M</t>
  </si>
  <si>
    <t>YSPI0420-R22M индуктивность YJYCOIN</t>
  </si>
  <si>
    <t>YTC-HAA200A-4A</t>
  </si>
  <si>
    <t>Z16ERA60 YBG205 пластина</t>
  </si>
  <si>
    <t>ZPAD01502-MG YBG205 пластина</t>
  </si>
  <si>
    <t>ZTBD02002-MM YB9320 пластина</t>
  </si>
  <si>
    <t>ААА Батарейка GP Alkaline 24A 2CR10 (10шт)</t>
  </si>
  <si>
    <t>Приходная накладная 3801 (вх. 238629) от 06.09.2024</t>
  </si>
  <si>
    <t>Абонентская оптическая розетка RS-02</t>
  </si>
  <si>
    <t>Приходная накладная 85 (вх. 240) от 16.01.2024</t>
  </si>
  <si>
    <t>Абонентская плата за подписку</t>
  </si>
  <si>
    <t>Приходная накладная 4853 (вх. 07) от 31.07.2024</t>
  </si>
  <si>
    <t>Абонентская плата за телефонную связь</t>
  </si>
  <si>
    <t>Приходная накладная 4652 (вх. 20897) от 31.07.2024</t>
  </si>
  <si>
    <t>Абрикосы ~1 кг</t>
  </si>
  <si>
    <t>Приходная накладная 4321 (вх. R864044427-H31133236689) от 22.07.2024</t>
  </si>
  <si>
    <t>Абрикосы сушеные Seeberger без косточки 200 г</t>
  </si>
  <si>
    <t>Приходная накладная 4350 (вх. R636183130-H19295532187) от 05.06.2024</t>
  </si>
  <si>
    <t>Аварийный душ для глаз с раковиной вес 5.8кг</t>
  </si>
  <si>
    <t>Приходная накладная 3853 (вх. 1755) от 11.09.2024</t>
  </si>
  <si>
    <t>Авиабилеты</t>
  </si>
  <si>
    <t>Приходная накладная 3880 (вх. 1ТВ619561) от 30.08.2024</t>
  </si>
  <si>
    <t>Авиационная Фанера БС-1 1525х1525х3мм</t>
  </si>
  <si>
    <t>Приходная накладная 576 (вх. 67) от 12.03.2024</t>
  </si>
  <si>
    <t>Авиационная Фанера БС-1 1525х1525х5мм</t>
  </si>
  <si>
    <t>Авиационный разъем GX20 штекер + гнездо + колпачок - заглушка резиновая (3 pin)</t>
  </si>
  <si>
    <t>Приходная накладная 893 (вх. 3784288202404010001) от 04.04.2024</t>
  </si>
  <si>
    <t>Авиационный разъем GX20 штекер + гнездо с фланцем (DF20, 2 pin, папа+мама, пара)</t>
  </si>
  <si>
    <t>Авиационный разъем GX20 штекер + гнездо с фланцем (DF20, 4 pin, папа+мама, пара)</t>
  </si>
  <si>
    <t>АвтоDело отвертка крестовая PH2x100мм 6гр стержень 39466 11696</t>
  </si>
  <si>
    <t>АвтоDело отвертка шлицевая 6х125мм 6гр стержень 39474 11707</t>
  </si>
  <si>
    <t>Автодиски</t>
  </si>
  <si>
    <t>Авансовый отчет 253 от 02.02.2024</t>
  </si>
  <si>
    <t>Автоматическая система смены 20-ти поддонов JEDEC STF-100S</t>
  </si>
  <si>
    <t>Приходная накладная 4846 (вх. 493) от 09.04.2024</t>
  </si>
  <si>
    <t>Автоматический 1-полюсный выключатель, 20А</t>
  </si>
  <si>
    <t>Автоматический выключатель 1 П 32А mcb4763-3-3-32C-pro</t>
  </si>
  <si>
    <t>Приходная накладная 5198 (вх. ТТД00310252) от 22.10.2024</t>
  </si>
  <si>
    <t>Автоматический выключатель 1P 1А</t>
  </si>
  <si>
    <t>Автоматический выключатель 1П 16А характеристика С 4,5кА DEKraft ВА-101 11054DEK</t>
  </si>
  <si>
    <t>Автоматический выключатель 25А 1 П mcb4763-3-3-25C-pro</t>
  </si>
  <si>
    <t>Автоматический выключатель 32А mcb4763-3-3-32C-pro</t>
  </si>
  <si>
    <t>Автоматический выключатель 40А mcb4763-3-3-40C-pro</t>
  </si>
  <si>
    <t>Автоматический выключатель 50А 1 П mcb4763-3-3-50C-pro</t>
  </si>
  <si>
    <t>Автоматический выключатель 50А mcb4763-3-3-50C-pro</t>
  </si>
  <si>
    <t>Автоматический линейный принтер трафаретной печати KAYO-450</t>
  </si>
  <si>
    <t>Приходная накладная 4851 (вх. 17) от 11.01.2024</t>
  </si>
  <si>
    <t>Автоматический счетчик SMD-компонентов YX-802</t>
  </si>
  <si>
    <t>Приходная накладная 244 (вх. 14) от 10.01.2024</t>
  </si>
  <si>
    <t>Автомоб. бензин АИ-100</t>
  </si>
  <si>
    <t>Автомоб. бензин АИ-92</t>
  </si>
  <si>
    <t>Приходная накладная 4854 (вх. 1902698) от 30.06.2024</t>
  </si>
  <si>
    <t>Автомобиль GREAT WALL POER VIN:LGWDAE196PJ646874</t>
  </si>
  <si>
    <t>Приходная накладная 5146 (вх. 070465) от 14.02.2024</t>
  </si>
  <si>
    <t>Автономная портативная газовая горелка</t>
  </si>
  <si>
    <t>Автошина 195/65R15 Gislaved Premium</t>
  </si>
  <si>
    <t>Авансовый отчет 169  от 21.08.2024</t>
  </si>
  <si>
    <t>Автошина R16 215/65</t>
  </si>
  <si>
    <t>Адаптер BSP 1/2 14x1.5 S=27</t>
  </si>
  <si>
    <t>Приходная накладная 5096 (вх. 10469) от 09.10.2024</t>
  </si>
  <si>
    <t>Адаптер Dell Qlogic 2692, Dual Port 16GB Fibre Channel HBA, Low Profile</t>
  </si>
  <si>
    <t>Приходная накладная 4844 (вх. ЦБ-18) от 03.06.2024</t>
  </si>
  <si>
    <t>Адаптер DELL для установки 2.5 диска в 3.5 дюймовые салазки</t>
  </si>
  <si>
    <t>Адаптер Qlogic QLE2562-CK 8Gb 2-port FC HBA x8 PCIe LC multi-mode optic</t>
  </si>
  <si>
    <t>Адаптер USB-CAN, модель A, чип STM32, несколько режимов работы</t>
  </si>
  <si>
    <t>Приходная накладная 493 (вх. 0181988) от 04.03.2024</t>
  </si>
  <si>
    <t>адаптер WI-FI</t>
  </si>
  <si>
    <t>Авансовый отчет 217 от 12.03.2024</t>
  </si>
  <si>
    <t>Адаптер для PPS M12x1.5 Sagola 3300</t>
  </si>
  <si>
    <t>Приходная накладная 4208 (вх. 540635) от 25.09.2024</t>
  </si>
  <si>
    <t>Адаптер проходной 5BITES 8P8C -&gt; 8P8C</t>
  </si>
  <si>
    <t>Приходная накладная 318 (вх. 47759) от 15.02.2024</t>
  </si>
  <si>
    <t>АКБ GAONENG GNB 7500 мАч HV 8 S 70C 140C</t>
  </si>
  <si>
    <t>АКБ Optimus АР-1207</t>
  </si>
  <si>
    <t>АКБ TATTU HV 25000mAh 10C 22.8V 6S1P (для втол)</t>
  </si>
  <si>
    <t>Приходная накладная 192 (вх. LT002364/2) от 01.02.2024</t>
  </si>
  <si>
    <t>Аккумулятор 12V 2.0 Ah Li-Ion PowerMaxx BS</t>
  </si>
  <si>
    <t>Приходная накладная 2171 (вх. 737679/82) от 22.08.2024</t>
  </si>
  <si>
    <t>Аккумулятор 18650 unprotected Li-ion 2000 mAH</t>
  </si>
  <si>
    <t>Аккумулятор 34000mAh, 22.2V</t>
  </si>
  <si>
    <t>Приходная накладная 367 (вх. 183) от 16.02.2024</t>
  </si>
  <si>
    <t>Аккумулятор DJI Mavic 3 Intelligent Flight Battery</t>
  </si>
  <si>
    <t>Приходная накладная 676 (вх. 1353386202403200001) от 20.03.2024</t>
  </si>
  <si>
    <t>Аккумулятор EP-6000mah-4S battery</t>
  </si>
  <si>
    <t>Приходная накладная 727 (вх. 3) от 01.02.2024</t>
  </si>
  <si>
    <t>Аккумулятор GNB 3000mah 6S 120C</t>
  </si>
  <si>
    <t>Приходная накладная 2170 (вх. 68984/164) от 22.08.2024</t>
  </si>
  <si>
    <t>Аккумулятор GNB 3000mAч 2S LiPo</t>
  </si>
  <si>
    <t>Приходная накладная 1249 (вх. R25163) от 21.05.2024</t>
  </si>
  <si>
    <t>Аккумулятор GNB-6500mah 4S1P 50C 14.8V</t>
  </si>
  <si>
    <t>Аккумулятор GNB-7000mah 4S1P 70C 14.8V</t>
  </si>
  <si>
    <t>Аккумулятор GNB-7500mah 4S1P 70C 15.2V</t>
  </si>
  <si>
    <t>Аккумулятор Li-Ion 18650 3.6V 2800mAh</t>
  </si>
  <si>
    <t>Приходная накладная 4301 (вх. 958) от 30.09.2024</t>
  </si>
  <si>
    <t>Аккумулятор Lilon 18350 900mah radiomaster zorro 2шт</t>
  </si>
  <si>
    <t>Приходная накладная 2259 (вх. 418) от 29.08.2024</t>
  </si>
  <si>
    <t>Аккумулятор LION18650,с ленточными выводами 2200 mAh 3.7V</t>
  </si>
  <si>
    <t>Аккумулятор Metabo 12V 2.0 Ah Li-Ion PowerMaxx BS</t>
  </si>
  <si>
    <t>Приходная накладная 2220 (вх. 2031722/32) от 27.08.2024</t>
  </si>
  <si>
    <t>Аккумулятор MOLICEL INR18650-M35A 3.7V 3350mAh\MOLICEL</t>
  </si>
  <si>
    <t>Приходная накладная 1875 (вх. 0624382) от 26.07.2024</t>
  </si>
  <si>
    <t>Аккумулятор Molicel INR18650-P28A</t>
  </si>
  <si>
    <t>Приходная накладная 3847 (вх. 65) от 10.09.2024</t>
  </si>
  <si>
    <t>Аккумулятор MOLICEL INR-18650-P28A Li-ion 3.7V 2800mAh\MOLICEL</t>
  </si>
  <si>
    <t>Аккумулятор ONBO 7000mah 4S-40</t>
  </si>
  <si>
    <t>Аккумулятор Tattu-7000mah 80C-4S1P</t>
  </si>
  <si>
    <t>Аккумулятор Zeepower-7500mah 100c 15.2V</t>
  </si>
  <si>
    <t>Аккумулятор для радиоуправляемых моделей CNHL 3000 мАч 5S</t>
  </si>
  <si>
    <t>Приходная накладная 5243 (вх. 110669086202410210001) от 23.10.2024</t>
  </si>
  <si>
    <t>Аккумуляторная батарея 3S, 2S, 3S, 4S,  5S</t>
  </si>
  <si>
    <t>Аккумуляторная батарея SF 1207</t>
  </si>
  <si>
    <t>Аккумуляторная батарея для ноутбука HP G4 440</t>
  </si>
  <si>
    <t>Приходная накладная 402 (вх. 55035) от 16.02.2024</t>
  </si>
  <si>
    <t>Аккумуляторная батарея ЛиПо 22,2 В 34000 мАч (ножевой разъем)</t>
  </si>
  <si>
    <t>Приходная накладная 5228 (вх. 20241022-1) от 23.10.2024</t>
  </si>
  <si>
    <t>Аккумуляторная отвертка</t>
  </si>
  <si>
    <t>Приходная накладная 2001 (вх. 207) от 07.08.2024</t>
  </si>
  <si>
    <t>Аккумуляторная отвертка с 12 битами в комплекте в кейсе</t>
  </si>
  <si>
    <t>Приходная накладная 1330 (вх. 6289203-МСК) от 03.06.2024</t>
  </si>
  <si>
    <t>Аккумуляторные ячейки литий ионный 22000mah-25C -3.8V</t>
  </si>
  <si>
    <t>Приходная накладная 834 (вх. 2) от 09.01.2024</t>
  </si>
  <si>
    <t>Аккумуляторы 34000mAh-10C-6S-XT90S</t>
  </si>
  <si>
    <t>Приходная накладная 1762 (вх. 20240718-1) от 18.07.2024</t>
  </si>
  <si>
    <t>Аккумуляторы RadioMaster 900мАч Li-ion 18350 (2шт)</t>
  </si>
  <si>
    <t>Приходная накладная 2335 (вх. 08941) от 05.09.2024</t>
  </si>
  <si>
    <t>Акриловая прозр. двухсторонняя клейкая лента 10мм х 5м</t>
  </si>
  <si>
    <t>Приходная накладная 4187 (вх. 343) от 24.09.2024</t>
  </si>
  <si>
    <t>Акриловый двухкомпонентный клей Good Ideas</t>
  </si>
  <si>
    <t>Приходная накладная 2272 (вх. 207762/25) от 30.08.2024</t>
  </si>
  <si>
    <t>Акриловый прозрачный купол для камеры видеонаблюдения</t>
  </si>
  <si>
    <t>Авансовый отчет 129 от 28.05.2024</t>
  </si>
  <si>
    <t>Активатор для цианакрилатного клея R-500 500мл</t>
  </si>
  <si>
    <t>Приходная накладная 4203 (вх. 11594068-МСК) от 25.09.2024</t>
  </si>
  <si>
    <t>Алмазный диск для гравера 25 мм 10 шт. и 2 штока 3 мм</t>
  </si>
  <si>
    <t>Приходная накладная 1795 (вх. 90296/188) от 22.07.2024</t>
  </si>
  <si>
    <t>Альтернативный кленовый мини-чип STM32F103CBT6.</t>
  </si>
  <si>
    <t>Алюминиевая круглая качалка 25T-6 для стандартных сервоприводов 24.5 мм</t>
  </si>
  <si>
    <t>Приходная накладная 739 (вх. 0146751736-0027/1801) от 18.01.2024</t>
  </si>
  <si>
    <t>Алюминиевый адаптер (тубус)</t>
  </si>
  <si>
    <t>Приходная накладная 149 (вх. 3) от 24.01.2024</t>
  </si>
  <si>
    <t>Алюминиевый корпус-радиатор Argon NEO для Raspberry pi4</t>
  </si>
  <si>
    <t>Алюминиевый пруток Д16Т 18*2000мм</t>
  </si>
  <si>
    <t>Амортизатор задний HAO TAI 750LBS/IN 165мм серебристый</t>
  </si>
  <si>
    <t>Приходная накладная 1414 (вх. 8360/65) от 13.06.2024</t>
  </si>
  <si>
    <t>Анализатор цепей ARINST VNA-DL 1-8800 MHz двухпортовый векторный</t>
  </si>
  <si>
    <t>Приходная накладная 4021 (вх. 106) от 19.09.2024</t>
  </si>
  <si>
    <t>АНИ Пласт Гофра д/унитаза 110мм L-231-530мм чуг/труб K828 025-0148</t>
  </si>
  <si>
    <t>Анкер клиновой М10х100</t>
  </si>
  <si>
    <t>Авансовый отчет 174 от 25.04.2024</t>
  </si>
  <si>
    <t>Анкерный болт 10x100 (1 шт) - пакет Tech-Krep</t>
  </si>
  <si>
    <t>Анкерный болт с крюком 10x60</t>
  </si>
  <si>
    <t>Приходная накладная 968 (вх. 4053455-МСК) от 15.04.2024</t>
  </si>
  <si>
    <t>Анлес Клей 88 НП фасов.,1л 0,8кг</t>
  </si>
  <si>
    <t>Приходная накладная 5199 (вх. 12766082-МСК) от 22.10.2024</t>
  </si>
  <si>
    <t>Антенна (T) 800/1400/2400MHZ</t>
  </si>
  <si>
    <t>Приходная накладная 1859 (вх. БП-169) от 25.07.2024</t>
  </si>
  <si>
    <t>Антенна 32D</t>
  </si>
  <si>
    <t>Антенна 3DBI 25*9*0.1mm</t>
  </si>
  <si>
    <t>Антенна 5,85.0 ГГц(FPV) AKK GHz6DBi</t>
  </si>
  <si>
    <t>Авансовый отчет 162  от 26.08.2024</t>
  </si>
  <si>
    <t>Антенна 5,85.0 ГГц(FPV) Foxeer Pagoda Pro 5.8rhcp</t>
  </si>
  <si>
    <t>Антенна 5,85.0 ГГц(FPV) направленная beastfpv 4.9-5.8 G13dBi</t>
  </si>
  <si>
    <t>Антенна ECHO V2</t>
  </si>
  <si>
    <t>Приходная накладная 1467 (вх. 234) от 18.06.2024</t>
  </si>
  <si>
    <t>Антенна FOXEER Lollipop 4plus 5,8G RHCP/SMA/10см</t>
  </si>
  <si>
    <t>Приходная накладная 5121 (вх. 77) от 01.01.2024</t>
  </si>
  <si>
    <t>Антенна FOXEER Lollipop 4plus 5G RHCP</t>
  </si>
  <si>
    <t>Приходная накладная 2068 (вх. 128573646-0026-145) от 14.08.2024</t>
  </si>
  <si>
    <t>Антенна GM01</t>
  </si>
  <si>
    <t>Антенна GSM/3G/4G BS-700</t>
  </si>
  <si>
    <t>Приходная накладная 2273 (вх. 144532) от 30.08.2024</t>
  </si>
  <si>
    <t>Антенна NGFF M.2 IPEX MHF4</t>
  </si>
  <si>
    <t>Антенна PS02</t>
  </si>
  <si>
    <t>Антенна всенаправленная из стекловолокна Full HD (800Мц, 1,4Гц)</t>
  </si>
  <si>
    <t>Приходная накладная 2153 (вх. БП-222) от 20.08.2024</t>
  </si>
  <si>
    <t>Антенна для UV-5R Baofeng</t>
  </si>
  <si>
    <t>Приходная накладная 408 (вх. УТ-133) от 21.02.2024</t>
  </si>
  <si>
    <t>антенна для радиоуправляемых гоночных беспилотных летательных аппаратов</t>
  </si>
  <si>
    <t>Авансовый отчет 228  от 11.06.2024</t>
  </si>
  <si>
    <t>Антенна на 1,2 ГГЦ(FPV)</t>
  </si>
  <si>
    <t>Приходная накладная 629 (вх. 6) от 12.03.2024</t>
  </si>
  <si>
    <t>антенна широкого радиуса действия</t>
  </si>
  <si>
    <t>Антенны WiFi внутренние для модулей M.2</t>
  </si>
  <si>
    <t>Антисептический раствор 10л</t>
  </si>
  <si>
    <t>Приходная накладная 1034 (вх. 9) от 18.04.2024</t>
  </si>
  <si>
    <t>Антистатическая тележка</t>
  </si>
  <si>
    <t>Приходная накладная 4407 (вх. 293) от 27.02.2024</t>
  </si>
  <si>
    <t>Антистатический настольный комплект антискользящий</t>
  </si>
  <si>
    <t>Приходная накладная 871 (вх. 703) от 03.04.2024</t>
  </si>
  <si>
    <t>Антистеплер Attache Economy для скоб  N10, 24/6, 26/6, черный</t>
  </si>
  <si>
    <t>Приходная накладная 4210 (вх. 39611834) от 25.09.2024</t>
  </si>
  <si>
    <t>Аппарат высокого давления Karcher K 7 Compact EU</t>
  </si>
  <si>
    <t>Приходная накладная 2218 (вх. 10258929-МСК) от 27.08.2024</t>
  </si>
  <si>
    <t>Аппарат для сварки пластиковых труб</t>
  </si>
  <si>
    <t>Аптечка первой помощи коллективная ФЭСТ (7 -10 человек) (полистирол) N1</t>
  </si>
  <si>
    <t>Приходная накладная 4874 (вх. 39675932) от 03.10.2024</t>
  </si>
  <si>
    <t>Арамидная ткань plain 1200-105 105 г/м2</t>
  </si>
  <si>
    <t>Приходная накладная 5076 (вх. 853/24-2) от 07.10.2024</t>
  </si>
  <si>
    <t>Аренда блок-контейнера</t>
  </si>
  <si>
    <t>Приходная накладная 4043 (вх. 12864) от 31.07.2024</t>
  </si>
  <si>
    <t>Аренда нежилых помещений по адресу: г. Белгород</t>
  </si>
  <si>
    <t>Приходная накладная 4650 (вх. 156) от 31.07.2024</t>
  </si>
  <si>
    <t>Аренда нежилых помещений по адресу: г. Москва, 2-я Брестская ул, д 5</t>
  </si>
  <si>
    <t>Приходная накладная 4605 (вх. б/н) от 31.01.2024</t>
  </si>
  <si>
    <t>Аренда оборудования</t>
  </si>
  <si>
    <t>Приходная накладная 4827 (вх. 20240531-5) от 31.05.2024</t>
  </si>
  <si>
    <t>Аренда помещений</t>
  </si>
  <si>
    <t>Приходная накладная 5053 (вх. 34) от 31.07.2024</t>
  </si>
  <si>
    <t>Аренда части земельного участка</t>
  </si>
  <si>
    <t>Приходная накладная 3942 (вх. 115) от 16.09.2024</t>
  </si>
  <si>
    <t>Арикон Ацетон 21,5л</t>
  </si>
  <si>
    <t>Приходная накладная 1481 (вх. 2024061915) от 19.06.2024</t>
  </si>
  <si>
    <t>Армированная 25ммх25м стеклосеткой липкая лента</t>
  </si>
  <si>
    <t>Приходная накладная 2048 (вх. 9652209-МСК) от 13.08.2024</t>
  </si>
  <si>
    <t>Атлант Х-1601-100 348л белый</t>
  </si>
  <si>
    <t>Приходная накладная 1701 (вх. 202407080005) от 12.07.2024</t>
  </si>
  <si>
    <t>Аттенюатор 30DB DC- 6GHZ</t>
  </si>
  <si>
    <t>Аттенюатор 30дБ</t>
  </si>
  <si>
    <t>Приходная накладная 249 (вх. 9) от 09.02.2024</t>
  </si>
  <si>
    <t>Аттенюатор SMA-50-30-2</t>
  </si>
  <si>
    <t>Приходная накладная 4176 (вх. 3792) от 23.09.2024</t>
  </si>
  <si>
    <t>Аудиторские услуги</t>
  </si>
  <si>
    <t>Приходная накладная 4092 (вх. 17) от 02.04.2024</t>
  </si>
  <si>
    <t>Ацетон ТВС</t>
  </si>
  <si>
    <t>Приходная накладная 5110 (вх. 4936) от 01.01.2024</t>
  </si>
  <si>
    <t>Ацетон технический 10л</t>
  </si>
  <si>
    <t>Приходная накладная 508 (вх. 8044) от 04.03.2024</t>
  </si>
  <si>
    <t>Ацетон Ч</t>
  </si>
  <si>
    <t>Приходная накладная 5111 (вх. 959) от 01.07.2024</t>
  </si>
  <si>
    <t>Аэрозольная светоотражающая краска DECORIX 335 мл</t>
  </si>
  <si>
    <t>Приходная накладная 2164 (вх. 78110/1310) от 22.08.2024</t>
  </si>
  <si>
    <t>Аэрозольный лак в баллончике для металла, дерева, пластика</t>
  </si>
  <si>
    <t>Багор пожарный сборный</t>
  </si>
  <si>
    <t>Приходная накладная 1685 (вх. 37923244) от 10.07.2024</t>
  </si>
  <si>
    <t>Балка MG 110х2700</t>
  </si>
  <si>
    <t>Приходная накладная 4418 (вх. 31) от 20.02.2024</t>
  </si>
  <si>
    <t>Балка MS Pro 120 z</t>
  </si>
  <si>
    <t>Приходная накладная 1347 (вх. 3875) от 04.06.2024</t>
  </si>
  <si>
    <t>Балка облегченная MG 70х1800, 3 зацепа</t>
  </si>
  <si>
    <t>Балка облегченная MG 90х1800, 3 зацепа</t>
  </si>
  <si>
    <t>Балка облегченная MG 90х2700</t>
  </si>
  <si>
    <t>Балка облегченная MGК 70х2700, 3 зацепа</t>
  </si>
  <si>
    <t>Баллон 40л</t>
  </si>
  <si>
    <t>Приходная накладная 1516 (вх. 765) от 21.06.2024</t>
  </si>
  <si>
    <t>Баллон сменный для автоосвежителя Luscan 250мл Ароматы цветения сух распыл</t>
  </si>
  <si>
    <t>Приходная накладная 2014 (вх. 38467792) от 08.08.2024</t>
  </si>
  <si>
    <t>Баллон сменный для автоосвежителя Luscan 250мл Гранат сухое распыл</t>
  </si>
  <si>
    <t>Приходная накладная 1214 (вх. 36678858) от 17.05.2024</t>
  </si>
  <si>
    <t>Баллон сменный для автоосвежителя Luscan 250мл Цитрусовое настр сух распыл</t>
  </si>
  <si>
    <t>Приходная накладная 333 (вх. 34636896) от 13.02.2024</t>
  </si>
  <si>
    <t>Бананы</t>
  </si>
  <si>
    <t>Банка конич. 5л. крышка прижим.</t>
  </si>
  <si>
    <t>Приходная накладная 1312 (вх. 24017926) от 30.05.2024</t>
  </si>
  <si>
    <t>Батарейка AA  GP Super LR6 20шт</t>
  </si>
  <si>
    <t>Приходная накладная 2065 (вх. 1157591202407300002) от 13.08.2024</t>
  </si>
  <si>
    <t>Батарейка Alkaline АА/LR6 блистер 12 шт</t>
  </si>
  <si>
    <t>Батарейка Alkaline Крона/6LR61 блистер 1 шт</t>
  </si>
  <si>
    <t>Батарейка GP Super AAA/LR03 24A6/4-2CR10/GP24AA216/4-2CRSBC10  10шт/уп(6+4)</t>
  </si>
  <si>
    <t>Приходная накладная 2243 (вх. 38928358) от 28.08.2024</t>
  </si>
  <si>
    <t>Батарейка GP Super LR06/AA 1,5V/15A алкалин 16шт/бл( 8+8) GP 15A8/8-2CRD16</t>
  </si>
  <si>
    <t>Батарейка GP АА 15A-2CRVS20, 20шт/уп</t>
  </si>
  <si>
    <t>Приходная накладная 622 (вх. 35404748) от 19.03.2024</t>
  </si>
  <si>
    <t>Батарейка GP ААА 24A-2CRVS20, 20шт/уп</t>
  </si>
  <si>
    <t>Батарейка GP15A-GP15AA21-2CRSWC20, 20шт/уп</t>
  </si>
  <si>
    <t>Батарейка LR 6 Plus Alkaline BLOCK-12 ,1.5В</t>
  </si>
  <si>
    <t>Батарейка крона 9V, 6LR61, набор 6 шт</t>
  </si>
  <si>
    <t>Приходная накладная 1443 (вх. 1657/782) от 14.06.2024</t>
  </si>
  <si>
    <t>батарейка крона алкалиновая</t>
  </si>
  <si>
    <t>Авансовый отчет 227  от 11.06.2024</t>
  </si>
  <si>
    <t>Батарея Hiden Батарейный кабинет Rack/Tower для ИБП HIDEN EXPERT UDC9206H/UDC92010H 2U (EXBR±192) (0</t>
  </si>
  <si>
    <t>Приходная накладная 4445 (вх. Tr000001863) от 16.01.2024</t>
  </si>
  <si>
    <t>Батарея Hiden Батарейный кабинет для ИБП HIDEN KU9103S-RT(EXBR+72) (00-00001680)</t>
  </si>
  <si>
    <t>Башенный нож-Башня НАК31063 НАК31080 блок инструмента  НАК31063-Boring2</t>
  </si>
  <si>
    <t>Авансовый отчет 163  от 26.08.2024</t>
  </si>
  <si>
    <t>Башенный нож-Башня НАК31063 НАК31080 блок инструмента  НАК31063-End face</t>
  </si>
  <si>
    <t>Безинерционный молоток 900 г, 50 мм</t>
  </si>
  <si>
    <t>Бейдж Deli E5742 54х90мм горизонт. зажим вращающийся PP синий (упак.:50шт)</t>
  </si>
  <si>
    <t>Приходная накладная 5272 (вх. 40306593) от 22.10.2024</t>
  </si>
  <si>
    <t>Бейсболка т.-синяя</t>
  </si>
  <si>
    <t>Приходная накладная 4335 (вх. 145254) от 05.07.2024</t>
  </si>
  <si>
    <t>Бейсболка т-серая</t>
  </si>
  <si>
    <t>Приходная накладная 4397 (вх. 112664) от 11.03.2024</t>
  </si>
  <si>
    <t>Бейсболка черная, _</t>
  </si>
  <si>
    <t>БелАК Насос перекачки топлива бочковой рычажный "Пегас" БАК.00111</t>
  </si>
  <si>
    <t>Бензин АИ-92</t>
  </si>
  <si>
    <t>Бензин АИ-95</t>
  </si>
  <si>
    <t>Беруши противошумные со шнурком</t>
  </si>
  <si>
    <t>Бесконтактный детектор напряжения 12-1000В/50-60Гц, CAT III 1000В</t>
  </si>
  <si>
    <t>Бесперебойный блок питания Accordtec ББП-50 исп. 1</t>
  </si>
  <si>
    <t>Беспроводная точка доступа MikroTik</t>
  </si>
  <si>
    <t>Приходная накладная 1862 (вх. 6204) от 25.07.2024</t>
  </si>
  <si>
    <t>Беспроводная точка доступа MikroTik mANTBox 19s</t>
  </si>
  <si>
    <t>Приходная накладная 5302 (вх. 8446) от 24.10.2024</t>
  </si>
  <si>
    <t>Беспроводная точка доступа MikroTik Metal 52 ac</t>
  </si>
  <si>
    <t>Беспроводной WiFi роутер Keenetic Runner 4G KN-2211</t>
  </si>
  <si>
    <t>Беспроводной маршрутизатор TP-LINK M7350</t>
  </si>
  <si>
    <t>Приходная накладная 563 (вх. 72985) от 08.03.2024</t>
  </si>
  <si>
    <t>Бесшовный двигатель</t>
  </si>
  <si>
    <t>Авансовый отчет 179  от 12.08.2024</t>
  </si>
  <si>
    <t>Бесщеточный двигатель для FPV</t>
  </si>
  <si>
    <t>Авансовый отчет 170  от 20.08.2024</t>
  </si>
  <si>
    <t>Бесщеточный двигатель постоянного тока 48V 2000W</t>
  </si>
  <si>
    <t>Бидон 5л. метал</t>
  </si>
  <si>
    <t>Приходная накладная 1528 (вх. 2268) от 24.06.2024</t>
  </si>
  <si>
    <t>Бизнес-тетрадь Ambition 5,А5,150л,148х205,5 раз,рез под руч,кл+л,красн,0005</t>
  </si>
  <si>
    <t>Приходная накладная 993 (вх. 36074784) от 15.04.2024</t>
  </si>
  <si>
    <t>Бизнес-тетрадь Flakes blue обложка УФ лак, спираль, А5, 48л, клетка</t>
  </si>
  <si>
    <t>Приходная накладная 2266 (вх. 10405613-МСК) от 30.08.2024</t>
  </si>
  <si>
    <t>Бизнес-тетрадь А4 120л Attache гребень клетка пластик черн с тиснением</t>
  </si>
  <si>
    <t>Бизнес-тетрадь А4 80л  ATTACHE, спираль, черный, блок 60г, обложка 215г</t>
  </si>
  <si>
    <t>Приходная накладная 437 (вх. 34354139) от 02.02.2024</t>
  </si>
  <si>
    <t>Бизнес-тетрадь А4,120л,гребень,обл.пластик,клетка, Attache Plastic, синий</t>
  </si>
  <si>
    <t>Приходная накладная 5275 (вх. 40216123) от 24.10.2024</t>
  </si>
  <si>
    <t>Бизнес-тетрадь А5,120л,7БЦ,клетка Attache Economy Forest</t>
  </si>
  <si>
    <t>Бизнес-тетрадь А5,120л,кл,гребень,пластик.обл. с вырубк,4раздел ЧЕРНЫЙ 15с7</t>
  </si>
  <si>
    <t>Приходная накладная 5273 (вх. 40307829) от 24.10.2024</t>
  </si>
  <si>
    <t>Бизнес-тетрадь А5,96л,7БЦ,клетка Attache Selection бирюза</t>
  </si>
  <si>
    <t>Бизнес-тетрадь Клетка А5 80л, клет,обл.пласт,блок 80гр,CONVENT</t>
  </si>
  <si>
    <t>Приходная накладная 5173 (вх. 40117229) от 17.10.2024</t>
  </si>
  <si>
    <t>Биметаллическое гибкое полотно по металлу, 18 TPI, 300 мм, 10шт</t>
  </si>
  <si>
    <t>Приходная накладная 551 (вх. 2764890-МСК) от 15.03.2024</t>
  </si>
  <si>
    <t>Бирка для ключей</t>
  </si>
  <si>
    <t>Приходная накладная 4166 (вх. 212) от 23.09.2024</t>
  </si>
  <si>
    <t>Бирка кабельная маркировочная У-134 55х55мм</t>
  </si>
  <si>
    <t>Приходная накладная 2000 (вх. 055/42408) от 07.08.2024</t>
  </si>
  <si>
    <t>Бирка пластиковая универсальная 50х90 мм с пластиковым хомутом 100 мм - 100 шт</t>
  </si>
  <si>
    <t>Приходная накладная 4284 (вх. 2013/282) от 27.09.2024</t>
  </si>
  <si>
    <t>Бирки для ключей 10 шт/уп, ассорти, 5 цветов по 2шт.</t>
  </si>
  <si>
    <t>Приходная накладная 3793 (вх. 39109211) от 06.09.2024</t>
  </si>
  <si>
    <t>Бирки для ключей 10 шт/уп, желтая</t>
  </si>
  <si>
    <t>Приходная накладная 4869 (вх. 39835408) от 03.10.2024</t>
  </si>
  <si>
    <t>Бирки для ключей 10 шт/уп, черная</t>
  </si>
  <si>
    <t>Бирки для ключей пластиковая, красная, 100шт./уп.</t>
  </si>
  <si>
    <t>Бита 1/4 Е PZ1x50</t>
  </si>
  <si>
    <t>Приходная накладная 904 (вх. КОТМ-002495) от 05.04.2024</t>
  </si>
  <si>
    <t>Бита 5x50mm 10шт</t>
  </si>
  <si>
    <t>Приходная накладная 1477 (вх. 7108347-МСК) от 19.06.2024</t>
  </si>
  <si>
    <t>Бита PZ 1x70мм</t>
  </si>
  <si>
    <t>Бита PZ1 50мм</t>
  </si>
  <si>
    <t>Приходная накладная 1606 (вх. 14267) от 28.06.2024</t>
  </si>
  <si>
    <t>Бита для шуруповерта 1/4 Pz1\50мм</t>
  </si>
  <si>
    <t>Приходная накладная 4455 (вх. УТ-3294) от 01.01.2024</t>
  </si>
  <si>
    <t>Бита усиленная 1/4"  H1.5 25 мм</t>
  </si>
  <si>
    <t>Бита усиленная 1/4" шестигранная H1.5 50 мм</t>
  </si>
  <si>
    <t>Бита-вставка 2.5x25мм</t>
  </si>
  <si>
    <t>Приходная накладная 11 (вх. 0046864-МСК) от 08.01.2024</t>
  </si>
  <si>
    <t>Бита-насадка шлиц L=32 мм 1,0х5,5</t>
  </si>
  <si>
    <t>Приходная накладная 3974 (вх. 11185352-МСК) от 17.09.2024</t>
  </si>
  <si>
    <t>Битодержатель магнитный 1/4", 58 мм в пластиковом боксе</t>
  </si>
  <si>
    <t>Биты 6x50mm 10шт</t>
  </si>
  <si>
    <t>Биты магнитные Hex2x25мм, 2 шт</t>
  </si>
  <si>
    <t>Бланк Вкладыш к трудовой книжке (новый 2023г)</t>
  </si>
  <si>
    <t>Бланк Путевой лист легк.авто (книж.100л.) в термоус.офсет (67001)</t>
  </si>
  <si>
    <t>Приходная накладная 5141 (вх. 40008622) от 10.10.2024</t>
  </si>
  <si>
    <t>Блок HGH20CAZAH</t>
  </si>
  <si>
    <t>Приходная накладная 603 (вх. 1006) от 07.03.2024</t>
  </si>
  <si>
    <t>Блок высокого напряжения HY-TA150</t>
  </si>
  <si>
    <t>Приходная накладная 632 (вх. 0146751736-0073/1103) от 11.03.2024</t>
  </si>
  <si>
    <t>Блок для записей Attache Economy запасн. 9х9х5 белый 65 г</t>
  </si>
  <si>
    <t>Блок для записей Attache Economy запасной 9х9х9 белый 65 г</t>
  </si>
  <si>
    <t>Блок для записей Attache Economy запасной 9х9х9 белый 65 гр 92</t>
  </si>
  <si>
    <t>Приходная накладная 1363 (вх. 37017101) от 05.06.2024</t>
  </si>
  <si>
    <t>Блок для записей Attache Economy проклеенный  8х8х4, 5 цветов 80 г</t>
  </si>
  <si>
    <t>Блок для записей Attache Economy проклеенный 7,5х7,5х3,5, 5 цветов, 65 г</t>
  </si>
  <si>
    <t>Блок для записей ATTACHE запасной 9х9х9 белый блок 80 г, 92</t>
  </si>
  <si>
    <t>Блок для записей ATTACHE ЭКОНОМ на склейке 9х9х9 белый 60 г, 65</t>
  </si>
  <si>
    <t>Блок для записей в подставке КОМУС в стакане 9х9х5 цветной блок 80-100 г</t>
  </si>
  <si>
    <t>Приходная накладная 1958 (вх. 38403959) от 01.08.2024</t>
  </si>
  <si>
    <t>Блок коммуникаций RB</t>
  </si>
  <si>
    <t>Блок питания 24 В 72 Вт 3 А открытый</t>
  </si>
  <si>
    <t>Блок питания AC/DC - стабилизированный ИВЭП-0520Р</t>
  </si>
  <si>
    <t>Приходная накладная 2240 (вх. 10316425-МСК) от 28.08.2024</t>
  </si>
  <si>
    <t>Блок питания Deepcool PF500 500W</t>
  </si>
  <si>
    <t>Блок питания Exegate 450w</t>
  </si>
  <si>
    <t>Блок питания Falcon EYE FE-12/10</t>
  </si>
  <si>
    <t>Приходная накладная 1059 (вх. 107849) от 22.04.2024</t>
  </si>
  <si>
    <t>Блок питания GST90A19-P1M,19B,4.74A,90Вт</t>
  </si>
  <si>
    <t>Приходная накладная 1614 (вх. 0549139) от 01.07.2024</t>
  </si>
  <si>
    <t>Блок питания ZM-12-12</t>
  </si>
  <si>
    <t>Приходная накладная 2270 (вх. Р-12705) от 30.08.2024</t>
  </si>
  <si>
    <t>Блок питания БП-6А</t>
  </si>
  <si>
    <t>Приходная накладная 1269 (вх. 936) от 22.05.2024</t>
  </si>
  <si>
    <t>Блок питания встраиваемый 48V 100W белый</t>
  </si>
  <si>
    <t>Приходная накладная 1335 (вх. 51) от 04.06.2024</t>
  </si>
  <si>
    <t>Блок питания встраиваемый 48V 200W белый</t>
  </si>
  <si>
    <t>Блок распределения питания Emilink Блок распределения питания NTSS, Metered, 1ф32А, 7.4кВт, 2 автома</t>
  </si>
  <si>
    <t>Блок розеток вертикальный, 1-фазный с автоматом, A/V -метр, 16А / 250V, 20хС19, шнур 3.0 м, разъем С</t>
  </si>
  <si>
    <t>Приходная накладная 5249 (вх. УТ-417) от 23.10.2024</t>
  </si>
  <si>
    <t>Блок розеток на 8 гнезд</t>
  </si>
  <si>
    <t>Приходная накладная 1796 (вх. 43306/3119) от 22.07.2024</t>
  </si>
  <si>
    <t>Блок шлифовальный</t>
  </si>
  <si>
    <t>Приходная накладная 1594 (вх. 7602061-МСК) от 28.06.2024</t>
  </si>
  <si>
    <t>Блок энкордеров X S2</t>
  </si>
  <si>
    <t>Приходная накладная 2143 (вх. 733) от 20.08.2024</t>
  </si>
  <si>
    <t>Блок энкордеров XL S2</t>
  </si>
  <si>
    <t>Блок энкордеров XPRO S2</t>
  </si>
  <si>
    <t>Блокнот 40л,А4,мет.гребень,однотонная обл.,ВДлак,в ассортименте</t>
  </si>
  <si>
    <t>Блокнот 80 листов А5</t>
  </si>
  <si>
    <t>Приходная накладная 479 (вх. 135) от 01.03.2024</t>
  </si>
  <si>
    <t>Блокнот ATTACHE спираль А5 40л. клетка офис 40шт/уп. (БК)</t>
  </si>
  <si>
    <t>Блокнот А4,80л,клетка,метал.гребень,цв.обложка Стильный Офис 2752</t>
  </si>
  <si>
    <t>Блокнот на спир.А5 60л.STENOGRAPHY 6с10 клетк 40 в асс.</t>
  </si>
  <si>
    <t>Блокнот на спирали А5 60л. ATTACHE,  черный, блок 60г, обложка 215г</t>
  </si>
  <si>
    <t>Блокнот на спирали А5 60л. ATTACHE, синий, блок 60г, обложка 215г</t>
  </si>
  <si>
    <t>Блокнот на спирали А5 80л  Attache клетка, обложка Plastic</t>
  </si>
  <si>
    <t>Бокорезы 180 мм</t>
  </si>
  <si>
    <t>Приходная накладная 4289 (вх. 11756428-МСК) от 30.09.2024</t>
  </si>
  <si>
    <t>Бокорезы Knipex</t>
  </si>
  <si>
    <t>Бокорезы мини 4.5</t>
  </si>
  <si>
    <t>Бокорезы МС-01D</t>
  </si>
  <si>
    <t>Бокорезы МС-01С</t>
  </si>
  <si>
    <t>Бокорезы усиленные, L=180мм</t>
  </si>
  <si>
    <t>Бокорезы, 160мм</t>
  </si>
  <si>
    <t>Приходная накладная 618 (вх. 2920395-МСК) от 19.03.2024</t>
  </si>
  <si>
    <t>Бокс АД31Т1 40х20х1.25 L=6000</t>
  </si>
  <si>
    <t>Приходная накладная 991 (вх. 4683) от 16.04.2024</t>
  </si>
  <si>
    <t>Бокс для бумаги 9х9х9 прозрачный ПЛ41</t>
  </si>
  <si>
    <t>Бокс для бумаги 9х9х9 прозрачный пластик</t>
  </si>
  <si>
    <t>Бокс навесной ОП City9 ряд 12мод с прозр. дверцей</t>
  </si>
  <si>
    <t>Болт DIN603 М 6x70</t>
  </si>
  <si>
    <t>Приходная накладная 1292 (вх. ЦБ-9091) от 24.05.2024</t>
  </si>
  <si>
    <t>Болт DIN912 8х60</t>
  </si>
  <si>
    <t>Приходная накладная 963 (вх. 7964) от 12.04.2024</t>
  </si>
  <si>
    <t>Болт DIN931 М16*140</t>
  </si>
  <si>
    <t>Приходная накладная 1850 (вх. 22358) от 25.07.2024</t>
  </si>
  <si>
    <t>Болт DIN933 М 6х50</t>
  </si>
  <si>
    <t>Болт DIN933 М10х70мм</t>
  </si>
  <si>
    <t>Приходная накладная 1287 (вх. 11391) от 24.05.2024</t>
  </si>
  <si>
    <t>Болт DIN933 М5х30мм</t>
  </si>
  <si>
    <t>Приходная накладная 738 (вх. 0146751736-0027/1601) от 16.01.2024</t>
  </si>
  <si>
    <t>Болт DIN933 М6х8мм</t>
  </si>
  <si>
    <t>Приходная накладная 1931 (вх. К-44041) от 30.07.2024</t>
  </si>
  <si>
    <t>Болт DIN933 М8х50мм</t>
  </si>
  <si>
    <t>Болт DIN933 М8х80мм</t>
  </si>
  <si>
    <t>Болт DIN933 с шестигранной головкой оцинк. М6x50 + гайка + шайба 6 шт</t>
  </si>
  <si>
    <t>Болт с внутр. шестигранником DIN912 М 8х30 40 шт.</t>
  </si>
  <si>
    <t>Приходная накладная 1359 (вх. 6460321-МСК) от 05.06.2024</t>
  </si>
  <si>
    <t>Болт ЦГЧ DIN 912 имбус М8х60</t>
  </si>
  <si>
    <t>Приходная накладная 2284 (вх. 21380) от 02.09.2024</t>
  </si>
  <si>
    <t>Болт ЦГЧ DIN912 6х12</t>
  </si>
  <si>
    <t>Приходная накладная 3978 (вх. 11185343-МСК) от 17.09.2024</t>
  </si>
  <si>
    <t>Бортовой контроллер (система ГЛОНАСС)</t>
  </si>
  <si>
    <t>Приходная накладная 5268 (вх. 149) от 01.07.2024</t>
  </si>
  <si>
    <t>Борфреза ВК8</t>
  </si>
  <si>
    <t>Приходная накладная 3837 (вх. 10825300-МСК) от 10.09.2024</t>
  </si>
  <si>
    <t>Ботинки Рабер NEW (Нью) утепл. с комп. подноском_40</t>
  </si>
  <si>
    <t>Ботинки Рабер NEW (Нью) утепл. с комп. подноском_41</t>
  </si>
  <si>
    <t>Ботинки Рабер NEW (Нью) утепл. с комп. подноском_46</t>
  </si>
  <si>
    <t>Ботинки СОЮЗ ПЛЮС утепленные с композитным подноском черные, 41</t>
  </si>
  <si>
    <t>Приходная накладная 4431 (вх. 104962) от 05.02.2024</t>
  </si>
  <si>
    <t>Ботинки СОЮЗ ПЛЮС утепленные с композитным подноском черные, 42</t>
  </si>
  <si>
    <t>Бочка 200л</t>
  </si>
  <si>
    <t>БП Exegate 500Вт 120мм черный</t>
  </si>
  <si>
    <t>Приходная накладная 1928 (вх. 503) от 30.07.2024</t>
  </si>
  <si>
    <t>Бронзовые втулки для ремонта насоса посудомоечной или стиральной машины, комплект 2 шт.</t>
  </si>
  <si>
    <t>Приходная накладная 744 (вх. 0146751736-0027/1901) от 19.01.2024</t>
  </si>
  <si>
    <t>Брошюра А5 технологический паспорт</t>
  </si>
  <si>
    <t>Приходная накладная 1706 (вх. 000071) от 15.07.2024</t>
  </si>
  <si>
    <t>Брус защиты 60х22, 1050</t>
  </si>
  <si>
    <t>Брус защиты 60х22, 2350</t>
  </si>
  <si>
    <t>Брюки MACH2 (МАЧ2) утеплённые т. серые (44-46/170-176)</t>
  </si>
  <si>
    <t>Приходная накладная 91 (вх. 100539) от 18.01.2024</t>
  </si>
  <si>
    <t>Брюки MACH2 (МАЧ2) утеплённые т. серые (48-50/176-182)</t>
  </si>
  <si>
    <t>Приходная накладная 4425 (вх. 105827) от 08.02.2024</t>
  </si>
  <si>
    <t>Брюки MACH2 (МАЧ2) утеплённые т. серые (50-52/182-188)</t>
  </si>
  <si>
    <t>Брюки MACH2 (МАЧ2) утеплённые т. серые (54-56/182-188)</t>
  </si>
  <si>
    <t>Брюки джоггеры COTTURA (Коттура) графит, 44-46/170-176</t>
  </si>
  <si>
    <t>Брюки джоггеры COTTURA (Коттура) графит, 48-50/170-176</t>
  </si>
  <si>
    <t>Приходная накладная 4328 (вх. 147056) от 12.07.2024</t>
  </si>
  <si>
    <t>Брюки джоггеры COTTURA (Коттура) графит, 48-50/182-188</t>
  </si>
  <si>
    <t>Брюки джоггеры COTTURA (Коттура) графит, 52-54/170-176</t>
  </si>
  <si>
    <t>Брюки джоггеры COTTURA (Коттура) графит, 52-54/182-188</t>
  </si>
  <si>
    <t>Бумага SvetoCopy (А3, марка С, 80 г/кв.м, 500 л)</t>
  </si>
  <si>
    <t>Бумага SvetoCopy (А4, марка С, 80 г/кв.м, 500 л)</t>
  </si>
  <si>
    <t>Бумага для заметок с клеевым краем Economy  38x51 мм, 400 л, 5 цветов в асс</t>
  </si>
  <si>
    <t>Бумага для заметок с клеевым краем Economy 76х76 мм, 400 л, 5 цветов в асс</t>
  </si>
  <si>
    <t>Бумага для заметок с клеевым краем Economy 76х76 мм, 400 л, 8 цв в асс</t>
  </si>
  <si>
    <t>Бумага для принтера MPM 19.5 450мм</t>
  </si>
  <si>
    <t>Бумага для цв.лазер.печ. Cartblank Digi (А4, 200 г/кв.м, 200 л)</t>
  </si>
  <si>
    <t>Бумага КОМУС ДОКУМЕНТ Standard (А3, марка С, 80 г/кв.м, 500 л)</t>
  </si>
  <si>
    <t>Бумага КОМУС ДОКУМЕНТ Standard (А4, марка С, 80 г/кв.м, 500 л)</t>
  </si>
  <si>
    <t>Бумага офисная А4,80 г/м2,500 л..марка С,SVETOCOPY CLASSIC,Россия, 146%</t>
  </si>
  <si>
    <t>Приходная накладная 2136 (вх. 175225) от 20.08.2024</t>
  </si>
  <si>
    <t>Бумага протирочная 2-х слойная 1000 листов 360м</t>
  </si>
  <si>
    <t>Приходная накладная 2188 (вх. 38902973) от 23.08.2024</t>
  </si>
  <si>
    <t>Бумага протирочная полотенце 2сл 22х30 200м d 6 см центр. вытяжка 6 рул/уп</t>
  </si>
  <si>
    <t>Бумага туалетная Trk 12рул</t>
  </si>
  <si>
    <t>Приходная накладная 4009 (вх. 39475161) от 18.09.2024</t>
  </si>
  <si>
    <t>Бумага шлифовальная БШВ-800</t>
  </si>
  <si>
    <t>Приходная накладная 1329 (вх. 6289198-МСК) от 03.06.2024</t>
  </si>
  <si>
    <t>Бумажные полотенца Aro 2 слоя 2 рулона</t>
  </si>
  <si>
    <t>Приходная накладная 4385 (вх. R371461130-H60266373622) от 01.04.2024</t>
  </si>
  <si>
    <t>Бухгалтерские услуги</t>
  </si>
  <si>
    <t>Приходная накладная 3870 (вх. 717) от 31.08.2024</t>
  </si>
  <si>
    <t>Быстросборная беседка-шатер 3х6 Серии S9</t>
  </si>
  <si>
    <t>Приходная накладная 2326 (вх. 318070/132) от 05.09.2024</t>
  </si>
  <si>
    <t>Бюгель (Шторм, Листопад)</t>
  </si>
  <si>
    <t>Приходная накладная 2070 (вх. -) от 14.08.2024</t>
  </si>
  <si>
    <t>Бюрократ Кресло компьютерное  CH-695N спинка сетка черный сиденье черный CH-695N/BLACK</t>
  </si>
  <si>
    <t>Приходная накладная 1951 (вх. 9033261-МСК) от 31.07.2024</t>
  </si>
  <si>
    <t>Бюрократ Кресло компьютерное CH-695NLT черный на пиастре крестовина пластик CH-695NLT/BLACK</t>
  </si>
  <si>
    <t>Бюрократ Кресло компьютерное СН-695NLT черный на пиастре крестовина пластик</t>
  </si>
  <si>
    <t>Вакуум форма из стеклопластика СНК 110.040.00.00.04 Крышка</t>
  </si>
  <si>
    <t>Приходная накладная 4351 (вх. 327) от 04.06.2024</t>
  </si>
  <si>
    <t>Вакуумная шина 10 дюймов 23X7-10</t>
  </si>
  <si>
    <t>Вакуумное масло ВМ-1С</t>
  </si>
  <si>
    <t>Приходная накладная 1098 (вх. 749308/20) от 26.04.2024</t>
  </si>
  <si>
    <t>Вакуумное масло ВМ-5</t>
  </si>
  <si>
    <t>Вакуумный захват CN020</t>
  </si>
  <si>
    <t>Приходная накладная 4406 (вх. 294) от 27.02.2024</t>
  </si>
  <si>
    <t>Вакуумный захват CN030</t>
  </si>
  <si>
    <t>Вакуумный захват CN040</t>
  </si>
  <si>
    <t>Вакуумный захват CN065</t>
  </si>
  <si>
    <t>Вакуумный захват CN1100</t>
  </si>
  <si>
    <t>Вакуумный захват CN140</t>
  </si>
  <si>
    <t>Вакуумный захват CN220</t>
  </si>
  <si>
    <t>Вакуумный захват CN400</t>
  </si>
  <si>
    <t>Вакуумный захват CN750</t>
  </si>
  <si>
    <t>Вакуумный пластинчато-роторный насос VE260</t>
  </si>
  <si>
    <t>Приходная накладная 1786 (вх. УП-617) от 19.07.2024</t>
  </si>
  <si>
    <t>Вакуумный пластинчато-роторный насос VE280SV</t>
  </si>
  <si>
    <t>Вал полированный D20 мм</t>
  </si>
  <si>
    <t>Приходная накладная 5361 (вх. 24349) от 29.10.2024</t>
  </si>
  <si>
    <t>Валик для гипсокартона игольчатый</t>
  </si>
  <si>
    <t>валик прикаточный 40 мм силиконовый</t>
  </si>
  <si>
    <t>Авансовый отчет 253  от 02.05.2024</t>
  </si>
  <si>
    <t>Валик прикаточный для шумоизоляции авто силиконовый 50мм</t>
  </si>
  <si>
    <t>Приходная накладная 2322 (вх. 1003408202409010001) от 04.09.2024</t>
  </si>
  <si>
    <t>Ведро пластиковое с крышкой 1,5л</t>
  </si>
  <si>
    <t>Приходная накладная 971 (вх. 4053421-МСК) от 15.04.2024</t>
  </si>
  <si>
    <t>Ведро пластмассовое б/крышки 10л цвет в ассортименте Россия</t>
  </si>
  <si>
    <t>Приходная накладная 1586 (вх. 37597272) от 28.06.2024</t>
  </si>
  <si>
    <t>Ведро пластмассовое мерное 10л 305-0122</t>
  </si>
  <si>
    <t>Приходная накладная 658 (вх. 35420032) от 20.03.2024</t>
  </si>
  <si>
    <t>Ведро пожарное конусное</t>
  </si>
  <si>
    <t>Венец, звезда ведомая (420-36) сталь, закаленные зубья</t>
  </si>
  <si>
    <t>Приходная накладная 2175 (вх. 846356/45) от 22.08.2024</t>
  </si>
  <si>
    <t>Венец.звезда ведомая сталь закаленная зубья Alpha/Delta 4x70x54</t>
  </si>
  <si>
    <t>Авансовый отчет 150  от 18.09.2024</t>
  </si>
  <si>
    <t>вентилятор 40х40х10</t>
  </si>
  <si>
    <t>Авансовый отчет 215  от 30.06.2024</t>
  </si>
  <si>
    <t>Вентилятор 5B DC ExeGate ExtraPower 25x25x10мм</t>
  </si>
  <si>
    <t>Приходная накладная 1988 (вх. 0649227) от 06.08.2024</t>
  </si>
  <si>
    <t>Вентилятор Case fan DeepCool</t>
  </si>
  <si>
    <t>Приходная накладная 1247 (вх. УТ-459) от 21.05.2024</t>
  </si>
  <si>
    <t>Вентилятор Deepcool XFAN 120 3-pin 4-pin</t>
  </si>
  <si>
    <t>Вентилятор круглый канальный IDA-315</t>
  </si>
  <si>
    <t>Приходная накладная 1716 (вх. 8370165-МСК) от 16.07.2024</t>
  </si>
  <si>
    <t>Вентилятор осевой постоянного тока UF3C3-700</t>
  </si>
  <si>
    <t>Приходная накладная 2256 (вх. 0733263) от 29.08.2024</t>
  </si>
  <si>
    <t>Вентилятор охлаждения радиальный 4020T 5V</t>
  </si>
  <si>
    <t>Приходная накладная 1274 (вх. 169326/3) от 23.05.2024</t>
  </si>
  <si>
    <t>Верстак ВЛ-К-150-04</t>
  </si>
  <si>
    <t>Приходная накладная 2034 (вх. 2324) от 12.08.2024</t>
  </si>
  <si>
    <t>Верстак ВП-5/1.6</t>
  </si>
  <si>
    <t>Приходная накладная 2334 (вх. tu-12580) от 05.09.2024</t>
  </si>
  <si>
    <t>Верстак железный с двумя тумбами и полкой для мастерских</t>
  </si>
  <si>
    <t>Приходная накладная 413 (вх. 20) от 15.02.2024</t>
  </si>
  <si>
    <t>Верстакофф Верстак TNC 161.15.3-1 125147</t>
  </si>
  <si>
    <t>Приходная накладная 2196 (вх. 10138315-БЛГ) от 23.08.2024</t>
  </si>
  <si>
    <t>Верстакофф Табурет промышленный на ГЛ без кольца для ног Т10(К)</t>
  </si>
  <si>
    <t>Приходная накладная 1384 (вх. ЦБ-3242) от 10.06.2024</t>
  </si>
  <si>
    <t>Верхняя крышка пульта управления (Sheregesh)</t>
  </si>
  <si>
    <t>Приходная накладная 687 (вх. 70) от 04.03.2024</t>
  </si>
  <si>
    <t>Весы 326AFU-32.1 LED</t>
  </si>
  <si>
    <t>Приходная накладная 482 (вх. 2204913-МСК) от 01.03.2024</t>
  </si>
  <si>
    <t>Весы M-ER 122ACF-3000.05 LCD</t>
  </si>
  <si>
    <t>Приходная накладная 3781 (вх. 05793) от 06.09.2024</t>
  </si>
  <si>
    <t>Весы карманные электронные от 0,01 до 200грамм</t>
  </si>
  <si>
    <t>Приходная накладная 68 (вх. 18139) от 16.01.2024</t>
  </si>
  <si>
    <t>Весы настольные электронные фасовочные до 30 кг</t>
  </si>
  <si>
    <t>Приходная накладная 733 (вх. 236258/4) от 16.01.2024</t>
  </si>
  <si>
    <t>Весы фасовочные 30 ВДА</t>
  </si>
  <si>
    <t>Приходная накладная 1304 (вх. ЦБ-19985) от 27.05.2024</t>
  </si>
  <si>
    <t>Весы фасовочные 6 ВЖА</t>
  </si>
  <si>
    <t>Весы фасовочные M-ER 326 AFU Post II</t>
  </si>
  <si>
    <t>Приходная накладная 5371 (вх. 07064) от 30.10.2024</t>
  </si>
  <si>
    <t>Весы электронные подвесные</t>
  </si>
  <si>
    <t>Приходная накладная 1816 (вх. 204) от 23.07.2024</t>
  </si>
  <si>
    <t>Весы-кантер, электронные, до 50 кг</t>
  </si>
  <si>
    <t>Приходная накладная 935 (вх. 3943392-МСК) от 11.04.2024</t>
  </si>
  <si>
    <t>Ветошь х/б белая 10кг</t>
  </si>
  <si>
    <t>Приходная накладная 5090 (вх. 12221046-МСК) от 09.10.2024</t>
  </si>
  <si>
    <t>Ветошь х/б цветная 10кг</t>
  </si>
  <si>
    <t>Ветошь цветной трикотаж Комус ООО 10кг</t>
  </si>
  <si>
    <t>Вешалка TI_напольная Ажур 2 черный.</t>
  </si>
  <si>
    <t>Приходная накладная 2114 (вх. 38679235) от 19.08.2024</t>
  </si>
  <si>
    <t>Вешалка-плечики Jas_Attache CU9632M-W анатом перекл.белая р. 48-50</t>
  </si>
  <si>
    <t>Вешалка-плечики Jas_Attache F6612N-3 переклад/выем.Р48-50 3 шт./уп</t>
  </si>
  <si>
    <t>Приходная накладная 5274 (вх. 40300557) от 24.10.2024</t>
  </si>
  <si>
    <t>Вибропитатель для компонентов в пеналах</t>
  </si>
  <si>
    <t>Видео передатчик: iFlight BLITZ Whoop 5,8 ГГц 2,5 Вт VTX</t>
  </si>
  <si>
    <t>Видеокарта AFOX GTX1650 4GB</t>
  </si>
  <si>
    <t>Видеокарта GeForce GTX 1650</t>
  </si>
  <si>
    <t>Приходная накладная 3832 (вх. 0909-14) от 09.09.2024</t>
  </si>
  <si>
    <t>Видеокарта Inno3D Nvidia Geforce GTX1650 Twin X2 OC V3 4GB GDDR6 128-bit HDMI DPx3 2FAN RTL</t>
  </si>
  <si>
    <t>Видеокарта MSI 3050 GAMING 6GB</t>
  </si>
  <si>
    <t>Приходная накладная 902 (вх. УТ-308) от 05.04.2024</t>
  </si>
  <si>
    <t>Видеокарта MSI GTX1650 4GB</t>
  </si>
  <si>
    <t>Видеопередатчик Foxeer 1.2.1.5W 4CH Analog FPV System (VTX) (FPV)</t>
  </si>
  <si>
    <t>Приходная накладная 38 (вх. LT002593/11) от 11.01.2024</t>
  </si>
  <si>
    <t>Видеопередатчик lifight blitz 4.9ghz 2.5w</t>
  </si>
  <si>
    <t>видиопередатчик тотем 1,2G 1W</t>
  </si>
  <si>
    <t>Авансовый отчет 193 от 12.04.2024</t>
  </si>
  <si>
    <t>Визитки</t>
  </si>
  <si>
    <t>Приходная накладная 4347 (вх. 519) от 06.06.2024</t>
  </si>
  <si>
    <t>Вилка кабельная 32А 400V</t>
  </si>
  <si>
    <t>Вилка столовая Дерби нерж.сталь 1,8 мм Pinti 12шт/уп., 43745</t>
  </si>
  <si>
    <t>Вилка угловая влагозащищенная, с/з, 16 А</t>
  </si>
  <si>
    <t>Вилка штепсельная с заземляющим контактом каучук</t>
  </si>
  <si>
    <t>Вилка штыревая</t>
  </si>
  <si>
    <t>Вилка ЭРА V2 без заземления 6A белая</t>
  </si>
  <si>
    <t>Приходная накладная 1823 (вх. 8542049-МСК) от 23.07.2024</t>
  </si>
  <si>
    <t>Вилочный электропогрузчик CHL CPD20SQ</t>
  </si>
  <si>
    <t>Приходная накладная 4268 (вх. 300000326) от 01.02.2024</t>
  </si>
  <si>
    <t>Виноград Кишмиш белый ~1 кг</t>
  </si>
  <si>
    <t>Виноград черный без косточек</t>
  </si>
  <si>
    <t>Винт BLPM крест М2х5мм</t>
  </si>
  <si>
    <t>Приходная накладная 5150 (вх. 10484) от 11.10.2024</t>
  </si>
  <si>
    <t>Винт DIN 7985 2х8</t>
  </si>
  <si>
    <t>Приходная накладная 554 (вх. 994) от 15.03.2024</t>
  </si>
  <si>
    <t>Винт DIN 7985 М 2х4  4,8 Оц</t>
  </si>
  <si>
    <t>Приходная накладная 494 (вх. ЦБ-3809) от 04.03.2024</t>
  </si>
  <si>
    <t>Винт DIN 7985 ПСГЧ М3х10 А2</t>
  </si>
  <si>
    <t>Приходная накладная 135 (вх. УТ-13) от 18.01.2024</t>
  </si>
  <si>
    <t>Винт DIN 7985 ПСГЧ М3х6 А2</t>
  </si>
  <si>
    <t>Винт DIN7985 м4х8 (1000шт)</t>
  </si>
  <si>
    <t>Приходная накладная 213 (вх. 0236567-МСК) от 15.01.2024</t>
  </si>
  <si>
    <t>Винт DIN7985 ПЦГМ М3х60</t>
  </si>
  <si>
    <t>Приходная накладная 132 (вх. 665) от 18.01.2024</t>
  </si>
  <si>
    <t>ВИНТ DIN912 М20х60</t>
  </si>
  <si>
    <t>Приходная накладная 975 (вх. 4053426-МСК) от 15.04.2024</t>
  </si>
  <si>
    <t>Винт DIN965 М 3х10</t>
  </si>
  <si>
    <t>Винт ISO (7380 ) М3х6</t>
  </si>
  <si>
    <t>Винт ISO 7380 М 3х8 10,9 б.п.</t>
  </si>
  <si>
    <t>Приходная накладная 461 (вх. ЦБ-3403) от 27.02.2024</t>
  </si>
  <si>
    <t>Винт ISO 7380 М5х12</t>
  </si>
  <si>
    <t>Винт ISO7380 М3х10</t>
  </si>
  <si>
    <t>Приходная накладная 598 (вх. 16854) от 13.03.2024</t>
  </si>
  <si>
    <t>Винт ISO7380 М3х6</t>
  </si>
  <si>
    <t>Приходная накладная 1651 (вх. УТ-151) от 05.07.2024</t>
  </si>
  <si>
    <t>ВИНТ ISO7380 М5x25</t>
  </si>
  <si>
    <t>Приходная накладная 503 (вх. 2360253-МСК) от 05.03.2024</t>
  </si>
  <si>
    <t>Винт барашковый DIN 316 М4х20мм 2 шт</t>
  </si>
  <si>
    <t>Винт крест М3х5</t>
  </si>
  <si>
    <t>Приходная накладная 293 (вх. 10301) от 15.02.2024</t>
  </si>
  <si>
    <t>Винт Нержавеющий DIN 912 M10x20 мм 10шт</t>
  </si>
  <si>
    <t>Винт Нержавеющий M10x25 мм DIN 912</t>
  </si>
  <si>
    <t>Винт ПГМ DIN 965 М 2,5х18</t>
  </si>
  <si>
    <t>Приходная накладная 2194 (вх. К-50162) от 23.08.2024</t>
  </si>
  <si>
    <t>Винт ПГМ DIN 965 М3х4</t>
  </si>
  <si>
    <t>Приходная накладная 2207 (вх. УТ-217) от 26.08.2024</t>
  </si>
  <si>
    <t>Винт ПГМ DIN7991 M 3x5 10,9 б.п.</t>
  </si>
  <si>
    <t>Приходная накладная 844 (вх. 000406) от 26.03.2024</t>
  </si>
  <si>
    <t>Винт ПГМ DIN7991 М 2.5х6</t>
  </si>
  <si>
    <t>Приходная накладная 2019 (вх. УТ-205) от 08.08.2024</t>
  </si>
  <si>
    <t>Винт ПГМ DIN7991 М3х6</t>
  </si>
  <si>
    <t>Приходная накладная 1889 (вх. УТ-183) от 29.07.2024</t>
  </si>
  <si>
    <t>Винт ПГМ DIN7991 М3х8</t>
  </si>
  <si>
    <t>Винт ПГЧ DIN7991 М 2,5х5</t>
  </si>
  <si>
    <t>Приходная накладная 5343 (вх. 125) от 29.10.2024</t>
  </si>
  <si>
    <t>Винт ПГЧ DIN7991 М 2,5х6</t>
  </si>
  <si>
    <t>Приходная накладная 2032 (вх. УТ-207) от 09.08.2024</t>
  </si>
  <si>
    <t>Винт ПГЧ DIN7991 М2х6</t>
  </si>
  <si>
    <t>Приходная накладная 1774 (вх. УТ-170) от 18.07.2024</t>
  </si>
  <si>
    <t>Винт ПГЧ DIN7991 М3x10</t>
  </si>
  <si>
    <t>Приходная накладная 1593 (вх. ЦБ-10987) от 27.06.2024</t>
  </si>
  <si>
    <t>Винт ПГЧ DIN7991 М3x12</t>
  </si>
  <si>
    <t>Винт ПГЧ DIN7991 М3x16</t>
  </si>
  <si>
    <t>Винт ПГЧ DIN7991 М3x8</t>
  </si>
  <si>
    <t>Приходная накладная 1792 (вх. ЦБ-11452) от 22.07.2024</t>
  </si>
  <si>
    <t>Винт ПГЧ DIN7991 М3х14</t>
  </si>
  <si>
    <t>Винт ПГЧ DIN7991 М3х20</t>
  </si>
  <si>
    <t>Приходная накладная 633 (вх. ЦБ-4804) от 19.03.2024</t>
  </si>
  <si>
    <t>Винт ПГЧ DIN7991 М3х6</t>
  </si>
  <si>
    <t>Приходная накладная 1591 (вх. ЦБ-10817) от 28.06.2024</t>
  </si>
  <si>
    <t>Винт ПГЧ DIN965 М2,5х8</t>
  </si>
  <si>
    <t>Приходная накладная 3986 (вх. 9396) от 17.09.2024</t>
  </si>
  <si>
    <t>Винт ПСГМ DIN7985 2х5</t>
  </si>
  <si>
    <t>Приходная накладная 5123 (вх. КА-1568) от 10.10.2024</t>
  </si>
  <si>
    <t>Винт ПСГМ DIN7985 полукруглая головка М3х50</t>
  </si>
  <si>
    <t>Приходная накладная 17 (вх. 34) от 09.01.2024</t>
  </si>
  <si>
    <t>Винт ПСГМ ISO 7380 М3х16</t>
  </si>
  <si>
    <t>Приходная накладная 2232 (вх. 64312) от 27.08.2024</t>
  </si>
  <si>
    <t>Винт ПСГМ ISO7380 3х10</t>
  </si>
  <si>
    <t>Приходная накладная 1204 (вх. 33588) от 16.05.2024</t>
  </si>
  <si>
    <t>Винт ПСГМ ISO7380 М 2х6</t>
  </si>
  <si>
    <t>Винт ПСГМ ISO7380 М 3х6</t>
  </si>
  <si>
    <t>Приходная накладная 4190 (вх. 7408) от 24.09.2024</t>
  </si>
  <si>
    <t>Винт ПСГМ ISO7380 М3х10</t>
  </si>
  <si>
    <t>Приходная накладная 1619 (вх. УТ-143) от 28.06.2024</t>
  </si>
  <si>
    <t>Винт ПСГМ ISO7380 М3х12</t>
  </si>
  <si>
    <t>Приходная накладная 4014 (вх. 71258) от 18.09.2024</t>
  </si>
  <si>
    <t>Винт ПСГМ ISO7380 М3х20</t>
  </si>
  <si>
    <t>Винт ПСГМ ISO7380 М3х5</t>
  </si>
  <si>
    <t>Приходная накладная 2041 (вх. ЦБ-1054) от 12.08.2024</t>
  </si>
  <si>
    <t>Винт ПСГМ ISO7380 М3х8</t>
  </si>
  <si>
    <t>Винт ПСГЧ ISO7380 М 2х5</t>
  </si>
  <si>
    <t>Приходная накладная 2300 (вх. УТ-236) от 03.09.2024</t>
  </si>
  <si>
    <t>Винт ПСГЧ ISO7380 М 3х10 10,9 б.п.</t>
  </si>
  <si>
    <t>Приходная накладная 650 (вх. ЦБ-2633) от 15.02.2024</t>
  </si>
  <si>
    <t>Винт ПСГЧ ISO7380 М 3х20</t>
  </si>
  <si>
    <t>Приходная накладная 337 (вх. ЦБ-2634) от 15.02.2024</t>
  </si>
  <si>
    <t>Винт ПСГЧ ISO7380 М 3х25 10,9 б.п.</t>
  </si>
  <si>
    <t>Приходная накладная 1631 (вх. ЦБ-11093) от 03.07.2024</t>
  </si>
  <si>
    <t>Винт ПСГЧ ISO7380 М 3х5</t>
  </si>
  <si>
    <t>Винт ПСГЧ ISO7380 М 3х6</t>
  </si>
  <si>
    <t>Приходная накладная 3991 (вх. 7216) от 17.09.2024</t>
  </si>
  <si>
    <t>Винт ПСГЧ ISO7380 М 3х8</t>
  </si>
  <si>
    <t>Винт с полукруглой головкой и шестигранным углублением ГОСТ ISO 7380-1-М8х16-08.8-А2F</t>
  </si>
  <si>
    <t>Винт с полукруглой головкой и шестигранным углублением ГОСТ ISO 7380-1-М8х40-08.8-А2F</t>
  </si>
  <si>
    <t>Винт с шестигранной головкой ГОСТ Р ИСО 4017 - М8х30 - 5.6 - А2F</t>
  </si>
  <si>
    <t>Винт с шестигранной головкой ГОСТ Р ИСО 4017 - М8х80 - 5.6 - А2F</t>
  </si>
  <si>
    <t>Винт установочный DIN914 3х3</t>
  </si>
  <si>
    <t>Приходная накладная 4186 (вх. 24093) от 24.09.2024</t>
  </si>
  <si>
    <t>Винт ЦГМ DIN 912 М2,5х5</t>
  </si>
  <si>
    <t>Винт ЦГМ DIN912 2,5х10</t>
  </si>
  <si>
    <t>Винт ЦГМ DIN912 М 2,5х14</t>
  </si>
  <si>
    <t>Приходная накладная 4806 (вх. УТ-981) от 01.10.2024</t>
  </si>
  <si>
    <t>Винт ЦГМ DIN912 М 2х14</t>
  </si>
  <si>
    <t>Винт ЦГМ DIN912 М 2х16</t>
  </si>
  <si>
    <t>Винт ЦГМ DIN912 М 2х5</t>
  </si>
  <si>
    <t>Винт ЦГМ DIN912 М 3х12 12.9</t>
  </si>
  <si>
    <t>Приходная накладная 4218 (вх. 11648153-МСК) от 26.09.2024</t>
  </si>
  <si>
    <t>Винт ЦГМ DIN912 М 3х16 12.9</t>
  </si>
  <si>
    <t>Винт ЦГМ DIN912 М2х6</t>
  </si>
  <si>
    <t>Приходная накладная 1225 (вх. ЦБ-8690) от 17.05.2024</t>
  </si>
  <si>
    <t>Винт ЦГМ DIN912 М3x5</t>
  </si>
  <si>
    <t>Приходная накладная 438 (вх. 000215) от 21.02.2024</t>
  </si>
  <si>
    <t>Винт ЦГМ DIN912 М3х14</t>
  </si>
  <si>
    <t>Винт ЦГМ DIN912 М3х25</t>
  </si>
  <si>
    <t>Винт ЦГМ DIN912 М3х45</t>
  </si>
  <si>
    <t>Винт ЦГМ DIN912 М3х8</t>
  </si>
  <si>
    <t>Винт ЦГМ DIN912 М5x40</t>
  </si>
  <si>
    <t>Приходная накладная 2239 (вх. 10316411-МСК) от 28.08.2024</t>
  </si>
  <si>
    <t>Винт ЦГМ DIN912 М5х60</t>
  </si>
  <si>
    <t>Винт ЦГЧ DIN 912 М 12х40 12,9 б.п.</t>
  </si>
  <si>
    <t>Приходная накладная 64 (вх. ЦБ-402) от 15.01.2024</t>
  </si>
  <si>
    <t>Винт ЦГЧ DIN 912 М 16х60 12,9 б.п.</t>
  </si>
  <si>
    <t>Приходная накладная 919 (вх. ЦБ-6168) от 10.04.2024</t>
  </si>
  <si>
    <t>Винт ЦГЧ DIN 912 М6х30</t>
  </si>
  <si>
    <t>Приходная накладная 2263 (вх. ЦБ-1416) от 29.08.2024</t>
  </si>
  <si>
    <t>Винт ЦГЧ DIN 912 М8х220</t>
  </si>
  <si>
    <t>Приходная накладная 1189 (вх. УТ-567) от 14.05.2024</t>
  </si>
  <si>
    <t>Винт ЦГЧ DIN912 М 2,5х10</t>
  </si>
  <si>
    <t>Приходная накладная 5133 (вх. ЦБ-1945) от 10.10.2024</t>
  </si>
  <si>
    <t>Винт ЦГЧ DIN912 М 2х6 12,9 б.п</t>
  </si>
  <si>
    <t>Приходная накладная 1561 (вх. ЦБ-10813) от 26.06.2024</t>
  </si>
  <si>
    <t>Винт ЦГЧ DIN912 М 3х10</t>
  </si>
  <si>
    <t>Винт ЦГЧ DIN912 М 3х14</t>
  </si>
  <si>
    <t>Винт ЦГЧ DIN912 М2,5х5</t>
  </si>
  <si>
    <t>Винт ЦГЧ DIN912 М2х10</t>
  </si>
  <si>
    <t>Приходная накладная 1212 (вх. УТ-99) от 16.05.2024</t>
  </si>
  <si>
    <t>Винт ЦГЧ DIN912 М2х5</t>
  </si>
  <si>
    <t>Приходная накладная 45 (вх. ЦБ-201) от 11.01.2024</t>
  </si>
  <si>
    <t>Винт ЦГЧ DIN912 М3х12</t>
  </si>
  <si>
    <t>Винт ЦГЧ DIN912 М3х16</t>
  </si>
  <si>
    <t>Приходная накладная 2237 (вх. 10316417-МСК) от 28.08.2024</t>
  </si>
  <si>
    <t>Винт ЦГЧ DIN912 М3х45</t>
  </si>
  <si>
    <t>Винт ЦГЧ DIN912 М3х5</t>
  </si>
  <si>
    <t>Приходная накладная 1791 (вх. ЦБ-11451) от 22.07.2024</t>
  </si>
  <si>
    <t>Винт ЦГЧ DIN912 М3х6</t>
  </si>
  <si>
    <t>Винт ЦГЧ DIN912 М3х8</t>
  </si>
  <si>
    <t>Винт ЦГЧ DIN912 М6х16 (12шт)</t>
  </si>
  <si>
    <t>Винт ЦГЧ DIN912 М8х120</t>
  </si>
  <si>
    <t>Приходная накладная 2258 (вх. УТ-122) от 29.08.2024</t>
  </si>
  <si>
    <t>Винт ЦГЧ DIN912 М8х220</t>
  </si>
  <si>
    <t>Винт ЦКИ ISO7380 М3x25 150 шт</t>
  </si>
  <si>
    <t>Приходная накладная 1056 (вх. 4413743-МСК) от 22.04.2024</t>
  </si>
  <si>
    <t>Винт ЦКИ ISO7380 М4х8 10.9 ОКС 200шт</t>
  </si>
  <si>
    <t>Приходная накладная 4032 (вх. 11362592-МСК) от 20.09.2024</t>
  </si>
  <si>
    <t>винтовая втулка с прорезями под гайки  латунные</t>
  </si>
  <si>
    <t>Вихрь Дрель-шуруповерт аккумуляторная</t>
  </si>
  <si>
    <t>ВЛ-К Косынка для опоры</t>
  </si>
  <si>
    <t>ВМПАВТО Мастер-смазка «ВАЛЕРА», 650мл флакон-аэрозоль 8606</t>
  </si>
  <si>
    <t>ВМПАВТО Смазка МС 1000 многофункциональная, 400г</t>
  </si>
  <si>
    <t>ВМСН.732312.001 Корпус. Основание</t>
  </si>
  <si>
    <t>Приходная накладная 5159 (вх. 175) от 08.10.2024</t>
  </si>
  <si>
    <t>ВМСН.732312.001-01 Корпус. Основание</t>
  </si>
  <si>
    <t>Внешний HDD WD 1ТБ My Passport Black</t>
  </si>
  <si>
    <t>Приходная накладная 2036 (вх. ФЦ3-020603/8257) от 12.08.2024</t>
  </si>
  <si>
    <t>Внешний SSD HP P500 500GB</t>
  </si>
  <si>
    <t>Приходная накладная 1566 (вх. ЦБ-10249) от 27.06.2024</t>
  </si>
  <si>
    <t>Внешний аккумулятор для ноутбуков Romoss PEA40 Pro 40000 mAh</t>
  </si>
  <si>
    <t>Приходная накладная 667 (вх. 2783/122) от 29.02.2024</t>
  </si>
  <si>
    <t>Внешний аккумулятор для ноутбуков Romoss PEA40 Pro/ 40000 mAh/ 65 Вт</t>
  </si>
  <si>
    <t>Приходная накладная 755 (вх. 2783/122) от 29.02.2024</t>
  </si>
  <si>
    <t>Внешняя карта захвата ORIENT C703HVC</t>
  </si>
  <si>
    <t>Приходная накладная 1485 (вх. ФЦ3-015625/8257) от 19.06.2024</t>
  </si>
  <si>
    <t>Внутрисхемный AVR/XMEGA программатор</t>
  </si>
  <si>
    <t>Вода "Форвардер Люкс негазированная" 19 л.</t>
  </si>
  <si>
    <t>Приходная накладная 4308 (вх. Г-00003027738) от 26.07.2024</t>
  </si>
  <si>
    <t>вода дистилировапнная</t>
  </si>
  <si>
    <t>Авансовый отчет 198 от 02.04.2024</t>
  </si>
  <si>
    <t>Вода дистиллированная</t>
  </si>
  <si>
    <t>Приходная накладная 3920 (вх. 1140) от 12.09.2024</t>
  </si>
  <si>
    <t>Вода дистиллированная 20л</t>
  </si>
  <si>
    <t>Приходная накладная 708 (вх. 3232816-МСК) от 26.03.2024</t>
  </si>
  <si>
    <t>Вода питьевая "Фарватер Люкс" негазированная 18,9 л.</t>
  </si>
  <si>
    <t>Приходная накладная 3987 (вх. Г-0000322451) от 17.09.2024</t>
  </si>
  <si>
    <t>Вода питьевая Святой Источник негазированная 0,33 л</t>
  </si>
  <si>
    <t>Приходная накладная 4326 (вх. R525876285-H61922937229) от 15.07.2024</t>
  </si>
  <si>
    <t>Вода питьевая Святой Источник негазированная 0,5 л</t>
  </si>
  <si>
    <t>Приходная накладная 4318 (вх. R516773421-H49531366642) от 23.07.2024</t>
  </si>
  <si>
    <t>Вода питьевая Шишкин Лес негазированная 1 л</t>
  </si>
  <si>
    <t>водонепроницаемая  одностороння прочная клейкая резиновая губка для автомобиля 5М, 2М .по  10 м.</t>
  </si>
  <si>
    <t>Водорозетка</t>
  </si>
  <si>
    <t>Водостойкая наждачная бумага 230x280мм,10шт</t>
  </si>
  <si>
    <t>Воздуховод гибкий алюминиевый гофрированный</t>
  </si>
  <si>
    <t>Приходная накладная 679 (вх. 6248) от 21.03.2024</t>
  </si>
  <si>
    <t>Воздуховод спирально-навивной D 125 мм</t>
  </si>
  <si>
    <t>Воздушно - пузырчатая плёнка 1,2x50, двухслойная</t>
  </si>
  <si>
    <t>Приходная накладная 4294 (вх. УТ-17088) от 30.09.2024</t>
  </si>
  <si>
    <t>Воздушные винты FA15.2*5</t>
  </si>
  <si>
    <t>Приходная накладная 1432 (вх. 229) от 14.06.2024</t>
  </si>
  <si>
    <t>Воздушные винты FA16.2*5.3</t>
  </si>
  <si>
    <t>Воздушные винты FA18.2*5.9</t>
  </si>
  <si>
    <t>Приходная накладная 1664 (вх. 293) от 08.07.2024</t>
  </si>
  <si>
    <t>Воздушные винты FA20.2*6.6</t>
  </si>
  <si>
    <t>Воздушные винты FA22.2*7.2</t>
  </si>
  <si>
    <t>Воздушные винты MS1101</t>
  </si>
  <si>
    <t>Воздушные винты P12*4</t>
  </si>
  <si>
    <t>Воздушные винты P13*4.4</t>
  </si>
  <si>
    <t>Воздушные винты P14*4.8</t>
  </si>
  <si>
    <t>Воздушные винты из углеволокна C2F1910</t>
  </si>
  <si>
    <t>Приходная накладная 706 (вх. 57) от 19.02.2024</t>
  </si>
  <si>
    <t>Воздушные винты из углеволокна C2F1912</t>
  </si>
  <si>
    <t>Воздушный винт  15*10 (тубус)</t>
  </si>
  <si>
    <t>Воздушный винт 18*14 (Шторм)</t>
  </si>
  <si>
    <t>Приходная накладная 2297 (вх. 428) от 03.09.2024</t>
  </si>
  <si>
    <t>Воздушный винт 2060-A</t>
  </si>
  <si>
    <t>Воздушный винт FA24.2*7.9</t>
  </si>
  <si>
    <t>Воздушный винт FA28.2*9.2 T-Motor складной (2шт)</t>
  </si>
  <si>
    <t>Приходная накладная 4816 (вх. 476) от 01.10.2024</t>
  </si>
  <si>
    <t>Воздушный винт MF9545 CCW</t>
  </si>
  <si>
    <t>Приходная накладная 5332 (вх. 20241024-1) от 28.10.2024</t>
  </si>
  <si>
    <t>Воздушный винт MF9545 CW</t>
  </si>
  <si>
    <t>Воздушный винт P24*7.2 10mm</t>
  </si>
  <si>
    <t>Приходная накладная 5100 (вх. 491) от 09.10.2024</t>
  </si>
  <si>
    <t>Воздушный винт T1045 (CW+1CCW) (Сибирячок)</t>
  </si>
  <si>
    <t>Приходная накладная 1665 (вх. 294) от 08.07.2024</t>
  </si>
  <si>
    <t>Воздушный винт UL28*9.2</t>
  </si>
  <si>
    <t>Приходная накладная 2101 (вх. 381) от 16.08.2024</t>
  </si>
  <si>
    <t>Воздушный винты из углеволокна C2F1814</t>
  </si>
  <si>
    <t>Воронка для бензина, масла, антифриза, с гибким наконечником</t>
  </si>
  <si>
    <t>Приходная накладная 328 (вх. 1723500-МСК) от 19.02.2024</t>
  </si>
  <si>
    <t>Вспененый полиэтилен НПЭ 1 100х1.05м</t>
  </si>
  <si>
    <t>Приходная накладная 1788 (вх. УТ-11875) от 19.07.2024</t>
  </si>
  <si>
    <t>Вставка кассетная VKFK 80-50 (100м)</t>
  </si>
  <si>
    <t>Приходная накладная 956 (вх. 43) от 12.04.2024</t>
  </si>
  <si>
    <t>Вставка кассетная VKFK 90-50 (100м)</t>
  </si>
  <si>
    <t>Вставка-бита 1/4 T20H 25 мм</t>
  </si>
  <si>
    <t>Вставка-бита 1/4 Н2 25мм</t>
  </si>
  <si>
    <t>Вставка-бита 1/4 Н2.5 25мм</t>
  </si>
  <si>
    <t>встаиваемый стабилизатор напряжение</t>
  </si>
  <si>
    <t>Авансовый отчет 235  от 28.05.2024</t>
  </si>
  <si>
    <t>Встраиваемый стабилизатор DC-DC преобразователь LM2596S</t>
  </si>
  <si>
    <t>Втулка закладная М3х5 латунь</t>
  </si>
  <si>
    <t>Приходная накладная 1655 (вх. 1281) от 05.07.2024</t>
  </si>
  <si>
    <t>Втулка запрессовочная резьбовая MUBIX Kerb Konus</t>
  </si>
  <si>
    <t>Приходная накладная 2003 (вх. УТ-899) от 07.08.2024</t>
  </si>
  <si>
    <t>Втулка резиновая 8х12</t>
  </si>
  <si>
    <t>Приходная накладная 196 (вх. 29) от 09.01.2024</t>
  </si>
  <si>
    <t>Втулка резьбовая приварная стальная омедненная CD М4х8</t>
  </si>
  <si>
    <t>ВЧ модуль радио передатчик BETAFPV expressLRS Micro RF TX ELRS 915MHz для FPV</t>
  </si>
  <si>
    <t>Приходная накладная 2072 (вх. 290615/11) от 14.08.2024</t>
  </si>
  <si>
    <t>ВЧ модуль радио передатчик BETAFPV expressLRS nano TX ELRS 915MHz для FPV</t>
  </si>
  <si>
    <t>Приходная накладная 194 (вх. 28) от 29.01.2024</t>
  </si>
  <si>
    <t>ВЧ разъем SMA male (штекер обжимной) на кабель RG 58</t>
  </si>
  <si>
    <t>Приходная накладная 4282 (вх. 162262/347) от 27.09.2024</t>
  </si>
  <si>
    <t>Въезд на терминал по подразделению Санкт-Петербург</t>
  </si>
  <si>
    <t>Приходная накладная 3957 (вх. 1534341/0021) от 16.09.2024</t>
  </si>
  <si>
    <t>Вывоз мусора</t>
  </si>
  <si>
    <t>Приходная накладная 3876 (вх. 1) от 31.08.2024</t>
  </si>
  <si>
    <t>Выезд водителя за МКАД</t>
  </si>
  <si>
    <t>Дополнительные расходы 1203 (вх. 2183) от 25.10.2024</t>
  </si>
  <si>
    <t>Выезд сборщика за МКАД</t>
  </si>
  <si>
    <t>Выключатель 2 клавишный</t>
  </si>
  <si>
    <t>Выключатель авт. мод.16А</t>
  </si>
  <si>
    <t>Приходная накладная 1333 (вх. 6289201-МСК) от 03.06.2024</t>
  </si>
  <si>
    <t>Выключатель автоматический 1п 1А С</t>
  </si>
  <si>
    <t>Выключатель автоматический 1п 20А С</t>
  </si>
  <si>
    <t>Выключатель автоматический 1п 25А С</t>
  </si>
  <si>
    <t>Выключатель автоматический 1п 6А С</t>
  </si>
  <si>
    <t>Выключатель автоматический 1п C 20А ВА-101 DEKraft</t>
  </si>
  <si>
    <t>Выключатель автоматический 2п 25А 30мА тип АС</t>
  </si>
  <si>
    <t>Выключатель автоматический диф. тока 4 полосы 6.5мод</t>
  </si>
  <si>
    <t>Приходная накладная 1217 (вх. 5548678-МСК) от 17.05.2024</t>
  </si>
  <si>
    <t>Выключатель автоматический дифференциального тока</t>
  </si>
  <si>
    <t>Выключатель автоматический дифференциального тока 16А 30мА</t>
  </si>
  <si>
    <t>Выключатель Автоматический ЗП 160А 36кА ВА99С (Compact NS) 160/160А EKF</t>
  </si>
  <si>
    <t>Выключатель одноклавишный</t>
  </si>
  <si>
    <t>Приходная накладная 1801 (вх. 3126) от 22.07.2024</t>
  </si>
  <si>
    <t>Выключательавтоматический 3п C 25А S203 6кА ABB</t>
  </si>
  <si>
    <t>Выкружная мини-ножовка Cobra Double-8 150 мм по гипсокартону</t>
  </si>
  <si>
    <t>Выносная антенна / Усилитель сигнала 2.4G/5.8g 10W 8000mAh ROC-4 (Сибирячок)</t>
  </si>
  <si>
    <t>Приходная накладная 1712 (вх. БП-119) от 15.07.2024</t>
  </si>
  <si>
    <t>высококачественная  охотничья камуфляжная  сетка-уличные украшения для охроты и сада</t>
  </si>
  <si>
    <t>Авансовый отчет 210 от 19.03.2024</t>
  </si>
  <si>
    <t>Высокоскоростной автомат-установщик SMD компонентов, DEKAN S1</t>
  </si>
  <si>
    <t>Приходная накладная 4849 (вх. 294) от 27.02.2024</t>
  </si>
  <si>
    <t>Высокотемпературный герметик силиконовый</t>
  </si>
  <si>
    <t>Приходная накладная 1129 (вх. 877-01 ) от 03.05.2024</t>
  </si>
  <si>
    <t>Вытяжное устройство НВУ-1,0/100</t>
  </si>
  <si>
    <t>Приходная накладная 4416 (вх. 28) от 20.02.2024</t>
  </si>
  <si>
    <t>Вычислительный модуль Orange Pi CM4 1/8Gb</t>
  </si>
  <si>
    <t>Приходная накладная 932 (вх. 0146751736-0105/0504) от 10.04.2024</t>
  </si>
  <si>
    <t>Вышка-тура "Мега 1"</t>
  </si>
  <si>
    <t>Приходная накладная 1866 (вх. 1617) от 26.07.2024</t>
  </si>
  <si>
    <t>Гайка DIN 934 М8</t>
  </si>
  <si>
    <t>Гайка DIN934 M8</t>
  </si>
  <si>
    <t>Гайка DIN934 М 10</t>
  </si>
  <si>
    <t>Гайка DIN934 М14</t>
  </si>
  <si>
    <t>Приходная накладная 1320 (вх. 004/2024-AB0149042) от 31.05.2024</t>
  </si>
  <si>
    <t>Гайка Din934 М3 8,0 оц.(кг)</t>
  </si>
  <si>
    <t>ГАЙКА DIN934 М5</t>
  </si>
  <si>
    <t>Гайка DIN934 М6</t>
  </si>
  <si>
    <t>Гайка DIN934 шестигранная М8</t>
  </si>
  <si>
    <t>Гайка DIN985 M6</t>
  </si>
  <si>
    <t>Гайка DIN985 М10 самоконтрящаяся</t>
  </si>
  <si>
    <t>Приходная накладная 1219 (вх. 169/2024-AB0131349) от 17.05.2024</t>
  </si>
  <si>
    <t>Гайка DIN985 М3 самоконтрящаяся</t>
  </si>
  <si>
    <t>Гайка DIN985 М5 самоконтрящаяся</t>
  </si>
  <si>
    <t>Гайка DIN985 М6 самоконтрящаяся</t>
  </si>
  <si>
    <t>Приходная накладная 1629 (вх. ЦБ-10816) от 24.06.2024</t>
  </si>
  <si>
    <t>Гайка DIN985 М8 самоконтрящаяся</t>
  </si>
  <si>
    <t>Гайка ER20-A</t>
  </si>
  <si>
    <t>Приходная накладная 3910 (вх. 10945292-МСК) от 12.09.2024</t>
  </si>
  <si>
    <t>Гайка Заклепка стандартный борт М3 (0,5-3) с насечкой</t>
  </si>
  <si>
    <t>Приходная накладная 1590 (вх. ЦБ-10812) от 28.06.2024</t>
  </si>
  <si>
    <t>Гайка заклепка цл. насечка, борт М3</t>
  </si>
  <si>
    <t>Гайка квадратная DIN562 М2</t>
  </si>
  <si>
    <t>Приходная накладная 1944 (вх. УТ-191) от 31.07.2024</t>
  </si>
  <si>
    <t>Гайка квадратная DIN562 М3</t>
  </si>
  <si>
    <t>Приходная накладная 5327 (вх. 37000) от 25.10.2024</t>
  </si>
  <si>
    <t>Гайка квадратная низкая DIN 562 М 3 Оц</t>
  </si>
  <si>
    <t>Гайка нейлоновая М 2,5 DIN 934 черная</t>
  </si>
  <si>
    <t>Приходная накладная 2191 (вх. 240139) от 23.08.2024</t>
  </si>
  <si>
    <t>Гайка шестигранная DIN 934 М4 1000 шт</t>
  </si>
  <si>
    <t>Приходная накладная 985 (вх. 4162863-МСК) от 16.04.2024</t>
  </si>
  <si>
    <t>Гайка шестигранная DIN439 M2</t>
  </si>
  <si>
    <t>Гайка шестигранная DIN934 М2,5</t>
  </si>
  <si>
    <t>Приходная накладная 1653 (вх. УТ-160) от 05.07.2024</t>
  </si>
  <si>
    <t>Гайка шестигранная DIN934 М3</t>
  </si>
  <si>
    <t>Гайка шестигранная DIN985 M2,5</t>
  </si>
  <si>
    <t>Гайка шестигранная нейлоновая М3</t>
  </si>
  <si>
    <t>Приходная накладная 4300 (вх. УТ-953) от 30.09.2024</t>
  </si>
  <si>
    <t>Гайка шестигранная нормальная  ГОСТ ISO 4032-М8-6-А2F</t>
  </si>
  <si>
    <t>Гайка шестигранная нормальная самостопорящаяся ГОСТ ISO 7040-М8-5-А2F</t>
  </si>
  <si>
    <t>Гайковерт акк 446456 AEG</t>
  </si>
  <si>
    <t>Приходная накладная 1647 (вх. 0558157) от 04.07.2024</t>
  </si>
  <si>
    <t>Галтовка CAF Vibro Plus</t>
  </si>
  <si>
    <t>Приходная накладная 4257 (вх. 2453) от 14.03.2024</t>
  </si>
  <si>
    <t>Гантели набор 2шт 2кг</t>
  </si>
  <si>
    <t>Приходная накладная 668 (вх. 0146751736-0067/2902) от 29.02.2024</t>
  </si>
  <si>
    <t>Гантели набор 2шт 3кг</t>
  </si>
  <si>
    <t>Приходная накладная 666 (вх. 0146751736-0067/2702) от 27.02.2024</t>
  </si>
  <si>
    <t>Генератор прямоугольных импульсов регулируемый на NE555</t>
  </si>
  <si>
    <t>Приходная накладная 735 (вх. 0146751736-0019/1101) от 11.01.2024</t>
  </si>
  <si>
    <t>Герметизирирующий жгут АТ120В 120С-3мм-13мм</t>
  </si>
  <si>
    <t>Приходная накладная 1868 (вх. 656/24) от 26.07.2024</t>
  </si>
  <si>
    <t>Герметик Victor Reinz</t>
  </si>
  <si>
    <t>Приходная накладная 1130 (вх. 202404260001) от 03.05.2024</t>
  </si>
  <si>
    <t>Герметик анаэробный низкопрочный марки Унигерм-2М</t>
  </si>
  <si>
    <t>Приходная накладная 4896 (вх. 493) от 04.10.2024</t>
  </si>
  <si>
    <t>Герметик Силагерм 1044</t>
  </si>
  <si>
    <t>Приходная накладная 465 (вх. 163) от 26.02.2024</t>
  </si>
  <si>
    <t>Гибкий воздуховод аспирации D100</t>
  </si>
  <si>
    <t>Авансовый отчет 209 от 19.03.2024</t>
  </si>
  <si>
    <t>Гибкий плоский кабель FRC FFC 10 шт</t>
  </si>
  <si>
    <t>Гидрав. тележка АС 25 2500кг синий</t>
  </si>
  <si>
    <t>Приходная накладная 1517 (вх. 1401) от 21.06.2024</t>
  </si>
  <si>
    <t>Гидравлическая тележка PROLIFT AC25 800х550</t>
  </si>
  <si>
    <t>Приходная накладная 1360 (вх. 583) от 05.06.2024</t>
  </si>
  <si>
    <t>Гидравлическая тележка ОМ25 (2500кг, 1150х550мм)</t>
  </si>
  <si>
    <t>Приходная накладная 2320 (вх. 1965) от 04.09.2024</t>
  </si>
  <si>
    <t>Гидронол У50 жидкость для отмывки узлов</t>
  </si>
  <si>
    <t>Приходная накладная 265 (вх. 843) от 09.02.2024</t>
  </si>
  <si>
    <t>гидроскоп,компас, акселерометр, барометр</t>
  </si>
  <si>
    <t>Голубика Artfruit 250г</t>
  </si>
  <si>
    <t>Горизонталь 30х15х938</t>
  </si>
  <si>
    <t>Горшок цветочный 26*26*45.7 см</t>
  </si>
  <si>
    <t>Приходная накладная 965 (вх. 169/2024-АВ0089413) от 09.04.2024</t>
  </si>
  <si>
    <t>Горшок цветочный с автополивом 5л.</t>
  </si>
  <si>
    <t>гофра ф 125, соединитель  ф 125, скотч армированный, хамут</t>
  </si>
  <si>
    <t>Авансовый отчет 244  от 14.05.2024</t>
  </si>
  <si>
    <t>Гофрокороб 600х400х600мм картон П32 бурый, 5-и сл., 10 шт./уп</t>
  </si>
  <si>
    <t>Приходная накладная 119 (вх. 33958081) от 17.01.2024</t>
  </si>
  <si>
    <t>Гофрокороб 600х400х600мм картон Т-24 бурый</t>
  </si>
  <si>
    <t>Приходная накладная 5369 (вх. ОФ-291024-0005) от 30.10.2024</t>
  </si>
  <si>
    <t>Гравер аккумуляторный Einhell TE-MT 7,2 Li 4419330</t>
  </si>
  <si>
    <t>Гравер электрический, 41 предмет, кейс</t>
  </si>
  <si>
    <t>Гранит сверло по керамо и плитке квадро шестигранный 6х75</t>
  </si>
  <si>
    <t>Груз балансировочный самоклеящийся стальной 4x5гр/4x10гр, 50 шт</t>
  </si>
  <si>
    <t>Приходная накладная 3979 (вх. 11185345-МСК) от 17.09.2024</t>
  </si>
  <si>
    <t>Грунт алкидный серый аэрозоль 5520мл HOLEX</t>
  </si>
  <si>
    <t>Грунт для цветов универсальный 20л.</t>
  </si>
  <si>
    <t>Приходная накладная 966 (вх. 062/2024-АВ0090232) от 09.04.2024</t>
  </si>
  <si>
    <t>Грунт толстослойный High темно-серый 450мл</t>
  </si>
  <si>
    <t>Приходная накладная 4217 (вх. ОТ-320) от 25.09.2024</t>
  </si>
  <si>
    <t>Грунт цветочный универсальный 50л.</t>
  </si>
  <si>
    <t>Приходная накладная 1009 (вх. 020/2024-АВ0096290) от 15.04.2024</t>
  </si>
  <si>
    <t>Грунт-наполнитель 511 HS FILLER серый (в комплекте с отвердителем 800 мл + 200 мл)</t>
  </si>
  <si>
    <t>Приходная накладная 2328 (вх. 437089/827) от 05.09.2024</t>
  </si>
  <si>
    <t>Грунт-наполнитель бесцветный с отвердителем 729</t>
  </si>
  <si>
    <t>Приходная накладная 2308 (вх. 01205) от 03.09.2024</t>
  </si>
  <si>
    <t>Грунт-наполнитель в аэрозоли светло-серый</t>
  </si>
  <si>
    <t>Приходная накладная 3929 (вх. 11066695-МСК) от 16.09.2024</t>
  </si>
  <si>
    <t>Грунтовка ВЛ-02</t>
  </si>
  <si>
    <t>Приходная накладная 1994 (вх. 16060) от 06.08.2024</t>
  </si>
  <si>
    <t>Грунтовка ГФ-021 серая</t>
  </si>
  <si>
    <t>Приходная накладная 403 (вх. 149) от 26.02.2024</t>
  </si>
  <si>
    <t>Грунт-эмаль для пластика светло-серая (RAL 7035)</t>
  </si>
  <si>
    <t>Приходная накладная 1959 (вх. 0644610) от 01.08.2024</t>
  </si>
  <si>
    <t>Груши Аббат</t>
  </si>
  <si>
    <t>Губка абразивная 120x100x12мм</t>
  </si>
  <si>
    <t>Приходная накладная 505 (вх. 2360266-МСК) от 05.03.2024</t>
  </si>
  <si>
    <t>Губка абразивная 123х98х12мм</t>
  </si>
  <si>
    <t>Губка для очистки паяльного жала</t>
  </si>
  <si>
    <t>Губка шлифовальная  р240</t>
  </si>
  <si>
    <t>Приходная накладная 2186 (вх. 10122264-МСК) от 23.08.2024</t>
  </si>
  <si>
    <t>Губка шлифовальная двухсторонняя Р120</t>
  </si>
  <si>
    <t>Приходная накладная 2214 (вх. 10258928-МСК) от 27.08.2024</t>
  </si>
  <si>
    <t>Губка шлифовальная двухсторонняя Р80</t>
  </si>
  <si>
    <t>Приходная накладная 2193 (вх. 1746) от 23.08.2024</t>
  </si>
  <si>
    <t>Губка шлифовальная Р320</t>
  </si>
  <si>
    <t>Приходная накладная 2275 (вх. 10456251-МСК) от 02.09.2024</t>
  </si>
  <si>
    <t>Губка-стиратель д. магнитно-маркерн.досок Attache Economy,магн,105x55мм,зел</t>
  </si>
  <si>
    <t>Губка-стиратель для досок Attache магнит.,50x125мм,европодвес,бежевый,овал</t>
  </si>
  <si>
    <t>Губка-стиратель для магнитно-маркерных досок,Attache,магнитн,(55x160мм),сер</t>
  </si>
  <si>
    <t>Губки для мытья посуды Luscan Макси 95х65х30мм 5 шт/уп</t>
  </si>
  <si>
    <t>Приходная накладная 5174 (вх. 40118319) от 17.10.2024</t>
  </si>
  <si>
    <t>Губки для посуды</t>
  </si>
  <si>
    <t>Приходная накладная 1154 (вх. 1722) от 07.05.2024</t>
  </si>
  <si>
    <t>Губки полировочные 13шт</t>
  </si>
  <si>
    <t>Приходная накладная 994 (вх. 78) от 16.04.2024</t>
  </si>
  <si>
    <t>Губки спираль Luscan металлические 12г 3 шт/уп</t>
  </si>
  <si>
    <t>Дальномер Benewake TF02-Pro</t>
  </si>
  <si>
    <t>Приходная накладная 5336 (вх. БП-450) от 28.10.2024</t>
  </si>
  <si>
    <t>Дальномер Benewake TF03-180</t>
  </si>
  <si>
    <t>Приходная накладная 1472 (вх. 52) от 18.06.2024</t>
  </si>
  <si>
    <t>Дальномер HIREED</t>
  </si>
  <si>
    <t>Датер автоматический мини Attache 3 мм месяц цифрами 7810</t>
  </si>
  <si>
    <t>Датчик воздушной скорости CUAV SKYE</t>
  </si>
  <si>
    <t>Приходная накладная 1302 (вх. 748) от 27.05.2024</t>
  </si>
  <si>
    <t>Датчик воздушной скорости Holybro MS4525DO для Pixhawk 4/6c</t>
  </si>
  <si>
    <t>Приходная накладная 4915 (вх. Ф-Т240701) от 24.07.2024</t>
  </si>
  <si>
    <t>Датчик воздушной скорости Matek AS-DLVR</t>
  </si>
  <si>
    <t>датчик высоковольтный</t>
  </si>
  <si>
    <t>Авансовый отчет 218 от 12.03.2024</t>
  </si>
  <si>
    <t>Датчик телеметрии Spektrum Aircraft Telemetry Brushless RPM Sensor</t>
  </si>
  <si>
    <t>Приходная накладная 590 (вх. 120332) от 06.03.2024</t>
  </si>
  <si>
    <t>Датчик тока аналоговый 30A ACS712\Китай</t>
  </si>
  <si>
    <t>ДВ-2 Двери для ША-2, ШБ-2, ШО-6</t>
  </si>
  <si>
    <t>Приходная накладная 5323 (вх. 2183) от 25.10.2024</t>
  </si>
  <si>
    <t>Двери MON_Канц низкие Лдсп (2шт.) ДК32.15 дуб.мол</t>
  </si>
  <si>
    <t>Дверь остекленная</t>
  </si>
  <si>
    <t>Приходная накладная 208 (вх. 22601) от 26.01.2024</t>
  </si>
  <si>
    <t>Дверь САТУРН-Д низкие ДСП (800,013) ясень (2шт/уп)</t>
  </si>
  <si>
    <t>Приходная накладная 2156 (вх. 38839934) от 21.08.2024</t>
  </si>
  <si>
    <t>Двигатель DUALSKY XM5050EA-14 515KV V3 (тубус)</t>
  </si>
  <si>
    <t>Двигатель GEPRC SPEEDX2 2105.5 2650KV</t>
  </si>
  <si>
    <t>двигатель iFlight XING X4214/66 kB 3-6S X-CLASS</t>
  </si>
  <si>
    <t>двигатель МАМБА</t>
  </si>
  <si>
    <t>Двигатель Т-Мотор P1604 KV3800</t>
  </si>
  <si>
    <t>Двусторонняя клейкая лента 15мм * 3м, 800 мкм</t>
  </si>
  <si>
    <t>Двухступенчатый вакуумный насос</t>
  </si>
  <si>
    <t>Приходная накладная 4160 (вх. 00020) от 22.01.2024</t>
  </si>
  <si>
    <t>Декоративные пики 18 cм 100 шт/уп</t>
  </si>
  <si>
    <t>Приходная накладная 4003 (вх. 11251739-МСК) от 18.09.2024</t>
  </si>
  <si>
    <t>Декоративный мох зеленый 520мл</t>
  </si>
  <si>
    <t>Дело Техники Заклепочник для резьбовых заклепок двуручный M3-M10 456363</t>
  </si>
  <si>
    <t>Дело Техники Монтировка 450мм</t>
  </si>
  <si>
    <t>Дело Техники Монтировка L=700 мм 30/1</t>
  </si>
  <si>
    <t>Дело Техники Набор ключей трубчатых штампованных 12 предм. 544620</t>
  </si>
  <si>
    <t>Дело Техники Пассатижи комбинированные 180 мм"ДТ"/60/6 411181</t>
  </si>
  <si>
    <t>Дело Техники Тиски слесарные поворотные ТСС-140 1/1 392440</t>
  </si>
  <si>
    <t>Демидовский Канистра 10л. МТ-030 00000000868</t>
  </si>
  <si>
    <t>Демидовский Совок для сыпучих продуктов ТП-007</t>
  </si>
  <si>
    <t>Демпферные вставки для подвеса квадрокоптера</t>
  </si>
  <si>
    <t>Приходная накладная 5188 (вх. 120) от 21.10.2024</t>
  </si>
  <si>
    <t>Державка суппортная</t>
  </si>
  <si>
    <t>Приходная накладная 1086 (вх. УТ-13627) от 25.04.2024</t>
  </si>
  <si>
    <t>Держатель Phoenemate PM-806 с лупой</t>
  </si>
  <si>
    <t>Приходная накладная 1463 (вх. 4958) от 18.06.2024</t>
  </si>
  <si>
    <t>Держатель для бейджа Комус с рулеткой цвет металик (без бейджа) 1шт</t>
  </si>
  <si>
    <t>Держатель для отверток</t>
  </si>
  <si>
    <t>Держатель для плат универсальный</t>
  </si>
  <si>
    <t>Держатель для проводов самоклеющийся 6-8мм, набор из 20 шт.</t>
  </si>
  <si>
    <t>Приходная накладная 2173 (вх. 1500732/23) от 22.08.2024</t>
  </si>
  <si>
    <t>Держатель для труб с дюбелем и винтом</t>
  </si>
  <si>
    <t>Приходная накладная 1953 (вх. 67693/19) от 31.07.2024</t>
  </si>
  <si>
    <t>Держатель краскопульта</t>
  </si>
  <si>
    <t>Приходная накладная 3836 (вх. 10825332-МСК) от 10.09.2024</t>
  </si>
  <si>
    <t>Держатель печатных плат BS-05S</t>
  </si>
  <si>
    <t>Приходная накладная 2264 (вх. 827990) от 30.08.2024</t>
  </si>
  <si>
    <t>Держатель предфильтра JETA</t>
  </si>
  <si>
    <t>Держатель предфильтра Jeta Safety</t>
  </si>
  <si>
    <t>Приходная накладная 4141 (вх. 1648) от 20.05.2024</t>
  </si>
  <si>
    <t>Держатель разъема (Sheregesh)</t>
  </si>
  <si>
    <t>Держатель шестерни левый (Sheregesh)</t>
  </si>
  <si>
    <t>Держатель шестерни правый (Sheregesh)</t>
  </si>
  <si>
    <t>Держатель шпинделя алюминиевый D=100</t>
  </si>
  <si>
    <t>Приходная накладная 2128 (вх. 5621) от 19.08.2024</t>
  </si>
  <si>
    <t>Держатель этикетки</t>
  </si>
  <si>
    <t>Приходная накладная 1966 (вх. 2944) от 02.08.2024</t>
  </si>
  <si>
    <t>Деталь Передний обтекатель СНК 110.040.01-01" 2мм</t>
  </si>
  <si>
    <t>Приходная накладная 1418 (вх. 543) от 01.04.2024</t>
  </si>
  <si>
    <t>Детектор напряжения бесконтактный КТ 100P</t>
  </si>
  <si>
    <t>Приходная накладная 1318 (вх. 6234735-МСК) от 31.05.2024</t>
  </si>
  <si>
    <t>Детектор напряжения бесконтактный КТ 90</t>
  </si>
  <si>
    <t>ДЖЕК RJ-45 (8р8с) кат.бе для одножильного и многожильного кабеля (NC-RJ-45-(8p8c)-ctn)</t>
  </si>
  <si>
    <t>Приходная накладная 1061 (вх. 4421) от 22.04.2024</t>
  </si>
  <si>
    <t>Джойстик GAS24-3010-200-B5K</t>
  </si>
  <si>
    <t>Джойстик RKJX21224001</t>
  </si>
  <si>
    <t>Диагональ 30х15х1119</t>
  </si>
  <si>
    <t>Диван MV_Алекто 3-х местный к/з черный Ecotex 3001</t>
  </si>
  <si>
    <t>Приходная накладная 4179 (вх. 39513025) от 24.09.2024</t>
  </si>
  <si>
    <t>Дизайн проект</t>
  </si>
  <si>
    <t>Приходная накладная 4679 (вх. 1470) от 12.07.2024</t>
  </si>
  <si>
    <t>Дизельное топливо</t>
  </si>
  <si>
    <t>Диком Полка навесная на экран</t>
  </si>
  <si>
    <t>Диком Шкаф Архивный</t>
  </si>
  <si>
    <t>Диммер 1000 Вт</t>
  </si>
  <si>
    <t>Приходная накладная 719 (вх. 3286147-МСК) от 27.03.2024</t>
  </si>
  <si>
    <t>Динамик 40KLS08</t>
  </si>
  <si>
    <t>Динго Алкотестер, полная комплектация Е-010 AE010F</t>
  </si>
  <si>
    <t>Приходная накладная 531 (вх. 2558776-МСК) от 11.03.2024</t>
  </si>
  <si>
    <t>Динго Мундштук к Е-010 /Е-030к , АТ, DA 100 штук к ДИНГО, Е010, Е030, АТ, DA</t>
  </si>
  <si>
    <t>ДИОЛД Машина для заточки сверл МЗС-01 М10162040</t>
  </si>
  <si>
    <t>Диск алмазный</t>
  </si>
  <si>
    <t>Диск алмазный 20х0.9 125/100</t>
  </si>
  <si>
    <t>Приходная накладная 1768 (вх. 2) от 18.07.2024</t>
  </si>
  <si>
    <t>Диск алмазный 30х1 125/100</t>
  </si>
  <si>
    <t>Диск алмазный 30х1х2 250/200</t>
  </si>
  <si>
    <t>Приходная накладная 512 (вх. 1) от 19.02.2024</t>
  </si>
  <si>
    <t>диск алмазный отрезной 76*10 Hilberg Super Master</t>
  </si>
  <si>
    <t>Приходная накладная 1298 (вх. 5943089-МСК) от 27.05.2024</t>
  </si>
  <si>
    <t>Диск для снятия ржавчины под УШМ фиолетовый 115х22мм толщина 13мм</t>
  </si>
  <si>
    <t>Диск лепестковый 125</t>
  </si>
  <si>
    <t>Приходная накладная 1055 (вх. 4413739-МСК) от 22.04.2024</t>
  </si>
  <si>
    <t>Дисковая щетка с медной проволокой</t>
  </si>
  <si>
    <t>Дискодрежатель д3 м2</t>
  </si>
  <si>
    <t>Диспансер туалетной бумаги Ksitex</t>
  </si>
  <si>
    <t>Приходная накладная 566 (вх. УТ-312) от 15.03.2024</t>
  </si>
  <si>
    <t>дисплей</t>
  </si>
  <si>
    <t>Дисплей HY8048C050H-HDMI V02B XL</t>
  </si>
  <si>
    <t>Приходная накладная 1143 (вх. 397) от 06.05.2024</t>
  </si>
  <si>
    <t>Диффенбахия микс h30-40см</t>
  </si>
  <si>
    <t>Приходная накладная 953 (вх. 056/2024-АВ0089803) от 09.04.2024</t>
  </si>
  <si>
    <t>Дихлорэтан</t>
  </si>
  <si>
    <t>Приходная накладная 155 (вх. УТ-754) от 26.01.2024</t>
  </si>
  <si>
    <t>Диэлектрик Штанга оперативная ШО-1 Д</t>
  </si>
  <si>
    <t>Диэлектрические тонкогубцы 160 мм</t>
  </si>
  <si>
    <t>ДЛ-15/А Комфорт RAL7035 Освещение для столов 1500мм</t>
  </si>
  <si>
    <t>ДЛАБ.411171.009 Плата процессорная</t>
  </si>
  <si>
    <t>Приходная накладная 4221 (вх. 20240923-1) от 26.09.2024</t>
  </si>
  <si>
    <t>ДЛАБ.411171.010 Плата KPM</t>
  </si>
  <si>
    <t>ДЛАБ.411171.012 Плата USB-адаптера "Сибирячок"</t>
  </si>
  <si>
    <t>Приходная накладная 5319 (вх. 20241024-1) от 25.10.2024</t>
  </si>
  <si>
    <t>ДЛАБ.466369.005 Модем бортовой БВС "Сибирячок"</t>
  </si>
  <si>
    <t>Приходная накладная 5365 (вх. 20241029-1) от 30.10.2024</t>
  </si>
  <si>
    <t>ДЛАБ.468367.004 Регулятор БВС "Сибирячок"</t>
  </si>
  <si>
    <t>ДЛАБ.685631.006 Переходник для зарядного устройства</t>
  </si>
  <si>
    <t>Приходная накладная 5237 (вх. 20241014-1) от 23.10.2024</t>
  </si>
  <si>
    <t>ДЛАБ.731195.003 КОРПУС КОНТАКТОВ</t>
  </si>
  <si>
    <t>Приходная накладная 1667 (вх. 19) от 08.07.2024</t>
  </si>
  <si>
    <t>ДЛАБ.731195.004 КОРПУС КОНТАКТОВ</t>
  </si>
  <si>
    <t>Приходная накладная 1559 (вх. 11) от 26.06.2024</t>
  </si>
  <si>
    <t>ДЛАБ.741575.001 Разъем для зарядки АКБ</t>
  </si>
  <si>
    <t>Приходная накладная 1602 (вх. 18) от 28.06.2024</t>
  </si>
  <si>
    <t>ДЛА-Б_731195_005_КРЫШКА КОРПУСА КОНТАКТОВ 3</t>
  </si>
  <si>
    <t>Длинногубцы 205мм</t>
  </si>
  <si>
    <t>Доброга Болт М10x110 цинк полн.рез. ГОСТ 7798 7805 5 кг ЦБ-00024950</t>
  </si>
  <si>
    <t>Приходная накладная 3983 (вх. 10445012-БЛГ) от 17.09.2024</t>
  </si>
  <si>
    <t>Доброга Гвозди оц. 3,0x35 б.г. ГОСТ 7811-7102 5 кг ЦБ-00033310</t>
  </si>
  <si>
    <t>Приходная накладная 5187 (вх. 12628047-БЛГ) от 21.10.2024</t>
  </si>
  <si>
    <t>Добрый Кола без сахара 1,5л</t>
  </si>
  <si>
    <t>Доводчик DOORLOCK серебристый</t>
  </si>
  <si>
    <t>Доводчик дверной ZKTeco DC80120</t>
  </si>
  <si>
    <t>Приходная накладная 3791 (вх. 39219105) от 06.09.2024</t>
  </si>
  <si>
    <t>Дозатор для масла или соуса, цвет желтый, 4 шт., 375 мл</t>
  </si>
  <si>
    <t>Приходная накладная 937 (вх. 0146751736-0108/0904) от 11.04.2024</t>
  </si>
  <si>
    <t>Дозатор для масла или соуса, цвет желтый, 4 шт., 700 мл</t>
  </si>
  <si>
    <t>Дозатор для масла или соуса, цвет красный, 4 шт., 375 мл</t>
  </si>
  <si>
    <t>Дозатор для масла или соуса, цвет красный, 4 шт., 700 мл</t>
  </si>
  <si>
    <t>Дозатор для мыла-пены  Luscan Professional 1000 мл механич. белый 3014W</t>
  </si>
  <si>
    <t>Приходная накладная 2112 (вх. 38660492) от 19.08.2024</t>
  </si>
  <si>
    <t>Дозатор для мыла-пены Luscan Prof Etalon 800мл черный 151053</t>
  </si>
  <si>
    <t>Приходная накладная 528 (вх. 35119167) от 06.03.2024</t>
  </si>
  <si>
    <t>Дозатор с помпой для спирта 250мл</t>
  </si>
  <si>
    <t>Приходная накладная 339 (вх. 1390) от 15.02.2024</t>
  </si>
  <si>
    <t>Домкрат автономный с низким подхватом</t>
  </si>
  <si>
    <t>Приходная накладная 2329 (вх. 10634298-МСК) от 05.09.2024</t>
  </si>
  <si>
    <t>Дооссель подавления ЭМП/Murata</t>
  </si>
  <si>
    <t>Авансовый отчет 200 от 26.03.2024</t>
  </si>
  <si>
    <t>Доп. инструкция БВС Корт</t>
  </si>
  <si>
    <t>Приходная накладная 173 (вх. 000003) от 25.01.2024</t>
  </si>
  <si>
    <t>Доп. расходы</t>
  </si>
  <si>
    <t>Дополнительные расходы 1164 (вх. 214) от 22.07.2024</t>
  </si>
  <si>
    <t>Доска магнитно-маркерная 60х90 Attache Economy лак, алюмин.рама</t>
  </si>
  <si>
    <t>Приходная накладная 1362 (вх. 37011588) от 05.06.2024</t>
  </si>
  <si>
    <t>Доска магнитно-маркерная Attache Economy Classic 60х90 лак, ПВХ профиль</t>
  </si>
  <si>
    <t>Приходная накладная 5175 (вх. 40109443) от 17.10.2024</t>
  </si>
  <si>
    <t>Доска магнитно-маркерная поворотная Attache Economy Twist 100х120</t>
  </si>
  <si>
    <t>Доска магнитно-маркерная поворотная BoardSYS Twist 100х120 ПО-12Ф</t>
  </si>
  <si>
    <t>Приходная накладная 1846 (вх. 38219862) от 24.07.2024</t>
  </si>
  <si>
    <t>Доска-планшет STAFF с прижимом А4 картон/пвх, синяя</t>
  </si>
  <si>
    <t>Приходная накладная 1174 (вх. 308804) от 08.05.2024</t>
  </si>
  <si>
    <t>Доставка</t>
  </si>
  <si>
    <t>Доставка крупногабаритного заказа за город до 20 КМ Юр. Лицо</t>
  </si>
  <si>
    <t>Приходная накладная 5077 (вх. 270675) от 08.10.2024</t>
  </si>
  <si>
    <t>Доставка курьером СДЭК (RU)</t>
  </si>
  <si>
    <t>Доставка товара</t>
  </si>
  <si>
    <t>Приходная накладная 5358 (вх. 852/24-1) от 29.10.2024</t>
  </si>
  <si>
    <t>Доступ дополнительным прочим пользователям - 10 лицензий, на период с 13.03.2024 по 17.07.2024 г.</t>
  </si>
  <si>
    <t>Приходная накладная 4506 (вх. 346) от 11.04.2024</t>
  </si>
  <si>
    <t>Доступ к Базе данных резюме с предложениями соискателей о трудоустройстве (резюме) с использованием</t>
  </si>
  <si>
    <t>Приходная накладная 3966 (вх. 20240831-018457) от 16.09.2024</t>
  </si>
  <si>
    <t>Доступ к платформе для бронирования командировок Smartway</t>
  </si>
  <si>
    <t>Приходная накладная 3871 (вх. 40927/30) от 31.08.2024</t>
  </si>
  <si>
    <t>Доступ пользователям к 1С УНФ</t>
  </si>
  <si>
    <t>Приходная накладная 4536 (вх. 049/0000001041) от 01.04.2024 (удален) (не проведен)</t>
  </si>
  <si>
    <t>Драйвер шагового двигателя Leadshine DMA860H</t>
  </si>
  <si>
    <t>Приходная накладная 1372 (вх. 210) от 06.06.2024</t>
  </si>
  <si>
    <t>Дрель Einhell  аккумуляторная 12В Li-Ion</t>
  </si>
  <si>
    <t>Дрель-шуруповерт Bosch GSR 120-Li c двумя аккумуляторами</t>
  </si>
  <si>
    <t>Приходная накладная 1429 (вх. 155640) от 13.06.2024</t>
  </si>
  <si>
    <t>ДТРД Набор прокладок 1/2" ФП-1</t>
  </si>
  <si>
    <t>Дырокол Attache Economy до 30 листов, с линейкой, цвет черный</t>
  </si>
  <si>
    <t>Дырокол Attache до 40 листов, с линейкой, цвет синий</t>
  </si>
  <si>
    <t>Дырокол металлический Attache Economy до 30 листов, с линейкой, цвет черный</t>
  </si>
  <si>
    <t>Дырокол металлический Attache Economy до 65 листов, с линейкой, цвет черный</t>
  </si>
  <si>
    <t>Дюбель-гвоздь КРЕП-КОМП борт потайной 6x40 200шт/упак</t>
  </si>
  <si>
    <t>Евроконтейнер EC-4322</t>
  </si>
  <si>
    <t>Приходная накладная 1250 (вх. 1889) от 21.05.2024</t>
  </si>
  <si>
    <t>Евроконтейнер EC-6432</t>
  </si>
  <si>
    <t>Приходная накладная 571 (вх. 1210) от 12.03.2024</t>
  </si>
  <si>
    <t>Евроконтейнер EC-8632</t>
  </si>
  <si>
    <t>Приходная накладная 5267 (вх. 4219) от 24.10.2024</t>
  </si>
  <si>
    <t>Ежедневник недатированный ,темно-бирюзов,А5,140x200 136 л ATTACHE SELECTION</t>
  </si>
  <si>
    <t>Ежедневник недатированный Attache Economy,бумвинил,синий,А5,128х200мм,128л</t>
  </si>
  <si>
    <t>Емкость 0,750мл</t>
  </si>
  <si>
    <t>Приходная накладная 1544 (вх. 7053) от 25.06.2024</t>
  </si>
  <si>
    <t>Емкость 600мл 25шт</t>
  </si>
  <si>
    <t>Приходная накладная 1332 (вх. 6289199-МСК) от 03.06.2024</t>
  </si>
  <si>
    <t>Емкость 600мл 50шт</t>
  </si>
  <si>
    <t>Емкость для техн. жидкостей YX-60 180мл</t>
  </si>
  <si>
    <t>Приходная накладная 5127 (вх. 81) от 01.01.2024</t>
  </si>
  <si>
    <t>Емкость для флюса MS-004</t>
  </si>
  <si>
    <t>Приходная накладная 1835 (вх. 8701024-МСК) от 24.07.2024</t>
  </si>
  <si>
    <t>Емкость ЭВП 50 белый</t>
  </si>
  <si>
    <t>ЕРМАК Лента клеящая монтажная 2-х сторонняя, 50мм x 5м черная</t>
  </si>
  <si>
    <t>Ёрш туалетный с подставкой</t>
  </si>
  <si>
    <t>Жало для паяльника серии 900м 4.3мм малый 0.2мм</t>
  </si>
  <si>
    <t>Приходная накладная 69 (вх. 18069) от 16.01.2024</t>
  </si>
  <si>
    <t>Жало для паяльника серии 900М 4.3мм малый 1.6мм</t>
  </si>
  <si>
    <t>Жалюзи рулонные Люкс (42 мм диаметр трубы) Карина серая</t>
  </si>
  <si>
    <t>Приходная накладная 4143 (вх. LG0162) от 27.03.2024</t>
  </si>
  <si>
    <t>Жгут герметизирующий АТ120В 120С 2.5мм-12мм</t>
  </si>
  <si>
    <t>Приходная накладная 1618 (вх. 575/24) от 27.06.2024</t>
  </si>
  <si>
    <t>ЖД билеты</t>
  </si>
  <si>
    <t>Приходная накладная 4067 (вх. 1ТВ731933) от 14.05.2024</t>
  </si>
  <si>
    <t>Жесткая упакова №2</t>
  </si>
  <si>
    <t>Жесткая упаковка №3</t>
  </si>
  <si>
    <t>Жесткий диск 1Tb SATA-III Western Digital Blue</t>
  </si>
  <si>
    <t>Приходная накладная 3830 (вх. 0909-15) от 09.09.2024</t>
  </si>
  <si>
    <t>Жесткий диск 3.5" Toshiba S300 Pro Surveillance 8ТБ, SATA III, 256 Mb, 7200 rpm (HDWT380UZSVA)</t>
  </si>
  <si>
    <t>Приходная накладная 1241 (вх. 192431) от 21.05.2024</t>
  </si>
  <si>
    <t>Жесткий диск Seagate Exos 10E2400 HDD 2,5" SAS 1,2Tb, SAS 12Гбит/с, 10000 rpm, 128Mb buffer, 512n</t>
  </si>
  <si>
    <t>Жидкость отмывочная, 10 л</t>
  </si>
  <si>
    <t>Приходная накладная 515 (вх. 305) от 05.03.2024</t>
  </si>
  <si>
    <t>Жидкость СОЖ Лукойл ФРЕО SP 3020 AERO (бочка 185 кг)</t>
  </si>
  <si>
    <t>Приходная накладная 845 (вх. 229) от 26.03.2024</t>
  </si>
  <si>
    <t>Жидкость стеклоом. Pulsar 4л летняя</t>
  </si>
  <si>
    <t>Приходная накладная 4856 (вх. 1552637) от 31.05.2024</t>
  </si>
  <si>
    <t>Жидкость стеклоомывающая ЛУКОЙЛ -20С с ароматом бабл-гам канистра 4л</t>
  </si>
  <si>
    <t>Приходная накладная 4861 (вх. 03) от 31.03.2024</t>
  </si>
  <si>
    <t>ЖК Телевизор Xiaomi 50 Mi TV A2</t>
  </si>
  <si>
    <t>Приходная накладная 1421 (вх. 1306-4) от 13.06.2024</t>
  </si>
  <si>
    <t>ЖК Телевизор Xiaomi 55 Mi TV A2</t>
  </si>
  <si>
    <t>ЖК-дисплей с русским шриФТОМ 1602а,LCM  модуль,флэш-накопитель,двухсторонний 16-символьный</t>
  </si>
  <si>
    <t>Авансовый отчет 147  от 18.09.2024</t>
  </si>
  <si>
    <t>Журнал дефектов и неполадок электрооборудования 60 стр,А4</t>
  </si>
  <si>
    <t>Приходная накладная 4312 (вх. 202407250003) от 25.07.2024</t>
  </si>
  <si>
    <t>Журнал приема-сдачи ключей от служеб.помещ. А4, 50л</t>
  </si>
  <si>
    <t>Журнал проверок осуществления воинского учета и бронирования граждан.</t>
  </si>
  <si>
    <t>Приходная накладная 1898 (вх. 1730) от 29.07.2024</t>
  </si>
  <si>
    <t>Журнал регистрации вводного инструктажа по охране труда, бумвинил,96л,офсет</t>
  </si>
  <si>
    <t>Приходная накладная 1151 (вх. 117) от 07.05.2024</t>
  </si>
  <si>
    <t>Журнал регистрации вводного инструктажа по пожарной безопасности ОТ-04</t>
  </si>
  <si>
    <t>Приходная накладная 2105 (вх. 38450903) от 16.08.2024</t>
  </si>
  <si>
    <t>Журнал регистрации вводного противопожарного инструктажа КЖ 1556</t>
  </si>
  <si>
    <t>Приходная накладная 1732 (вх. 38072936) от 17.07.2024</t>
  </si>
  <si>
    <t>Журнал регистрации документов воинского учёта.</t>
  </si>
  <si>
    <t>Журнал регистрации инструктажа на рабочем месте 35 листов</t>
  </si>
  <si>
    <t>Приходная накладная 565 (вх. 73) от 15.03.2024</t>
  </si>
  <si>
    <t>Журнал регистрации инструктажа на рабочем месте КЖ 132А</t>
  </si>
  <si>
    <t>Приходная накладная 335 (вх. 34628338) от 13.02.2024</t>
  </si>
  <si>
    <t>Журнал регистрации инструктажа по охране труда на рабочем месте КЖ 132Б</t>
  </si>
  <si>
    <t>журнал регистрации предсменных, предрейсовых и послесменных, послерейсовых мед. осмотров</t>
  </si>
  <si>
    <t>Приходная накладная 519 (вх. 50) от 04.03.2024</t>
  </si>
  <si>
    <t>Журнал учета выдачи инструкц. по охр труда Attache А4 бл.офсет 96л бумвинил</t>
  </si>
  <si>
    <t>Журнал учета грузоподьемных машин и сьемных грузозахватных приспособлений,60стр,А4</t>
  </si>
  <si>
    <t>Приходная накладная 4311 (вх. 202407250002) от 25.07.2024</t>
  </si>
  <si>
    <t>Журнал учета и содержания средств защиты А4,24л,скрепка КЖ-665/2</t>
  </si>
  <si>
    <t>журнал учета инструкций по охране труда 35 листов</t>
  </si>
  <si>
    <t>Журнал учета листков сообщений и корешков к ним</t>
  </si>
  <si>
    <t>Журнал учета личных карточек граждан форма Ф10 ВУС</t>
  </si>
  <si>
    <t>Журнал учета противопожарных инструктажей КЖ-1800</t>
  </si>
  <si>
    <t>Журнал учета противопожарных инструктажей ПБ-04</t>
  </si>
  <si>
    <t>Журнал учета работ в электроустановках по нарядам и распоряжениям,60 стр,А4</t>
  </si>
  <si>
    <t>Журнал учета сьемных грузозахватных приспособлений (сгп) и тары,60стр,А4</t>
  </si>
  <si>
    <t>Журнал эксплуатации систем противопож.защиты, офсет, 64стр КЖ-179/2</t>
  </si>
  <si>
    <t>Приходная накладная 5080 (вх. 39900007) от 08.10.2024</t>
  </si>
  <si>
    <t>Заглушка внутренняя для трубы 50x50мм, черн.пластик, (4 шт)</t>
  </si>
  <si>
    <t>Приходная накладная 460 (вх. 2112995-МСК) от 28.02.2024</t>
  </si>
  <si>
    <t>Заглушка для каб.-кан. 2шт LAN 100x60</t>
  </si>
  <si>
    <t>Заглушка кабельной трассы КМЗ 25x25</t>
  </si>
  <si>
    <t>Приходная накладная 2040 (вх. 9140) от 12.08.2024</t>
  </si>
  <si>
    <t>заглушка под отверстие д.8 чёрная</t>
  </si>
  <si>
    <t>Заготовка Д16АТ 8х75х500мм резка</t>
  </si>
  <si>
    <t>Приходная накладная 1532 (вх. 250624001) от 25.06.2024</t>
  </si>
  <si>
    <t>Заготовка ПОМ-С 20х500х500</t>
  </si>
  <si>
    <t>Приходная накладная 3844 (вх. АСБ-МИТ33134) от 10.09.2024</t>
  </si>
  <si>
    <t>Заготовка ПОМ-С 40х500х500</t>
  </si>
  <si>
    <t>заготовка пруток алюминиевый</t>
  </si>
  <si>
    <t>Заготовки от Игнатова А.В. ИП (замена конструктива Кедр)</t>
  </si>
  <si>
    <t>Приходная накладная 1402 (вх. 66.2) от 11.06.2024</t>
  </si>
  <si>
    <t>Загрузчик плат из магазинов, LDBC 460XL</t>
  </si>
  <si>
    <t>Приходная накладная 4847 (вх. 292) от 27.02.2024</t>
  </si>
  <si>
    <t>Загрузчик плат из одного магазина, LDA 460XL</t>
  </si>
  <si>
    <t>Приходная накладная 4852 (вх. 1462) от 09.01.2024</t>
  </si>
  <si>
    <t>Зажим изолированный красный "крокодил" L 54мм, 42x25x5мм, диаметр под штекер 4мм, под винт; №2473 за</t>
  </si>
  <si>
    <t>Зажим крокодил 10А красный\AMASS</t>
  </si>
  <si>
    <t>Приходная накладная 4216 (вх. 0822388) от 25.09.2024</t>
  </si>
  <si>
    <t>Зажим механический с горизонтальной ручкой GH-225-D, усилие 227 кг</t>
  </si>
  <si>
    <t>Зажимы для бумаг 15мм Attache 12шт/уп Attache, в ка ртонной коробке</t>
  </si>
  <si>
    <t>Зажимы для бумаг 19мм Attache 12шт/уп Attache, в ка ртонной коробке</t>
  </si>
  <si>
    <t>Зажимы для бумаг 25мм 12шт./уп.Комус, в картонной коробке</t>
  </si>
  <si>
    <t>Зажимы для бумаг 25мм 12шт/уп Attache, в картонной коробке</t>
  </si>
  <si>
    <t>Зажимы для бумаг 32мм 12шт/уп Attache, в картонной коробке</t>
  </si>
  <si>
    <t>Зажимы для бумаг 41мм 12шт/уп Attache Economy, в карт,кор, цвет черный</t>
  </si>
  <si>
    <t>Зажимы для бумаг 41мм 12шт/уп Attache, в картонной коробке</t>
  </si>
  <si>
    <t>Зажимы для бумаг 51мм 12шт/уп Attache, в картонной коробке</t>
  </si>
  <si>
    <t>Зажимы для бумаг 51мм 12шт/уп Attache Economy, в карт,кор, цвет черный</t>
  </si>
  <si>
    <t>Заклепка 3,2х6 мм</t>
  </si>
  <si>
    <t>Заклепка 4,8x16 100 шт</t>
  </si>
  <si>
    <t>Заклепка 4,8x18 100 шт</t>
  </si>
  <si>
    <t>Заклепка вытяжная стандартный борт 3,2х8</t>
  </si>
  <si>
    <t>Приходная накладная 564 (вх. ЦБ-4393) от 12.03.2024</t>
  </si>
  <si>
    <t>Заклепки резьбовые сталь YATO, 150шт</t>
  </si>
  <si>
    <t>Заклёпочник литой, усиленный, поворотный 0-360</t>
  </si>
  <si>
    <t>Замиокулкас D12 h45</t>
  </si>
  <si>
    <t>Замиокулькас замифолия D17 H55-65</t>
  </si>
  <si>
    <t>Приходная накладная 964 (вх. 049/2024-АВ0089681) от 09.04.2024</t>
  </si>
  <si>
    <t>Замок под 420 цепь</t>
  </si>
  <si>
    <t>Приходная накладная 1915 (вх. 1638767) от 30.07.2024</t>
  </si>
  <si>
    <t>Замок под трехгранный ключ d-9 мм, с ригелем и ключом ЗЧВ</t>
  </si>
  <si>
    <t>Замок почтовый 20мм Brante</t>
  </si>
  <si>
    <t>Приходная накладная 5286 (вх. 247) от 24.10.2024</t>
  </si>
  <si>
    <t>Замок почтовый FAIN</t>
  </si>
  <si>
    <t>Замок электромеханический накладной24В.</t>
  </si>
  <si>
    <t>Приходная накладная 236 (вх. 1212906-МСК) от 07.02.2024</t>
  </si>
  <si>
    <t>Замок элетромагнитный  без электроники, 500кг DC12V 500mA ML-395 ACCORDTEC</t>
  </si>
  <si>
    <t>Замок-защелка натяжной L=67</t>
  </si>
  <si>
    <t>Приходная накладная 5238 (вх. 28015) от 23.10.2024</t>
  </si>
  <si>
    <t>Занос мебели на 2 этаж</t>
  </si>
  <si>
    <t>запасные лопости пропеллера для Air Gear 355 set</t>
  </si>
  <si>
    <t>Заправочные концы 8мм SMS-1108C</t>
  </si>
  <si>
    <t>Заправочные концы 8мм SMS-1112C</t>
  </si>
  <si>
    <t>Заправочные концы 8мм SMS-1116C</t>
  </si>
  <si>
    <t>Зарядка для батареек</t>
  </si>
  <si>
    <t>Приходная накладная 5130 (вх. 63) от 01.01.2024</t>
  </si>
  <si>
    <t>Зарядник для телефона 18 Вт USB Type-A</t>
  </si>
  <si>
    <t>Приходная накладная 1024 (вх. 38) от 15.04.2024</t>
  </si>
  <si>
    <t>Зарядное устройство EVO MAX 4T</t>
  </si>
  <si>
    <t>Зарядное устройство EV-Peak C1-XR</t>
  </si>
  <si>
    <t>Приходная накладная 1321 (вх. 218) от 31.05.2024</t>
  </si>
  <si>
    <t>Зарядное устройство HOTA D6</t>
  </si>
  <si>
    <t>Приходная накладная 87 (вх. R22622) от 16.01.2024</t>
  </si>
  <si>
    <t>Зарядное устройство HOTA S6</t>
  </si>
  <si>
    <t>Приходная накладная 1264 (вх. R25162) от 22.05.2024</t>
  </si>
  <si>
    <t>Зарядное устройство M6D</t>
  </si>
  <si>
    <t>Зарядное устройство Skyrc D400</t>
  </si>
  <si>
    <t>Приходная накладная 2131 (вх. 369) от 19.08.2024</t>
  </si>
  <si>
    <t>Зарядно-предпусковое устройство GSC-20 Boost Gigant</t>
  </si>
  <si>
    <t>Приходная накладная 3778 (вх. 10678014-МСК) от 06.09.2024</t>
  </si>
  <si>
    <t>Захват магнитный 3,6кг телескопический 190-790мм</t>
  </si>
  <si>
    <t>Защита 70, 85 для рамы с подпятником усиленным</t>
  </si>
  <si>
    <t>Защитные очки от лазерного излучения LSM-yHp-2 800нм-1100нм 60%</t>
  </si>
  <si>
    <t>Приходная накладная 174 (вх. 2006) от 23.01.2024</t>
  </si>
  <si>
    <t>Защитный чехол Urovo DT40</t>
  </si>
  <si>
    <t>Приходная накладная 3797 (вх. УТ-5860) от 06.09.2024</t>
  </si>
  <si>
    <t>Звездочка 25H  11T</t>
  </si>
  <si>
    <t>звездочка Мопед В50 Карпаты бол.отв (12 ЗУБ) ПОД ЦЕПИ 420)</t>
  </si>
  <si>
    <t>Авансовый отчет 176 от 18.04.2024</t>
  </si>
  <si>
    <t>Звездочка спец стандарта со ступицей 08B-1</t>
  </si>
  <si>
    <t>Приходная накладная 1909 (вх. 27650) от 30.07.2024</t>
  </si>
  <si>
    <t>Звено переходное для цепи 08В-1G</t>
  </si>
  <si>
    <t>Зенковка 25мм Bucovice Tools</t>
  </si>
  <si>
    <t>Приходная накладная 4966 (вх. 84) от 01.01.2024</t>
  </si>
  <si>
    <t>Зенковка 90град. DIN335C 6.3мм</t>
  </si>
  <si>
    <t>Приходная накладная 906 (вх. ЕС-845) от 05.04.2024</t>
  </si>
  <si>
    <t>Зенковка TiAIN 3660-1.5-90-64-С8 Р10F</t>
  </si>
  <si>
    <t>Приходная накладная 4209 (вх. 81991) от 25.09.2024</t>
  </si>
  <si>
    <t>Зенковка спец. 06-2353-4158 Formic</t>
  </si>
  <si>
    <t>Приходная накладная 2100 (вх. 10926) от 16.08.2024</t>
  </si>
  <si>
    <t>Зенковка тв. спл. ц/х ф 8.0 z4 90град. тип G</t>
  </si>
  <si>
    <t>Приходная накладная 4034 (вх. 10958) от 20.09.2024</t>
  </si>
  <si>
    <t>Зенковка тв. спл. ц/х ф 8.0 z4 90град. тип T</t>
  </si>
  <si>
    <t>Приходная накладная 5318 (вх. 10990) от 25.10.2024</t>
  </si>
  <si>
    <t>Зенковка ф 10.4 ц/х 90град</t>
  </si>
  <si>
    <t>Приходная накладная 2132 (вх. 10928) от 19.08.2024</t>
  </si>
  <si>
    <t>Зенковка ф 12.4 ц/х (CM1510)</t>
  </si>
  <si>
    <t>Зенковка ф 6.3 ц/х (CM1209)</t>
  </si>
  <si>
    <t>Зенковка ф 6.3 ц/х (CM1504)</t>
  </si>
  <si>
    <t>Зенковка ф 7.93 ц/х (CM1214)</t>
  </si>
  <si>
    <t>Зенковка ф 8.3 ц/х (CM1506)</t>
  </si>
  <si>
    <t>Зенковка ц/х ф 10.0 z3 90град.</t>
  </si>
  <si>
    <t>Приходная накладная 1162 (вх. 40) от 07.05.2024</t>
  </si>
  <si>
    <t>Зеркало кремний D25 золото</t>
  </si>
  <si>
    <t>Приходная накладная 2059 (вх. 14997) от 13.08.2024</t>
  </si>
  <si>
    <t>ЗИП Ремкомплект для FS-1000H струна 1000 3мм - 2шт</t>
  </si>
  <si>
    <t>Приходная накладная 2159 (вх. 10029173-МСК) от 22.08.2024</t>
  </si>
  <si>
    <t>Знак "Выход здесь(левосторонний)"</t>
  </si>
  <si>
    <t>Приходная накладная 2152 (вх. 237) от 20.08.2024</t>
  </si>
  <si>
    <t>Знак "Выход здесь(правосторонний)"</t>
  </si>
  <si>
    <t>Знак "Направление к эвакуционному выходу налево"</t>
  </si>
  <si>
    <t>Знак "Направление к эвакуционному выходу направо"</t>
  </si>
  <si>
    <t>Знак "Указатель входа (200*100)"</t>
  </si>
  <si>
    <t>Знак безопасности F02 Пожарный кран (плёнка, 200х200)</t>
  </si>
  <si>
    <t>Знак безопасности F04 Огнетушитель (плёнка, 200х200) уп.10шт</t>
  </si>
  <si>
    <t>Приходная накладная 3787 (вх. 39203478) от 06.09.2024</t>
  </si>
  <si>
    <t>Знак безопасности F42 Пожарный кран с номером, 200x200 мм, пленка 10шт/уп</t>
  </si>
  <si>
    <t>Знак безопасности V51 Запрещается курить! (пленка 200х150)</t>
  </si>
  <si>
    <t>Приходная накладная 1888 (вх. 38205081) от 29.07.2024</t>
  </si>
  <si>
    <t>Зонд стоматологический односторонний изогнутый гибкий</t>
  </si>
  <si>
    <t>Приходная накладная 5129 (вх. 58) от 01.01.2024</t>
  </si>
  <si>
    <t>Зубило плоское 19x250 мм</t>
  </si>
  <si>
    <t>ЗУБР  Гвозди толевые оцинкованные, ГОСТ 4029-63, 20 х 2.0 мм, 5 кг, 305210-20-020</t>
  </si>
  <si>
    <t>ЗУБР 12В + LED фонарь, 2 АКБ 2Ач, в кейсе, дрель-шуруповерт, Профессионал  DL-121-22F</t>
  </si>
  <si>
    <t>Зубр Винт "МАСТЕР" DIN 965, класс прочности 4.8, оцинкованный, M3x20мм, 5кг 303110-03-020</t>
  </si>
  <si>
    <t>Зубр Винт "МАСТЕР" DIN 965, класс прочности 4.8, оцинкованный, M3x30мм, 5кг 303110-03-030</t>
  </si>
  <si>
    <t>Зубр Коврик, непрорезаемый, 3мм, цвет синий, 600x450 мм</t>
  </si>
  <si>
    <t>ЗУБР Колибри черный, 0.7-1 мм перманентный маркер для отверстий 06328-2</t>
  </si>
  <si>
    <t>ЗУБР М-360 Поворотный заклепочник 360°, 2.4 - 4.8 мм</t>
  </si>
  <si>
    <t>ЗУБР МЕХАНИК, размер L, перчатки маслобензостойкие тонкие</t>
  </si>
  <si>
    <t>ЗУБР Набор удлиненного губцевого инструмента 4 шт</t>
  </si>
  <si>
    <t>Зубр Нож "ЭКСПЕРТ" с выдвижными сегментированными лезвиями, 25мм 09175</t>
  </si>
  <si>
    <t>ЗУБР Перманентный маркер МП-50 черный, 0.5 мм экстра тонкий 06321-2</t>
  </si>
  <si>
    <t>ЗУБР Припой , ПОС 61, трубка с канифолью, 100г, 1мм 55450-100-10C</t>
  </si>
  <si>
    <t>ЗУБР Профессионал Отвертка аккумуляторная 4 Vmax, в кейсе с набором 33 бит</t>
  </si>
  <si>
    <t>Зубр Профессионал ОТР-4 Н20 отвертка аккумуляторная 4 Vmax для точных работ с набором 20 бит ОТР-4 Н</t>
  </si>
  <si>
    <t>ЗУБР Профессионал Резьбовые заклепки с насечками стальные, стандартный бортик М10 150 шт. 31317-10</t>
  </si>
  <si>
    <t>ЗУБР Профессионал Резьбовые заклепки с насечками стальные, стандартный бортик М4 1000 шт. т 31317-04</t>
  </si>
  <si>
    <t>ЗУБР Профессионал Резьбовые заклепки с насечками стальные, стандартный бортик М5 1000 шт. 31317-05</t>
  </si>
  <si>
    <t>ЗУБР Профессионал Резьбовые заклепки с насечками стальные, стандартный бортик М6 500 шт. 31317-06</t>
  </si>
  <si>
    <t>ЗУБР Профессионал Резьбовые заклепки с насечками стальные, стандартный бортик М8 250 шт. 31317-08</t>
  </si>
  <si>
    <t>ЗУБР Профессионал Р-М6 Резьбовой заклепочник в кейсе, М3 - М6</t>
  </si>
  <si>
    <t>ЗУБР Профессионал-11 Набор отверток 11 шт в кейсе 25241</t>
  </si>
  <si>
    <t>ЗУБР профессиональный заточной станок d 150 мм ПСТ-150</t>
  </si>
  <si>
    <t>Зубр Саморезы универсальные оксидированные по дереву/металлу, PH2, 3,5x40мм, ТФ1, 300шт 4-300011-35-</t>
  </si>
  <si>
    <t>ЗУБР х2 Защита Перчатки р. L-XL с двойным латексным обливом 10 пар 11459-K10</t>
  </si>
  <si>
    <t>ЗУБР Ящик для инструмента "НЕВА-20" пластиковы</t>
  </si>
  <si>
    <t>Зуммер магнитоэлектрический с генератором, размер 10x 5, напряжение 5В, частота 2.7кГц, контакты 2P5</t>
  </si>
  <si>
    <t>ИБП FSP1000 CEE</t>
  </si>
  <si>
    <t>Приходная накладная 4885 (вх. ФЦ3-025757/8257) от 03.10.2024</t>
  </si>
  <si>
    <t>ИБП HIDEN KU9103S-RT 3000VA/2700W встроенные акб в корпусе (9А/ч х 6шт) (KU9103S-RT)</t>
  </si>
  <si>
    <t>ИБП Ippon Black Basic 650 Euro</t>
  </si>
  <si>
    <t>Приходная накладная 5334 (вх. 2810-3) от 28.10.2024</t>
  </si>
  <si>
    <t>ИБП Ippon Smart Winner II 3000</t>
  </si>
  <si>
    <t>Приходная накладная 1838 (вх. 2407-07) от 24.07.2024</t>
  </si>
  <si>
    <t>Игла инъекционная 15G 100 штук</t>
  </si>
  <si>
    <t>Приходная накладная 1065 (вх. 0146751736-0123/2204) от 23.04.2024</t>
  </si>
  <si>
    <t>Игла инъекционная 20G  100 штук</t>
  </si>
  <si>
    <t>Иглы из нержавеющей стали  для нанесения клея d0.84</t>
  </si>
  <si>
    <t>Приходная накладная 940 (вх. 0146751736-0110/0904) от 11.04.2024</t>
  </si>
  <si>
    <t>Иглы из нержавеющей стали  для нанесения клея d1.52</t>
  </si>
  <si>
    <t>Игровой ноутбук Hiper G16 16/1 IPS FHD i7-11700/32Gb/SSD 1Tb/RTX3070 8Gb</t>
  </si>
  <si>
    <t>Приходная накладная 4266 (вх. 56652) от 20.02.2024</t>
  </si>
  <si>
    <t>Измерительная головка 0-100V 0-10A Red (шунт встроен)</t>
  </si>
  <si>
    <t>Приходная накладная 1515 (вх. 0511956) от 21.06.2024</t>
  </si>
  <si>
    <t>Измерительная рулетка RGK R-10</t>
  </si>
  <si>
    <t>Приходная накладная 1900 (вх. 240722018) от 29.07.2024</t>
  </si>
  <si>
    <t>Измерительная рулетка RGK R-5</t>
  </si>
  <si>
    <t>Приходная накладная 3823 (вх. 240905011) от 09.09.2024</t>
  </si>
  <si>
    <t>Изолента 0,13x15мм, 100 м., комплект 10 штук, мультиколор</t>
  </si>
  <si>
    <t>Изолента 19мм 20м бел</t>
  </si>
  <si>
    <t>Изолента 19мм 20м синяя</t>
  </si>
  <si>
    <t>Изолента 19мм*20м 150мкм ПВХ черная</t>
  </si>
  <si>
    <t>Изолента 20м</t>
  </si>
  <si>
    <t>Приходная накладная 5372 (вх. 949788202410290001) от 30.10.2024</t>
  </si>
  <si>
    <t>Изолента изоляционная ПЭТ лавсановая, черная 25мм/15м(FPV)</t>
  </si>
  <si>
    <t>Приходная накладная 187 (вх. 3) от 31.01.2024</t>
  </si>
  <si>
    <t>Изолента на основе флиса 19мм х 15м, 0,3мм черная</t>
  </si>
  <si>
    <t>Изолента рулон 300 г. ХБ высш. сорт</t>
  </si>
  <si>
    <t>Приходная накладная 1311 (вх. БгП000000779-БЕЛ) от 30.05.2024</t>
  </si>
  <si>
    <t>Изолента х/б 20х0.35мм</t>
  </si>
  <si>
    <t>Приходная накладная 526 (вх. 30) от 05.03.2024</t>
  </si>
  <si>
    <t>Изопропиловый спирт</t>
  </si>
  <si>
    <t>Изопропиловый спирт 0.5л</t>
  </si>
  <si>
    <t>Изопропиловый спирт 21,5л</t>
  </si>
  <si>
    <t>Приходная накладная 1107 (вх. 4820907-МСК) от 02.05.2024</t>
  </si>
  <si>
    <t>Изопропиловый спирт, 10л канистра</t>
  </si>
  <si>
    <t>ИК-дальномер TF02 PRO</t>
  </si>
  <si>
    <t>Приходная накладная 2092 (вх. 1411) от 16.08.2024</t>
  </si>
  <si>
    <t>Импульсный источник питания Hengfu HF55W-D-L</t>
  </si>
  <si>
    <t>Приходная накладная 1025 (вх. 37) от 15.04.2024</t>
  </si>
  <si>
    <t>Инатест-У портативный твердометр ультразвуковой</t>
  </si>
  <si>
    <t>Приходная накладная 1901 (вх. 1958) от 29.07.2024</t>
  </si>
  <si>
    <t>Инверторная электростанция Fubag TI 4300 открытая</t>
  </si>
  <si>
    <t>Приходная накладная 905 (вх. 698) от 05.04.2024</t>
  </si>
  <si>
    <t>индикатор емкости литиевой батареи 1S 2S 3S светодиодный. Комплект "сделай сам"</t>
  </si>
  <si>
    <t>Индикатор напряжения балансировочный</t>
  </si>
  <si>
    <t>Индикатор уровня заряда батареи 1S 6.6-8.4 V</t>
  </si>
  <si>
    <t>Индикатор часового типа ИЧ-0-5 0.01 с/ушк.</t>
  </si>
  <si>
    <t>Приходная накладная 5071 (вх. 2802) от 07.10.2024</t>
  </si>
  <si>
    <t>Индикатор часового типа ИЧ-50 0.01 с уш. кл.</t>
  </si>
  <si>
    <t>Приходная накладная 5219 (вх. ИН2001) от 22.10.2024</t>
  </si>
  <si>
    <t>Индуктивный датчик приближения для 3Д принтеров</t>
  </si>
  <si>
    <t>Приходная накладная 362 (вх. 233) от 15.02.2024</t>
  </si>
  <si>
    <t>Инкотекс Счетчик "Меркурий" 201.2 1ф 5-60А 220В 32416</t>
  </si>
  <si>
    <t>ИНОТЭК Подшипник 6000-2RS</t>
  </si>
  <si>
    <t>ИНОТЭК Шайба М10 DIN 125 оц. 100 шт 4687203291204</t>
  </si>
  <si>
    <t>Инспекционный конвейнер 1м, CYB 460XL-1000</t>
  </si>
  <si>
    <t>Инстр.д/зачистки проводов</t>
  </si>
  <si>
    <t>Приходная накладная 524 (вх. 29) от 05.03.2024</t>
  </si>
  <si>
    <t>Интернет кабель REXANT провод DisplayPort - HDMI штекер, шнур 1.8 м</t>
  </si>
  <si>
    <t>Приходная накладная 1905 (вх. 26493/3105) от 29.07.2024</t>
  </si>
  <si>
    <t>Инфракрасный обогреватель Fiore, 1,2 кВт</t>
  </si>
  <si>
    <t>Приходная накладная 2200 (вх. 10173432-МСК) от 26.08.2024</t>
  </si>
  <si>
    <t>Инфрокрасный обогреватель Ballu BIH-APL-0.6-M</t>
  </si>
  <si>
    <t>Приходная накладная 5285 (вх. 2457) от 24.10.2024</t>
  </si>
  <si>
    <t>ИО 102-14 Извещатель охранный</t>
  </si>
  <si>
    <t>ИО 102-14, Сигнализация, Извещатель охранный точечный магнитоконтактный\Комплектстройсервис</t>
  </si>
  <si>
    <t>ИПДЛ 212-52 двухпозиционный 8-100м</t>
  </si>
  <si>
    <t>Приходная накладная 4378 (вх. 5) от 08.04.2024</t>
  </si>
  <si>
    <t>ИПК Полотно нож.маш.2А-0049 450x40x2.0</t>
  </si>
  <si>
    <t>Приходная накладная 2095 (вх. 9818798-МСК) от 16.08.2024</t>
  </si>
  <si>
    <t>Иск.кожа STRONG black</t>
  </si>
  <si>
    <t>Приходная накладная 4197 (вх. 3134) от 24.09.2024</t>
  </si>
  <si>
    <t>ИСТОК Фильтр к респиратору 300 А1В1 ПРО 10055</t>
  </si>
  <si>
    <t>Приходная накладная 487 (вх. 2112997-МСК) от 28.02.2024</t>
  </si>
  <si>
    <t>Источник бесперебойного питания Hiden ИБП HIDEN EXPERT UDC92010H-RT, внешние акб - 1</t>
  </si>
  <si>
    <t>Источник бесперебойного питания Hiden ИБП HIDEN EXPERT UDC92010H-RT, внешние акб - 2</t>
  </si>
  <si>
    <t>Приходная накладная 4271 (вх. Tr000001863) от 16.01.2024</t>
  </si>
  <si>
    <t>Источник питания</t>
  </si>
  <si>
    <t>Приходная накладная 931 (вх. 2866) от 10.04.2024</t>
  </si>
  <si>
    <t>К 683 Набор для М310(К871, К875, К876, К870)</t>
  </si>
  <si>
    <t>Приходная накладная 3914 (вх. 18261) от 12.09.2024</t>
  </si>
  <si>
    <t>К10-17Б Конденсатор керамический выводной</t>
  </si>
  <si>
    <t>К50-35 JRB1E220M02000500110000B, Конденсатор электролитичеcкий</t>
  </si>
  <si>
    <t>К50-35, JRB1H102M05001300210000B, Конденсатор электролитический алюминиевый</t>
  </si>
  <si>
    <t>Кабель  Remax RC-138a</t>
  </si>
  <si>
    <t>кабель  USВ- ТуреС с длинным коннектором 10 мм 1 метр</t>
  </si>
  <si>
    <t>Авансовый отчет 201 от 26.03.2024</t>
  </si>
  <si>
    <t>Кабель (провод) Parlan U/UTP 5e 4x2x0.52</t>
  </si>
  <si>
    <t>Приходная накладная 4888 (вх. 0847015) от 03.10.2024</t>
  </si>
  <si>
    <t>Кабель 20см Мама-Мама ARDUINO 2,54мм  РАЗНОЦВЕТНЫХ ЖИЛ 120 шт</t>
  </si>
  <si>
    <t>Приходная накладная 675 (вх. 0146751736-0081/2203) от 22.03.2024</t>
  </si>
  <si>
    <t>Кабель DisplayPort</t>
  </si>
  <si>
    <t>Кабель DVI-D HDMI 3m</t>
  </si>
  <si>
    <t>Приходная накладная 1906 (вх. 652400/14) от 29.07.2024</t>
  </si>
  <si>
    <t>Кабель FTP</t>
  </si>
  <si>
    <t>Кабель Greenconnect 1.8m USB 2.0 черный, 28/28 AWG</t>
  </si>
  <si>
    <t>Кабель HDMI - VGA, 0,25м</t>
  </si>
  <si>
    <t>Приходная накладная 702 (вх. 108) от 22.03.2024</t>
  </si>
  <si>
    <t>Кабель hdmi 19m/m ver 2.1 8k 60hz 1.5m</t>
  </si>
  <si>
    <t>Кабель HDMI 2.0 Gold, 4К 60Hz, 2 метра</t>
  </si>
  <si>
    <t>Приходная накладная 1184 (вх. 5377884-МСК) от 14.05.2024</t>
  </si>
  <si>
    <t>Кабель ORIENT UC-325</t>
  </si>
  <si>
    <t>Приходная накладная 851 (вх. 78) от 28.03.2024</t>
  </si>
  <si>
    <t>кабель Remax RC-138a</t>
  </si>
  <si>
    <t>Кабель Titan 10D-FB PVC CCA</t>
  </si>
  <si>
    <t>Приходная накладная 4211 (вх. 79) от 25.09.2024</t>
  </si>
  <si>
    <t>Кабель USB 2.0 2м</t>
  </si>
  <si>
    <t>Приходная накладная 1804 (вх. Г-00257777/8257) от 22.07.2024</t>
  </si>
  <si>
    <t>Кабель usb type c 1м</t>
  </si>
  <si>
    <t>Кабель USB Type-C (удлинённый разъём 10мм) для смартфонов с усиленным корпусом</t>
  </si>
  <si>
    <t>Приходная накладная 753 (вх. 0146751736-0089/2903) от 29.03.2024</t>
  </si>
  <si>
    <t>Кабель USB TYPE-C 1м</t>
  </si>
  <si>
    <t>Приходная накладная 922 (вх. 31) от 10.04.2024</t>
  </si>
  <si>
    <t>Кабель UTP 5Е 4x2x26AWG</t>
  </si>
  <si>
    <t>Кабель UTP4 cat5e NETKO OPTIMA</t>
  </si>
  <si>
    <t>Приходная накладная 3826 (вх. 6074) от 09.09.2024</t>
  </si>
  <si>
    <t>Кабель аудио-видео Buro DisplayPort  -  HDMI</t>
  </si>
  <si>
    <t>Приходная накладная 637 (вх. 73393) от 20.03.2024</t>
  </si>
  <si>
    <t>Кабель аудио-видео CS-HDMI  (m) 7м.</t>
  </si>
  <si>
    <t>Кабель аудио-видео HDMI 1,8м черный</t>
  </si>
  <si>
    <t>Приходная накладная 214 (вх. 0232209-МСК) от 15.01.2024</t>
  </si>
  <si>
    <t>Кабель ВВГ-Пнг А LS 3x2.5 ОК</t>
  </si>
  <si>
    <t>Кабель ВВГ-Пнг А LS 3x4 ОК</t>
  </si>
  <si>
    <t>Кабель ВВГ-Пнг(А)-LS 3х2,5(N,PE) 0,66 кВ (бухта 50 м)ВЭКЗ</t>
  </si>
  <si>
    <t>Кабель витая пара 5e UTP (U/UTP), категория 5е)</t>
  </si>
  <si>
    <t>Приходная накладная 2037 (вх. 9213) от 12.08.2024</t>
  </si>
  <si>
    <t>Кабель гибкий автомобильный кгвва 2x1 мм2, 50м</t>
  </si>
  <si>
    <t>Приходная накладная 2252 (вх. 10361714-МСК) от 29.08.2024</t>
  </si>
  <si>
    <t>Кабель гибкий круглый КГтп 3x2,5 ГОСТ</t>
  </si>
  <si>
    <t>Приходная накладная 2018 (вх. 055/42804) от 08.08.2024</t>
  </si>
  <si>
    <t>Кабель джойстика</t>
  </si>
  <si>
    <t>кабель для зарядки</t>
  </si>
  <si>
    <t>Кабель для зарядки с разьемом питания XT60</t>
  </si>
  <si>
    <t>Приходная накладная 5352 (вх. 000075007) от 29.10.2024</t>
  </si>
  <si>
    <t>Кабель для телефонов/смартфонов USB на Type-C удлиненный коннектор 10мм (длина 1,2 метр)</t>
  </si>
  <si>
    <t>Приходная накладная 762 (вх. 1995427202403050001) от 05.03.2024</t>
  </si>
  <si>
    <t>Кабель канал напольный 50х12 L2000</t>
  </si>
  <si>
    <t>Приходная накладная 1743 (вх. 055/38080) от 17.07.2024</t>
  </si>
  <si>
    <t>Кабель Кг тп-Хл 2х1.5</t>
  </si>
  <si>
    <t>Кабель кнопки 1</t>
  </si>
  <si>
    <t>Кабель кнопки 2</t>
  </si>
  <si>
    <t>Кабель коаксиальный RG-58 A/U/10D-FB, 50 Ом,100м, черный</t>
  </si>
  <si>
    <t>Приходная накладная 1209 (вх. 285) от 16.05.2024</t>
  </si>
  <si>
    <t>Кабель круглый USB Type-C  - USB 3.2 Type-A, 10 Гбит/ч</t>
  </si>
  <si>
    <t>Приходная накладная 1026 (вх. 36) от 15.04.2024</t>
  </si>
  <si>
    <t>Кабель монитор - SVGA card 1.8м</t>
  </si>
  <si>
    <t>Кабель переключателя</t>
  </si>
  <si>
    <t>Кабель питания Buro AN23-1000 IEC C13 (прямой) -Евровилка (угловой) 1,8м, черный</t>
  </si>
  <si>
    <t>Приходная накладная 116 (вх. J8228391) от 19.01.2024</t>
  </si>
  <si>
    <t>Кабель ППГнг(А)-HF 3х1,5 ГОСТ</t>
  </si>
  <si>
    <t>Приходная накладная 5195 (вх. ТТД00310251) от 21.10.2024</t>
  </si>
  <si>
    <t>Кабель сенсорной панели</t>
  </si>
  <si>
    <t>Кабель сетевой Buro BU-COP-050 UTP cat 5e 305м 4 пары</t>
  </si>
  <si>
    <t>Кабель сетевой UTP, cat.5E, 4 пары,  24AWG 0.51мм 100м (шторм)</t>
  </si>
  <si>
    <t>Приходная накладная 1139 (вх. 1497) от 06.05.2024</t>
  </si>
  <si>
    <t>Кабель силовой ВВГнгА-LS 5*6 ГОСТ 100м</t>
  </si>
  <si>
    <t>Приходная накладная 144 (вх. 0611751-МСК) от 24.01.2024</t>
  </si>
  <si>
    <t>кабель туре-С USВ-A 2.0 с удлинённым разъёмом</t>
  </si>
  <si>
    <t>Кабель удлинительный USB3.0 Am-Af 0.5m /VUS7065-0.5M</t>
  </si>
  <si>
    <t>Приходная накладная 418 (вх. 1998440-МСК) от 26.02.2024</t>
  </si>
  <si>
    <t>Кабель управления для DSP пульта A11E и A18E (6м)</t>
  </si>
  <si>
    <t>Приходная накладная 899 (вх. 3291) от 05.04.2024</t>
  </si>
  <si>
    <t>Кабель/провод МКЭШ 5x0.75</t>
  </si>
  <si>
    <t>Приходная накладная 1867 (вх. 957) от 26.07.2024</t>
  </si>
  <si>
    <t>Кабель-Арсенал Провод ПВС 3x1,5  20 м</t>
  </si>
  <si>
    <t>Кабель-Арсенал Провод ПВС 3х2,5 ГОСТ DIY - 50 м</t>
  </si>
  <si>
    <t>Кабель-Арсенал Провод ПВС 5x2,5 ГОСТ - 100 м 54040</t>
  </si>
  <si>
    <t>Кабель-Арсенал СИП-4 2x16,0 ГОСТ - 200 м KARS-54355</t>
  </si>
  <si>
    <t>Приходная накладная 2033 (вх. 9562146-МСК) от 12.08.2024</t>
  </si>
  <si>
    <t>Кабель-канал 25х16мм</t>
  </si>
  <si>
    <t>Кабель-канал 25х25 L2000 пластик с двойным замком УралПак КК-19025025-060\Урал Пак</t>
  </si>
  <si>
    <t>Кабель-канал TP15x30 полузакрытый CHL</t>
  </si>
  <si>
    <t>Приходная накладная 1696 (вх. 600) от 12.07.2024</t>
  </si>
  <si>
    <t>Кабель-канал ККР 2-12</t>
  </si>
  <si>
    <t>Кабель-канал ПВХ 25x16 мм Белый 60.01.25.16.200</t>
  </si>
  <si>
    <t>Кабельная сборка N-female-30 см SMA-male</t>
  </si>
  <si>
    <t>Приходная накладная 1658 (вх. 143196) от 27.06.2024</t>
  </si>
  <si>
    <t>Кабельная стяжка 3х200мм, черная, 100шт в упак</t>
  </si>
  <si>
    <t>Кабельные сборки</t>
  </si>
  <si>
    <t>Кабельный канал напольный 2 метра LO 75 LD</t>
  </si>
  <si>
    <t>Кабельный канал напольный LO 75 HD LO 75_HD</t>
  </si>
  <si>
    <t>Кабельный канал ПВХ 100x60 белый</t>
  </si>
  <si>
    <t>Кабельный органайзер с крышкой и отверстиями DKC 1 и, глубина 60 мм, для 19" IT -корпусов</t>
  </si>
  <si>
    <t>Календарь настенный 3-х блочный Супер-Премиум,2024,340х805,С-Петерб,100г/м3</t>
  </si>
  <si>
    <t>Калибр пробка 5.0 Н10 ПР-НЕ</t>
  </si>
  <si>
    <t>Приходная накладная 5208 (вх. ИН1988) от 22.10.2024</t>
  </si>
  <si>
    <t>Калибр-пробка 3.2 Н12 ПР-НЕ</t>
  </si>
  <si>
    <t>Приходная накладная 4039 (вх. ИН1834) от 20.09.2024</t>
  </si>
  <si>
    <t>Калибр-пробка 3.5 Н12 ПР-НЕ</t>
  </si>
  <si>
    <t>Приходная накладная 1779 (вх. ИН1425) от 19.07.2024</t>
  </si>
  <si>
    <t>Калькулятор настольный ПОЛНОРАЗМ. Deli E1671, 12-р,дв.пит,185x135мм,мет,срб</t>
  </si>
  <si>
    <t>Калькулятор настольный ПОЛНОРАЗМЕРНЫЙ Attache Economy 12 разр., черный</t>
  </si>
  <si>
    <t>Калькулятор настольный ПОЛНОРАЗМЕРНЫЙ AttacheAF-888,12р,дв.пит204x158мм,ч/с</t>
  </si>
  <si>
    <t>Камера A2 MINI</t>
  </si>
  <si>
    <t>Приходная накладная 1608 (вх. 286) от 01.07.2024</t>
  </si>
  <si>
    <t>Камера Foxeer MicroCat 3 1200TVL(FPV)</t>
  </si>
  <si>
    <t>Приходная накладная 150 (вх. 7) от 10.01.2024</t>
  </si>
  <si>
    <t>Камера IMX219</t>
  </si>
  <si>
    <t>Камера RunCam Phoenix 2</t>
  </si>
  <si>
    <t>камера siyi a8 mini</t>
  </si>
  <si>
    <t>Приходная накладная 895 (вх. 113) от 04.04.2024</t>
  </si>
  <si>
    <t>Камера SIYI МК15 FPV</t>
  </si>
  <si>
    <t>Камера SLAM OV5640, 120 градусов</t>
  </si>
  <si>
    <t>Приходная накладная 877 (вх. 81) от 20.03.2024</t>
  </si>
  <si>
    <t>Камера SLAM OV5640, 160 градусов</t>
  </si>
  <si>
    <t>Камера SLAM OV5640, 68 градусов</t>
  </si>
  <si>
    <t>Камера SLAM OV5640, 72 градуса</t>
  </si>
  <si>
    <t>Камера SLAM OV9726, 42 градуса</t>
  </si>
  <si>
    <t>Камера SLAM дневная+ночная OV2710</t>
  </si>
  <si>
    <t>Камера T30X</t>
  </si>
  <si>
    <t>Приходная накладная 209 (вх. 20) от 05.02.2024</t>
  </si>
  <si>
    <t>Камера ViewPro A40 Pro</t>
  </si>
  <si>
    <t>Приходная накладная 1676 (вх. 47) от 10.07.2024</t>
  </si>
  <si>
    <t>Камера ZT6 MINI</t>
  </si>
  <si>
    <t>Камера А40 Pro Вью</t>
  </si>
  <si>
    <t>Приходная накладная 5242 (вх. 20241015-1) от 23.10.2024</t>
  </si>
  <si>
    <t>Камера Т34Х-4А Вью</t>
  </si>
  <si>
    <t>Приходная накладная 5355 (вх. 20241028-1) от 29.10.2024</t>
  </si>
  <si>
    <t>Камера тепла-холода-влаги EVCLIM-КТХВ-1000 K (ПНР, аттестация)</t>
  </si>
  <si>
    <t>Приходная накладная 774 (вх. УП-218) от 12.03.2024</t>
  </si>
  <si>
    <t>Камера уличная IP HiWatch DS-I200(D) (2.8mm)</t>
  </si>
  <si>
    <t>Приходная накладная 1062 (вх. 4473) от 22.04.2024</t>
  </si>
  <si>
    <t>камера+передатчик</t>
  </si>
  <si>
    <t>Камера-Web Logitech HD C270 чёрный (1.2 мп 1280x960)</t>
  </si>
  <si>
    <t>Канистра 10л</t>
  </si>
  <si>
    <t>Приходная накладная 857 (вх. 1107) от 25.03.2024</t>
  </si>
  <si>
    <t>Канистра 5л</t>
  </si>
  <si>
    <t>Приходная накладная 371 (вх. 648) от 20.02.2024</t>
  </si>
  <si>
    <t>Капельница для автополива</t>
  </si>
  <si>
    <t>Карабин пож. с фиксатором 5299 D10</t>
  </si>
  <si>
    <t>Приходная накладная 5357 (вх. 8501) от 29.10.2024</t>
  </si>
  <si>
    <t>Карандаш механический Attache Economy, 0,5мм синий</t>
  </si>
  <si>
    <t>Карандаш механический Attache, 0,5 мм, цвет корпуса в ассортименте</t>
  </si>
  <si>
    <t>Карандаш механический Erich Krause MEGAPOLIS Concept 0.5 мм, НВ</t>
  </si>
  <si>
    <t>Карандаш механический Комус, 0,5мм красный</t>
  </si>
  <si>
    <t>Карандаш разметочный,145 мм</t>
  </si>
  <si>
    <t>Приходная накладная 1617 (вх. 7701255-МСК) от 02.07.2024</t>
  </si>
  <si>
    <t>Карандаш чернографитный Attache Alfa HB заточ.,с ласт.</t>
  </si>
  <si>
    <t>Карандаш чернографитный Attache Economy плаcтик, с ластиком, HB,черн.корпус</t>
  </si>
  <si>
    <t>Карандаш чернографитный Attache Economy плаcтик, с ластиком,HB,зелен.корпус</t>
  </si>
  <si>
    <t>Карандаш чернографитный Attache selection Power заточ. HB, с ласт.</t>
  </si>
  <si>
    <t>Карандаш чернографитный EVOLUTION ЭКО HB с ластиком пласт., Франция</t>
  </si>
  <si>
    <t>Карандаши цветные 2цв 6-гран Koh-I-Noor 3423</t>
  </si>
  <si>
    <t>Карбоновая трубка 14*16*1000 матовая</t>
  </si>
  <si>
    <t>Приходная накладная 4292 (вх. 468) от 30.09.2024</t>
  </si>
  <si>
    <t>Карбоновая трубка 20х17х1100мм</t>
  </si>
  <si>
    <t>Карбоновая трубка 22*25*1000 матовая</t>
  </si>
  <si>
    <t>Карбоновая трубка 22х20.05х1100мм</t>
  </si>
  <si>
    <t>Карбоновая трубка 22х20х1000</t>
  </si>
  <si>
    <t>Приходная накладная 1306 (вх. 728107/6) от 28.05.2024</t>
  </si>
  <si>
    <t>Карбоновая трубка 3К 16х14х1000</t>
  </si>
  <si>
    <t>Приходная накладная 1860 (вх. 16645) от 25.07.2024</t>
  </si>
  <si>
    <t>Карбоновая трубка 3К 18х16х1000</t>
  </si>
  <si>
    <t>Карбоновая трубка 3к 20х18х1000</t>
  </si>
  <si>
    <t>Приходная накладная 1336 (вх. 000000312) от 04.06.2024</t>
  </si>
  <si>
    <t>карбоновая трубка 3к 22x20x1000</t>
  </si>
  <si>
    <t>Приходная накладная 2154 (вх. 000000452) от 20.08.2024</t>
  </si>
  <si>
    <t>Карбоновая трубка 8*10*1000 матовая</t>
  </si>
  <si>
    <t>Авансовый отчет 197  от 25.07.2024</t>
  </si>
  <si>
    <t>Кардридер Defender  OPTIMUS, до 4 типов карт одновременно</t>
  </si>
  <si>
    <t>Карман настенный A4 (210х300мм) вертикальный на магнитах, Attache, акрил</t>
  </si>
  <si>
    <t>Карманная рулетка RGK R2 с поверкой</t>
  </si>
  <si>
    <t>Приходная накладная 732 (вх. 3629/45) от 19.01.2024</t>
  </si>
  <si>
    <t>Карта памяти  Micro SecureDigital 16Gb</t>
  </si>
  <si>
    <t>Приходная накладная 432 (вх. 14380Ц) от 26.02.2024</t>
  </si>
  <si>
    <t>Карта памяти Kingston 64gb</t>
  </si>
  <si>
    <t>Приходная накладная 2192 (вх. ФЦ3-021768/8257) от 23.08.2024</t>
  </si>
  <si>
    <t>Карта памяти Kingston Canvas Select Plus [microSDHC, A1, 32 Gb, 100 Mb/s]</t>
  </si>
  <si>
    <t>Приходная накладная 314 (вх. 40971) от 16.02.2024</t>
  </si>
  <si>
    <t>Карта памяти microSDHC Samsung PRO Endurance 64 ГБ</t>
  </si>
  <si>
    <t>Карта памяти microSDHC UHS-I U1 Hikvision 16 ГБ, 92 МБ/с, Class 10, HS-TF-C1(STD)/16G/Adapter,  1 шт</t>
  </si>
  <si>
    <t>Приходная накладная 5331 (вх. 291910) от 28.10.2024</t>
  </si>
  <si>
    <t>Карта памяти microSDHC UHS-I U1 NETAC P500 16 ГБ</t>
  </si>
  <si>
    <t>Карта памяти SmartBuy microSDHC 32Gb UHS-I Cl10 +ад, SB32GBSDCL10-01</t>
  </si>
  <si>
    <t>Карта памяти Transcend 300S microSDHC 16Gb UHS-I Cl10 +ад</t>
  </si>
  <si>
    <t>Картотека А-44</t>
  </si>
  <si>
    <t>Приходная накладная 1149 (вх. 3359) от 07.05.2024</t>
  </si>
  <si>
    <t>Картридер внешний Buro BU-CR-151</t>
  </si>
  <si>
    <t>Картридж 106R02773 черный, с чипом, для лазерного принтера Xerox Phaser 3020</t>
  </si>
  <si>
    <t>Приходная накладная 2172 (вх. 455013/396) от 22.08.2024</t>
  </si>
  <si>
    <t>Картридж NV Print TK-5230 Black для Kyocera ECOSYS P5021cdw/P5021cdn/M5521cdw/M5521cdn (2600k)</t>
  </si>
  <si>
    <t>Приходная накладная 4453 (вх. 1448) от 01.01.2024</t>
  </si>
  <si>
    <t>Картридж лазерный Brother TN-2375 Black</t>
  </si>
  <si>
    <t>Приходная накладная 824 (вх. 202403290004) от 29.03.2024</t>
  </si>
  <si>
    <t>Картридж-наконечник для CV/MX клин</t>
  </si>
  <si>
    <t>Приходная накладная 286 (вх. 530) от 14.02.2024</t>
  </si>
  <si>
    <t>Картридж-наконечник для CV/MX конус изогнутый</t>
  </si>
  <si>
    <t>Картридж-наконечник для CV/MX миниволна</t>
  </si>
  <si>
    <t>Картридж-наконечник для CV/MX ножевидный заточка</t>
  </si>
  <si>
    <t>Картридж-наконечник для CV/MX-PTZ конус изогнутый</t>
  </si>
  <si>
    <t>Приходная накладная 4303 (вх. 2354) от 30.09.2024</t>
  </si>
  <si>
    <t>Каска TOPFORT СТАНДАРТ 201 белая</t>
  </si>
  <si>
    <t>Приходная накладная 1884 (вх. 38004411) от 29.07.2024</t>
  </si>
  <si>
    <t>Каска TOPFORT СТАНДАРТ 202 оранжевая</t>
  </si>
  <si>
    <t>Катушка TPU-95A пластика KINGROON 1.75 мм 1кг., черная</t>
  </si>
  <si>
    <t>Приходная накладная 5171 (вх. 1304244/153) от 16.10.2024</t>
  </si>
  <si>
    <t>Катушка пластик без провода и розетки жел.вставка</t>
  </si>
  <si>
    <t>Приходная накладная 1682 (вх. УТ-1519) от 10.07.2024</t>
  </si>
  <si>
    <t>Качественный КРЕПЕЖ Винт потай с метр. резьбой DIN 965 3x20500 500 шт 0200857 КЧ</t>
  </si>
  <si>
    <t>Кашпо idea Дюна 34*63*42</t>
  </si>
  <si>
    <t>Кашпо idea Ротанг 26*26*45.7</t>
  </si>
  <si>
    <t>КВТ KT 3101 Комплект зажимов "крокодил"  80752</t>
  </si>
  <si>
    <t>КВТ Инструмент для снятия изоляции WS-11</t>
  </si>
  <si>
    <t>КВТ набор клеевой термоусадочной трубки №23</t>
  </si>
  <si>
    <t>КВТ набор ПК Т 100</t>
  </si>
  <si>
    <t>КВТ Набор пластиковых органайзеров НК-03</t>
  </si>
  <si>
    <t>КВТ Набор термоусадочной трубки №15 85196</t>
  </si>
  <si>
    <t>КВТ Наконечник НШВИ 0,75- 8 500 шт</t>
  </si>
  <si>
    <t>Приходная накладная 200 (вх. 1012733-МСК) от 02.02.2024</t>
  </si>
  <si>
    <t>КВТ Наконечник НШВИ 0,75-12</t>
  </si>
  <si>
    <t>КВТ Наконечник НШВИ 1,5- 8 (500 шт)</t>
  </si>
  <si>
    <t>КВТ Наконечник НШВИ 10-12</t>
  </si>
  <si>
    <t>КВТ Наконечник НШВИ 6,0-12 79449</t>
  </si>
  <si>
    <t>КВТ Пистолет клеевой КП-100-11 () 87967</t>
  </si>
  <si>
    <t>КВТ Соединитель под пайку ПК Т 0,34</t>
  </si>
  <si>
    <t>КВТ Соединитель под пайку ПК Т 1,0</t>
  </si>
  <si>
    <t>КВТ Соединитель под пайку ПК Т 2,5</t>
  </si>
  <si>
    <t>КВТ Соединитель под пайку ПК Т 6,0</t>
  </si>
  <si>
    <t>КВТ Сумка монтажника С-03 66142</t>
  </si>
  <si>
    <t>КВТ Трубка ТТК(4:1)-8/2</t>
  </si>
  <si>
    <t>КВТ Трубка ТТК2:1-12/6 черная  74303</t>
  </si>
  <si>
    <t>КВТ Трубка ТТК2:1-6/3 черная  74301</t>
  </si>
  <si>
    <t>КВТ Трубка ТТК3:1-3/1 черная  75904</t>
  </si>
  <si>
    <t>КВТ Трубка ТТК-3:1-50/17 черная 59702</t>
  </si>
  <si>
    <t>КВТ Трубка ТТК-3:1-6/2 черная упак 10 шт  59695</t>
  </si>
  <si>
    <t>Кедр Зажим ручной 7Y PRIME    8024043</t>
  </si>
  <si>
    <t>Кейс-органайзер КВТ</t>
  </si>
  <si>
    <t>Керамзит 20л.</t>
  </si>
  <si>
    <t>Кешью Семушка жареный</t>
  </si>
  <si>
    <t>Приходная накладная 4433 (вх. R451004274-H80790434789) от 01.02.2024</t>
  </si>
  <si>
    <t>Киви</t>
  </si>
  <si>
    <t>Кисти для рисования всеми видами красок, цвет синий 10 шт.</t>
  </si>
  <si>
    <t>Приходная накладная 1415 (вх. 351917/37) от 13.06.2024</t>
  </si>
  <si>
    <t>Кисть N1 School синтетика плоская N12</t>
  </si>
  <si>
    <t>Кисть N1School синтетика N4 плоская</t>
  </si>
  <si>
    <t>Кисть N1School синтетика плоская N12</t>
  </si>
  <si>
    <t>Кисть N1School синтетика плоская N20</t>
  </si>
  <si>
    <t>Кисть набор 5 шт щетина N3К</t>
  </si>
  <si>
    <t>Приходная накладная 522 (вх. 35115041) от 06.03.2024</t>
  </si>
  <si>
    <t>Кисть плоская economy  30 х 15 мм смешанная щетина Beorol 40540</t>
  </si>
  <si>
    <t>Приходная накладная 3789 (вх. 39225669) от 06.09.2024</t>
  </si>
  <si>
    <t>Кисть художеств. Roubloff щетина,жесткая,плоская,N16 длинн.ручка,ЖЩ2-16,02Б</t>
  </si>
  <si>
    <t>ККЗ Кабель ВВГ-Пнг А LS 3x1,5 ГОСТ 100м KKZ40-00000515</t>
  </si>
  <si>
    <t>Клавиатура + мышь A4Tech Fstyler</t>
  </si>
  <si>
    <t>Клавиатура Logitech К120 , USB, черный</t>
  </si>
  <si>
    <t>Приходная накладная 5212 (вх. 2210-12) от 22.10.2024</t>
  </si>
  <si>
    <t>Клавиатура Oklick 890s Grey</t>
  </si>
  <si>
    <t>Приходная накладная 88 (вх. 1801-9) от 18.01.2024</t>
  </si>
  <si>
    <t>Клавиатура проводная Logitech Keyboard K120 USB (920-002583) - CN</t>
  </si>
  <si>
    <t>Приходная накладная 5313 (вх. 2410-12) от 24.10.2024</t>
  </si>
  <si>
    <t>Клапан DES</t>
  </si>
  <si>
    <t>Приходная накладная 1273 (вх. 482) от 23.05.2024</t>
  </si>
  <si>
    <t>Клеевой пистолет GG-60</t>
  </si>
  <si>
    <t>Клеевые стержни 11x200 мм прозрачные 15 шт</t>
  </si>
  <si>
    <t>Клей 25 g+100 ml Cyanoacrylate Двухкомпонентный</t>
  </si>
  <si>
    <t>Клей 705 двухкомпонентный 125г+400мл</t>
  </si>
  <si>
    <t>Приходная накладная 5246 (вх. 3218) от 23.10.2024</t>
  </si>
  <si>
    <t>КЛЕЙ PLAST SPEZIAL БУТЫЛОЧКА С НАКОНЕЧНИКОМ-ИГЛОЙ 30Г</t>
  </si>
  <si>
    <t>Приходная накладная 709 (вх. 2970917-МСК) от 20.03.2024</t>
  </si>
  <si>
    <t>Клей ВК-9 клей эпоксидно-полиамидный 100гр.</t>
  </si>
  <si>
    <t>Приходная накладная 5126 (вх. 56) от 01.01.2024</t>
  </si>
  <si>
    <t>Клей временной фиксации APS-G51(жестяной баллон)</t>
  </si>
  <si>
    <t>Приходная накладная 3861 (вх. 757) от 11.09.2024</t>
  </si>
  <si>
    <t>Клей временной фиксации APS-G510(жестяной баллон)</t>
  </si>
  <si>
    <t>Приходная накладная 3862 (вх. 1710) от 11.09.2024</t>
  </si>
  <si>
    <t>Клей временной фиксации APS-G610(жестяной баллон)</t>
  </si>
  <si>
    <t>Клей герметик для проклейки тачскринов T-7000, черный,50мл</t>
  </si>
  <si>
    <t>Приходная накладная 749 (вх. 3335467-МСК) от 28.03.2024</t>
  </si>
  <si>
    <t>Клей двухкомпонентный Kafuter AB</t>
  </si>
  <si>
    <t>Приходная накладная 2271 (вх. 16375/435) от 30.08.2024</t>
  </si>
  <si>
    <t>Клей для печати 250 мл</t>
  </si>
  <si>
    <t>Клей ПВА 40г Attache</t>
  </si>
  <si>
    <t>Клей силиконовый Kafuter K-704 45г белый</t>
  </si>
  <si>
    <t>Приходная накладная 889 (вх. 7720722202402270001) от 27.02.2024</t>
  </si>
  <si>
    <t>Клей универсальный акриловый 310 мл</t>
  </si>
  <si>
    <t>Приходная накладная 2235 (вх. 10316416-МСК) от 28.08.2024</t>
  </si>
  <si>
    <t>Клей цианоакрилатный для эластомеров и резины, 20г</t>
  </si>
  <si>
    <t>Клей ЭК-17Н</t>
  </si>
  <si>
    <t>Приходная накладная 1620 (вх. 1645) от 02.07.2024</t>
  </si>
  <si>
    <t>Клей-карандаш 15г Attache Economy</t>
  </si>
  <si>
    <t>Клей-карандаш 20г ATTACHE 'EXTRA' 15234</t>
  </si>
  <si>
    <t>Клей-карандаш 40г ATTACHE 'EXTRA' 15434</t>
  </si>
  <si>
    <t>Клейкая двусторонняя лента 19 мм х 10 м</t>
  </si>
  <si>
    <t>Клейкая лента армированная UNIBOB 48мм х 10м, серая</t>
  </si>
  <si>
    <t>Клейкая лента армированная UNIBOB 48мм х 40м</t>
  </si>
  <si>
    <t>Клейкая лента двусторонняя 48мм х 25м, полипропилен</t>
  </si>
  <si>
    <t>Клейкая лента канцелярская 12х10 12 шт./уп.</t>
  </si>
  <si>
    <t>Клейкая лента канцелярская KORES двусторонняя 15х5 55515</t>
  </si>
  <si>
    <t>Клейкая лента канцелярская M&amp;G пластиковая,2сторонн переклеив прозр 24ммx5м</t>
  </si>
  <si>
    <t>Клейкая лента канцелярская Комус 19x33</t>
  </si>
  <si>
    <t>Клейкая лента канцелярская Комус 19х33 , 8 шт./уп.</t>
  </si>
  <si>
    <t>Клейкая лента малярная 19мм х 40м</t>
  </si>
  <si>
    <t>Клейкая лента малярная 25мм х50м</t>
  </si>
  <si>
    <t>Приходная накладная 1571 (вх. 7496274-МСК) от 27.06.2024</t>
  </si>
  <si>
    <t>Клейкая лента малярная 50мм х50м</t>
  </si>
  <si>
    <t>Клейкая лента сверх двухсторонняя 5952F (12MMX1500MM)</t>
  </si>
  <si>
    <t>Клейкая лента Упаковочная 48мм х 30м 38мкм прозрачная 6 шт/уп</t>
  </si>
  <si>
    <t>Клейкая лента упаковочная 48мм х 66м, прозрачный, 45мкм, 6 шт/уп</t>
  </si>
  <si>
    <t>Клейкая лента упаковочная 48ммх150мх38мкм, прозрачная</t>
  </si>
  <si>
    <t>Клейкая лента упаковочная ATTACHE 48мм х 132м 45мкм прозрачная</t>
  </si>
  <si>
    <t>Клейкая лента упаковочная Attache 48мм х 45м 40мкм прозрачная 6 шт/уп</t>
  </si>
  <si>
    <t>Клейкая лента упаковочная ATTACHE 50мм x 50м 40мкм прозрачная</t>
  </si>
  <si>
    <t>Клейкая лента упаковочная Unibob 72мм х 66м 45мкм прозрачная</t>
  </si>
  <si>
    <t>Клейкая лента упаковочная Комус 50мм х 100м 50мкм прозрачная</t>
  </si>
  <si>
    <t>Клейкая лента упаковочная  48мм х 100м прозрач. 45мкр, S</t>
  </si>
  <si>
    <t>Клейкие закладки бум. 4цв.по 50л. неон 20х50мм Strips Kores 45104</t>
  </si>
  <si>
    <t>Клейкие закладки бумажные 3цв.по 100л. 25ммх76 Attache</t>
  </si>
  <si>
    <t>Клейкие закладки пласт.  Стрелка  8цв.по 15л. 45ммх12 Attache Selection</t>
  </si>
  <si>
    <t>Клейкие закладки пласт. 4цв.по 20л. 12ммх45 Attache диспенсер</t>
  </si>
  <si>
    <t>Клейкие закладки пласт. 5цв.по 20л. 12ммх45 Attache '030951023</t>
  </si>
  <si>
    <t>Клейкие закладки пласт. 5цв.по 25л. 45ммх12 Attache Selection</t>
  </si>
  <si>
    <t>Клемма соединительная 3-х проводная</t>
  </si>
  <si>
    <t>КлеммаНабор №2 106 шт</t>
  </si>
  <si>
    <t>Приходная накладная 2043 (вх. 9652193-МСК) от 13.08.2024</t>
  </si>
  <si>
    <t>Клеммная колодка винтовая с крышкой, 8 контактов</t>
  </si>
  <si>
    <t>Приходная накладная 4807 (вх. 202409270001) от 01.10.2024</t>
  </si>
  <si>
    <t>Кленовая Беспроводная Антенна 11dBi 5,8 ГГц</t>
  </si>
  <si>
    <t>Клин пластиковый для расформовки 1/2 38х104мм</t>
  </si>
  <si>
    <t>Приходная накладная 1870 (вх. 14456) от 26.07.2024</t>
  </si>
  <si>
    <t>Клин пластиковый для расформовки 1/4 55х150мм</t>
  </si>
  <si>
    <t>Клиновый анкер-шпилька 8*90</t>
  </si>
  <si>
    <t>Приходная накладная 5287 (вх. 169/2024-АВ0337228) от 24.10.2024</t>
  </si>
  <si>
    <t>Клипса самоклеящаяся КС-10 черная (24 шт)</t>
  </si>
  <si>
    <t>Приходная накладная 2168 (вх. 202408200003) от 22.08.2024</t>
  </si>
  <si>
    <t>Клубника 250 г</t>
  </si>
  <si>
    <t>Ключ Г-образн. 6-гран. 12 мм</t>
  </si>
  <si>
    <t>Приходная накладная 1116 (вх. 4822352-МСК) от 02.05.2024</t>
  </si>
  <si>
    <t>Ключ Г-образн. 6-гран. 14 мм</t>
  </si>
  <si>
    <t>Ключ Г-образн. 6-гран.19 мм</t>
  </si>
  <si>
    <t>Ключ динамометрический 1/2"</t>
  </si>
  <si>
    <t>Ключ для электрошкафов</t>
  </si>
  <si>
    <t>Приходная накладная 2111 (вх. 9870567-МСК) от 19.08.2024</t>
  </si>
  <si>
    <t>Ключ комбинированный трещоточный 10мм Gigant</t>
  </si>
  <si>
    <t>Ключ комбинированный трещоточный 13мм</t>
  </si>
  <si>
    <t>Ключ комбинированный трещоточный 8мм</t>
  </si>
  <si>
    <t>Ключ комбинированный трещоточный шарнирный  13 мм</t>
  </si>
  <si>
    <t>Ключ накидной двусторонний 10x13</t>
  </si>
  <si>
    <t>Приходная накладная 1063 (вх. 4517092-МСК) от 23.04.2024</t>
  </si>
  <si>
    <t>Ключ разводной 200 мм</t>
  </si>
  <si>
    <t>Ключ рожковый 38х42</t>
  </si>
  <si>
    <t>Приходная накладная 616 (вх. 2920392-МСК) от 19.03.2024</t>
  </si>
  <si>
    <t>Ключ рожковый 41х46</t>
  </si>
  <si>
    <t>Ключ шестигранный, H2</t>
  </si>
  <si>
    <t>Приходная накладная 2224 (вх. УТ-980) от 27.08.2024</t>
  </si>
  <si>
    <t>Ключ шестигранный, Н2.5</t>
  </si>
  <si>
    <t>КН-04 Кнопка выхода</t>
  </si>
  <si>
    <t>Книга конденсаторов для резисторов в ассортименте</t>
  </si>
  <si>
    <t>Книга учета -120л. в клетку офсет, обл. бумвинил</t>
  </si>
  <si>
    <t>Приходная накладная 1420 (вх. 37277751) от 13.06.2024</t>
  </si>
  <si>
    <t>Книга учета 96л. в клетку обл.картон</t>
  </si>
  <si>
    <t>Книга учета Attache 96л. в клетку офсет о бл.плотн. картон</t>
  </si>
  <si>
    <t>Книга учета Attache 96л. в линейку офсет  обл.плотн. картон</t>
  </si>
  <si>
    <t>Книга учета движения трудовых книжек и вклад. в них</t>
  </si>
  <si>
    <t>Приходная накладная 2254 (вх. 38983690) от 29.08.2024</t>
  </si>
  <si>
    <t>Кнопка Flipsky V3.0 Antispark Switch Pro (тубус)</t>
  </si>
  <si>
    <t>Кнопки из силикона</t>
  </si>
  <si>
    <t>Кнопки силовые д/пробковых досок ATTACHE,пластиковая шляпка,ассорти,50шт/уп</t>
  </si>
  <si>
    <t>КОБАЛЬТ Отвертка для точных работ 2.0x50мм</t>
  </si>
  <si>
    <t>Приходная накладная 129 (вх. 0505611-МСК) от 22.01.2024</t>
  </si>
  <si>
    <t>Коврик 90х150см</t>
  </si>
  <si>
    <t>Коврик ARDOR GAMING GM-XL Black Control 900x400x4mm</t>
  </si>
  <si>
    <t>Приходная накладная 1995 (вх. ФЦ3-019678/8257) от 06.08.2024</t>
  </si>
  <si>
    <t>Коврик входной Tuff влаговпитывающий 40x60 см. серый  Blabar/15</t>
  </si>
  <si>
    <t>Коврик диэлектрический</t>
  </si>
  <si>
    <t>Коврик для мыши Cactus CS-MP-P04XS Space Мини черный 220x180x2мм</t>
  </si>
  <si>
    <t>Коврик для мыши ProMega Jet HMP0008 иск.кожа/22х18х0,12/красный</t>
  </si>
  <si>
    <t>Коврик для мыши черный</t>
  </si>
  <si>
    <t>Коврик для пайки</t>
  </si>
  <si>
    <t>Коврик на стол Attache 48х65см глянцевый ПВХ 750 мкм</t>
  </si>
  <si>
    <t>Коврик на стол Attache Economy 45смx55см прозрачный пвх, Россия</t>
  </si>
  <si>
    <t>Коврик на стол Attache Economy 530х660мм черный с прозрачным верхним листом</t>
  </si>
  <si>
    <t>Колесо безвоздушное Patriot PRO P18х4.00-10 для мотоблока</t>
  </si>
  <si>
    <t>Приходная накладная 1972 (вх. 194400/1864) от 05.08.2024</t>
  </si>
  <si>
    <t>Колесо безвоздушное для мотоблока</t>
  </si>
  <si>
    <t>Колесо катка снегохода Буран, Тайга, Рысь ф130х13 под 205 подшипник</t>
  </si>
  <si>
    <t>Приходная накладная 4809 (вх. 13346886202409270001) от 01.10.2024</t>
  </si>
  <si>
    <t>Колесо мебельное</t>
  </si>
  <si>
    <t>Колесо промышленное 125мм</t>
  </si>
  <si>
    <t>Приходная накладная 5230 (вх. 159) от 23.10.2024</t>
  </si>
  <si>
    <t>Колодка JST GHR-04V-S</t>
  </si>
  <si>
    <t>Приходная накладная 2103 (вх. 89) от 16.08.2024</t>
  </si>
  <si>
    <t>Колодка гнездовая Molex 043025-0600</t>
  </si>
  <si>
    <t>Приходная накладная 2277 (вх. 230) от 02.09.2024</t>
  </si>
  <si>
    <t>Колодка гнездовая Molex 043025-0800</t>
  </si>
  <si>
    <t>Колодка гнездовая Molex 043645-0300</t>
  </si>
  <si>
    <t>Колодка гнездовая XS12JK-7P</t>
  </si>
  <si>
    <t>Приходная накладная 5217 (вх. 119) от 22.10.2024</t>
  </si>
  <si>
    <t>Колодка штыревая XS12JK-7P/Y</t>
  </si>
  <si>
    <t>Кольцо маркировочное для муфты 100.08SB</t>
  </si>
  <si>
    <t>Приходная накладная 944 (вх. 188) от 11.04.2024</t>
  </si>
  <si>
    <t>Кольцо маркировочное для муфты 100.08SR</t>
  </si>
  <si>
    <t>Командировочные расходы</t>
  </si>
  <si>
    <t>Приходная накладная 3937 (вх. 1ТВ894354) от 16.09.2024</t>
  </si>
  <si>
    <t>Комбинезон из полиэфирной ткани арт.JPC75g серый, L</t>
  </si>
  <si>
    <t>Приходная накладная 4398 (вх. 112442) от 07.03.2024</t>
  </si>
  <si>
    <t>Комбинезон одноразовый с кап DELTA PLUS DT117 бел р-р XXL (DT117XX)</t>
  </si>
  <si>
    <t>Приходная накладная 331 (вх. 34338752) от 01.02.2024</t>
  </si>
  <si>
    <t>Комбинированные плоскогубцы 160мм</t>
  </si>
  <si>
    <t>Приходная накладная 1986 (вх. 9345086-МСК) от 06.08.2024</t>
  </si>
  <si>
    <t>Комбинированные плоскогубцы 200 мм</t>
  </si>
  <si>
    <t>Коммутатор D-Link DES-1005C/B1A</t>
  </si>
  <si>
    <t>Авансовый отчет 175 от 22.04.2024</t>
  </si>
  <si>
    <t>Коммутатор D-Link DGS-1008P/E1A</t>
  </si>
  <si>
    <t>Приходная накладная 625 (вх. 90261) от 19.03.2024</t>
  </si>
  <si>
    <t>Коммутатор MikroTik CRS317-1G-16S+RM</t>
  </si>
  <si>
    <t>Коммутатор MikroTik CRS328-24P-4S+RM</t>
  </si>
  <si>
    <t>Коммутатор MikroTik CRS354-48P-4S+2Q+RM</t>
  </si>
  <si>
    <t>Приходная накладная 4240 (вх. Г-00298683/8267) от 14.08.2024</t>
  </si>
  <si>
    <t>Коммутатор TP-LINK LS1005G</t>
  </si>
  <si>
    <t>Приходная накладная 480 (вх. 55312) от 01.03.2024</t>
  </si>
  <si>
    <t>Коммутатор TP-LINK LS1008G</t>
  </si>
  <si>
    <t>Коммутатор TP-LINK TL-SG105S</t>
  </si>
  <si>
    <t>Приходная накладная 2311 (вх. ФЦ3-022743/8257) от 03.09.2024</t>
  </si>
  <si>
    <t>Коммутационный шнур 24AWG многожильный 0.3м</t>
  </si>
  <si>
    <t>Приходная накладная 1368 (вх. 01707) от 06.06.2024</t>
  </si>
  <si>
    <t>компаунд высокотемпературный</t>
  </si>
  <si>
    <t>Авансовый отчет 219 от 12.03.2024</t>
  </si>
  <si>
    <t>Компаунд силиконовый ПК-68двухкомпонентный прозрачный</t>
  </si>
  <si>
    <t>Приходная накладная 1724 (вх. 8370162-МСК) от 16.07.2024</t>
  </si>
  <si>
    <t>Компаунд теплопроводный СТЭП-Т8, 1 кг / 716 мл</t>
  </si>
  <si>
    <t>комплек GPS HEX HERE GNSS V3</t>
  </si>
  <si>
    <t>Авансовый отчет 229 от 05.03.2024</t>
  </si>
  <si>
    <t>Комплекс работ по дизайнерской разработке изделия "Сибирячок 1.75"</t>
  </si>
  <si>
    <t>Приходная накладная 4508 (вх. 6/24) от 08.04.2024</t>
  </si>
  <si>
    <t>Комплекс работ по дизайнерской разработке изделия "Сибирячок 2.0"</t>
  </si>
  <si>
    <t>Приходная накладная 4693 (вх. 18/24) от 02.07.2024</t>
  </si>
  <si>
    <t>Комплексная упаковка</t>
  </si>
  <si>
    <t>Приходная накладная 3887 (вх. 1368417/0287) от 23.08.2024</t>
  </si>
  <si>
    <t>Комплексное питание</t>
  </si>
  <si>
    <t>Приходная накладная 5108 (вх. 186264-2) от 07.03.2024</t>
  </si>
  <si>
    <t>Комплект Hiden Комплект креплений в стойку 2U (00-00000071)</t>
  </si>
  <si>
    <t>Комплект аппаратуры SkyDroid H30</t>
  </si>
  <si>
    <t>Приходная накладная 1555 (вх. БП-109) от 26.06.2024</t>
  </si>
  <si>
    <t>Комплект борфрез 4шт 3мм A/B/D/H</t>
  </si>
  <si>
    <t>Приходная накладная 416 (вх. 926) от 22.02.2024</t>
  </si>
  <si>
    <t>Комплект для уборки Disco щетка для пола+совок аквамарин SV3865_крАКВ</t>
  </si>
  <si>
    <t>Приходная накладная 560 (вх. 35349856) от 16.03.2024</t>
  </si>
  <si>
    <t>Комплект для уборки Ленивка веник с совком М 5178</t>
  </si>
  <si>
    <t>Комплект для уборки Ленивка люкс складная (щётка, совок) М 5179</t>
  </si>
  <si>
    <t>Комплект клавиатура и мышь Logitech MK470 Wireless Combo (графит)</t>
  </si>
  <si>
    <t>Приходная накладная 1374 (вх. 202406050012) от 06.06.2024</t>
  </si>
  <si>
    <t>Комплект компонентов для оборудования (ТУБУС)</t>
  </si>
  <si>
    <t>Приходная накладная 962 (вх. 202401101) от 10.01.2024</t>
  </si>
  <si>
    <t>комплект контактёров</t>
  </si>
  <si>
    <t>Авансовый отчет 207 от 19.03.2024</t>
  </si>
  <si>
    <t>Комплект механизма антипаники</t>
  </si>
  <si>
    <t>Комплект модернизация для Dell R640 (радиатор+ вентилятор)</t>
  </si>
  <si>
    <t>Комплект модулей с антеннами 4.9GHZ</t>
  </si>
  <si>
    <t>Комплект наглядной агитации "Справочно информационный материал по воинскому учёту"</t>
  </si>
  <si>
    <t>Комплект насадок для винт 26pc mini</t>
  </si>
  <si>
    <t>Комплект освещения FB</t>
  </si>
  <si>
    <t>Комплект пигтейлов SMA-male - MMCX, кабель RG316, 50 Ом, 25 см, 5 шт</t>
  </si>
  <si>
    <t>Приходная накладная 746 (вх. 0146751736-0036/2102) от 21.02.2024</t>
  </si>
  <si>
    <t>Комплект плакатов №1 /7шт/</t>
  </si>
  <si>
    <t>Комплект ракелей 450 мм SQ-450</t>
  </si>
  <si>
    <t>Приходная накладная 4446 (вх. 17) от 11.01.2024</t>
  </si>
  <si>
    <t>Комплект ретранслятора сигнала ГНСС в помещение РТП-125</t>
  </si>
  <si>
    <t>Приходная накладная 1646 (вх. 29) от 25.06.2024</t>
  </si>
  <si>
    <t>Комплект сменных пилок для лобзиков 24 зуба 10шт</t>
  </si>
  <si>
    <t>Приходная накладная 607 (вх. МЦЦО-0007829) от 11.03.2024</t>
  </si>
  <si>
    <t>Комплект сменных пилок для лобзиков 32 зуба 10шт</t>
  </si>
  <si>
    <t>Комплект фильтров с UF 12 дюймов</t>
  </si>
  <si>
    <t>Приходная накладная 1328 (вх. 3515602) от 03.06.2024</t>
  </si>
  <si>
    <t>Комплект шаклов 3.25т 13т</t>
  </si>
  <si>
    <t>Комплект шланг 4м + конусный адаптер D28-59мм</t>
  </si>
  <si>
    <t>Приходная накладная 1322 (вх. М000084581) от 31.05.2024</t>
  </si>
  <si>
    <t>Комплект/Хомут сантехнический со шпилькой 10x100 и дюбелем д/труб Ф125</t>
  </si>
  <si>
    <t>Компьютер 000000399</t>
  </si>
  <si>
    <t>Приходная накладная 2250 (вх. 2808-11) от 28.08.2024</t>
  </si>
  <si>
    <t>Компьютер 000000418</t>
  </si>
  <si>
    <t>Приходная накладная 3831 (вх. 0909-4) от 09.09.2024</t>
  </si>
  <si>
    <t>Компьютер 000000419</t>
  </si>
  <si>
    <t>Приходная накладная 3835 (вх. 0909-13) от 10.09.2024</t>
  </si>
  <si>
    <t>Компьютер 000000427</t>
  </si>
  <si>
    <t>Приходная накладная 3834 (вх. 0909-19) от 10.09.2024</t>
  </si>
  <si>
    <t>Компьютер 000000475</t>
  </si>
  <si>
    <t>Приходная накладная 4231 (вх. 2609-6) от 26.09.2024</t>
  </si>
  <si>
    <t>Компьютер 000000482</t>
  </si>
  <si>
    <t>Приходная накладная 4229 (вх. 2609-8) от 26.09.2024</t>
  </si>
  <si>
    <t>Компьютер 000000487 от 19.09.2024 0:00:00</t>
  </si>
  <si>
    <t>Приходная накладная 4228 (вх. 2609-9) от 26.09.2024</t>
  </si>
  <si>
    <t>Компьютер 000000491 от 23.09.2024 0:00:00</t>
  </si>
  <si>
    <t>Приходная накладная 4883 (вх. 0310-14) от 03.10.2024</t>
  </si>
  <si>
    <t>Компьютер 000000502 от 26.09.2024 0:00:00</t>
  </si>
  <si>
    <t>Приходная накладная 4907 (вх. 0410-4) от 04.10.2024</t>
  </si>
  <si>
    <t>Компьютер 000000505 от 26.09.2024 0:00:00</t>
  </si>
  <si>
    <t>Приходная накладная 4908 (вх. 0410-12) от 04.10.2024</t>
  </si>
  <si>
    <t>Компьютер 000000506 от 26.09.2024 0:00:00</t>
  </si>
  <si>
    <t>Приходная накладная 4884 (вх. 0310-4) от 03.10.2024</t>
  </si>
  <si>
    <t>Компьютер 000000535 от 14.10.2024</t>
  </si>
  <si>
    <t>Приходная накладная 5231 (вх. 2210-10) от 23.10.2024</t>
  </si>
  <si>
    <t>Компьютер 000000536 от 14.10.2024</t>
  </si>
  <si>
    <t>Приходная накладная 5229 (вх. 2210-17) от 23.10.2024</t>
  </si>
  <si>
    <t>Компьютер 000000540 от 15.10.2024</t>
  </si>
  <si>
    <t>Приходная накладная 5226 (вх. 2210-15) от 23.10.2024</t>
  </si>
  <si>
    <t>Компьютер 000000547 от 18.10.2024</t>
  </si>
  <si>
    <t>Компьютер 000000548 от 18.10.2024</t>
  </si>
  <si>
    <t>Приходная накладная 5311 (вх. 2410-14) от 24.10.2024</t>
  </si>
  <si>
    <t>Компьютер 000000549 от 18.10.2024</t>
  </si>
  <si>
    <t>Приходная накладная 5310 (вх. 2410-15) от 24.10.2024</t>
  </si>
  <si>
    <t>Компьютер AMD Ryzen 7 5700G / MSI A520M-A PRO / Aerocool 110W / 16GB DDR4 2666MHz / SSD512 Apacher</t>
  </si>
  <si>
    <t>Приходная накладная 2077 (вх. 1408-4) от 14.08.2024</t>
  </si>
  <si>
    <t>Компьютер C829485Ц-AMD Ryzen 7 5700G / MicroStar A520M-A PRO / 16GB / SSD 512GB</t>
  </si>
  <si>
    <t>Приходная накладная 945 (вх. 27698Ц) от 11.04.2024</t>
  </si>
  <si>
    <t>Компьютер Intel Core i5 12400F. ASRock B660M-HDV. ID-Cooling SE-214-XT. GTX1650 4 GB. 16GB DDR4</t>
  </si>
  <si>
    <t>Приходная накладная 3993 (вх. 1709-14) от 17.09.2024</t>
  </si>
  <si>
    <t>Компьютер АМ4 AMD RYZEN 7 5700G, MSI A520M, 16GB DDR4 Apacer, SSD512GB</t>
  </si>
  <si>
    <t>Комус Мебель для общежитий metм до шкаф для одежды глубокий дуб сонома 1375381</t>
  </si>
  <si>
    <t>Комфорт-Питер Стол письменный 2364 Бюджет, 402662, 091 Дуб Сонома 2364</t>
  </si>
  <si>
    <t>Приходная накладная 1950 (вх. 9029735-МСК) от 31.07.2024</t>
  </si>
  <si>
    <t>Комфорт-Питер Стол письменный Бюджет, 402660, 091 Дуб Сонома 2362</t>
  </si>
  <si>
    <t>Приходная накладная 1949 (вх. 9029734-МСК) от 31.07.2024</t>
  </si>
  <si>
    <t>Комфорт-Питер Тумба выкатная  Бюджет 402952, 091 Дуб Соном 2556-Р</t>
  </si>
  <si>
    <t>Комфорт-Питер Тумба стационарная 2558 Бюджет, 402658, 091 Дуб Сонома 2558</t>
  </si>
  <si>
    <t>Приходная накладная 2150 (вх. 9960521-МСК) от 20.08.2024</t>
  </si>
  <si>
    <t>Конверт белый C4 стрип 229х324 90г КОМУС 50шт/уп 5уп/кор</t>
  </si>
  <si>
    <t>Конверт белый E65 стрип 110х220 80г КОМУС 100шт/уп 12уп/кор</t>
  </si>
  <si>
    <t>Конверт белый С4 стрип OfficePost 229х324 250шт/уп/3657</t>
  </si>
  <si>
    <t>Конверт белый С5 стрип 162х229 80г КОМУС 100 шт/уп, 12 уп/кор</t>
  </si>
  <si>
    <t>Конвертер HDMI to A/V</t>
  </si>
  <si>
    <t>Приходная накладная 663 (вх. 0146751736-0053/2102) от 21.02.2024</t>
  </si>
  <si>
    <t>Конвертер ШИМ-напряжение 0-10 вольт</t>
  </si>
  <si>
    <t>Конденсатор керамический smd   0.33мкФ X7R 50В 10% 1206\Тайвань</t>
  </si>
  <si>
    <t>Конденсатор керамический smd 0.1 мкФ X7R 250В 10% 1206, GRM31CR72E104K\Murata</t>
  </si>
  <si>
    <t>Конденсатор керамический smd 22, GRM32ER71E226KE15L</t>
  </si>
  <si>
    <t>Конденсатор керамический smd 22пФ NPO 50B 5% 1206,GRM3165C1Н220J\Murata</t>
  </si>
  <si>
    <t>Конденсатор электролитич  К50-35</t>
  </si>
  <si>
    <t>Конкорд Силовой кабель ВВГ нг(А)-Ls 3х2,5 100 метров</t>
  </si>
  <si>
    <t>Конкорд Силовой кабель ВВГ нг-Ls 5х2,5 100 метров 00001266</t>
  </si>
  <si>
    <t>Коннектор RJ-45 Кат.5(100шт)</t>
  </si>
  <si>
    <t>Коннектор RJ45 кат5 (50шт)</t>
  </si>
  <si>
    <t>Приходная накладная 1872 (вх. 055/40102) от 26.07.2024</t>
  </si>
  <si>
    <t>Коннектор Type-C вертикальный для жгута</t>
  </si>
  <si>
    <t>Приходная накладная 5362 (вх. БП-469) от 29.10.2024</t>
  </si>
  <si>
    <t>Контакт JSSHL-002T-P0.2</t>
  </si>
  <si>
    <t>Контакт гнездовой 43030-0006 (26-30AWG)</t>
  </si>
  <si>
    <t>Контакт гнездовой SCT3001FT</t>
  </si>
  <si>
    <t>Контактная лента липучка велкро, пара петля и крючок, 50 мм, цвет черный, 10м</t>
  </si>
  <si>
    <t>Приходная накладная 4893 (вх. 113220/301) от 04.10.2024</t>
  </si>
  <si>
    <t>Контактор ESB25-31N-06</t>
  </si>
  <si>
    <t>Приходная накладная 2096 (вх. 13799) от 16.08.2024</t>
  </si>
  <si>
    <t>Контактор ESB25-40N-06</t>
  </si>
  <si>
    <t>Контактор ESB40-40N-06</t>
  </si>
  <si>
    <t>Приходная накладная 2076 (вх. 17373) от 14.08.2024</t>
  </si>
  <si>
    <t>Контактор КМ-103 18А катушка управления 220В</t>
  </si>
  <si>
    <t>Приходная накладная 146 (вх. 209/3123714) от 24.01.2024</t>
  </si>
  <si>
    <t>Контактор КМЭ малогабаритный 40А</t>
  </si>
  <si>
    <t>Приходная накладная 2138 (вх. 9960506-МСК) от 20.08.2024</t>
  </si>
  <si>
    <t>Контейнер для опилок</t>
  </si>
  <si>
    <t>Приходная накладная 4223 (вх. ЦБ-2350) от 26.09.2024</t>
  </si>
  <si>
    <t>Контейнер на роликах с крышкой 50л</t>
  </si>
  <si>
    <t>Приходная накладная 4815 (вх. 3994) от 01.10.2024</t>
  </si>
  <si>
    <t>Контейнер пластик, серый R, 1100л. на колёсах.</t>
  </si>
  <si>
    <t>Приходная накладная 660 (вх. ЦБ-1021) от 18.03.2024</t>
  </si>
  <si>
    <t>Контейнер с крышкой 16л, прозрачный</t>
  </si>
  <si>
    <t>Контейнер с крышкой 335x220x160, 8 л</t>
  </si>
  <si>
    <t>Контейнер Универсальный 10л</t>
  </si>
  <si>
    <t>Контейнер Универсальный 6л</t>
  </si>
  <si>
    <t>Контейнер универсальный ROLLY, 2,65Л, 150x266x87 ММ (Бесцветный)</t>
  </si>
  <si>
    <t>Контроллер Arduino Nano V3</t>
  </si>
  <si>
    <t>Приходная накладная 1702 (вх. УПД-ИП-2024-0018569) от 12.07.2024</t>
  </si>
  <si>
    <t>Контроллер ESC Flipsky 75100</t>
  </si>
  <si>
    <t>Авансовый отчет 177  от 14.08.2024</t>
  </si>
  <si>
    <t>Контроллер HUB GR-487UAB Ginzzu USB 2.0 7 port + adapter</t>
  </si>
  <si>
    <t>Контроллер Nano V3 c кабелем TYPE-C</t>
  </si>
  <si>
    <t>Приходная накладная 673 (вх. 0146751736-0083/2203) от 22.03.2024</t>
  </si>
  <si>
    <t>Контроллер NCStudio v5</t>
  </si>
  <si>
    <t>Приходная накладная 2085 (вх. 4070) от 15.08.2024</t>
  </si>
  <si>
    <t>Контроллер горячего канала</t>
  </si>
  <si>
    <t>Приходная накладная 4008 (вх. БП-310) от 18.09.2024</t>
  </si>
  <si>
    <t>Контроллер скорости летающей башни для гоночного дрона с камерой FPV</t>
  </si>
  <si>
    <t>Конфеты вафельные Raffaello 150 г</t>
  </si>
  <si>
    <t>Приходная накладная 4342 (вх. R677854610-H78757020312) от 20.06.2024</t>
  </si>
  <si>
    <t>Конфеты желейные KDV Вишня в шоколадной глазури 500 г</t>
  </si>
  <si>
    <t>Конфеты желейные Красный Октябрь барбарисовый вкус 250 г</t>
  </si>
  <si>
    <t>Конфеты шоколадные Красный Октябрь Ассорти Мишка косолапый-Аленка-Красная Шапочка 700 г</t>
  </si>
  <si>
    <t>Концевая фреза-роутер 1.5х8</t>
  </si>
  <si>
    <t>Приходная накладная 1074 (вх. 2217) от 24.04.2024</t>
  </si>
  <si>
    <t>Концевая фреза-роутер 2х10</t>
  </si>
  <si>
    <t>Концевой датчик SN04-N</t>
  </si>
  <si>
    <t>Приходная накладная 1700 (вх. 0581871) от 12.07.2024</t>
  </si>
  <si>
    <t>Концентратор Vention OTG USB 3.0 на 4 порта</t>
  </si>
  <si>
    <t>корбоновая лента</t>
  </si>
  <si>
    <t>Корзина для бумаг БОЛЬШАЯ, 20 л, металлическая, черная</t>
  </si>
  <si>
    <t>Корзина для бумаг сетчатая 9л</t>
  </si>
  <si>
    <t>Приходная накладная 459 (вх. 2112999-МСК) от 28.02.2024</t>
  </si>
  <si>
    <t>Корзина для мусора 10 л пластик, черная эконом 044001001</t>
  </si>
  <si>
    <t>Корзина для мусора для бумаг, 14 л, черная</t>
  </si>
  <si>
    <t>Корзина для сбора отработанной ленты во время работы автомата SM-TB</t>
  </si>
  <si>
    <t>Короб 600х450х900</t>
  </si>
  <si>
    <t>Короб архивный ATTACHE с завязками 45 мм ,синий</t>
  </si>
  <si>
    <t>Короб архивный ATTACHE,с завязками 75 мм ,бе лый</t>
  </si>
  <si>
    <t>Коробка распаячная ОУ 100x100x50 мм</t>
  </si>
  <si>
    <t>Коронка</t>
  </si>
  <si>
    <t>Корпус Accord ACC-263B черный</t>
  </si>
  <si>
    <t>Корпус Exegate EX277806RUS</t>
  </si>
  <si>
    <t>Корпус Exegate EX290173RUS</t>
  </si>
  <si>
    <t>Корпус mATX Accord ACC-259, Mini-Tower, без БП, черный</t>
  </si>
  <si>
    <t>Корпус Minitower Exegate BAA-104U Black</t>
  </si>
  <si>
    <t>Корпус из абс пластика</t>
  </si>
  <si>
    <t>Корпус пластиковый ЩМПп 700x500x250мм УХЛ1 IP65 IEK</t>
  </si>
  <si>
    <t>Корпус разъема Molex 043025-0400</t>
  </si>
  <si>
    <t>Приходная накладная 2090 (вх. 824340) от 16.08.2024</t>
  </si>
  <si>
    <t>Корпус разьема GHR-06V-S</t>
  </si>
  <si>
    <t>Корректирующая жидкость 20мл на быстросохнущей основе ReWrite 537014</t>
  </si>
  <si>
    <t>Корректирующая жидкость Attache 20мл на быстросохнущей осн, кисточка 66134</t>
  </si>
  <si>
    <t>Корректирующая жидкость Attache Economy 22г на быстросохн. основе, кисточка</t>
  </si>
  <si>
    <t>Корректирующая лента ATTACHE 13м 777</t>
  </si>
  <si>
    <t>Корректирующая лента Attache 5mmx6m форма ручки, с зажимом белый/ассортиTW</t>
  </si>
  <si>
    <t>Корректирующая лента Attache Economy 5 мм x 5 м, уп. - пакет с европодвесом</t>
  </si>
  <si>
    <t>Корректирующий карандаш 10г (8мл) Kores Pastel ассорти:роз,желт,фиол,мятн</t>
  </si>
  <si>
    <t>Корректирующий карандаш 10г (8мл) KORES Preсiso, шариковый наконечник</t>
  </si>
  <si>
    <t>Корректирующий карандаш 18 мл Attache металлический наконечник красная</t>
  </si>
  <si>
    <t>Корректирующий карандаш 8мл ATTACHE, шариковый наконечник 84034</t>
  </si>
  <si>
    <t>Корректирующий карандаш 9мл КОМУС, метллический наконечник</t>
  </si>
  <si>
    <t>КОСМОС Фонарь, 3Вт ХРЕ, 3Вт СОВ, сменный акк 1200mAh КоссH3WDLith</t>
  </si>
  <si>
    <t>Костюм CLINPLEX модель ВИТА Лайт графит с оранжевым, 48-50/158-164</t>
  </si>
  <si>
    <t>Костюм CLINPLEX модель ВИТА Лайт графит с оранжевым, 52-54/158-164</t>
  </si>
  <si>
    <t>Приходная накладная 4365 (вх. 129467) от 08.05.2024</t>
  </si>
  <si>
    <t>Костюм CLINPLEX модель ВИТА Лайт графит с оранжевым, 52-54/170-176</t>
  </si>
  <si>
    <t>Приходная накладная 121 (вх. 100538) от 18.01.2024</t>
  </si>
  <si>
    <t>Костюм CLINPLEX модель ВИТА Лайт графит с оранжевым, 56-58/158-164</t>
  </si>
  <si>
    <t>Приходная накладная 4427 (вх. 105914) от 08.02.2024</t>
  </si>
  <si>
    <t>Костюм NEXT (НЭКСТ) графит/лимонный, 52-54/170-176</t>
  </si>
  <si>
    <t>Костюм NEXT (НЭКСТ) графит/лимонный, 60-62/182-188</t>
  </si>
  <si>
    <t>Костюм NEXT (НЭКСТ) т.синий/горчичный, 40-42/158-164</t>
  </si>
  <si>
    <t>Приходная накладная 75 (вх. 100225) от 16.01.2024</t>
  </si>
  <si>
    <t>Костюм NEXT (НЭКСТ) т.синий/горчичный, 44-46/170-176</t>
  </si>
  <si>
    <t>Приходная накладная 4339 (вх. 143174) от 28.06.2024</t>
  </si>
  <si>
    <t>Костюм NEXT (НЭКСТ) т.синий/горчичный, 48-50/170-176</t>
  </si>
  <si>
    <t>Костюм NEXT (НЭКСТ) т.синий/горчичный, 48-50/182-188</t>
  </si>
  <si>
    <t>Костюм NEXT (НЭКСТ) т.синий/горчичный, 52-54/170-176</t>
  </si>
  <si>
    <t>Костюм NEXT (НЭКСТ) т.синий/горчичный, 52-54/182-188</t>
  </si>
  <si>
    <t>Костюм NEXT (НЭКСТ) т.синий/горчичный, 56-58/182-188</t>
  </si>
  <si>
    <t>Костюм NEXT (НЭКСТ) т.синий/горчичный, 60-62/182-188</t>
  </si>
  <si>
    <t>Приходная накладная 4392 (вх. 114784) от 20.03.2024</t>
  </si>
  <si>
    <t>Костюм NEXT (НЭКСТ) т.синий/горчичный, 64-66/170-176</t>
  </si>
  <si>
    <t>Приходная накладная 4366 (вх. 128761) от 06.05.2024</t>
  </si>
  <si>
    <t>Костюм Рагнар (антистатик) т.синий, 64-66/182-188</t>
  </si>
  <si>
    <t>Приходная накладная 4399 (вх. 112441) от 07.03.2024</t>
  </si>
  <si>
    <t>Костюм Статус Антистатик т. синий, 72-74/182-188</t>
  </si>
  <si>
    <t>Костюм тактический мужской Huntsman, Бязь</t>
  </si>
  <si>
    <t>Приходная накладная 731 (вх. 120841/6) от 19.01.2024</t>
  </si>
  <si>
    <t>Костюм тактический мужской Huntsman, Бязь Клякса</t>
  </si>
  <si>
    <t>Костюм ЭНЕРДЖИ т-синий/оранж., 44-46/158-164</t>
  </si>
  <si>
    <t>Костюм ЭНЕРДЖИ т-синий/оранж., 44-46/170-176</t>
  </si>
  <si>
    <t>Костюм ЭНЕРДЖИ т-синий/оранж., 48-50/170-176</t>
  </si>
  <si>
    <t>Приходная накладная 4357 (вх. 133606) от 24.05.2024</t>
  </si>
  <si>
    <t>Костюм ЭНЕРДЖИ т-синий/оранж., 48-50/182-188</t>
  </si>
  <si>
    <t>Костюм ЭНЕРДЖИ т-синий/оранж., 52-54/170-176</t>
  </si>
  <si>
    <t>Костюм ЭНЕРДЖИ т-синий/оранж., 52-54/182-188</t>
  </si>
  <si>
    <t>Костюм ЭНЕРДЖИ т-синий/оранж., 56-58/170-176</t>
  </si>
  <si>
    <t>Костюм ЭНЕРДЖИ т-синий/оранж., 56-58/182-188</t>
  </si>
  <si>
    <t>Костюм ЭНЕРДЖИ т-синий/оранж., 60-62/170-176</t>
  </si>
  <si>
    <t>Костюм ЭНЕРДЖИ т-синий/оранж., 60-62/182-188</t>
  </si>
  <si>
    <t>Приходная накладная 4395 (вх. 113230) от 12.03.2024</t>
  </si>
  <si>
    <t>Косынка кронштейна PKL</t>
  </si>
  <si>
    <t>Кофе Ambassador Blue Label в зернах 1 кг</t>
  </si>
  <si>
    <t>Приходная накладная 4354 (вх. R504557853-H09163493698) от 30.05.2024</t>
  </si>
  <si>
    <t>Кофе Ambassador Gold Label в зернах 1 кг</t>
  </si>
  <si>
    <t>Кофе Ambassador Nero в зернах 1 кг</t>
  </si>
  <si>
    <t>Кофе Ambassador Platinum в зернах 1 кг</t>
  </si>
  <si>
    <t>Приходная накладная 224 (вх. 0VT/48846447/ТТНБЕЛ) от 30.01.2024</t>
  </si>
  <si>
    <t>Кофе Fresco Arabica Blend в зернах 1 кг</t>
  </si>
  <si>
    <t>Кофе Jardin Americano Crema в зернах 1 кг</t>
  </si>
  <si>
    <t>Приходная накладная 4414 (вх. R000423880-H26982138855) от 21.02.2024</t>
  </si>
  <si>
    <t>Кофе зерновой Poetti Daily Mokka 1000г</t>
  </si>
  <si>
    <t>Кран шаровой 1148</t>
  </si>
  <si>
    <t>Кран шаровой 20мм стандартный проход</t>
  </si>
  <si>
    <t>Авансовый отчет 258 от 25.01.2024</t>
  </si>
  <si>
    <t>Краска PUR 5400 G10 671</t>
  </si>
  <si>
    <t>Приходная накладная 1392 (вх. 24019187) от 10.06.2024</t>
  </si>
  <si>
    <t>Краска PUR 5400 G10 Lada 671</t>
  </si>
  <si>
    <t>Краска PUR 5405 G90 7015</t>
  </si>
  <si>
    <t>Приходная накладная 1935 (вх. 24023875) от 31.07.2024</t>
  </si>
  <si>
    <t>Краска PUR 5405 G90 7035</t>
  </si>
  <si>
    <t>Краска PUR 5405 G90 9003</t>
  </si>
  <si>
    <t>Краска аэрозольная флуоресцентная Красная</t>
  </si>
  <si>
    <t>Приходная накладная 2008 (вх. 9459865-МСК) от 08.08.2024</t>
  </si>
  <si>
    <t>Краска светорассеивающая, акриловая VESTA Луч-Ф красная 1л</t>
  </si>
  <si>
    <t>Приходная накладная 2091 (вх. 271675/50) от 16.08.2024</t>
  </si>
  <si>
    <t>Краска штемпельная Attache синяя 45 гр</t>
  </si>
  <si>
    <t>Краска штемпельная Attache синяя 50 гр</t>
  </si>
  <si>
    <t>Краска штемпельная KORES синяя 71304</t>
  </si>
  <si>
    <t>Краскопульт дюза 1.3 мм</t>
  </si>
  <si>
    <t>Крем-мыло жидкое Luscan жемчужное 5л канистра</t>
  </si>
  <si>
    <t>Крем-мыло жидкое ПРОФ перламутровое Grass/MILANA Жемчужное, 5л</t>
  </si>
  <si>
    <t>Крепеж стойки Strong</t>
  </si>
  <si>
    <t>Крепеж-клипса  25 мм черная 10 шт./уп</t>
  </si>
  <si>
    <t>Крепеж-клипса d20 мм</t>
  </si>
  <si>
    <t>Приходная накладная 1799 (вх. 3125) от 22.07.2024</t>
  </si>
  <si>
    <t>Крепеж-клипса O 25 мм, под пистолет, уп. 25 шт.,</t>
  </si>
  <si>
    <t>Крепеж-клипса для труб д16 мм</t>
  </si>
  <si>
    <t>Крепёж-клипса для труб Полистирол черная д16 в упаковке 10шт</t>
  </si>
  <si>
    <t>крепежная техника Винт с полуцилиндр. головкой DIN 7985 3x30 1000 БК, цинк 495008 БК</t>
  </si>
  <si>
    <t>Приходная накладная 2120 (вх. 9878874-БЛГ) от 19.08.2024</t>
  </si>
  <si>
    <t>крепежная техника Винт с полуцилиндр. головкой DIN 7985 3x40 700 БК, цинк, 700 шт 495010 БК</t>
  </si>
  <si>
    <t>крепежная техника Гайка шестигранная 1000 шт 493200 БК</t>
  </si>
  <si>
    <t>КРЕП-КОМП Анкер с кольцом усиленного распирания м6 10х40 50шт аку6</t>
  </si>
  <si>
    <t>КРЕП-КОМП Дюбель распорный "ёжик" 6x40 1000шт дк640</t>
  </si>
  <si>
    <t>Приходная накладная 1541 (вх. 7268550-МСК) от 25.06.2024</t>
  </si>
  <si>
    <t>КРЕПКО-НАКРЕПКО 30*30*30*1,5 уголок мебельный 38207</t>
  </si>
  <si>
    <t>КРЕПКО-НАКРЕПКО 60x60x200x2.0 равносторонний уголок 44401</t>
  </si>
  <si>
    <t>Крепление Джойстика версия 2</t>
  </si>
  <si>
    <t>Приходная накладная 747 (вх. 12) от 25.03.2024</t>
  </si>
  <si>
    <t>Крепление к вертикальной поверхности</t>
  </si>
  <si>
    <t>Приходная накладная 5054 (вх. 00016) от 05.04.2024</t>
  </si>
  <si>
    <t>Крепления для штанги</t>
  </si>
  <si>
    <t>Кресло "Комфорт" с чехлом для хранения и переноски Reking</t>
  </si>
  <si>
    <t>Приходная накладная 2331 (вх. 63928/56) от 05.09.2024</t>
  </si>
  <si>
    <t>Кресло BN_Dt_Руководителя EChair-506 TPU net к/з черный, сетка,</t>
  </si>
  <si>
    <t>Приходная накладная 57 (вх. 33794643) от 16.01.2024</t>
  </si>
  <si>
    <t>Кресло UA_JUPITER GTP RU, ткань черная С-11</t>
  </si>
  <si>
    <t>Приходная накладная 157 (вх. 34170231) от 26.01.2024</t>
  </si>
  <si>
    <t>Кресло VB_Echair-396 (LT) сетка/ткань черный пластик</t>
  </si>
  <si>
    <t>Приходная накладная 5279 (вх. 40263713) от 24.10.2024</t>
  </si>
  <si>
    <t>Кресло VB_EChair-508 TTW сетка/ткань/кожзам  черный хром</t>
  </si>
  <si>
    <t>Приходная накладная 1936 (вх. 38324963) от 31.07.2024</t>
  </si>
  <si>
    <t>Кресло VB_Бюрократ CH-695N ткань черн TW-11/сетка черн TW-01 пластик</t>
  </si>
  <si>
    <t>Приходная накладная 3794 (вх. 39107985) от 06.09.2024</t>
  </si>
  <si>
    <t>Кресло VB_Бюрократ CH-695NLT ткань черн TW-11/сетка черн TW-01 пластик</t>
  </si>
  <si>
    <t>Приходная накладная 5278 (вх. 40299252) от 24.10.2024</t>
  </si>
  <si>
    <t>Кресло VT_EChair-304 (LT) TC Net ткань черн/сетка черн, пластик</t>
  </si>
  <si>
    <t>Приходная накладная 5284 (вх. 40224079) от 24.10.2024</t>
  </si>
  <si>
    <t>Кресло VT_EChair-304 TC Net ткань черн/сетка черн, хром</t>
  </si>
  <si>
    <t>Приходная накладная 1938 (вх. 38325053) от 31.07.2024</t>
  </si>
  <si>
    <t>Кримпер Molex</t>
  </si>
  <si>
    <t>Приходная накладная 5320 (вх. 0921656) от 25.10.2024</t>
  </si>
  <si>
    <t>КРМ Сибирь</t>
  </si>
  <si>
    <t>Крона 9V</t>
  </si>
  <si>
    <t>Приходная накладная 669 (вх. 0146751736-0068/2702) от 27.02.2024</t>
  </si>
  <si>
    <t>Кронштейн PKL</t>
  </si>
  <si>
    <t>Кронштейн для LCD/LED-мониторов; DEXP MB32-W01</t>
  </si>
  <si>
    <t>Приходная накладная 43 (вх. ФЦЗ-000245/8257) от 10.01.2024</t>
  </si>
  <si>
    <t>Кронштейн для мониторов Onkron G70 черный 13"-34" макс.8кг настольный поворот и наклон верт.перемещ.</t>
  </si>
  <si>
    <t>Приходная накладная 5083 (вх. 0310-6) от 08.10.2024</t>
  </si>
  <si>
    <t>Кронштейн для ТВ DEXP ATH-70F</t>
  </si>
  <si>
    <t>Приходная накладная 280 (вх. ФЦЗ-003660/8257) от 11.02.2024</t>
  </si>
  <si>
    <t>Кронштейн для телевизора Onkron M4 черный 32"-65" макс.35кг настенный поворот и наклон</t>
  </si>
  <si>
    <t>Приходная накладная 4025 (вх. 1909-10) от 19.09.2024</t>
  </si>
  <si>
    <t>Кронштейн стойка для ТВ DEXP T1028B</t>
  </si>
  <si>
    <t>Кронштейн шпинделя 125мм</t>
  </si>
  <si>
    <t>Приходная накладная 4956 (вх. 11) от 11.01.2024</t>
  </si>
  <si>
    <t>Круг (заготовка) 4Х5МФС ф130х500мм ГОСТ  2590-2006</t>
  </si>
  <si>
    <t>Приходная накладная 1131 (вх. 247) от 02.05.2024</t>
  </si>
  <si>
    <t>Круг алмазный 13C-CBN-170/200 ТЕХНОРЕАЛ</t>
  </si>
  <si>
    <t>Приходная накладная 2202 (вх. 10173430-МСК) от 26.08.2024</t>
  </si>
  <si>
    <t>Круг лепестковый торцевой 125x22,2 GRF-80</t>
  </si>
  <si>
    <t>Круг отрезной Luga-Abrasiv 125х1,2х22,2мм</t>
  </si>
  <si>
    <t>Круг отрезной по дереву, пластику, из нержавеющей стали 22*2мм 3шт</t>
  </si>
  <si>
    <t>Круги отрезные , усиленная нагрузка, 23*2мм,36шт</t>
  </si>
  <si>
    <t>Круги отрезные по металлу 76x1,2x10 мм 5 шт</t>
  </si>
  <si>
    <t>Круги с алмазным напылением , набор 3шт</t>
  </si>
  <si>
    <t>Крышка для СВЧ с клапаном РТ9121 d258x110 мм</t>
  </si>
  <si>
    <t>Приходная накладная 4894 (вх. 39816503) от 04.10.2024</t>
  </si>
  <si>
    <t>Крышка для стакана D=80мм с клапаном, черная, КОМУС 100шт/уп</t>
  </si>
  <si>
    <t>Крышка для ящика 600х400</t>
  </si>
  <si>
    <t>Крышка лотка МЛК 100x15x3000мм 5=0,55 (кратно 3)</t>
  </si>
  <si>
    <t>Приходная накладная 5328 (вх. ТТД00323130) от 25.10.2024</t>
  </si>
  <si>
    <t>Крючок KSV.012001.315.01</t>
  </si>
  <si>
    <t>Приходная накладная 610 (вх. 76.4.2) от 14.03.2024</t>
  </si>
  <si>
    <t>Кувалда 10 кг</t>
  </si>
  <si>
    <t>Кувалда со стальной обрезиненной рукояткой 2 кг</t>
  </si>
  <si>
    <t>Кулер ID -Cooling se214</t>
  </si>
  <si>
    <t>Кулер ID-COOLING SE-214-XT ARGB WHITE</t>
  </si>
  <si>
    <t>Кулер для процессора AeroCool Verkho Plus</t>
  </si>
  <si>
    <t>Куртка утеплённая ПРОСТОР хаки, 48-50/170-176</t>
  </si>
  <si>
    <t>Приходная накладная 4426 (вх. 105844) от 08.02.2024</t>
  </si>
  <si>
    <t>Куртка утеплённая ПРОСТОР хаки, 48-50/182-188</t>
  </si>
  <si>
    <t>Куртка утеплённая ПРОСТОР хаки, 52-54/170-176</t>
  </si>
  <si>
    <t>Куртка утеплённая ПРОСТОР хаки, 52-54/182-188</t>
  </si>
  <si>
    <t>Куртка утеплённая ПРОСТОР хаки, 56-58/170-176</t>
  </si>
  <si>
    <t>Куртка ЭКСПЕРТ-К НЬЮ утепленная т.синяя, 44-46/170-176</t>
  </si>
  <si>
    <t>Приходная накладная 97 (вх. 100834) от 18.01.2024</t>
  </si>
  <si>
    <t>Куртка ЭКСПЕРТ-К НЬЮ утепленная т.синяя, 48-50/170-176</t>
  </si>
  <si>
    <t>Куртка ЭКСПЕРТ-К НЬЮ утепленная т.синяя, 52-54/182-188</t>
  </si>
  <si>
    <t>Куртка ЭКСПЕРТ-К НЬЮ утепленная т.синяя, 56-58/170-176</t>
  </si>
  <si>
    <t>Куртка ЭКСПЕРТ-К НЬЮ утепленная т.синяя, 56-58/182-188</t>
  </si>
  <si>
    <t>Курьерский пакет, без печати, с карманом,430x500+40, 50 мкм(50шт/уп)</t>
  </si>
  <si>
    <t>Кусачки  прецизионные</t>
  </si>
  <si>
    <t>Кусачки с нагревом HT170</t>
  </si>
  <si>
    <t>Кювета для краски прозрачная 150х290мм</t>
  </si>
  <si>
    <t>Приходная накладная 1534 (вх. 051/2024-АВ0180771) от 25.06.2024</t>
  </si>
  <si>
    <t>Кювета пластмассовая для валиков</t>
  </si>
  <si>
    <t>Лабораторный блок питания 30B 5A ELEMENT 3005D импульсный</t>
  </si>
  <si>
    <t>Приходная накладная 5095 (вх. ЦБ-149) от 09.10.2024</t>
  </si>
  <si>
    <t>Лазерный дальномер Condtrol XP2</t>
  </si>
  <si>
    <t>ЛАЙМА Знак Осторожно Мокрый пол PROFESSIONAL пластиковый, 62х30 см, 601524</t>
  </si>
  <si>
    <t>ЛАЙМА Черенок для уборочного инвентаря 140 см, без резьбы, ТИП A,алюминий 601492</t>
  </si>
  <si>
    <t>Лак универсальный Elcon  520 мл  00-00462309</t>
  </si>
  <si>
    <t>Приходная накладная 2180 (вх. 0706286) от 22.08.2024</t>
  </si>
  <si>
    <t>Лак универсальный Elcon 520 мл 00-00462310</t>
  </si>
  <si>
    <t>Лампа для маникюра и педикюра Sun X5 MAX 120W</t>
  </si>
  <si>
    <t>Приходная накладная 2286 (вх. 1360301/1) от 02.09.2024</t>
  </si>
  <si>
    <t>Лампа специального назначения PLED- SP JCDR 10w</t>
  </si>
  <si>
    <t>Лампа Т8 для уничтожителя 71-0056</t>
  </si>
  <si>
    <t>Приходная накладная 2280 (вх. 055/42128) от 02.09.2024</t>
  </si>
  <si>
    <t>Ластик Attache 2шт/уп</t>
  </si>
  <si>
    <t>Ластик KOH-I-NOOR 300/60 каучуковый Чехия</t>
  </si>
  <si>
    <t>Ластик KOH-I-NOOR 6541/80, 41х14х8мм для графита и чернил серо-белый</t>
  </si>
  <si>
    <t>Ластик каучук</t>
  </si>
  <si>
    <t>Лебёдка ручная 3 крюка 4т</t>
  </si>
  <si>
    <t>Приходная накладная 830 (вх. 3388168-МСК) от 29.03.2024</t>
  </si>
  <si>
    <t>Легковой автомобиль GWM TANK 500 VIN:LGWFF9A67PM613887</t>
  </si>
  <si>
    <t>Приходная накладная 4245 (вх. 262-501-1-1804) от 04.06.2024</t>
  </si>
  <si>
    <t>Легковой автомобиль GWM TANK 500 VIN:LGWFF9A6XPM613916</t>
  </si>
  <si>
    <t>Приходная накладная 4244 (вх. 262-501-1-1803) от 04.06.2024</t>
  </si>
  <si>
    <t>Легковой автомобиль ВИС 295100 VIN:X6D295100L3000014  Б/У</t>
  </si>
  <si>
    <t>Приходная накладная 4242 (вх. 75) от 10.07.2024</t>
  </si>
  <si>
    <t>Легковой автомобиль ЛУИДОР 2250GD VIN:Z7C2250GDR0001071</t>
  </si>
  <si>
    <t>Приходная накладная 4267 (вх. 385) от 13.02.2024</t>
  </si>
  <si>
    <t>Лезвие 25мм 10шт</t>
  </si>
  <si>
    <t>Лезвие для гратоснимателей</t>
  </si>
  <si>
    <t>Лезвие запасное для ножей OLFA BLACK MAX  (LBB-1OB) 18мм, 10шт./уп.футляр</t>
  </si>
  <si>
    <t>Лезвие запасное для ножей эконом  9мм 10шт./уп., пласт.футляр</t>
  </si>
  <si>
    <t>Лезвие сегментированное 25 мм, 20 шт</t>
  </si>
  <si>
    <t>Лезвие сегментированное, 18мм 50 шт</t>
  </si>
  <si>
    <t>Лезвие сегментированное, 18х100х0.5 мм, 50 шт</t>
  </si>
  <si>
    <t>Лезвие сегментированные 9 мм, 10 шт</t>
  </si>
  <si>
    <t>Лезвия 18 мм титановые 50 штук Inforce</t>
  </si>
  <si>
    <t>Приходная накладная 419 (вх. 1998409-МСК) от 26.02.2024</t>
  </si>
  <si>
    <t>Лезвия 9 мм титановые 50 штук в упак</t>
  </si>
  <si>
    <t>Лезвия д/ножей VIRA 18мм 10шт</t>
  </si>
  <si>
    <t>Приходная накладная 4276 (вх. 11702752-МСК) от 27.09.2024</t>
  </si>
  <si>
    <t>Лезвия сегментированные 9 мм, 10 шт</t>
  </si>
  <si>
    <t>Лента двусторонняя клейкая 5м REXANT 09-6509</t>
  </si>
  <si>
    <t>Лента двусторонняя монтажная VHB 5952F 8мм</t>
  </si>
  <si>
    <t>Приходная накладная 4224 (вх. 3048) от 26.09.2024</t>
  </si>
  <si>
    <t>Лента клеевая двухсторонняя черная 19мм 33м</t>
  </si>
  <si>
    <t>Приходная накладная 5073 (вх. 3244) от 07.10.2024</t>
  </si>
  <si>
    <t>Лента клейкая двусторонняя 38мм х 25м</t>
  </si>
  <si>
    <t>лента клейкая малярная разметочная  50 мм Х 50 м</t>
  </si>
  <si>
    <t>Авансовый отчет 239  от 23.05.2024</t>
  </si>
  <si>
    <t>Лента световозвращающая 50,8 мм х 10 м, красная</t>
  </si>
  <si>
    <t>Лента тефлоновая 50мм*30м 210мкм</t>
  </si>
  <si>
    <t>Приходная накладная 2130 (вх. 1585) от 19.08.2024</t>
  </si>
  <si>
    <t>Лента тефлоновая ФУМ 12</t>
  </si>
  <si>
    <t>Лента шлифовальная абразивная 10x330 P100  2  шт .</t>
  </si>
  <si>
    <t>Приходная накладная 2158 (вх. 10029175-МСК) от 22.08.2024</t>
  </si>
  <si>
    <t>Лента-липучка многоразовая 5 м х 20мм</t>
  </si>
  <si>
    <t>Лента-фум 12ммх0,1ммх20м</t>
  </si>
  <si>
    <t>Приходная накладная 1104 (вх. 4763037-МСК) от 27.04.2024</t>
  </si>
  <si>
    <t>Лидар  BENEWAKE TF02 PRO</t>
  </si>
  <si>
    <t>Авансовый отчет 171  от 19.08.2024</t>
  </si>
  <si>
    <t>Лидар BENEWAKE TF02 PRO</t>
  </si>
  <si>
    <t>Приходная накладная 2282 (вх. 1029) от 02.09.2024</t>
  </si>
  <si>
    <t>Лидар HEQ (комплект) Part Material : abs+pc Mold Core Material: S136H Number of cavities?4*1</t>
  </si>
  <si>
    <t>Приходная накладная 5158 (вх. БП-362) от 11.10.2024</t>
  </si>
  <si>
    <t>Лидар Hex Hereflow (Can Flow)</t>
  </si>
  <si>
    <t>Приходная накладная 3858 (вх. 440) от 11.09.2024</t>
  </si>
  <si>
    <t>Лидар Holybro Lidar VL53L1X</t>
  </si>
  <si>
    <t>Линейка 100см СТАММ, стальная, ПВХ чехол с европодвесом</t>
  </si>
  <si>
    <t>Приходная накладная 123 (вх. 4506619202401190001) от 19.01.2024</t>
  </si>
  <si>
    <t>Линейка 20см Комус 4 шт/уп прозрачная</t>
  </si>
  <si>
    <t>Линейка 20см Комус 4 шт/уп черная</t>
  </si>
  <si>
    <t>Линейка 30см Attache Economy пластик черная</t>
  </si>
  <si>
    <t>Линейка 30см Комус 2 шт/уп черная</t>
  </si>
  <si>
    <t>Линейка измерительная металлическая 1000х35мм</t>
  </si>
  <si>
    <t>Приходная накладная 3935 (вх. ИН1820) от 16.09.2024</t>
  </si>
  <si>
    <t>Линейка измерительная металлическая 150мм</t>
  </si>
  <si>
    <t>Линейка измерительная металлическая 300х25.4мм</t>
  </si>
  <si>
    <t>Линейка измерительная металлическая 500х30мм</t>
  </si>
  <si>
    <t>Линейка металлическая 20 см Attache</t>
  </si>
  <si>
    <t>Линейка металлическая 30см Attache  (12х1 )</t>
  </si>
  <si>
    <t>Линейка металлическая 50 см</t>
  </si>
  <si>
    <t>Приходная накладная 1444 (вх. 115160/6443) от 14.06.2024</t>
  </si>
  <si>
    <t>Линейка металлическая 60см Attache (24х9/8 )</t>
  </si>
  <si>
    <t>Линейка металлическая Attache 100 см 5шт/упк</t>
  </si>
  <si>
    <t>Линер EDDING E-1880/4S (0.25,0.35,0.5,0.7) набор 4 шт. черный д/че</t>
  </si>
  <si>
    <t>Приходная накладная 1668 (вх. 8029655-МСК) от 09.07.2024</t>
  </si>
  <si>
    <t>Линер EDDING E-1880/4S 4шт</t>
  </si>
  <si>
    <t>Линза 43мм для Focus Led 12Вт</t>
  </si>
  <si>
    <t>Липкое покрытие для камер</t>
  </si>
  <si>
    <t>Приходная накладная 3922 (вх. 364) от 12.09.2024</t>
  </si>
  <si>
    <t>Липкое противопылевое покрытие на водной основе, 5л A1 Anti Dust</t>
  </si>
  <si>
    <t>Лист 65Г 0.6х590х2000мм</t>
  </si>
  <si>
    <t>Приходная накладная 467 (вх. 513) от 29.02.2024</t>
  </si>
  <si>
    <t>Лист АБС 2х1000х2000мм (4,24кг) Черный Песок мелкий (Z1)</t>
  </si>
  <si>
    <t>Приходная накладная 67 (вх. Т-50) от 15.01.2024</t>
  </si>
  <si>
    <t>Лист АБС 2х1000х3000мм (6,36кг) Черный Песок мелкий (Z1)</t>
  </si>
  <si>
    <t>Приходная накладная 5340 (вх. Т-2624) от 29.10.2024</t>
  </si>
  <si>
    <t>Лист АБС 3х1000х3000мм (9,54кг) Черный Песок мелкий (Z1)</t>
  </si>
  <si>
    <t>Приходная накладная 1826 (вх. Т-1799) от 23.07.2024</t>
  </si>
  <si>
    <t>Лист г/к 1.5х1250х2500мм</t>
  </si>
  <si>
    <t>Лист г/к 2.0х1250х2500мм</t>
  </si>
  <si>
    <t>Приходная накладная 5203 (вх. 951) от 22.10.2024</t>
  </si>
  <si>
    <t>Лист г/к 3.0х1250х2500мм</t>
  </si>
  <si>
    <t>лист г/к 5.0х1500х2500мм</t>
  </si>
  <si>
    <t>Лист горячекатаный 2х1250х2500</t>
  </si>
  <si>
    <t>Приходная накладная 1815 (вх. 43) от 23.07.2024</t>
  </si>
  <si>
    <t>Лист горячекатаный 3х1250х2500</t>
  </si>
  <si>
    <t>Лист горячекатаный 4х550х1500</t>
  </si>
  <si>
    <t>Лист горячекатный 4х1500х3000</t>
  </si>
  <si>
    <t>Приходная накладная 269 (вх. 3203072/22) от 13.02.2024</t>
  </si>
  <si>
    <t>Лист Д16АТ 2х200х200мм</t>
  </si>
  <si>
    <t>Лист Д16АТ 4х200х500мм</t>
  </si>
  <si>
    <t>Лист из стеклоткани (FPV)</t>
  </si>
  <si>
    <t>Приходная накладная 724 (вх. 42) от 16.02.2024</t>
  </si>
  <si>
    <t>Лист карбон 1,5*500*500 матовая твилл</t>
  </si>
  <si>
    <t>Лист карбон 3*500*500 матовая твилл</t>
  </si>
  <si>
    <t>Лист ПЭТ-А 0.4мм 1250х2050 прозраный</t>
  </si>
  <si>
    <t>Приходная накладная 1338 (вх. Т-1275) от 04.06.2024</t>
  </si>
  <si>
    <t>Лист ПЭТ-А 0.5мм 1250х2050 прозраный</t>
  </si>
  <si>
    <t>Приходная накладная 880 (вх. 0403-001) от 03.04.2024</t>
  </si>
  <si>
    <t>Лист ПЭТ-А 0.7мм 1250х2050 прозраный</t>
  </si>
  <si>
    <t>Листовки А4 комплект из двух листов на скобу</t>
  </si>
  <si>
    <t>Приходная накладная 3839 (вх. 000099) от 10.09.2024</t>
  </si>
  <si>
    <t>Листовки А4 технологический паспорт</t>
  </si>
  <si>
    <t>Приходная накладная 1076 (вх. 000030) от 24.04.2024</t>
  </si>
  <si>
    <t>Листовки А5</t>
  </si>
  <si>
    <t>Приходная накладная 3782 (вх. 000093) от 06.09.2024</t>
  </si>
  <si>
    <t>Листовой ПВХ прозрачный 0,25х1220х2440</t>
  </si>
  <si>
    <t>Приходная накладная 2211 (вх. 420) от 26.08.2024</t>
  </si>
  <si>
    <t>литий железа ,аккумулятор</t>
  </si>
  <si>
    <t>литий ионный  аккумулятор 1S 2S 3S 4S 3A 20A 30A 18650 4S 30A 16.8V</t>
  </si>
  <si>
    <t>Авансовый отчет 242 от 15.02.2024</t>
  </si>
  <si>
    <t>Литий-ионный аккумулятор 10000 A 7.4V</t>
  </si>
  <si>
    <t>Приходная накладная 685 (вх. 71) от 04.03.2024</t>
  </si>
  <si>
    <t>Литий-Ионный Аккумулятор EP BATTERY HP1090190-22000MAH-6S (Желтый)</t>
  </si>
  <si>
    <t>Приходная накладная 4379 (вх. 5) от 04.04.2024</t>
  </si>
  <si>
    <t>Литий-Ионный Аккумулятор ONBO Battery 22000mAh 25C.6SXH.22.2V (Красный)</t>
  </si>
  <si>
    <t>Литий-Ионный Аккумулятор Zeepower Battery 22000mAh 25C.6SXH.22.2V (Черный)</t>
  </si>
  <si>
    <t>Литол-24 360 г</t>
  </si>
  <si>
    <t>Лицензии ПО "Вьюга 1.0"</t>
  </si>
  <si>
    <t>Приходная накладная 4120 (вх. б/н) от 01.02.2024</t>
  </si>
  <si>
    <t>Лицензии ПО "Пилот-С"</t>
  </si>
  <si>
    <t>Приходная накладная 4074 (вх. б/н) от 02.05.2024</t>
  </si>
  <si>
    <t>Логический анализатор ,DSLogic PLUS 16 каналов,полоса частот от 16 до 400</t>
  </si>
  <si>
    <t>Ложемент вставка под камеру A40Pro для Сибирь-1</t>
  </si>
  <si>
    <t>Приходная накладная 5147 (вх. 96) от 11.10.2024</t>
  </si>
  <si>
    <t>Ложемент вставка под камеру A40Pro для Сибирь-2</t>
  </si>
  <si>
    <t>Приходная накладная 5072 (вх. 92) от 07.10.2024</t>
  </si>
  <si>
    <t>Ложемент вставка под камеру для Сибирь-1</t>
  </si>
  <si>
    <t>Приходная накладная 3850 (вх. 79) от 10.09.2024</t>
  </si>
  <si>
    <t>Ложемент вставка под камеру для Сибирь-2</t>
  </si>
  <si>
    <t>Приходная накладная 1741 (вх. 51) от 17.07.2024</t>
  </si>
  <si>
    <t>Ложемент вставка под тепловизор для Сибирь-1</t>
  </si>
  <si>
    <t>Приходная накладная 1640 (вх. 40) от 04.07.2024</t>
  </si>
  <si>
    <t>Ложемент вставка под тепловизор для Сибирь-2</t>
  </si>
  <si>
    <t>Приходная накладная 1822 (вх. 57) от 23.07.2024</t>
  </si>
  <si>
    <t>Ложемент губцевый инструмент TT-23</t>
  </si>
  <si>
    <t>Ложемент ЗИП (Сибирь-2)</t>
  </si>
  <si>
    <t>Приходная накладная 3915 (вх. 76) от 12.09.2024</t>
  </si>
  <si>
    <t>Ложемент ЗИП №2 (Сибирь)</t>
  </si>
  <si>
    <t>Ложемент ЗИП Сибирь-1 (565х445х260)+вставка(335х205х120)</t>
  </si>
  <si>
    <t>Приходная накладная 1391 (вх. 32) от 10.06.2024</t>
  </si>
  <si>
    <t>Ложемент кейса пульта</t>
  </si>
  <si>
    <t>Приходная накладная 891 (вх. 13) от 04.04.2024</t>
  </si>
  <si>
    <t>Ложемент НСУ Шторм 1110х490х360мм</t>
  </si>
  <si>
    <t>Приходная накладная 2302 (вх. 73) от 03.09.2024</t>
  </si>
  <si>
    <t>Ложемент Сибирь-1</t>
  </si>
  <si>
    <t>Ложемент Сибирь-1 (2024)</t>
  </si>
  <si>
    <t>Ложемент Сибирь-1 (730х610х270) + крышка(730х610х60)</t>
  </si>
  <si>
    <t>Ложемент Сибирь-1 (ЗИП)</t>
  </si>
  <si>
    <t>Приходная накладная 2073 (вх. 71) от 14.08.2024</t>
  </si>
  <si>
    <t>Ложемент Сибирь-2</t>
  </si>
  <si>
    <t>Приходная накладная 5058 (вх. 89) от 07.10.2024</t>
  </si>
  <si>
    <t>Ложемент Сибирь-2 (1100х520х320) + крышка (1100х520х20)</t>
  </si>
  <si>
    <t>Ложемент Сибирь-2 (ЗИП) ППЭ</t>
  </si>
  <si>
    <t>Приходная накладная 4235 (вх. 84) от 26.09.2024</t>
  </si>
  <si>
    <t>Ложемент Сибирячок 1.75 (Новый)</t>
  </si>
  <si>
    <t>Приходная накладная 5235 (вх. 98) от 23.10.2024</t>
  </si>
  <si>
    <t>Ложемент сумки АКБ</t>
  </si>
  <si>
    <t>Приходная накладная 558 (вх. 19) от 13.03.2024</t>
  </si>
  <si>
    <t>Ложка Рожок для обуви металлический с дер.ручкой 60 см 2</t>
  </si>
  <si>
    <t>Лом пожарный легкий</t>
  </si>
  <si>
    <t>Лом-гвоздодер</t>
  </si>
  <si>
    <t>Приходная накладная 1203 (вх. 5499497-МСК) от 16.05.2024</t>
  </si>
  <si>
    <t>Лопасти: HQPROP 13X12X3</t>
  </si>
  <si>
    <t>Лопата пожарная штыковая</t>
  </si>
  <si>
    <t>Лоток вертикальный Attache 90мм черный</t>
  </si>
  <si>
    <t>Лоток вертикальный Attache Economy 110мм черн</t>
  </si>
  <si>
    <t>Лоток вертикальный для бумаг 3отд Attache сортер 135x173x83мм металл черный</t>
  </si>
  <si>
    <t>Лоток горизонтальный  Attache Economy office лайт черный юпп</t>
  </si>
  <si>
    <t>Лоток горизонтальный Attache решетчатый черный ЛТ291АЕ</t>
  </si>
  <si>
    <t>Лоток горизонтальный STRONG 3 шт. гориз.на металл.стержнях серый</t>
  </si>
  <si>
    <t>Лоток горизонтальный Стамм STRONG наб. 3 шт.на металл.стержнях черный</t>
  </si>
  <si>
    <t>Лоток перфорированный МЛП 100x50x3000мм 5=0,7 (кратно 3)</t>
  </si>
  <si>
    <t>Лоток складской 250х150х130мм</t>
  </si>
  <si>
    <t>Приходная накладная 855 (вх. 00599) от 02.04.2024</t>
  </si>
  <si>
    <t>Лоток складской 350х225х150мм</t>
  </si>
  <si>
    <t>Лоток складской 400х225х150мм</t>
  </si>
  <si>
    <t>Приходная накладная 1748 (вх. 5285) от 17.07.2024</t>
  </si>
  <si>
    <t>Лукойл Масло GENESIS ARMORTECH 5W-40 4л.</t>
  </si>
  <si>
    <t>Лукойл Масло ЛЮКС полусинтетическое SAE 5W-40, API SL/CF 5л</t>
  </si>
  <si>
    <t>Лупа-лампа Kromatech бестеневая 5x, 120 мм</t>
  </si>
  <si>
    <t>Приходная накладная 1494 (вх. 886671/20) от 20.06.2024</t>
  </si>
  <si>
    <t>лупа-лампа на струбницк с подсветкой</t>
  </si>
  <si>
    <t>Магазин 535х530х570мм артикул Е-809</t>
  </si>
  <si>
    <t>Магнит ZLJ-3G</t>
  </si>
  <si>
    <t>Приходная накладная 1142 (вх. 117) от 06.05.2024</t>
  </si>
  <si>
    <t>Магнитезатор-Демагнитезатор 8PK-220</t>
  </si>
  <si>
    <t>Приходная накладная 463 (вх. 2112992-МСК) от 28.02.2024</t>
  </si>
  <si>
    <t>Магнитная лента с клеевым слоем 3М</t>
  </si>
  <si>
    <t>Магнитный держатель</t>
  </si>
  <si>
    <t>Магнитный держатель V-образный</t>
  </si>
  <si>
    <t>Приходная накладная 1737 (вх. 8246) от 17.07.2024</t>
  </si>
  <si>
    <t>Магнитный держатель для досок Attache Смайлы 6шт.уп.,20 мм</t>
  </si>
  <si>
    <t>Магнитный держатель для досок Комус 20 мм, 6шт/уп</t>
  </si>
  <si>
    <t>Приходная накладная 2081 (вх. 0689965) от 15.08.2024</t>
  </si>
  <si>
    <t>Магнитный компактный уровень 100 мм</t>
  </si>
  <si>
    <t>Магнитный светильник Atlas LARSEN 18W черный</t>
  </si>
  <si>
    <t>Приходная накладная 1769 (вх. P-10390) от 18.07.2024</t>
  </si>
  <si>
    <t>Магнитный ультратонкий вентилятор</t>
  </si>
  <si>
    <t>Малина Artfruit Марокко 250 г</t>
  </si>
  <si>
    <t>Малярная клейкая лента 38ммх50м</t>
  </si>
  <si>
    <t>Малярная клейкая лента 50ммх50м</t>
  </si>
  <si>
    <t>Малярная лента (ШТУКИ)</t>
  </si>
  <si>
    <t>Малярная лента коричневая 80 48x40</t>
  </si>
  <si>
    <t>Мандарины Надоркотт</t>
  </si>
  <si>
    <t>Манекен мужской в полный рост, телесный</t>
  </si>
  <si>
    <t>Приходная накладная 730 (вх. 0146751736-0028/1901) от 19.01.2024</t>
  </si>
  <si>
    <t>Маркер для CD ATTACHE 0.5-1.2мм черный перманентный</t>
  </si>
  <si>
    <t>Приходная накладная 248 (вх. 85) от 09.02.2024</t>
  </si>
  <si>
    <t>Маркер для CD ATTACHE 0.5мм черный</t>
  </si>
  <si>
    <t>Маркер для CD EDDING E-8400/2 красный, 0,5-1 мм</t>
  </si>
  <si>
    <t>Маркер для белых досок EDDING 28/2 Ecoline, 1,5-3 мм, красный</t>
  </si>
  <si>
    <t>Маркер для белых досок EDDING e-360/1 черный 1,5-3 мм</t>
  </si>
  <si>
    <t>Маркер для белых досок EDDING e-360/3 синий 1,5-3 мм</t>
  </si>
  <si>
    <t>Маркер для глянц.поверх черный 0,3мм</t>
  </si>
  <si>
    <t>Приходная накладная 865 (вх. 35745575) от 02.04.2024</t>
  </si>
  <si>
    <t>Маркер для глянц.поверх. EDDING E-141/1 F черный 0,6мм перманент</t>
  </si>
  <si>
    <t>Маркер для промышленной графики EDDING E-8750/3 синий</t>
  </si>
  <si>
    <t>Маркер для промышленной графики EDDING E-8750/49 белый 2-4мм</t>
  </si>
  <si>
    <t>Маркер краска 4мм бел.</t>
  </si>
  <si>
    <t>Маркер краска 4мм красн.</t>
  </si>
  <si>
    <t>Маркер краска Edding 0.8 мм черный</t>
  </si>
  <si>
    <t>Маркер краска PM-11 оранжевый 4мм</t>
  </si>
  <si>
    <t>Маркер краска красный 1 мм</t>
  </si>
  <si>
    <t>Маркер лаковый EDDING E-751/49 белый</t>
  </si>
  <si>
    <t>Маркер лаковый EDDING E-792/1 черный 0,8мм, пласт. корп</t>
  </si>
  <si>
    <t>Маркер меловой MunHwa, CM-05, белый, 3мм</t>
  </si>
  <si>
    <t>Приходная накладная 1587 (вх. 37644418) от 28.06.2024</t>
  </si>
  <si>
    <t>Маркер перманентный 3 мм белый 12 шт</t>
  </si>
  <si>
    <t>Маркер перманентный 3 мм черный 12 шт</t>
  </si>
  <si>
    <t>Маркер перманентный ATTACHE зеленый 1,5-3мм.</t>
  </si>
  <si>
    <t>Маркер перманентный ATTACHE синий 1,5-3мм.</t>
  </si>
  <si>
    <t>Маркер перманентный ATTACHE черный 1 мм.</t>
  </si>
  <si>
    <t>Маркер перманентный ATTACHE черный 1,5-3мм.</t>
  </si>
  <si>
    <t>Маркер перманентный EDDING E-300/1 черный 1,5-3мм кругл. наконечник</t>
  </si>
  <si>
    <t>Маркер перманентный EDDING E-370/1 черный 1мм круглый наконечник</t>
  </si>
  <si>
    <t>Маркер перманентный KORES черный 1 мм</t>
  </si>
  <si>
    <t>Маркер перманентный БЕЛЫЙ 5мм</t>
  </si>
  <si>
    <t>Маркер перманентный набор 4 цвета 0.5мм</t>
  </si>
  <si>
    <t>Маркер перманентный нестираемый, ЧЕРНЫЙ, 12 штук в упак.</t>
  </si>
  <si>
    <t>Маркер перманентный нестираемый, черный, 2мм</t>
  </si>
  <si>
    <t>Маркер перманентный черный 2 мм</t>
  </si>
  <si>
    <t>Маркер перманентный черный P100</t>
  </si>
  <si>
    <t>Приходная накладная 1714 (вх. 8370160-МСК) от 16.07.2024</t>
  </si>
  <si>
    <t>Маркер перманентный черный PE55</t>
  </si>
  <si>
    <t>Приходная накладная 1627 (вх. 7767553-МСК) от 03.07.2024</t>
  </si>
  <si>
    <t>Маркер строительный красный</t>
  </si>
  <si>
    <t>Приходная накладная 842 (вх. 3487115-МСК) от 01.04.2024</t>
  </si>
  <si>
    <t>Маркер текстовыделитель ATTACHE желтый 1-3мм</t>
  </si>
  <si>
    <t>Маркер текстовыделитель ATTACHE зеленый 1-3мм</t>
  </si>
  <si>
    <t>Маркер текстовыделитель розовый 1-3,9мм Attache</t>
  </si>
  <si>
    <t>Маркер-краска 1,5 мм, красный</t>
  </si>
  <si>
    <t>Маркер-краска лаковый EDDING 8750 зеленый</t>
  </si>
  <si>
    <t>Маркер-краска лаковый EDDING 8750 красный</t>
  </si>
  <si>
    <t>Маркеры стираемые для белой доски, нобор 4 цвета, BRAUBERG "SOFT", 5 мм, резиновая вставка</t>
  </si>
  <si>
    <t>Приходная накладная 4353 (вх. 926) от 31.05.2024</t>
  </si>
  <si>
    <t>Марля медицинская отбеленная, рулон 0,9 х200 м, плотность 52 ±2 г/м2</t>
  </si>
  <si>
    <t>Маршрутизатор MikroTik hEX S</t>
  </si>
  <si>
    <t>Маска паяльная, однокомпонентная 10мл</t>
  </si>
  <si>
    <t>Маска полнолицевая L Jeta Safety</t>
  </si>
  <si>
    <t>маскировочная сеть</t>
  </si>
  <si>
    <t>Масло Газпромнефть ВМГЗ 10л</t>
  </si>
  <si>
    <t>Масло для цепи Turmofluid</t>
  </si>
  <si>
    <t>Приходная накладная 4452 (вх. 6) от 09.01.2024</t>
  </si>
  <si>
    <t>Мастер Тока ШВВПбм 2x0.5 бел</t>
  </si>
  <si>
    <t>Мастихин №1</t>
  </si>
  <si>
    <t>Приходная накладная 466 (вх. 209970) от 22.02.2024</t>
  </si>
  <si>
    <t>Мастихин №10</t>
  </si>
  <si>
    <t>Мастихин №11</t>
  </si>
  <si>
    <t>Мастихин №12</t>
  </si>
  <si>
    <t>Мастихин №2</t>
  </si>
  <si>
    <t>Мастихин №3</t>
  </si>
  <si>
    <t>Мастихин №4</t>
  </si>
  <si>
    <t>Мастихин №5</t>
  </si>
  <si>
    <t>Мастихин №6</t>
  </si>
  <si>
    <t>Мастихин №7</t>
  </si>
  <si>
    <t>Мастихин №8</t>
  </si>
  <si>
    <t>Мастихин №9</t>
  </si>
  <si>
    <t>Материал абразивный в кругах D150, 15 отверстий, Р180 (100шт)</t>
  </si>
  <si>
    <t>Приходная накладная 1464 (вх. М000087511) от 18.06.2024</t>
  </si>
  <si>
    <t>Материал абразивный в кругах D150, 15 отверстий, Р240 (100шт)</t>
  </si>
  <si>
    <t>Материал абразивный в кругах D150, 15 отверстий, Р320 (100шт)</t>
  </si>
  <si>
    <t>Материал абразивный в кругах D150, 15 отверстий, Р400 (100шт)</t>
  </si>
  <si>
    <t>Материал абразивный в кругах D150, 15 отверстий, Р80 (50шт)</t>
  </si>
  <si>
    <t>Материал абразивный в полосках 70х420 14 отверстий P80</t>
  </si>
  <si>
    <t>Материал абразивный в полосках без отверстий 70х420мм Р120</t>
  </si>
  <si>
    <t>Материал абразивный в полосках без отверстий 70х420мм Р240</t>
  </si>
  <si>
    <t>Материнская плата Asrock B660M-HDV 2xDDR4</t>
  </si>
  <si>
    <t>Материнская плата ASUS Prime B660M</t>
  </si>
  <si>
    <t>Материнская плата MSI A520M-A PRO Soc-AM4 AMD A520 2xDDR4 mATX AC`97 8ch(7.1) GbLAN RAID+DVI+HDMI</t>
  </si>
  <si>
    <t>Матовая декоративная плёнка1,2 мл</t>
  </si>
  <si>
    <t>Приходная накладная 1016 (вх. ПН-181) от 09.04.2024</t>
  </si>
  <si>
    <t>Машинка пневматическая шлифовальная 56000об/мин, 90PS</t>
  </si>
  <si>
    <t>Приходная накладная 5089 (вх. 12221043-МСК) от 09.10.2024</t>
  </si>
  <si>
    <t>Машинка шлифовальная пневматическая эксцентрик 2,5 мм, подошва 150мм</t>
  </si>
  <si>
    <t>Приходная накладная 1433 (вх. 6885428-МСК) от 14.06.2024</t>
  </si>
  <si>
    <t>МДФ 280х2070х30мм (F) Кастамону</t>
  </si>
  <si>
    <t>Приходная накладная 84 (вх. 53) от 14.01.2024</t>
  </si>
  <si>
    <t>МДФ шлифованная F 30х2800х2070мм</t>
  </si>
  <si>
    <t>Приходная накладная 2306 (вх. УТ-883) от 03.09.2024</t>
  </si>
  <si>
    <t>Мебель для дома ET_Лоток для обуви (43x39x3,5) LT0301 черный</t>
  </si>
  <si>
    <t>Приходная накладная 539 (вх. 35231095) от 12.03.2024</t>
  </si>
  <si>
    <t>Мебель для общежитий MET_МДО Шкаф для одежды глубокий дуб сонома</t>
  </si>
  <si>
    <t>Приходная накладная 4013 (вх. 39463686) от 18.09.2024</t>
  </si>
  <si>
    <t>Мегаомметр RGK RT-25</t>
  </si>
  <si>
    <t>Мегаомметр Е6-31</t>
  </si>
  <si>
    <t>Приходная накладная 5186 (вх. 3486) от 21.10.2024</t>
  </si>
  <si>
    <t>МЕГЕОН Бинокулярная лупа 02815</t>
  </si>
  <si>
    <t>МЕГЕОН Вспомогательное устройство третья рука 02805 к0000006723</t>
  </si>
  <si>
    <t>МЕГЕОН Дымоуловитель со штативом и переходником под рукав 02813 к0000018206</t>
  </si>
  <si>
    <t>МЕГЕОН Жало медное 900M-T-0.8D-CU к0000033986</t>
  </si>
  <si>
    <t>МЕГЕОН Жало медное 900M-T-2C-CU к0000033988</t>
  </si>
  <si>
    <t>МЕГЕОН Жало медное 900M-T-3C-CU к0000033989</t>
  </si>
  <si>
    <t>МЕГЕОН Источник питания</t>
  </si>
  <si>
    <t>Приходная накладная 4275 (вх. 11702754-МСК) от 27.09.2024</t>
  </si>
  <si>
    <t>МЕГЕОН Комплект жал 900M-T-0.5C-K к0000036450</t>
  </si>
  <si>
    <t>МЕГЕОН Комплект жал 900M-T-3C-K</t>
  </si>
  <si>
    <t>МЕГЕОН Комплект жал 900М-Т-2.4D-K</t>
  </si>
  <si>
    <t>МЕГЕОН Комплект жал 900М-Т-2C-K</t>
  </si>
  <si>
    <t>МЕГЕОН Комплект жал 900М-Т-4C-K</t>
  </si>
  <si>
    <t>МЕГЕОН Мегаомметр</t>
  </si>
  <si>
    <t>МЕГЕОН Мультиметр 12700 00000003058</t>
  </si>
  <si>
    <t>МЕГЕОН Набор жал 900М+ к0000031457</t>
  </si>
  <si>
    <t>МЕГЕОН Паяльная станция</t>
  </si>
  <si>
    <t>МЕГЕОН Паяльник регулируемый 00180 к0000023386</t>
  </si>
  <si>
    <t>МЕГЕОН Ручной металлодетектор</t>
  </si>
  <si>
    <t>Медная лента оплетка для удаления припоя</t>
  </si>
  <si>
    <t>Медный провод 10AWG красный</t>
  </si>
  <si>
    <t>Приходная накладная 1042 (вх. 35) от 19.04.2024</t>
  </si>
  <si>
    <t>Медный провод 10AWG черный</t>
  </si>
  <si>
    <t>Медный провод 12AWG 0.75мм коричневый</t>
  </si>
  <si>
    <t>Приходная накладная 604 (вх. 0000649) от 12.03.2024</t>
  </si>
  <si>
    <t>Медный провод 12AWG 3,4мм красный</t>
  </si>
  <si>
    <t>Приходная накладная 1542 (вх. 168) от 25.06.2024</t>
  </si>
  <si>
    <t>Медный провод 12AWG 3,4мм черный</t>
  </si>
  <si>
    <t>Медный провод 12AWG 4мм красный</t>
  </si>
  <si>
    <t>Медный провод 12AWG 4мм черный</t>
  </si>
  <si>
    <t>Медный провод 14AWG 2.07мм красный</t>
  </si>
  <si>
    <t>Медный провод 15AWG 1.5мм2 красный</t>
  </si>
  <si>
    <t>Приходная накладная 897 (вх. 15) от 04.04.2024</t>
  </si>
  <si>
    <t>Медный провод 15AWG 1.5мм2 черный</t>
  </si>
  <si>
    <t>Медный провод 18AWG 0.75мм красный</t>
  </si>
  <si>
    <t>Медный провод 20AWG 0,5мм2, красный</t>
  </si>
  <si>
    <t>Приходная накладная 350 (вх. 7) от 19.02.2024</t>
  </si>
  <si>
    <t>Медный провод 20AWG 0,5мм2, синий</t>
  </si>
  <si>
    <t>Медный провод 20AWG 0,5мм2, черный</t>
  </si>
  <si>
    <t>Медный провод 8AWG 1м крас. + 1м чёрн.</t>
  </si>
  <si>
    <t>Приходная накладная 1309 (вх. 000000296) от 29.05.2024</t>
  </si>
  <si>
    <t>Медный пруток, круг М1 20х500мм</t>
  </si>
  <si>
    <t>Приходная накладная 2163 (вх. 318858/363) от 22.08.2024</t>
  </si>
  <si>
    <t>Медосмотр</t>
  </si>
  <si>
    <t>Приходная накладная 4725 (вх. 48) от 30.06.2024</t>
  </si>
  <si>
    <t>Межоперационный Ингибитор коррозии 5л</t>
  </si>
  <si>
    <t>Приходная накладная 1649 (вх. 7872473-МСК) от 05.07.2024</t>
  </si>
  <si>
    <t>Мелкая москитная сетка АнтиПыль 80х160</t>
  </si>
  <si>
    <t>Авансовый отчет 499  от 06.10.2024</t>
  </si>
  <si>
    <t>Мемотерм-ММ  Трубка термоусаживаемая ТТЭ-С 2/1 черная 1 м  750</t>
  </si>
  <si>
    <t>Металлодетектор стационарный Профи Моно - 1</t>
  </si>
  <si>
    <t>Приходная накладная 4259 (вх. 39) от 14.03.2024</t>
  </si>
  <si>
    <t>Металлодетектор стационарный Профи Моно - 2</t>
  </si>
  <si>
    <t>Металлорукав в ПВХ изоляции МРПИ НГ 18 50 м/уп. черный с протяжкой</t>
  </si>
  <si>
    <t>Металлорукав в ПВХ изоляции МРПИ НГ LS 20 50 м/уп.</t>
  </si>
  <si>
    <t>МЕТАЛЛСЕРВИС Болт m6x20 din 933 с полной резьбой, оцинк. 100шт 1240681</t>
  </si>
  <si>
    <t>МЕТАЛЛСЕРВИС Болт m6x35 din 933 с полной резьбой, оцинк. 100шт 1240692</t>
  </si>
  <si>
    <t>Метизный двор Винт потайной M3x30 DIN 965, 100 шт. 4607159066541</t>
  </si>
  <si>
    <t>Метиз-Эксперт Шайба 12 нерж. А2 DIN 125 уп. 200 шт</t>
  </si>
  <si>
    <t>Метиз-Эксперт Шайба пружинная 12 нерж. А2 DIN 127 уп. 500 шт</t>
  </si>
  <si>
    <t>Метиз-Эксперт Шайба пружинная 8 А2 DIN 127 уп. 500 шт</t>
  </si>
  <si>
    <t>Метлана Держатель мопа ПРО-40 желтая кнопка 0201 201</t>
  </si>
  <si>
    <t>Приходная накладная 4895 (вх. 1014) от 04.10.2024</t>
  </si>
  <si>
    <t>Метлана Рукоятка ПРО наконечник серый 0301 301</t>
  </si>
  <si>
    <t>Метчик машинный М 2 Шаг 0.4 мм HSS DIN371</t>
  </si>
  <si>
    <t>Метчик спиральный Профоснастка М3,0*0,5</t>
  </si>
  <si>
    <t>Механизм луча передний DJl Mini 2</t>
  </si>
  <si>
    <t>Мешалка для краски, пластика</t>
  </si>
  <si>
    <t>Приходная накладная 1245 (вх. 5707125-МСК) от 21.05.2024</t>
  </si>
  <si>
    <t>Мешки для мусора  360л (10шт)</t>
  </si>
  <si>
    <t>Приходная накладная 841 (вх. 3487117-МСК) от 01.04.2024</t>
  </si>
  <si>
    <t>Мешки для мусора ПВД 120л 30мкм 50шт/уп черный</t>
  </si>
  <si>
    <t>Мешки для мусора ПВД 120л 70x110см, Стандарт ПРОФ</t>
  </si>
  <si>
    <t>Приходная накладная 241 (вх. 74) от 07.02.2024</t>
  </si>
  <si>
    <t>Мешки для мусора ПВД 300л, 60мкм 10шт/рул черные 105х150 Броня</t>
  </si>
  <si>
    <t>Мешки для мусора ПВД 300л, Ромашка черные (ПВД, 60 мкм,в рулоне 10 штук, 105*150 см)</t>
  </si>
  <si>
    <t>Мешки для мусора ПВД 35л 20мкм 30шт/рул черные 50x64см</t>
  </si>
  <si>
    <t>Мешки для мусора ПНД 30л 10мкм 30 шт/рул (30шт/рул) 50x60см Стандарт ПРОФ</t>
  </si>
  <si>
    <t>Мешки для мусора ПНД 30л 6мкм 20шт/рул черные 48х58см</t>
  </si>
  <si>
    <t>Мешки для мусора ПНД Эконом 120л 14мкм 10шт/рул черные 70х110см</t>
  </si>
  <si>
    <t>Мешки кондитерские 100шт</t>
  </si>
  <si>
    <t>Приходная накладная 1492 (вх. 126481/96) от 20.06.2024</t>
  </si>
  <si>
    <t>Мешок для стирки белья и обуви 4шт</t>
  </si>
  <si>
    <t>Приходная накладная 2174 (вх. 1394743/6) от 22.08.2024</t>
  </si>
  <si>
    <t>Мешок кондитерский, высота 45см, рулон 100шт</t>
  </si>
  <si>
    <t>Приходная накладная 5119 (вх. 55) от 01.01.2024</t>
  </si>
  <si>
    <t>Микроволновая печь HORIZONT 20MW700-1378PKW</t>
  </si>
  <si>
    <t>Микрокомпьютер Raspberry pi4</t>
  </si>
  <si>
    <t>Микроконтроллер ATmega16-16PU</t>
  </si>
  <si>
    <t>Микрометр МК 25</t>
  </si>
  <si>
    <t>Приходная накладная 312 (вх. 1626670-МСК) от 16.02.2024</t>
  </si>
  <si>
    <t>микросхема , восемь буферных элементов/драйверов, три состояния /Nexperia</t>
  </si>
  <si>
    <t>микросхема буфер драйвер линии , неинвертируемый</t>
  </si>
  <si>
    <t>микросхема для шинных формирователя</t>
  </si>
  <si>
    <t>Микросхема памяти Flash 2Мбит</t>
  </si>
  <si>
    <t>Авансовый отчет 254 от 01.02.2024</t>
  </si>
  <si>
    <t>Микросхема, Микроконтроллер ARM Cortex-M3, 32-бит, 48МГц</t>
  </si>
  <si>
    <t>Приходная накладная 398 (вх. 0145519) от 20.02.2024</t>
  </si>
  <si>
    <t>Миксер для паяльной пасты KAYO-500S</t>
  </si>
  <si>
    <t>Миндаль</t>
  </si>
  <si>
    <t>Мини валик для водных красок 60мм</t>
  </si>
  <si>
    <t>Приходная накладная 1536 (вх. 004/2024-АВ0180901) от 25.06.2024</t>
  </si>
  <si>
    <t>Мини ручка для валика, 50x6</t>
  </si>
  <si>
    <t>Приходная накладная 5063 (вх. 12071041-МСК) от 07.10.2024</t>
  </si>
  <si>
    <t>Миниатюрное универсальное электромеханическое реле</t>
  </si>
  <si>
    <t>Приходная накладная 1834 (вх. 8701112-МСК) от 24.07.2024</t>
  </si>
  <si>
    <t>Мини-валик велюр 50мм ворс 4мм 2шт</t>
  </si>
  <si>
    <t>Мкх обработка (Втулка ст20 D-100L105мм)</t>
  </si>
  <si>
    <t>Приходная накладная 2219 (вх. 62) от 27.08.2024</t>
  </si>
  <si>
    <t>многовинтовое крепление для двигателя</t>
  </si>
  <si>
    <t>Многофункциональные плоскогубцы пассатижи строительные</t>
  </si>
  <si>
    <t>Приходная накладная 886 (вх. 202404030001) от 03.04.2024</t>
  </si>
  <si>
    <t>Многофункциональный инструмент 300Вт DEWALT DWE315-QS</t>
  </si>
  <si>
    <t>Приходная накладная 2289 (вх. 5496) от 02.09.2024</t>
  </si>
  <si>
    <t>Многоцелевой модем связи среднего радиуса действия ВЕКТОР</t>
  </si>
  <si>
    <t>Приходная накладная 1506 (вх. 2) от 01.04.2024</t>
  </si>
  <si>
    <t>Мобильная тумба Габарит420х450х556 Цвет серый</t>
  </si>
  <si>
    <t>Приходная накладная 4440 (вх. 22) от 24.01.2024</t>
  </si>
  <si>
    <t>Мобильное перегрузочное устройство электрическое</t>
  </si>
  <si>
    <t>Приходная накладная 4845 (вх. 72) от 15.05.2024</t>
  </si>
  <si>
    <t>Модельный пластик  (1500x500x50)</t>
  </si>
  <si>
    <t>Приходная накладная 1789 (вх. 1534) от 19.07.2024</t>
  </si>
  <si>
    <t>Модельный пластик Solidblock800 1500х500х100мм</t>
  </si>
  <si>
    <t>Приходная накладная 3803 (вх. 13982) от 06.09.2024</t>
  </si>
  <si>
    <t>Модельный пластик Solidblock800 1500х500х50мм</t>
  </si>
  <si>
    <t>Модельный пластик Solidblock800 1500х500х75мм</t>
  </si>
  <si>
    <t>Модельный пластик ToolArt M1000 (1500x500x100)</t>
  </si>
  <si>
    <t>Приходная накладная 4296 (вх. 2091) от 30.09.2024</t>
  </si>
  <si>
    <t>Модем 4G+ M150-4 сим карта</t>
  </si>
  <si>
    <t>Приходная накладная 1808 (вх. 290762) от 22.07.2024</t>
  </si>
  <si>
    <t>Модем Digma Dongle Wi-Fi</t>
  </si>
  <si>
    <t>Авансовый отчет 248 от 07.02.2024</t>
  </si>
  <si>
    <t>Модем Huawei Brovi E3372-325</t>
  </si>
  <si>
    <t>Приходная накладная 2257 (вх. 573) от 29.08.2024</t>
  </si>
  <si>
    <t>Модем HUAWEI E 8372 2G/3G/4G</t>
  </si>
  <si>
    <t>Модем MK55 Set (Air + Ground)</t>
  </si>
  <si>
    <t>Приходная накладная 4295 (вх. БП-323) от 30.09.2024</t>
  </si>
  <si>
    <t>Модем Вектор 2034</t>
  </si>
  <si>
    <t>Модем Вектор 2034+КРМ (БОРТ)</t>
  </si>
  <si>
    <t>Приходная накладная 5092 (вх. 20240918-5) от 09.10.2024</t>
  </si>
  <si>
    <t>Модуль 4.9GHZ</t>
  </si>
  <si>
    <t>Модуль 4T</t>
  </si>
  <si>
    <t>Модуль Happymodel Express ES900TX 915 MHZ</t>
  </si>
  <si>
    <t>Приходная накладная 273 (вх. 0155232321-0001/0902) от 09.02.2024</t>
  </si>
  <si>
    <t>Модуль MPU-9250</t>
  </si>
  <si>
    <t>Модуль Radiomaster Ranger Micro ERLS TX</t>
  </si>
  <si>
    <t>Приходная накладная 1301 (вх. 417434/3) от 27.05.2024</t>
  </si>
  <si>
    <t>Модуль SFP+ 10 Гбит/с, 20 км, 1310 нм, SMF, LC</t>
  </si>
  <si>
    <t>Модуль SFP+ Ubiquiti UACC-OM-MM-10G-D (2шт комплект)</t>
  </si>
  <si>
    <t>Приходная накладная 1767 (вх. 3946) от 18.07.2024</t>
  </si>
  <si>
    <t>Модуль SIM800C+Блютуз</t>
  </si>
  <si>
    <t>модуль SIM800C-GSM/GPRS+Bluetooth</t>
  </si>
  <si>
    <t>Модуль быстросъёмный Z-7D</t>
  </si>
  <si>
    <t>Приходная накладная 5289 (вх. 20241014-2) от 24.10.2024</t>
  </si>
  <si>
    <t>Модуль гироскопа, акселерометр</t>
  </si>
  <si>
    <t>Модуль датчика оптического потока</t>
  </si>
  <si>
    <t>Авансовый отчет 232  от 31.05.2024</t>
  </si>
  <si>
    <t>Модуль зарядного устройства для литиевой батареи TYPE-C 15W 3A</t>
  </si>
  <si>
    <t>модуль индикатора емкости литиевых батарей 1S 2S 3S 4S 5S</t>
  </si>
  <si>
    <t>Модуль интерциальный МГ-1</t>
  </si>
  <si>
    <t>Приходная накладная 4388 (вх. 357) от 01.04.2024</t>
  </si>
  <si>
    <t>Модуль камеры CVBS-USB</t>
  </si>
  <si>
    <t>Модуль магнитометр RM 3100 WitMotion TTL Version</t>
  </si>
  <si>
    <t>Приходная накладная 1001 (вх. 87) от 16.04.2024</t>
  </si>
  <si>
    <t>Модуль оптического датчика MTF-01</t>
  </si>
  <si>
    <t>Модуль памяти 16GB Radeon DDR4 2666 DIMM R7</t>
  </si>
  <si>
    <t>Приходная накладная 657 (вх. 0146751736-0045/1602) от 16.02.2024</t>
  </si>
  <si>
    <t>Модуль памяти Samsung DDR4 16GB  SODIMM 3200 MHz</t>
  </si>
  <si>
    <t>Модуль памяти Samsung SODIMM DDR4 16Гб 2400 MHz</t>
  </si>
  <si>
    <t>Приходная накладная 1375 (вх. 965481202406030002) от 06.06.2024</t>
  </si>
  <si>
    <t>Модуль питания 5D2UD6</t>
  </si>
  <si>
    <t>Модуль питания PM160-220/12, 220V AC, 160W (PM160-220/12)</t>
  </si>
  <si>
    <t>Модуль преобразователя USB-SERIAL адаптер СН340G 3.3V-5V</t>
  </si>
  <si>
    <t>Модуль распределения питания PM03D Power Module</t>
  </si>
  <si>
    <t>Авансовый отчет 230 от 05.03.2024</t>
  </si>
  <si>
    <t>Модуль распределения питания Power Distribution Board (PDB)</t>
  </si>
  <si>
    <t>Модуль реле для Arduino</t>
  </si>
  <si>
    <t>Модуль СЛЭМ</t>
  </si>
  <si>
    <t>Модуль стойки ресепшн прямой Габарит 1244х506х1150 Цвет серый</t>
  </si>
  <si>
    <t>Модуль электронный CP2102</t>
  </si>
  <si>
    <t>Приходная накладная 451 (вх. 230) от 24.02.2024</t>
  </si>
  <si>
    <t>Модульное резиновое покрытие 500х500х20мм</t>
  </si>
  <si>
    <t>Приходная накладная 1465 (вх. 3980) от 18.06.2024</t>
  </si>
  <si>
    <t>Мойка</t>
  </si>
  <si>
    <t>мойка автомобиля</t>
  </si>
  <si>
    <t>Молоко 2,5% ультрапастеризованное 925 мл Домик в Деревне</t>
  </si>
  <si>
    <t>Приходная накладная 4444 (вх. R271727641-H81609411392) от 16.01.2024</t>
  </si>
  <si>
    <t>Молоко 3,5% ультрапастеризованное 1 л Parmalat БЗМЖ</t>
  </si>
  <si>
    <t>Молоко питьев. ультрапастеризованное 3,2% 0,5л. СНЕЖОК</t>
  </si>
  <si>
    <t>Приходная накладная 5271 (вх. КА00074256) от 24.10.2024</t>
  </si>
  <si>
    <t>Молоток 100гр фиберглассовая рукоятка</t>
  </si>
  <si>
    <t>Молоток с пластиковой ручкой</t>
  </si>
  <si>
    <t>Приходная накладная 620 (вх. 2920394-МСК) от 19.03.2024</t>
  </si>
  <si>
    <t>Молоток с фибергласовой рукояткой 800g</t>
  </si>
  <si>
    <t>Молоток слесарный</t>
  </si>
  <si>
    <t>МОМЕНТ Герметик Силиконовый Санитарный ГЕРМЕНТ прозрачный 280 мл Б0022959 1998756</t>
  </si>
  <si>
    <t>Приходная накладная 165 (вх. 0705048-МСК) от 26.01.2024</t>
  </si>
  <si>
    <t>Монитор 27" DIGMA  черный</t>
  </si>
  <si>
    <t>Монитор Acer 27" Nitro VG271 UMbmiipx[170Hz,2560x1440,IPS,0.5ms(GtG),350cd/m,AMDFSyncP,2Wx2,HDMlx2</t>
  </si>
  <si>
    <t>Монитор Acer 49" EI491CRSbmiiiphx Nitro</t>
  </si>
  <si>
    <t>Приходная накладная 1745 (вх. 1707-9) от 17.07.2024</t>
  </si>
  <si>
    <t>Монитор Digma 23.8" DM-MONB2702 черный</t>
  </si>
  <si>
    <t>Монитор Digma 27 тёмно-серый</t>
  </si>
  <si>
    <t>Монитор Digma DM-MONB2704 27", темно-серый</t>
  </si>
  <si>
    <t>Монитор LCD ExeGate 27" ES2707A SmartView черный</t>
  </si>
  <si>
    <t>Монитор NPC MH2002-A 19.5 (Для Шторма)</t>
  </si>
  <si>
    <t>Приходная накладная 1100 (вх. 114527) от 26.04.2024</t>
  </si>
  <si>
    <t>Монитор Philips Evnia Gaming 27M1N3200ZS/01 27" черный</t>
  </si>
  <si>
    <t>Приходная накладная 2099 (вх. 218120) от 16.08.2024</t>
  </si>
  <si>
    <t>Монитор SunWind SM-22FV222 21.5</t>
  </si>
  <si>
    <t>Приходная накладная 1770 (вх. 191554) от 18.07.2024</t>
  </si>
  <si>
    <t>Монитор Xiaomi 23.8 Mi RMMNT238NF 1920x1080 60Hz VGA HDMI</t>
  </si>
  <si>
    <t>Приходная накладная 649 (вх. ФЦЗ-007693/8257) от 21.03.2024</t>
  </si>
  <si>
    <t>Монитор Xiaomi 23.8" Mi Desktop Monitor 1С Black [RMMNT238NF] [1920x1080, IPS, 60Hz, 6ms, VGA, HDMI]</t>
  </si>
  <si>
    <t>Моноблок DEXP AIO-MC</t>
  </si>
  <si>
    <t>Монтаж</t>
  </si>
  <si>
    <t>Монтажная прозрачная двухсторонняя лента 19мм х 2м</t>
  </si>
  <si>
    <t>Приходная накладная 1531 (вх. 7372569-МСК) от 25.06.2024</t>
  </si>
  <si>
    <t>Монтажник Пистолет для монтажной пены  Профи 600001</t>
  </si>
  <si>
    <t>МОП микрофибра, уши+карманы 40*13см</t>
  </si>
  <si>
    <t>МОП полиэстер+микроволокно+вискоза, уши+карманы ТриоПлюс 40см</t>
  </si>
  <si>
    <t>Море-Метизов Шайба Море Метизов плоская DIN 125 А4 M8, 500 шт</t>
  </si>
  <si>
    <t>МосТележка Тележка платформенная для Евробокса 620x820</t>
  </si>
  <si>
    <t>Мостовой высокоточный измеритель MS5308</t>
  </si>
  <si>
    <t>Приходная накладная 326 (вх. 1723518-МСК) от 19.02.2024</t>
  </si>
  <si>
    <t>мотор FF 2807/1300</t>
  </si>
  <si>
    <t>Мотор IFlight XING 4214 660KV 6S</t>
  </si>
  <si>
    <t>Приходная накладная 1449 (вх. 163) от 17.06.2024</t>
  </si>
  <si>
    <t>мотор MN4112 IP45 Navigator Type UAV Multi-Motor 420KV</t>
  </si>
  <si>
    <t>Авансовый отчет 232 от 05.03.2024</t>
  </si>
  <si>
    <t>Мотор T-Motor U12 II KV 120</t>
  </si>
  <si>
    <t>Авансовый отчет 228 от 05.03.2024</t>
  </si>
  <si>
    <t>Мотор T-Motor U7-V2.0 Power Type UAV Motor KV280</t>
  </si>
  <si>
    <t>Мотор T-Motor U7-V2.0 Power Type UAV Motor KV420</t>
  </si>
  <si>
    <t>Приходная накладная 4917 (вх. Ф-Т190701) от 19.07.2024</t>
  </si>
  <si>
    <t>Мотор T-Motor U7-V2.0 Power Type UAV Motor KV490</t>
  </si>
  <si>
    <t>Мотор T-Motor U8 II KV85</t>
  </si>
  <si>
    <t>Мотор Т-мотор Velox V2808 KV1300</t>
  </si>
  <si>
    <t>Приходная накладная 2169 (вх. 428561/5) от 22.08.2024</t>
  </si>
  <si>
    <t>Мотор-колесо прямоприводное MXUS DDR-3K 3000Вт</t>
  </si>
  <si>
    <t>Приходная накладная 5074 (вх. 6) от 07.10.2024</t>
  </si>
  <si>
    <t>Мотормаунт алюминиевый под трубу 25мм(черный)</t>
  </si>
  <si>
    <t>Приходная накладная 2233 (вх. 408) от 27.08.2024</t>
  </si>
  <si>
    <t>Моторные рычаги левые, правые с двигателями и кабелями</t>
  </si>
  <si>
    <t>Моторы XING 5215 X CLASS</t>
  </si>
  <si>
    <t>Моющая жидкость для ультразвуковой ванны 5 л.</t>
  </si>
  <si>
    <t>Мультиметр АКИП-2203/1</t>
  </si>
  <si>
    <t>Приходная накладная 3779 (вх. Э2408290002) от 06.09.2024</t>
  </si>
  <si>
    <t>Мультиметр с функцией измерения температуры 17В Fluke</t>
  </si>
  <si>
    <t>Мультиметр цифровой (Госреестр РФ)\Fluke</t>
  </si>
  <si>
    <t>Приходная накладная 78 (вх. 0027657) от 16.01.2024</t>
  </si>
  <si>
    <t>Мультиметр цифровой UNI-T UT39C</t>
  </si>
  <si>
    <t>Мультипласт Групп Щетка+совок складной ЛЕНИВКА MPG960515</t>
  </si>
  <si>
    <t>Приходная накладная 4161 (вх. 11185354-МСК) от 23.09.2024</t>
  </si>
  <si>
    <t>Мультифункциональный автомат-установщик SMD компонентов, модель SM482 plus</t>
  </si>
  <si>
    <t>Мусорный Контейнер GPLAST 1100 литров Зеленый Евроконтейнер 1.1м3 - 1шт</t>
  </si>
  <si>
    <t>Приходная накладная 5167 (вх. 775693/424) от 29.09.2024</t>
  </si>
  <si>
    <t>Мусорный контейнер п/э 1 100л. на колёсах</t>
  </si>
  <si>
    <t>Муфта 072.10DGB21</t>
  </si>
  <si>
    <t>Муфта 100.08EUM10</t>
  </si>
  <si>
    <t>Муфта 25мм</t>
  </si>
  <si>
    <t>МФУ Kyocera Ecosys M2040dn</t>
  </si>
  <si>
    <t>Приходная накладная 3828 (вх. 0909-11) от 09.09.2024</t>
  </si>
  <si>
    <t>МФУ лазерный Kyocera Ecosys M5526cdn цветная печать, А4, белый</t>
  </si>
  <si>
    <t>Приходная накладная 2058 (вх. 1308-5) от 13.08.2024</t>
  </si>
  <si>
    <t>МФУ лазерный Kyocera Ecosys M5526cdw</t>
  </si>
  <si>
    <t>Мыло жидкое пенное MODUS Soft 5л, канистра</t>
  </si>
  <si>
    <t>Мыло жидкое ПРОФ Grass/MILANA эконом ПЭТ, 5л</t>
  </si>
  <si>
    <t>Мыло туалетное крем EXXE 1+1 Нежный пион 90гр розовое полосатое экопак 4ш/у</t>
  </si>
  <si>
    <t>Мыло хозяйственное 200 г 72% антибактериальное ГОСТ б/об КМЗ</t>
  </si>
  <si>
    <t>Мыло хозяйственное 200 г 72% Меридиан ГОСТ б/об</t>
  </si>
  <si>
    <t>Мышь  A4Tech N-70FX USB</t>
  </si>
  <si>
    <t>Приходная накладная 2183 (вх. 2208-8) от 22.08.2024</t>
  </si>
  <si>
    <t>Мышь Logitech B100 , оптическая проводная, черный</t>
  </si>
  <si>
    <t>Приходная накладная 887 (вх. 43082111202404020004) от 02.04.2024</t>
  </si>
  <si>
    <t>Мышь Logitech M10</t>
  </si>
  <si>
    <t>Приходная накладная 1589 (вх. 2806-16) от 28.06.2024</t>
  </si>
  <si>
    <t>Мышь Logitech M110 Silent Black</t>
  </si>
  <si>
    <t>Мышь Logitech M90 Dark Grey</t>
  </si>
  <si>
    <t>Мышь XIAOMI Mi Dual Mode Silent Edition , оптическая беспроводная, белый</t>
  </si>
  <si>
    <t>Мышь Xiaomi Wireless Mouse Lite Black</t>
  </si>
  <si>
    <t>Приходная накладная 936 (вх. 4060677202404040001) от 11.04.2024</t>
  </si>
  <si>
    <t>Мышь беспроводная Logitech G304 Black (910-005286) -CN</t>
  </si>
  <si>
    <t>Набор Happymodel ELRS 915Mhz Micro + Приемник Happymodel ELRS 915MHz</t>
  </si>
  <si>
    <t>Приходная накладная 137 (вх. 2) от 09.01.2024</t>
  </si>
  <si>
    <t>Набор аккумулятор + зарядное устройство Ryobi</t>
  </si>
  <si>
    <t>Приходная накладная 5191 (вх. 12569037-МСК) от 21.10.2024</t>
  </si>
  <si>
    <t>Набор алюминиевых заклепок - 400 шт YATO</t>
  </si>
  <si>
    <t>Набор Ардуино для программирования стартовый</t>
  </si>
  <si>
    <t>Набор бит PZ1х50</t>
  </si>
  <si>
    <t>Набор бит и головок торцевых и аксессуаров BOVIDIX</t>
  </si>
  <si>
    <t>Набор бит, головок ударных 1/2 шестигранных, 8 шт</t>
  </si>
  <si>
    <t>Набор винтов, гаек, шайб, 420 предм</t>
  </si>
  <si>
    <t>Набор водостойкой наждачной бумаги 140x115мм</t>
  </si>
  <si>
    <t>Набор головок и бит 1/4, 38 предметов</t>
  </si>
  <si>
    <t>Набор дисков отрезных по металлу и нержавеющей стали 10 шт</t>
  </si>
  <si>
    <t>Набор диэлектр. отверток GBSD-1</t>
  </si>
  <si>
    <t>Набор для уборки BRILLIANCE: щетка для пола + совок</t>
  </si>
  <si>
    <t>Приходная накладная 47 (вх. 0199196-МСК) от 13.01.2024</t>
  </si>
  <si>
    <t>Набор жал для паяльника</t>
  </si>
  <si>
    <t>Набор закладных винтов-шайб-гаек М6х12</t>
  </si>
  <si>
    <t>Приходная накладная 2027 (вх. УТ-926) от 09.08.2024</t>
  </si>
  <si>
    <t>Набор изолир. инструмента</t>
  </si>
  <si>
    <t>Приходная накладная 2045 (вх. 9652222-МСК) от 13.08.2024</t>
  </si>
  <si>
    <t>Набор клиновых ступенчатых прижимов 58 предм.</t>
  </si>
  <si>
    <t>Приходная накладная 4233 (вх. СИС-Т05316) от 26.09.2024</t>
  </si>
  <si>
    <t>Набор ключей динамометрических 2 предмета</t>
  </si>
  <si>
    <t>Набор ключей комбинированных 16пр</t>
  </si>
  <si>
    <t>Набор КМД №2 кл.2</t>
  </si>
  <si>
    <t>Приходная накладная 3780 (вх. М03062) от 06.09.2024</t>
  </si>
  <si>
    <t>Набор колец резиновых уплотнительных</t>
  </si>
  <si>
    <t>Набор комбинированных ключей Gigant 12 шт</t>
  </si>
  <si>
    <t>Набор комбинированных ключей Inforce 06-05-32</t>
  </si>
  <si>
    <t>Приходная накладная 1047 (вх. 4413746-МСК) от 22.04.2024</t>
  </si>
  <si>
    <t>Набор комбинированных ключей с трещоткой 12 предметов inforce</t>
  </si>
  <si>
    <t>Набор лотков STRONG 3 шт. гориз.на металл.стержнях черный</t>
  </si>
  <si>
    <t>Набор маркеров для белых досок 4цв 4шт/уп</t>
  </si>
  <si>
    <t>Набор маркеров для флипчартов Attache Selection Octavia набор 4цв., 2-3мм</t>
  </si>
  <si>
    <t>Набор маркеров перманентных ATTACHE 1,5-3мм. набор 4цв</t>
  </si>
  <si>
    <t>Набор маркеров перманентных KORES 10 цв, 1 мм 22141</t>
  </si>
  <si>
    <t>Набор метчиков Bucovice Tools M2 0.4мм</t>
  </si>
  <si>
    <t>Приходная накладная 1985 (вх. 9345090-МСК) от 06.08.2024</t>
  </si>
  <si>
    <t>Набор метчиков Bucovice Tools M3 0.5мм</t>
  </si>
  <si>
    <t>Набор метчиков и плашек M2-M18</t>
  </si>
  <si>
    <t>Набор монтажек 4пр.</t>
  </si>
  <si>
    <t>Набор надфилей  140x3мм 10 штук</t>
  </si>
  <si>
    <t>Набор надфилей 10шт</t>
  </si>
  <si>
    <t>Набор надфилей алмазных 10 шт.//</t>
  </si>
  <si>
    <t>Набор наконечников КВТ НШВИ №5</t>
  </si>
  <si>
    <t>Приходная накладная 700 (вх. 0146751736-0081/2503) от 25.03.2024</t>
  </si>
  <si>
    <t>Набор наконечников НШВИ  8</t>
  </si>
  <si>
    <t>Набор насадок для гравера DH100</t>
  </si>
  <si>
    <t>Приходная накладная 457 (вх. 2112990-МСК) от 28.02.2024</t>
  </si>
  <si>
    <t>Набор настольный ATTACHE JC805 черный вращающийся -17предметов</t>
  </si>
  <si>
    <t>Набор настольный Deli E38253 12 предметов черный</t>
  </si>
  <si>
    <t>набор образцов  для конденсатора</t>
  </si>
  <si>
    <t>Набор отверток Xiaomi Mi Precision Screwdriver Kit</t>
  </si>
  <si>
    <t>Приходная накладная 2177 (вх. Т-1817) от 22.08.2024</t>
  </si>
  <si>
    <t>Набор ОШС-С RA с пов. ЧК</t>
  </si>
  <si>
    <t>Приходная накладная 3932 (вх. ИН1825) от 16.09.2024</t>
  </si>
  <si>
    <t>Набор ОШС-ФТ RA с пов. ЧК</t>
  </si>
  <si>
    <t>Набор параллельных подкладок PB151-1 9пар</t>
  </si>
  <si>
    <t>Приходная накладная 1050 (вх. 4413750-МСК) от 22.04.2024</t>
  </si>
  <si>
    <t>Набор пинцетов из нержавеющей стали 5шт</t>
  </si>
  <si>
    <t>НАБОР ПРЕЦИЗИОННЫХ ОТВЕРТОК 115 ПРЕДМЕТОВ</t>
  </si>
  <si>
    <t>НАБОР ПРЕЦИЗИОННЫХ ОТВЕРТОК 24 ПРЕДМЕТА</t>
  </si>
  <si>
    <t>Набор прецизионных отверток 6шт JTC</t>
  </si>
  <si>
    <t>Набор пропеллеров</t>
  </si>
  <si>
    <t>Приходная накладная 5135 (вх. 59) от 01.01.2024</t>
  </si>
  <si>
    <t>Набор радиомонтажника MAXTerm 12в1</t>
  </si>
  <si>
    <t>Набор реагентов для выявления наркотиков (экспресс-тест)</t>
  </si>
  <si>
    <t>Приходная накладная 1252 (вх. 1396) от 21.05.2024</t>
  </si>
  <si>
    <t>Набор резьбовых шаблонов комбин. для дюйм.и метрич.резьбы из 52шт.М60</t>
  </si>
  <si>
    <t>Приходная накладная 696 (вх. 3169598-МСК) от 25.03.2024</t>
  </si>
  <si>
    <t>Набор рожковых ключей Professional 12шт</t>
  </si>
  <si>
    <t>Набор ручного инструмента "Home Series" HT0008 8 предметов</t>
  </si>
  <si>
    <t>Набор св.д/мет 170шт 1-10мм</t>
  </si>
  <si>
    <t>Набор сверел ступеньчатых HSS 4241 3пр</t>
  </si>
  <si>
    <t>Приходная накладная 313 (вх. 1626707-МСК) от 16.02.2024</t>
  </si>
  <si>
    <t>Набор сверл по дереву  DH08-1 8 шт</t>
  </si>
  <si>
    <t>Приходная накладная 1108 (вх. 4822367-МСК) от 02.05.2024</t>
  </si>
  <si>
    <t>Набор сверл по дереву 50 предметов</t>
  </si>
  <si>
    <t>Набор сверл по металлу 1-13 HSS-Co</t>
  </si>
  <si>
    <t>Набор сверл по металлу 19 шт</t>
  </si>
  <si>
    <t>Набор стоматологических инструментов 6 предметов в боксе</t>
  </si>
  <si>
    <t>Приходная накладная 654 (вх. 0146751736-0043/1502) от 15.02.2024</t>
  </si>
  <si>
    <t>Набор текстовыделителей Attache Palette 1-5мм набор 4цв HL6010</t>
  </si>
  <si>
    <t>Набор текстовыделителей ATTACHE набор 4цв. 1-3,9 мм</t>
  </si>
  <si>
    <t>Набор текстовыделителей ATTACHE набор 4цв. 1-4 мм треугольный</t>
  </si>
  <si>
    <t>Набор текстовыделителей EDDING E-345/4S набо р 4цв.1-5мм</t>
  </si>
  <si>
    <t>Набор текстовыделителей текста Attache Colored 1-5мм набор 4цв</t>
  </si>
  <si>
    <t>Набор торцевых головок 1/4"4-14 мм и 1/2"10-32 мм, 94 предмета</t>
  </si>
  <si>
    <t>Набор торцевых ключей 24 шт</t>
  </si>
  <si>
    <t>Набор трапециевидных лезвий 19мм 10 шт</t>
  </si>
  <si>
    <t>Набор ударных удлиненных головок 10-32мм 15 предметов</t>
  </si>
  <si>
    <t>Набор цанг ER25 2-16мм 15шт</t>
  </si>
  <si>
    <t>Приходная накладная 546 (вх. 2718035-МСК) от 14.03.2024</t>
  </si>
  <si>
    <t>Набор цанг ER32 из 18 шт 3-20мм</t>
  </si>
  <si>
    <t>Приходная накладная 2330 (вх. 10634287-МСК) от 05.09.2024</t>
  </si>
  <si>
    <t>Набор ЧИП-светодиодов (5 цвета по 15шт)</t>
  </si>
  <si>
    <t>Приходная накладная 151 (вх. 0053300) от 24.01.2024</t>
  </si>
  <si>
    <t>Набор шарошек 3шт</t>
  </si>
  <si>
    <t>Набор шестигранников Г-образн.19 мм, 13 шт</t>
  </si>
  <si>
    <t>Набор шестигранных длинных ключей с шаром 9 шт</t>
  </si>
  <si>
    <t>Набор шестигранных отверток №4</t>
  </si>
  <si>
    <t>Набор щупов №2 100мм</t>
  </si>
  <si>
    <t>Приходная накладная 2093 (вх. УП-588) от 16.08.2024</t>
  </si>
  <si>
    <t>Набор щупов №2 70мм</t>
  </si>
  <si>
    <t>Приходная накладная 5360 (вх. УТ-4752) от 29.10.2024</t>
  </si>
  <si>
    <t>Нагреватель 1 DPX 02.70.03</t>
  </si>
  <si>
    <t>Нагреватель 1 DPX 02.70.03 блок 250</t>
  </si>
  <si>
    <t>Нагревательный элемент для кусачек W19</t>
  </si>
  <si>
    <t>Надфили алмазные в наб. 4x160x50мм 10пр</t>
  </si>
  <si>
    <t>Накидки на сиденья С БОКОВИНАМИ и ПОДГОЛОВНИКАМИ из стёганного велюра для Газель / Бизнес / Некст</t>
  </si>
  <si>
    <t>Приходная накладная 5170 (вх. 643852/137) от 16.10.2024</t>
  </si>
  <si>
    <t>Накладной/подвесной шинопровод L 2000mm</t>
  </si>
  <si>
    <t>Наклейка знак электробезопасности Опасность поражения электротоком 50x50x50 мм 50шт</t>
  </si>
  <si>
    <t>Наклейка информационная (А4) фронтального стеллажа</t>
  </si>
  <si>
    <t>Наклейки RiForm "Пожароопасно. Легко воспламеняющиеся вещества", 30х30мм, 2 листа, по 20шт</t>
  </si>
  <si>
    <t>Приходная накладная 3851 (вх. 950013202409040001) от 11.09.2024</t>
  </si>
  <si>
    <t>Наконечник короткий для 3D индикатора 4мм</t>
  </si>
  <si>
    <t>Приходная накладная 1552 (вх. 1181) от 26.06.2024</t>
  </si>
  <si>
    <t>Наконечник М3 для заклепочника</t>
  </si>
  <si>
    <t>Приходная накладная 1854 (вх. 8826093-МСК) от 25.07.2024</t>
  </si>
  <si>
    <t>Наконечник медный луженый ТМЛ 6-6-4 JG-6</t>
  </si>
  <si>
    <t>Приходная накладная 148 (вх. 209/3123753-1) от 24.01.2024</t>
  </si>
  <si>
    <t>Наконечник НКИ 5.5-5 кольцо</t>
  </si>
  <si>
    <t>Наконечник НШВИ 2x6-14 100шт</t>
  </si>
  <si>
    <t>Наконечник силовой медный луженый ТМЛ JG-16-8-6</t>
  </si>
  <si>
    <t>Наконечник ТМЛ 10-6-5 луженый</t>
  </si>
  <si>
    <t>Приходная накладная 147 (вх. 209/3123753-2) от 24.01.2024</t>
  </si>
  <si>
    <t>Наконечник ТМЛ 16 JG-16 медный луженый кабельный TDM</t>
  </si>
  <si>
    <t>Наконечник ТМЛ 25-10-8 луженый (КВТ 40882)</t>
  </si>
  <si>
    <t>Наконечник штифтовой алюминиевый луженый НШАЛ 16-14</t>
  </si>
  <si>
    <t>Наконечник штыревой втулочный изолированный НШВИ 2.5–8</t>
  </si>
  <si>
    <t>Накопитель ssd 2.5 crucial ct2000mx500ssd1</t>
  </si>
  <si>
    <t>Приходная накладная 348 (вх. 38137) от 19.02.2024</t>
  </si>
  <si>
    <t>Накопитель SSD Apacer 512Gb  AS350 SATA 2.5</t>
  </si>
  <si>
    <t>НАП ГАЗИРОВ ДОБРЫЙ КОЛА ПЭТ 1Л | НАПИТОК ГАЗИРОВАННЫЙ ДОБРЫЙ КОЛА ПЭТ 1Л</t>
  </si>
  <si>
    <t>Приходная накладная 4384 (вх. R485814706-H07252407061) от 01.04.2024</t>
  </si>
  <si>
    <t>Напильник шлифовальный пневматический ленточный</t>
  </si>
  <si>
    <t>Наполнитель для галтовки BALL MC Ф6мм керамика</t>
  </si>
  <si>
    <t>Приходная накладная 1765 (вх. 6584) от 18.07.2024</t>
  </si>
  <si>
    <t>Нарукавники ПВХ VS0-20</t>
  </si>
  <si>
    <t>Насадка SHOCKWAVE PZ1  50мм</t>
  </si>
  <si>
    <t>Приходная накладная 4167 (вх. 21428) от 23.09.2024</t>
  </si>
  <si>
    <t>Насадка для МФИ шлиф.листы, дельта, VELCRO, 6 отверстий 93 мм, P240, 10 шт</t>
  </si>
  <si>
    <t>Приходная накладная 1385 (вх. 6627929-МСК) от 10.06.2024</t>
  </si>
  <si>
    <t>Насадка для шурупов и болтов с 6-гр.головкой, d=13 мм,L=48 мм</t>
  </si>
  <si>
    <t>Насадка МОП 40см  100% микрофибра ( ТВ-11/11)</t>
  </si>
  <si>
    <t>Насадка МОП Luscan 40x11см х/б тафтинг карман/ухо бежевая</t>
  </si>
  <si>
    <t>Насадка МОП Метлана 40см хлопок</t>
  </si>
  <si>
    <t>Насадка на шприц для смазки, наконечник для шприца смазки</t>
  </si>
  <si>
    <t>Приходная накладная 4236 (вх. 560333/140) от 26.09.2024</t>
  </si>
  <si>
    <t>Насадка угловая DH03-1</t>
  </si>
  <si>
    <t>Приходная накладная 1842 (вх. 8766164-МСК) от 24.07.2024</t>
  </si>
  <si>
    <t>Насадка угловая для шуруповерта  DH03065</t>
  </si>
  <si>
    <t>Насос DWP 2200</t>
  </si>
  <si>
    <t>Приходная накладная 1576 (вх. 7299) от 27.06.2024</t>
  </si>
  <si>
    <t>Насос перекачки топлива 220V 60 л/мин "Арес" БАК.11060</t>
  </si>
  <si>
    <t>Приходная накладная 3820 (вх. 10727157-МСК) от 09.09.2024</t>
  </si>
  <si>
    <t>Настенная вешалка с пятью раздвижными крючками</t>
  </si>
  <si>
    <t>Настройка, доработка программы 1С</t>
  </si>
  <si>
    <t>Приходная накладная 4761 (вх. 269) от 05.06.2024</t>
  </si>
  <si>
    <t>Наушники A4Tech Fstyler FH100U белый/черный</t>
  </si>
  <si>
    <t>Нектар Добрый Апельсин с мякотью 2 л</t>
  </si>
  <si>
    <t>Нектар Добрый Апельсин, 2л x 6 шт</t>
  </si>
  <si>
    <t>Приходная накладная 4372 (вх. R745186316-Н40885628194) от 26.04.2024</t>
  </si>
  <si>
    <t>Нектар Добрый Деревенские яблочки с мякотью 2 л</t>
  </si>
  <si>
    <t>Нектар Добрый Мультифрукт с провитамином А 1 л</t>
  </si>
  <si>
    <t>Нектар Добрый Мультифрукт с провитамином А 2 л</t>
  </si>
  <si>
    <t>Нектар Добрый яблоко осветленный 2 л</t>
  </si>
  <si>
    <t>Нектар Любимый яблоко 1,93 л</t>
  </si>
  <si>
    <t>Нектарины с желтой мякотью</t>
  </si>
  <si>
    <t>Неодимовый магнит  10х1мм 20шт</t>
  </si>
  <si>
    <t>Приходная накладная 1285 (вх. 5886380-МСК) от 24.05.2024</t>
  </si>
  <si>
    <t>Неодимовый магнит диск 20х3 мм 10шт</t>
  </si>
  <si>
    <t>Неодимовый магнит с зенковкой 8xd3x2 10шт</t>
  </si>
  <si>
    <t>Нефрас 80/120 в/с</t>
  </si>
  <si>
    <t>Нефрас бензин-галоша 0,5л</t>
  </si>
  <si>
    <t>Нижняя крышка пульта управления (Sheregesh)</t>
  </si>
  <si>
    <t>Низковольтный светильник Армата 049</t>
  </si>
  <si>
    <t>Приходная накладная 2203 (вх. 10173441-МСК) от 26.08.2024</t>
  </si>
  <si>
    <t>Никелевая лента для точечной сварки литиевых аккумуляторов N6 0,15 х 5 мм 1м\AB retail</t>
  </si>
  <si>
    <t>Ниппель 072.10DUB21</t>
  </si>
  <si>
    <t>Ниппель 100.08HGF10B</t>
  </si>
  <si>
    <t>Ниппель 100.08HGF10R</t>
  </si>
  <si>
    <t>Нож 18мм</t>
  </si>
  <si>
    <t>Нож выдвижным лезвием 9мм</t>
  </si>
  <si>
    <t>Нож для графических работ</t>
  </si>
  <si>
    <t>Нож канцелярский  9мм Attache с фиксатором, полибег, цв.красный</t>
  </si>
  <si>
    <t>Нож канцелярский 18мм Attache с фиксатором, полибег, цв.в ассорт.</t>
  </si>
  <si>
    <t>Нож канцелярский 18мм Attache с фиксатором и металлическими направляющими</t>
  </si>
  <si>
    <t>Нож канцелярский 18мм Attache чёрный, цв. фиксатора в ассорт.</t>
  </si>
  <si>
    <t>Нож канцелярский 9мм Attache металлический, фиксатор, цв.металлик</t>
  </si>
  <si>
    <t>Нож канцелярский 9мм  Attache с фиксатором, полибег, цв.в ассорт.</t>
  </si>
  <si>
    <t>Нож поворотный CTK FC 12x12x1.5 KCR08</t>
  </si>
  <si>
    <t>Приходная накладная 1723 (вх. 7101) от 16.07.2024</t>
  </si>
  <si>
    <t>Нож с сегментированным лезвием технический 25мм</t>
  </si>
  <si>
    <t>Нож столовый MARVEL  (Австрия), 2 шт./уп. (811)</t>
  </si>
  <si>
    <t>Нож универсальный 18мм OLFA  (L5) , двухкомпонентный корпус, фиксатор</t>
  </si>
  <si>
    <t>Нож универсальный Attache Selection 18мм,метал.напр.,пласт.корпус,Auto lock</t>
  </si>
  <si>
    <t>Нож универсальный мощный ширина 25 мм</t>
  </si>
  <si>
    <t>Нож универсальный складной</t>
  </si>
  <si>
    <t>Ножницы 175мм</t>
  </si>
  <si>
    <t>Ножницы 210 мм</t>
  </si>
  <si>
    <t>Ножницы 215мм ATTACHE</t>
  </si>
  <si>
    <t>Ножницы 260мм</t>
  </si>
  <si>
    <t>Ножницы Attache 140 мм с пластик. эллиптическими ручками,цвет черный</t>
  </si>
  <si>
    <t>Ножницы Attache 169 мм с пластик. эллиптическими ручками,цвет черный</t>
  </si>
  <si>
    <t>Ножницы Attache 195 мм с пласт.прорезин.ручками,цвет бирюзовый/черный</t>
  </si>
  <si>
    <t>Ножницы Attache 195мм</t>
  </si>
  <si>
    <t>Ножницы Attache 215 мм с пласт. прорезин. руч.Attache цвет зелен/черн</t>
  </si>
  <si>
    <t>Ножницы КОМУС 190 мм с пластик. эллиптическими ручками, цвет черный</t>
  </si>
  <si>
    <t>Ножницы КОМУС 203 мм с пластик. эллиптическими ручками, цвет черный</t>
  </si>
  <si>
    <t>Ножницы по металлу 145мм</t>
  </si>
  <si>
    <t>Приходная накладная 1761 (вх. 8489960-МСК) от 18.07.2024</t>
  </si>
  <si>
    <t>Ножницы секторные</t>
  </si>
  <si>
    <t>Ножовка-ручка по металлу</t>
  </si>
  <si>
    <t>Номерок 20*30 мм, акрил цветной 3мм, гравировка</t>
  </si>
  <si>
    <t>Приходная накладная 872 (вх. 078) от 29.03.2024</t>
  </si>
  <si>
    <t>Ноутбук 17.3 MSI GF76 Katana</t>
  </si>
  <si>
    <t>Приходная накладная 538 (вх. 10) от 29.01.2024</t>
  </si>
  <si>
    <t>Ноутбук Acer Aspire 5</t>
  </si>
  <si>
    <t>Приходная накладная 606 (вх. 68625) от 15.03.2024</t>
  </si>
  <si>
    <t>Ноутбук Gigabyte G5 MF Core i7 12620H 16Gb SSD512 RTX4050 6Gb FHD 144hz</t>
  </si>
  <si>
    <t>Приходная накладная 5225 (вх. 1510-12) от 23.10.2024</t>
  </si>
  <si>
    <t>Ноутбук HP 250 G8 5Z0H9ES, 15.6", SVA, Intel Core i5 1135G7 2.4ГГц, 4-ядерный, 8ГБ DDR4, 512ГБ SSD</t>
  </si>
  <si>
    <t>Приходная накладная 1523 (вх. 164112) от 24.06.2024</t>
  </si>
  <si>
    <t>Ноутбук HP 250 G8 85С69ЕА, 15.6", Intel Core i5 1135G7 2.4ГГц, 4-ядерный, 8ГБ DDR4, 256ГБ SSD, Intel</t>
  </si>
  <si>
    <t>Приходная накладная 1310 (вх. 5965) от 29.05.2024</t>
  </si>
  <si>
    <t>Ноутбук HP 250 G9 (8A5U2EA)</t>
  </si>
  <si>
    <t>Приходная накладная 5309 (вх. 2410-16) от 24.10.2024</t>
  </si>
  <si>
    <t>Ноутбук HP 250 G9 Core i5 1235U 8gb SSD 512gb Intel Iris Xe gr 15.6 FHD Win11</t>
  </si>
  <si>
    <t>Приходная накладная 2303 (вх. 0309-13) от 03.09.2024</t>
  </si>
  <si>
    <t>Ноутбук Huawei DRR-W76 i7/16/512Gb</t>
  </si>
  <si>
    <t>Приходная накладная 4343 (вх. S002/1110890925/1) от 20.06.2024</t>
  </si>
  <si>
    <t>Ноутбук Huawei MateBook 16S CREFG-X</t>
  </si>
  <si>
    <t>Приходная накладная 1912 (вх. 3007-11) от 30.07.2024</t>
  </si>
  <si>
    <t>Ноутбук Huawei MateBook D 14 53013ХЕТ, 14", 2024, IPS, Intel Core I5 12450H 2ГГц, 8-ядерный, 16ГБ LP</t>
  </si>
  <si>
    <t>Приходная накладная 1289 (вх. 136563) от 24.05.2024</t>
  </si>
  <si>
    <t>Ноутбук Huawei MateBook D 15 (BoDe-WFH9) i51155G7/SSD 512/</t>
  </si>
  <si>
    <t>Ноутбук Huawei MateBook D 16 i5 12450/SSD 512/</t>
  </si>
  <si>
    <t>Приходная накладная 1101 (вх. ФЦ3-011232/8257) от 26.04.2024</t>
  </si>
  <si>
    <t>Ноутбук iRU Калибр 14TLH , 14.1", IPS, Intel Core i3 1115G4 1.7ГГц, 2-ядерный, 8ГБ DDR4, 256ГБ SSD,</t>
  </si>
  <si>
    <t>Приходная накладная 133 (вх. 23) от 23.01.2024</t>
  </si>
  <si>
    <t>Ноутбук Lenovo idealPad 5</t>
  </si>
  <si>
    <t>Приходная накладная 4138 (вх. 41) от 09.07.2024</t>
  </si>
  <si>
    <t>Ноутбук Lenovo IdeaPad 3 Gaming 16ARH7 16" IPS WUXGA 165Hz/AMD Ryzen5 6600H/8Gb/SSD512Gb/Nvidia RTX</t>
  </si>
  <si>
    <t>Приходная накладная 1003 (вх. 0146751736-0098/1504) от 16.04.2024</t>
  </si>
  <si>
    <t>Ноутбук MagicBook 15 5301AFVT AMD Ryzen 5 5500U 8 ГБ DDR4 512SSD AMD Radeon</t>
  </si>
  <si>
    <t>Приходная накладная 343 (вх. 183) от 19.02.2024</t>
  </si>
  <si>
    <t>Ноутбук MSI Bravo 15 Ryzen 7 7735HS/SSD 512/RTX 4050</t>
  </si>
  <si>
    <t>Приходная накладная 309 (вх. ФЦЗ-004239/8257) от 15.02.2024</t>
  </si>
  <si>
    <t>Ноутбук MSI GF63 Thin 12UC-1036XRU, 15.6, IPS, intel core i5 12450</t>
  </si>
  <si>
    <t>Приходная накладная 1099 (вх. 114526) от 26.04.2024</t>
  </si>
  <si>
    <t>Ноутбук MSI GF63 Thin 12UC-1037XRU, 15.6, IPS, intel core i5 12450 RTX2050</t>
  </si>
  <si>
    <t>Приходная накладная 5312 (вх. 2410-13) от 24.10.2024</t>
  </si>
  <si>
    <t>Ноутбук MSI GF76 17,3 Katana для Шторма</t>
  </si>
  <si>
    <t>Приходная накладная 612 (вх. 307) от 15.03.2024</t>
  </si>
  <si>
    <t>Ноутбук MSI Sword 17</t>
  </si>
  <si>
    <t>Приходная накладная 4253 (вх. 0104-7) от 01.04.2024</t>
  </si>
  <si>
    <t>Ноутбук игровой MSI GF63 Thin 11UCX-1609XRU 9S7-16R612-1609, 15.6", IPS, Intel Core i5 11260H</t>
  </si>
  <si>
    <t>Приходная накладная 894 (вх. 91193) от 04.04.2024</t>
  </si>
  <si>
    <t>Ноутбук игровой MSI GF63 Thin 12UCX-1037XRU 9S7-16R821-1037, 15.6", IPS, Intel Core i5 12450H 2ГГц</t>
  </si>
  <si>
    <t>Приходная накладная 4882 (вх. 0310-15) от 03.10.2024</t>
  </si>
  <si>
    <t>Обезжириватель 0.5л</t>
  </si>
  <si>
    <t>Оборудование для пожарной системы в серверную</t>
  </si>
  <si>
    <t>Приходная накладная 4171 (вх. 27) от 01.07.2024</t>
  </si>
  <si>
    <t>Обслуживание оборудования</t>
  </si>
  <si>
    <t>Приходная накладная 3872 (вх. 108) от 31.08.2024</t>
  </si>
  <si>
    <t>Обучение персонала</t>
  </si>
  <si>
    <t>Приходная накладная 3883 (вх. ЕВР-01 ) от 29.08.2024</t>
  </si>
  <si>
    <t>Огнетушитель порошковый ОП-5 (з) АВСЕ РИФ (ЗПУ Латунь) 1шт</t>
  </si>
  <si>
    <t>Огнетушитель порошковый специальный ОПС-5 D3</t>
  </si>
  <si>
    <t>Приходная накладная 582 (вх. ЦБ-7490) от 12.03.2024</t>
  </si>
  <si>
    <t>Ограждение для складов</t>
  </si>
  <si>
    <t>Приходная накладная 4252 (вх. 56) от 01.04.2024</t>
  </si>
  <si>
    <t>ОДА Сервис Ультразвуковая ванна с цифровым управлением, функциями подогрева и дегазации, 3 л ODA-LD3</t>
  </si>
  <si>
    <t>одинчный ESC для электрического скейтборда</t>
  </si>
  <si>
    <t>Одноканальный буферный элемент</t>
  </si>
  <si>
    <t>Одноканальный релейный модуль постоянного тока 5V 10А</t>
  </si>
  <si>
    <t>Приходная накладная 2145 (вх. 231948/416) от 20.08.2024</t>
  </si>
  <si>
    <t>однокональный буферный элемент с триггером Шмитта</t>
  </si>
  <si>
    <t>Одноплатный компьютер Orange Pi 5 RK3588S 16ГБ</t>
  </si>
  <si>
    <t>Приходная накладная 1004 (вх. 5668-070324) от 16.04.2024</t>
  </si>
  <si>
    <t>Одноуровневая водосливная арматура IDDIS</t>
  </si>
  <si>
    <t>Приходная накладная 2116 (вх. 9562138-МСК) от 19.08.2024</t>
  </si>
  <si>
    <t>Оказание услуг по обращению с ТКО  за 08.2024(308006, Белгородская обл, Белгород г, Корочанская ул,</t>
  </si>
  <si>
    <t>Приходная накладная 3962 (вх. 298/БЛГ-8 197/2408) от 16.09.2024</t>
  </si>
  <si>
    <t>Олимп Ручка откидная усиленная, покрытие цинк</t>
  </si>
  <si>
    <t>Приходная накладная 258 (вх. 1408957-МСК) от 12.02.2024</t>
  </si>
  <si>
    <t>Оловянные  паяльные шарики РМТС ВПФ 25л 0,2мм,0,25мм,0,3мм,0,35</t>
  </si>
  <si>
    <t>ОНЛАЙТ клей 90 091 oem-ks01-11-270-1000 (стержень, 11 мм х 270 мм, 1 кг) 90091</t>
  </si>
  <si>
    <t>ОНЛАЙТ Сумка OTA-Bag04 поясная</t>
  </si>
  <si>
    <t>ООО "АБЗ КАПОТНЯ" Песок (мешок 25 кг) 1506</t>
  </si>
  <si>
    <t>ООО Комус Замок мебельный_узк стандарт врезной зм20мм (400kc) пластик,2 ст.кл (14687), 1739097</t>
  </si>
  <si>
    <t>Приходная накладная 2117 (вх. 9767795-МСК) от 19.08.2024</t>
  </si>
  <si>
    <t>ООО Комус Замок почтовый ITALY NEW/ BANGGU 20x90 прямой ригель 718227</t>
  </si>
  <si>
    <t>ООО Комус Насадка моп кентукки 350гр 100проц. хлопок 568814</t>
  </si>
  <si>
    <t>ООО Солнышко Очки защитные открытые Спектр -"Солнышко"-УФ УФ-01</t>
  </si>
  <si>
    <t>Оперативная память Hynix 16GB SO-DIMM</t>
  </si>
  <si>
    <t>Приходная накладная 301 (вх. 511) от 14.02.2024</t>
  </si>
  <si>
    <t>Оперативная память Hynix DDR4 32GB RDIMM (PC4-23400) 2933MHz ECC Registered 1.2V</t>
  </si>
  <si>
    <t>Оперативный журнал по электроустановкам,60стр,А4</t>
  </si>
  <si>
    <t>Оперативный журнал-центрМar</t>
  </si>
  <si>
    <t>Опилки древесные, мешок 50 л</t>
  </si>
  <si>
    <t>Приходная накладная 3930 (вх. 11066693-МСК) от 16.09.2024</t>
  </si>
  <si>
    <t>Оплетка для выпайки диаметр 1.5 мм длина 300см</t>
  </si>
  <si>
    <t>Приходная накладная 1440 (вх. 835171/140) от 14.06.2024</t>
  </si>
  <si>
    <t>Оплетка из полиэстера черная TXPLT-15PET-5</t>
  </si>
  <si>
    <t>Приходная накладная 1521 (вх. 1713) от 21.06.2024</t>
  </si>
  <si>
    <t>Оплетка из полиэстера черная TXPLT-15PET-8</t>
  </si>
  <si>
    <t>Оплетка кабельная SWB 4-1(20м) черная</t>
  </si>
  <si>
    <t>Приходная накладная 5353 (вх. 0936805) от 29.10.2024</t>
  </si>
  <si>
    <t>Оплетка кабельная SWB-06(10м) прозрачная</t>
  </si>
  <si>
    <t>Приходная накладная 2176 (вх. 240822029) от 22.08.2024</t>
  </si>
  <si>
    <t>Оплетка кабельная SWB-08(10м) прозрачная</t>
  </si>
  <si>
    <t>Оплетка кабельная SWB-08(10м) черная</t>
  </si>
  <si>
    <t>Приходная накладная 2016 (вх. -------) от 08.08.2024</t>
  </si>
  <si>
    <t>Оплетка кабельная SWB-10(10м) черная</t>
  </si>
  <si>
    <t>Приходная накладная 5245 (вх. 248) от 23.10.2024</t>
  </si>
  <si>
    <t>Оплетка кабельная ХР-10</t>
  </si>
  <si>
    <t>Оплетка кабельная ХР-16</t>
  </si>
  <si>
    <t>Приходная накладная 1344 (вх. 123) от 04.06.2024</t>
  </si>
  <si>
    <t>Опора W Montage 840*1000</t>
  </si>
  <si>
    <t>Опора для труб RTP одинарная, D25</t>
  </si>
  <si>
    <t>Опора металлическая Диаметр 76мм высота 728мм</t>
  </si>
  <si>
    <t>Опрыскиватель 1 л,  Лазурит  2996669</t>
  </si>
  <si>
    <t>Опрыскиватель Profession 5л</t>
  </si>
  <si>
    <t>Оптический блок HEQ Part Material : abs+pc Mold Core Material: S136H Number of cavities?3*1</t>
  </si>
  <si>
    <t>Оптический модуль HolyBro PX4FLOW V1.3.1 + сонар MB1043 для Pixhawk</t>
  </si>
  <si>
    <t>Оптический поток и датчик Lidar Ardupilot</t>
  </si>
  <si>
    <t>Оптопара PC817-SMD- 4P(UTC)</t>
  </si>
  <si>
    <t>Оптопара РС817</t>
  </si>
  <si>
    <t>Приходная накладная 1109 (вх. 120) от 02.05.2024</t>
  </si>
  <si>
    <t>Опытный образец БВС "Втулка с камерой 30"</t>
  </si>
  <si>
    <t>Приходная накладная 4865 (вх. 20240111-1  ) от 11.01.2024</t>
  </si>
  <si>
    <t>Опытный образец БВС "Втулка с тепловизором"</t>
  </si>
  <si>
    <t>Организатор кабельный Emilink Вертикальный кабельный органайзер 42U, для шкафов серии ПРОЦОД с сегме</t>
  </si>
  <si>
    <t>Оргстекло 3х2050х3050мм бесцветное</t>
  </si>
  <si>
    <t>Приходная накладная 5115 (вх. 0912-059) от 30.06.2024</t>
  </si>
  <si>
    <t>Оргстекло PLEXIGLAS xt 2*2050*1525мм бесцветное</t>
  </si>
  <si>
    <t>Приходная накладная 397 (вх. 0206-001) от 06.02.2024</t>
  </si>
  <si>
    <t>Оргстекло бесцветное 10х2050х3050мм</t>
  </si>
  <si>
    <t>Приходная накладная 1707 (вх. Т-1698) от 15.07.2024</t>
  </si>
  <si>
    <t>Оргстекло бесцветное 3х1525х2050</t>
  </si>
  <si>
    <t>Приходная накладная 120 (вх. 0119-002) от 19.01.2024</t>
  </si>
  <si>
    <t>Оргстекло Полка для ванной настенная 200х110х70мм,самоклеящаяся 1шт</t>
  </si>
  <si>
    <t>оригинальный двигатель складной пластиковый пропеллер</t>
  </si>
  <si>
    <t>Освежитель воздуха Synergetic Миндаль и яблоневый цвет 380мл водный</t>
  </si>
  <si>
    <t>Освежитель воздуха Прохлада раннего утра</t>
  </si>
  <si>
    <t>Осевой винт</t>
  </si>
  <si>
    <t>Приходная накладная 1809 (вх. 458) от 22.07.2024</t>
  </si>
  <si>
    <t>Осколпласт Корзина для мусора 10 л черная 325533</t>
  </si>
  <si>
    <t>Приходная накладная 579 (вх. 2861066-МСК) от 18.03.2024</t>
  </si>
  <si>
    <t>Осколпласт Корзина для мусора 14 л черная 409803</t>
  </si>
  <si>
    <t>Осциллограф Rigol DS2202A</t>
  </si>
  <si>
    <t>Приходная накладная 1896 (вх. 240729017) от 29.07.2024</t>
  </si>
  <si>
    <t>Осциллограф цифровой 12бит, 4 канала х 100Мгц\DHO814</t>
  </si>
  <si>
    <t>Приходная накладная 691 (вх. 0240755) от 22.03.2024</t>
  </si>
  <si>
    <t>Осциллограф цифровой UNI-T UTD2102CEX+ 2 канала 100МГц</t>
  </si>
  <si>
    <t>Приходная накладная 93 (вх. 0376550-МСК) от 18.01.2024</t>
  </si>
  <si>
    <t>Отбеливатель Белизна Нева 1 л</t>
  </si>
  <si>
    <t>Отбеливатель БЕЛИЗНА-гель(концентрат) Стерил 1л.</t>
  </si>
  <si>
    <t>Отбойник, габарит 1750h830мм, Материал исполнения ЛДСП, Цвет белый</t>
  </si>
  <si>
    <t>Приходная накладная 4424 (вх. 47) от 13.02.2024</t>
  </si>
  <si>
    <t>Отвердитель Brulex 2К 2000 Standard, 0,5 л</t>
  </si>
  <si>
    <t>Отвердитель Brulex 2К 2000 Standard, 2,5 л</t>
  </si>
  <si>
    <t>Отвердитель HG 286</t>
  </si>
  <si>
    <t>Приходная накладная 1439 (вх. УТ-459) от 14.06.2024</t>
  </si>
  <si>
    <t>Отвердитель HG 287</t>
  </si>
  <si>
    <t>Приходная накладная 1993 (вх. УТ-583) от 06.08.2024</t>
  </si>
  <si>
    <t>Отвердитель ДА (опытный)</t>
  </si>
  <si>
    <t>Приходная накладная 4961 (вх. 2327) от 01.01.2024</t>
  </si>
  <si>
    <t>Отвердитель ТЭТА 1кг</t>
  </si>
  <si>
    <t>Приходная накладная 1199 (вх. 1407397/5) от 16.05.2024</t>
  </si>
  <si>
    <t>Отвертка PH 0/60 мм</t>
  </si>
  <si>
    <t>Приходная накладная 481 (вх. 2204948-МСК) от 01.03.2024</t>
  </si>
  <si>
    <t>Отвертка PH 1/80 мм</t>
  </si>
  <si>
    <t>Приходная накладная 462 (вх. 2112993-МСК) от 28.02.2024</t>
  </si>
  <si>
    <t>Отвертка PH 2/100 мм</t>
  </si>
  <si>
    <t>Отвертка PH1x100мм на держателе</t>
  </si>
  <si>
    <t>Отвертка PH1x75 с магнитным наконечником</t>
  </si>
  <si>
    <t>Отвертка PZ 2/100 мм</t>
  </si>
  <si>
    <t>Отвертка TORX ProExpert</t>
  </si>
  <si>
    <t>Отвертка TSPROF шестигранная 2мм</t>
  </si>
  <si>
    <t>Отвертка внутренний шестигранник 5,5мм</t>
  </si>
  <si>
    <t>Отвертка диэлектрическая SL3х80мм</t>
  </si>
  <si>
    <t>Отвертка крестовая PH 0х75 мм, трехкомпонентная рукоятка, сталь</t>
  </si>
  <si>
    <t>Отвертка крестовая PH1x200 мм</t>
  </si>
  <si>
    <t>Приходная накладная 5189 (вх. 12361136-МСК) от 21.10.2024</t>
  </si>
  <si>
    <t>Отвертка крестовая PZ0X60 Felo</t>
  </si>
  <si>
    <t>Приходная накладная 422 (вх. 1998410-МСК) от 26.02.2024</t>
  </si>
  <si>
    <t>Отвертка крестовая PZ1X80</t>
  </si>
  <si>
    <t>Отвертка крестовая для точных работ PH 000X60</t>
  </si>
  <si>
    <t>Отвертка с набором бит и торцевых головок</t>
  </si>
  <si>
    <t>Отвертка торцевая 5.5 мм</t>
  </si>
  <si>
    <t>Отвертка торцевой ключ SW 8х125</t>
  </si>
  <si>
    <t>Отвертка ударная  SL6,5х125мм</t>
  </si>
  <si>
    <t>Отвертка шестигранная  3,0 мм TSPROF</t>
  </si>
  <si>
    <t>Отвертка шестигранная  4,0 мм TSPROF</t>
  </si>
  <si>
    <t>Отвертка шестигранная 1,5мм TSPROF</t>
  </si>
  <si>
    <t>Отвертка шестигранная 2,5мм TSPROF</t>
  </si>
  <si>
    <t>Отвертка-битодержатель с насадками 47 шт</t>
  </si>
  <si>
    <t>Отвод  50х45</t>
  </si>
  <si>
    <t>Отрезной диск по металлу</t>
  </si>
  <si>
    <t>Охранные услуги</t>
  </si>
  <si>
    <t>Приходная накладная 3867 (вх. 200) от 31.08.2024</t>
  </si>
  <si>
    <t>оцинковщик видиокассет</t>
  </si>
  <si>
    <t>Авансовый отчет 212 от 19.03.2024</t>
  </si>
  <si>
    <t>Очиститель для стекл и зеркал GLASS</t>
  </si>
  <si>
    <t>Очки защитные ЕЛАНПЛАСТ</t>
  </si>
  <si>
    <t>Очки защитные ЕЛАНПЛАСТ, серия 200 арт. ОЧК201 (0-13021), прозрачные</t>
  </si>
  <si>
    <t>Приходная накладная 4333 (вх. 146165) от 10.07.2024</t>
  </si>
  <si>
    <t>Пакет 30*45</t>
  </si>
  <si>
    <t>Приходная накладная 1081 (вх. Б-006555/7092489) от 24.04.2024</t>
  </si>
  <si>
    <t>Пакет ПВД 250x250мм без бегунка с печатью (Гаскар Групп)</t>
  </si>
  <si>
    <t>Приходная накладная 960 (вх. УТ-493) от 12.04.2024</t>
  </si>
  <si>
    <t>Пакет с замком зип-лок 10*15см, 50мкм 100 шт</t>
  </si>
  <si>
    <t>Пакет с замком зип-лок 15*20см, 80мкм 100 шт</t>
  </si>
  <si>
    <t>Приходная накладная 1382 (вх. 6627933-МСК) от 10.06.2024</t>
  </si>
  <si>
    <t>Пакеты ВПЗ 250*400</t>
  </si>
  <si>
    <t>Приходная накладная 1817 (вх. 24-15626) от 23.07.2024</t>
  </si>
  <si>
    <t>Пакеты ВПЗ 250*400мм 3-х</t>
  </si>
  <si>
    <t>Приходная накладная 5144 (вх. 572) от 10.10.2024</t>
  </si>
  <si>
    <t>Пакеты с замком зиплок гриппер комплект 100 шт. 200х250 мм</t>
  </si>
  <si>
    <t>Пакеты с замком зиплок гриппер комплект 100 шт. 200х300 мм</t>
  </si>
  <si>
    <t>Приходная накладная 145 (вх. 0611721-МСК) от 24.01.2024</t>
  </si>
  <si>
    <t>Пакеты с замком зиплок гриппер комплект 100 шт. 300х400 мм</t>
  </si>
  <si>
    <t>Приходная накладная 4222 (вх. 39674072) от 26.09.2024</t>
  </si>
  <si>
    <t>Пакеты с замком зиплок гриппер комплект 100 шт. 80х120 мм</t>
  </si>
  <si>
    <t>Пакеты с замком зиплок комплект 100 шт. 400х500 мм</t>
  </si>
  <si>
    <t>ПАКС Стеллаж МС-244</t>
  </si>
  <si>
    <t>ПАКС Стеллаж МС-254/500</t>
  </si>
  <si>
    <t>Приходная накладная 238 (вх. 1012751-МСК) от 02.02.2024</t>
  </si>
  <si>
    <t>Паллета для 2 кислородных баллонов ПГМК-02</t>
  </si>
  <si>
    <t>Приходная накладная 840 (вх. 78) от 22.03.2024</t>
  </si>
  <si>
    <t>Память DIMM DDR4 16ГБ 3600MHz Kingston Fury Beast Black</t>
  </si>
  <si>
    <t>Память DIMM DDR4 32768MB PC25600 3200MHz Kingston Fury Beast Black [KF432C16BB/32] CN</t>
  </si>
  <si>
    <t>Память USB Flash Smartbuy 32GB</t>
  </si>
  <si>
    <t>Приходная накладная 2324 (вх. ФЦЗ-022882/8257) от 04.09.2024</t>
  </si>
  <si>
    <t>Панель управления LCP 12 с потенциометром для преобразователей частоты Danfoss VLT Micro Drive FC-05</t>
  </si>
  <si>
    <t>Приходная накладная 1989 (вх. 1165808/17) от 06.08.2024</t>
  </si>
  <si>
    <t>Папка на 2-х кольцах пласт. 35/42мм А4 ATTACHE F502/07 синяя Ро</t>
  </si>
  <si>
    <t>Папка на 4-х кольцах 60мм</t>
  </si>
  <si>
    <t>Папка на резинках Attache Economy 045-PR-E черный</t>
  </si>
  <si>
    <t>Папка на резинках ATTACHE F315/06 черная</t>
  </si>
  <si>
    <t>Папка подвесная регистратура Комус синяя А4, 25 шт</t>
  </si>
  <si>
    <t>Папка уголок , 150 мкм, зеленый 10 шт/уп Россия</t>
  </si>
  <si>
    <t>Папка уголок 180 мкмЭлементари, синий 10шт/уп Россия</t>
  </si>
  <si>
    <t>Папка-конверт на кнопке 180 Элементари, син.10шт/уп</t>
  </si>
  <si>
    <t>Папка-конверт на кнопке Attache Fantasy А4 в уп.8шт в асс.</t>
  </si>
  <si>
    <t>Папка-конверт на кнопке Attache Neon А4 180мкм 8шт/уп оранж,жлт,салат,роз</t>
  </si>
  <si>
    <t>Папка-конверт на кнопке А5, 19х24, 180мкм, синий 10шт/уп</t>
  </si>
  <si>
    <t>Папка-конверт на кнопке КНК 180 бесцв. прз. 10шт/уп</t>
  </si>
  <si>
    <t>Папка-конверт на кнопке КНК 180 матовый 10шт/уп</t>
  </si>
  <si>
    <t>Папка-конверт на молнии 228х335 син</t>
  </si>
  <si>
    <t>Папка-конверт на молнии 228х335 синий</t>
  </si>
  <si>
    <t>Папка-конверт на молнии А5 синий</t>
  </si>
  <si>
    <t>Папка-планшет  A4 черный с верх.створкой Россия</t>
  </si>
  <si>
    <t>Папка-планшет Attache A4 синий</t>
  </si>
  <si>
    <t>Папка-планшет А4 небесно-голубой</t>
  </si>
  <si>
    <t>Папка-планшет д/бумаг Attache 560090 A4 черный</t>
  </si>
  <si>
    <t>Папка-планшет д/бумаг Attache 560093 A4 красный</t>
  </si>
  <si>
    <t>Папка-регистратор ,80 мм Элементари,черны Экономи,мет уголк,ПБП1,карм.кор</t>
  </si>
  <si>
    <t>Папка-регистратор 80мм</t>
  </si>
  <si>
    <t>Папка-регистратор Attache 75мм, т.-синий, ПБП2,карм.кор</t>
  </si>
  <si>
    <t>Папка-регистратор Attache 90 мм мрамор с корешком бумвинил и карманом</t>
  </si>
  <si>
    <t>Папка-регистратор Attache Economy 70 мм (+/- 5 мм) мрамор ч/б (реестр)</t>
  </si>
  <si>
    <t>Папка-регистратор Attache Economy без мет.угол_бюдж 50мм ч/б бум/бум,карм.к</t>
  </si>
  <si>
    <t>Папка-регистратор Attache Economy, 50мм, черный, ПБП1,карм.кор</t>
  </si>
  <si>
    <t>Папка-регистратор Attache Economy, 75мм,  черный, ПБП1, карм.кор</t>
  </si>
  <si>
    <t>Папка-регистратор Attache Selection Strong Line 1450-06 70мм желт карм.кор</t>
  </si>
  <si>
    <t>Папка-регистратор Attache с покрытием  ПВХ, 50мм, т.-синий, ПБП2,карм.кор</t>
  </si>
  <si>
    <t>Папка-регистратор ATTACHE(ПВХ+бум)с мет.уголком,75мм,черный,ПБП1,карм.кор</t>
  </si>
  <si>
    <t>Папка-регистратор ECONOMY PLUS 80 мм,желт,ПБП1,карм.кор,мет.уг</t>
  </si>
  <si>
    <t>Папка-регистратор ECONOMY PLUS 80мм, голубой, ПБП1,карм.кор.,мет.уг</t>
  </si>
  <si>
    <t>Папка-регистратор ECONOMY PLUS 80мм, лайм, ПБП1, карм.кор.,мет.уг</t>
  </si>
  <si>
    <t>Папка-регистратор ECONOMY PLUS 80мм,син,ПБП1,карм.кор,мет.уг</t>
  </si>
  <si>
    <t>Папка-регистратор ECONOMY PLUS, 50 мм,фиол,ПБП1,карм.кор.,мет.уг</t>
  </si>
  <si>
    <t>Папка-регистратор Strong Line  50мм, лайм, ПБП2, карм.кор</t>
  </si>
  <si>
    <t>Папка-регистратор Strong Line  70мм, лайм, ПБП2, карм.кор</t>
  </si>
  <si>
    <t>Папка-регистратор Strong Line 50мм т.-синий, ПБП2, карм.кор</t>
  </si>
  <si>
    <t>Папка-регистратор Strong Line 50мм, красный,ПБП2, карм.кор</t>
  </si>
  <si>
    <t>Папка-регистратор Strong Line 50мм,небесн-голуб,ПБП2,карм.кор</t>
  </si>
  <si>
    <t>Папка-регистратор Strong Line 70мм т.-синий,ПБП2, карм.кор</t>
  </si>
  <si>
    <t>Папка-регистратор Strong Line 70мм, серый, ПБП2, карм.кор</t>
  </si>
  <si>
    <t>Папка-регистратор Strong Line 70мм, сиреневый,ПБП2,карм.кор</t>
  </si>
  <si>
    <t>Папка-регистратор Strong Line 70мм, фуксия , ПБП2,карм.кор</t>
  </si>
  <si>
    <t>Папка-регистратор Комус Стандарт 50мм бирюзовая, ПБП2, карм.кор., мет.уг</t>
  </si>
  <si>
    <t>Папка-регистратор Комус Стандарт 50мм синяя, ПБП2, карм.кор., мет.уг</t>
  </si>
  <si>
    <t>Папка-регистратор Комус Экономи 50мм бирюзовый тиффани,ПБП1,карм.кор,мет.уг</t>
  </si>
  <si>
    <t>Папка-регистратор Комус Экономи 50мм синяя, ПБП1, карм.кор., мет.уг</t>
  </si>
  <si>
    <t>Папка-регистратор Комус Экономи 75мм бирюзовый тиффани,ПБП1,карм.кор,мет.уг</t>
  </si>
  <si>
    <t>Папка-регистратор Комус Экономи 75мм зеленая, ПБП1, карм.кор., мет.уг</t>
  </si>
  <si>
    <t>Папка-регистратор Комус Экономи 75мм красная, ПБП1, карм.кор., мет.уг</t>
  </si>
  <si>
    <t>Папка-регистратор Комус Экономи 75мм синяя, ПБП1, карм.кор., мет.уг</t>
  </si>
  <si>
    <t>Паракод 550 4мм tuloop Сиена 30 м</t>
  </si>
  <si>
    <t>Приходная накладная 275 (вх. 154199/15) от 13.02.2024</t>
  </si>
  <si>
    <t>Паронит листовой 20смх20см х2мм</t>
  </si>
  <si>
    <t>Приходная накладная 1832 (вх. 8701092-МСК) от 24.07.2024</t>
  </si>
  <si>
    <t>Партнер Бери и крепи - набор для крепления сиденья и крышки унитаза (комплект №1) 831627</t>
  </si>
  <si>
    <t>Паспорт "Пульт Шерегеш"</t>
  </si>
  <si>
    <t>Приходная накладная 1188 (вх. 000038) от 14.05.2024</t>
  </si>
  <si>
    <t>Паспорт БВС Корт</t>
  </si>
  <si>
    <t>Приходная накладная 957 (вх. 000018) от 10.04.2024</t>
  </si>
  <si>
    <t>Паспорт БВС Сибирь-1 Камера Х10</t>
  </si>
  <si>
    <t>Приходная накладная 51 (вх. 000001) от 09.01.2024</t>
  </si>
  <si>
    <t>Паспорт БВС Сибирь-1 Камера Х30</t>
  </si>
  <si>
    <t>Приходная накладная 3783 (вх. 000095) от 06.09.2024</t>
  </si>
  <si>
    <t>Паспорт БВС Сибирь-1 Тепловизор A10TR x10</t>
  </si>
  <si>
    <t>Приходная накладная 5316 (вх. 000139) от 24.10.2024</t>
  </si>
  <si>
    <t>Паспорт БВС Сибирь-1 Тепловизор TH10T6LN</t>
  </si>
  <si>
    <t>Паспорт БВС Сибирь-2 Камера Х10</t>
  </si>
  <si>
    <t>Паспорт БВС Сибирь-2 Камера Х30</t>
  </si>
  <si>
    <t>Приходная накладная 1408 (вх. 000056) от 11.06.2024</t>
  </si>
  <si>
    <t>Паспорт БВС Сибирь-2 Тепловизор TH10T6LN</t>
  </si>
  <si>
    <t>Приходная накладная 1705 (вх. 000073) от 15.07.2024</t>
  </si>
  <si>
    <t>Паспорт БВС Сибирячок</t>
  </si>
  <si>
    <t>Приходная накладная 2061 (вх. 000076) от 13.08.2024</t>
  </si>
  <si>
    <t>Паспорт БВС Шторм</t>
  </si>
  <si>
    <t>Приходная накладная 1811 (вх. 000068) от 22.07.2024</t>
  </si>
  <si>
    <t>Паста АЛКМ-1 ТУ</t>
  </si>
  <si>
    <t>Приходная накладная 5202 (вх. 102) от 22.10.2024</t>
  </si>
  <si>
    <t>Паста для очистки рук 500мл</t>
  </si>
  <si>
    <t>Приходная накладная 5348 (вх. 13065822-МСК) от 29.10.2024</t>
  </si>
  <si>
    <t>Паста для уплотнения резьбовых соединений</t>
  </si>
  <si>
    <t>Паста паяльная ALPHA OM5300 62/36/2</t>
  </si>
  <si>
    <t>Приходная накладная 406 (вх. 372) от 22.02.2024</t>
  </si>
  <si>
    <t>Паста паяльная G5ASM833</t>
  </si>
  <si>
    <t>Приходная накладная 215 (вх. 881) от 31.01.2024</t>
  </si>
  <si>
    <t>Патрон 155 Эксперт Станочный ключ в компл. 1-13 мм</t>
  </si>
  <si>
    <t>Приходная накладная 3973 (вх. 11185349-МСК) от 17.09.2024</t>
  </si>
  <si>
    <t>Патч корд FC-D2-503-LC</t>
  </si>
  <si>
    <t>Приходная накладная 1858 (вх. 185830) от 25.07.2024</t>
  </si>
  <si>
    <t>Патч корд UTP4 cat 5e 0,5м LSZH</t>
  </si>
  <si>
    <t>Патч корд UTP4 cat 5e 1м LSZH</t>
  </si>
  <si>
    <t>Патч корд UTP4 cat 5e 3м LSZH</t>
  </si>
  <si>
    <t>Патч корд UTP4 cat 5e 5м LSZH</t>
  </si>
  <si>
    <t>Патч панель высокой плотности 19, категория 5е</t>
  </si>
  <si>
    <t>Приходная накладная 1546 (вх. 22050) от 25.06.2024</t>
  </si>
  <si>
    <t>Патч-корд Buro литой, UTP, cat.5E, 1м, 4 пары, 26AWG</t>
  </si>
  <si>
    <t>Приходная накладная 720 (вх. 80905) от 27.03.2024</t>
  </si>
  <si>
    <t>Патч-корд ITK Generica, вилка RJ-45,  кат.5E,  ПВХ,  2м</t>
  </si>
  <si>
    <t>Патч-корд UTP 4 пары, cat.5e, длина 2м</t>
  </si>
  <si>
    <t>Приходная накладная 630 (вх. 2236) от 12.03.2024</t>
  </si>
  <si>
    <t>Патч-корд UTP 5e литой, серый, 50м</t>
  </si>
  <si>
    <t>Приходная накладная 2035 (вх. 0675354) от 12.08.2024</t>
  </si>
  <si>
    <t>Патч-корд UTP 5e литой, серый, 5м</t>
  </si>
  <si>
    <t>Паяльная ванна</t>
  </si>
  <si>
    <t>Приходная накладная 70 (вх. 18090) от 16.01.2024</t>
  </si>
  <si>
    <t>Паяльная станция</t>
  </si>
  <si>
    <t>Паяльная станция 853D USB 2A  с блоком питания</t>
  </si>
  <si>
    <t>Паяльная станция CV-5200</t>
  </si>
  <si>
    <t>Паяльная станция ремонтная 2 в 1 ST-8802</t>
  </si>
  <si>
    <t>Приходная накладная 818 (вх. 0254035) от 26.03.2024</t>
  </si>
  <si>
    <t>Паяльник для паяльных станций</t>
  </si>
  <si>
    <t>Пвс силовой удлинитель на стальной катушке 3x2.5 30м</t>
  </si>
  <si>
    <t>ПВХ белый 10мм 3050х1560х10 UNEXT STR</t>
  </si>
  <si>
    <t>Приходная накладная 4965 (вх. 28857/22049/001) от 01.01.2024</t>
  </si>
  <si>
    <t>ПВХ для разметки белый 50мм</t>
  </si>
  <si>
    <t>Приходная накладная 1553 (вх. 10598) от 26.06.2024</t>
  </si>
  <si>
    <t>ПВХ для разметки желтый 50мм</t>
  </si>
  <si>
    <t>Приходная накладная 1914 (вх. 10699) от 30.07.2024</t>
  </si>
  <si>
    <t>ПВХ для разметки зеленый 50мм</t>
  </si>
  <si>
    <t>Приходная накладная 1819 (вх. 10695) от 23.07.2024</t>
  </si>
  <si>
    <t>ПВХ для разметки красный 50мм</t>
  </si>
  <si>
    <t>Пенопласт Airex П60 C70.55 лист 2.0х2450x1130 мм, 1 м2</t>
  </si>
  <si>
    <t>Пенопласт Airex П60 C70.55 лист 5.0х2450x1120 мм, 1 м2</t>
  </si>
  <si>
    <t>Пенопласт Airex П60 C70.55 лист 5.0х2450x1130 мм, 1 м2</t>
  </si>
  <si>
    <t>Пенопласт П60 С70.55 лист 2.0х2450х1130мм</t>
  </si>
  <si>
    <t>Приходная накладная 1461 (вх. 529/24) от 18.06.2024</t>
  </si>
  <si>
    <t>Пенопласт П60 С70.55 лист 5.0х2450х1130мм</t>
  </si>
  <si>
    <t>Приходная накладная 1462 (вх. 468/24-2) от 18.06.2024</t>
  </si>
  <si>
    <t>Перегородка на металлических опорах на роликах</t>
  </si>
  <si>
    <t>Приходная накладная 4340 (вх. УТ-739) от 27.06.2024</t>
  </si>
  <si>
    <t>Перегородка по длинне 330х140мм</t>
  </si>
  <si>
    <t>Передатчик Emax Aeris Link TX ELRS 915</t>
  </si>
  <si>
    <t>Приходная накладная 2310 (вх. 0128573646-0026-2142) от 03.09.2024</t>
  </si>
  <si>
    <t>Передвижное экранированное рабочее место - 1</t>
  </si>
  <si>
    <t>Приходная накладная 4249 (вх. 89) от 03.05.2024</t>
  </si>
  <si>
    <t>Передвижное экранированное рабочее место - 2</t>
  </si>
  <si>
    <t>перезаряжаемые аккумуляторные батарейки литий-ионные АА</t>
  </si>
  <si>
    <t>Переключатель</t>
  </si>
  <si>
    <t>Переключатель 6A-10A 110 В</t>
  </si>
  <si>
    <t>Перемычки для макетной платы папа-папа 20см, 40шт</t>
  </si>
  <si>
    <t>Приходная накладная 1014 (вх. 0146751736-0098/1604) от 17.04.2024</t>
  </si>
  <si>
    <t>Переплетчик Bulros K1534</t>
  </si>
  <si>
    <t>Приходная накладная 2255 (вх. Д011624) от 29.08.2024</t>
  </si>
  <si>
    <t>Переходная втулка D32-d12</t>
  </si>
  <si>
    <t>Приходная накладная 2144 (вх. 1683271/33) от 20.08.2024</t>
  </si>
  <si>
    <t>Переходний адаптер универсальный 16А</t>
  </si>
  <si>
    <t>Приходная накладная 363 (вх. 13) от 19.02.2024</t>
  </si>
  <si>
    <t>переходник (коннектор) SMA (male) RP-SMA (female)</t>
  </si>
  <si>
    <t>Переходник 1/2M на 3/8F</t>
  </si>
  <si>
    <t>Переходник 1/4 на 1/2 F</t>
  </si>
  <si>
    <t>Приходная накладная 1053 (вх. 4413744-МСК) от 22.04.2024</t>
  </si>
  <si>
    <t>Переходник 1/4 на 1/2 М</t>
  </si>
  <si>
    <t>Переходник 1/4"М на елочку 10мм с обжимным кольцом 15Х18мм</t>
  </si>
  <si>
    <t>Переходник 3/4 х1/2 СТМ</t>
  </si>
  <si>
    <t>Переходник BSP 1/2(M)</t>
  </si>
  <si>
    <t>Приходная накладная 1266 (вх. 793) от 22.05.2024</t>
  </si>
  <si>
    <t>Переходник EG21-21</t>
  </si>
  <si>
    <t>Приходная накладная 2244 (вх. 467) от 28.08.2024</t>
  </si>
  <si>
    <t>Переходник адаптер универсальный 16А</t>
  </si>
  <si>
    <t>Приходная накладная 220 (вх. 7) от 05.02.2024</t>
  </si>
  <si>
    <t>Переходник для модема MMCX-J - SMA-K</t>
  </si>
  <si>
    <t>Приходная накладная 2146 (вх. 1295867/3) от 20.08.2024</t>
  </si>
  <si>
    <t>Переходник на еврокуб 2"(S60) х 3/4"(наружная резьба) S60x34HР</t>
  </si>
  <si>
    <t>Переходник плоский 10А(сибирячок)</t>
  </si>
  <si>
    <t>Приходная накладная 2140 (вх. 4380) от 20.08.2024</t>
  </si>
  <si>
    <t>Переходник редукционный (параллельная резьба)</t>
  </si>
  <si>
    <t>Приходная накладная 1013 (вх. 66) от 17.04.2024</t>
  </si>
  <si>
    <t>Переходник с углового MMCX</t>
  </si>
  <si>
    <t>Переходник соединитель для интернет кабеля RJ45. патч-корда 8р8с гнездо 8р8с</t>
  </si>
  <si>
    <t>Переходник штуцер М22х1.5 штуцер 3/8</t>
  </si>
  <si>
    <t>Приходная накладная 699 (вх. ВАЦБ-758) от 22.03.2024</t>
  </si>
  <si>
    <t>Персики с желтой мякотью</t>
  </si>
  <si>
    <t>Перфопанель QTPL</t>
  </si>
  <si>
    <t>Перчатки антистатические_M (8)</t>
  </si>
  <si>
    <t>Перчатки для защиты от порезов, размер_10</t>
  </si>
  <si>
    <t>Перчатки НИТРИКС</t>
  </si>
  <si>
    <t>Перчатки нитриловые (упаковка 50 пар) в ассортименте, L</t>
  </si>
  <si>
    <t>Приходная накладная 4310 (вх. 150250) от 25.07.2024</t>
  </si>
  <si>
    <t>Перчатки нитриловые (упаковка 50 пар) в ассортименте, S</t>
  </si>
  <si>
    <t>Перчатки нитриловые (упаковка 50 пар) в ассортименте, XL</t>
  </si>
  <si>
    <t>Приходная накладная 4370 (вх. 127384) от 27.04.2024</t>
  </si>
  <si>
    <t>Перчатки нитриловые (упаковка 50 пар) в ассортименте, М</t>
  </si>
  <si>
    <t>Перчатки нитриловые 100шт</t>
  </si>
  <si>
    <t>Перчатки однораз. виниловые, н/о, прозр. AVIORA (L) 50п/уп 5,5гр 402-639 ПС</t>
  </si>
  <si>
    <t>Перчатки однораз. виниловые, н/о, прозр. AVIORA (М) 50п/уп 5,5гр 402-638 ПС</t>
  </si>
  <si>
    <t>Перчатки резиновые диэлектрические</t>
  </si>
  <si>
    <t>Перчатки резиновые латексные желтые р-р L ЭКОНОМ</t>
  </si>
  <si>
    <t>Перчатки резиновые латексные желтые р-р М ЭКОНОМ</t>
  </si>
  <si>
    <t>Перчатки резино-технические</t>
  </si>
  <si>
    <t>Перчатки резино-технические КЩС 2-й тип_10</t>
  </si>
  <si>
    <t>Перчатки см. латекс CLASSIС 100 штук, размер XL</t>
  </si>
  <si>
    <t>Перчатки ТЕЙКЕР (TAKER) МИКРО ТАЧ NL16NO белые, 7-9</t>
  </si>
  <si>
    <t>Перчатки ТЕЙКЕР (TAKER) МИКРО ТАЧ NL16NO белые, 9-11</t>
  </si>
  <si>
    <t>Перчатки ТЕЙКЕР для защиты от пониженных температур с наладонником</t>
  </si>
  <si>
    <t>Перчатки ТЕЙКЕР КОМФОРТ П2920 утеплённые синий, 10</t>
  </si>
  <si>
    <t>Перчатки трикотажные х/б с ПВХ Точка</t>
  </si>
  <si>
    <t>Петля алюминиевая 20/20</t>
  </si>
  <si>
    <t>Приходная накладная 1232 (вх. 11347) от 20.05.2024</t>
  </si>
  <si>
    <t>Петля накладная ПАУ-65 цинк (10шт)</t>
  </si>
  <si>
    <t>Печатная макетная плата 7 x 9 см двухсторонняя для пайки GSMIN PCB1 (Зеленый)</t>
  </si>
  <si>
    <t>Приходная накладная 1445 (вх. 14409/483) от 14.06.2024</t>
  </si>
  <si>
    <t>Печатная плата ESC_Motor_07022024</t>
  </si>
  <si>
    <t>Приходная накладная 291 (вх. 7609) от 12.02.2024</t>
  </si>
  <si>
    <t>Печатная плата fc_16022024</t>
  </si>
  <si>
    <t>Приходная накладная 879 (вх. 10361) от 26.02.2024</t>
  </si>
  <si>
    <t>Печатная плата PnP_AP_v.1.1_Gerber</t>
  </si>
  <si>
    <t>Приходная накладная 374 (вх. 8653) от 15.02.2024</t>
  </si>
  <si>
    <t>Печатная плата PnP_ESC_v1.2</t>
  </si>
  <si>
    <t>Приходная накладная 290 (вх. 8185) от 13.02.2024</t>
  </si>
  <si>
    <t>Печатная плата rk3399_video_21022024</t>
  </si>
  <si>
    <t>Приходная накладная 878 (вх. 12255) от 05.03.2024</t>
  </si>
  <si>
    <t>Печатная плата rk3399_video_rev1.0</t>
  </si>
  <si>
    <t>Приходная накладная 61 (вх. 1805) от 15.01.2024</t>
  </si>
  <si>
    <t>Печатная плата usi 1400</t>
  </si>
  <si>
    <t>Печать на автоматической оснастке Colop Printer R40</t>
  </si>
  <si>
    <t>Приходная накладная 4364 (вх. 1936) от 14.05.2024</t>
  </si>
  <si>
    <t>Печать наклейка</t>
  </si>
  <si>
    <t>Приходная накладная 4898 (вх. 466) от 04.10.2024</t>
  </si>
  <si>
    <t>Печать самонаборная 4строки OfficeSpace/ штамп с буквами,цифрами и символами 48х19мм</t>
  </si>
  <si>
    <t>Печать самонаборная STAFF.1 круг,оттиск D=40. Printer 8010.касса в комплекте</t>
  </si>
  <si>
    <t>Приходная накладная 4309 (вх. 202407260001) от 26.07.2024</t>
  </si>
  <si>
    <t>Печь конвекционного оплавления припоя, JTR-800</t>
  </si>
  <si>
    <t>Печь конвекционного оплавления припоя, JTR-800 1</t>
  </si>
  <si>
    <t>Пигтейл SMA (female)-MS156 200мм</t>
  </si>
  <si>
    <t>Пинцет ST-11 140мм</t>
  </si>
  <si>
    <t>Пинцет загнутый 150x0,8 мм</t>
  </si>
  <si>
    <t>Пинцет изогнутый, узкий 120мм</t>
  </si>
  <si>
    <t>Пинцет медицинский изогнутый титан</t>
  </si>
  <si>
    <t>Приходная накладная 250 (вх. 10) от 09.02.2024</t>
  </si>
  <si>
    <t>Пинцет медицинский прямой титан</t>
  </si>
  <si>
    <t>Пирометр Trotec BP21</t>
  </si>
  <si>
    <t>Приходная накладная 1924 (вх. 322) от 30.07.2024</t>
  </si>
  <si>
    <t>Пистолет для герметиков</t>
  </si>
  <si>
    <t>Пистолет для монтажной пены МАСТЕР</t>
  </si>
  <si>
    <t>Пистолет клеевой DEKO DKGG120, 120Вт, d11мм SET1 (063-4975)</t>
  </si>
  <si>
    <t>Питатели JT6A</t>
  </si>
  <si>
    <t>Приходная накладная 1821 (вх. 010636) от 23.07.2024</t>
  </si>
  <si>
    <t>Питатели L-6</t>
  </si>
  <si>
    <t>Питатели ST-4</t>
  </si>
  <si>
    <t>Питатели ST-6</t>
  </si>
  <si>
    <t>Питатели YJ-6 M10*1</t>
  </si>
  <si>
    <t>Питатели YJ-6 M8*1</t>
  </si>
  <si>
    <t>Питатели СТ-4</t>
  </si>
  <si>
    <t>Питатели СТ-6</t>
  </si>
  <si>
    <t>Питатель электронный 12мм</t>
  </si>
  <si>
    <t>Питатель электронный 16мм</t>
  </si>
  <si>
    <t>Питатель электронный 24мм</t>
  </si>
  <si>
    <t>Питатель электронный 32мм</t>
  </si>
  <si>
    <t>Питатель электронный 8мм</t>
  </si>
  <si>
    <t>ПК INTEL Core i5 12400F 16Gb/GTX1650 4Gb/480Gb/500W</t>
  </si>
  <si>
    <t>ПК iRU City 101 в составе INTEL Core i5 12400F/ASROCK B660M-HDV/16Gb/GTX1650 4Gb/480Gb/550W</t>
  </si>
  <si>
    <t>Приходная накладная 2123 (вх. 219982) от 19.08.2024</t>
  </si>
  <si>
    <t>ПК С831538Ц-AMD Ryzen 7 6700G/MicroStar A520M-A PRO/16 GB/ SSD 512</t>
  </si>
  <si>
    <t>Приходная накладная 1102 (вх. 32569Ц) от 26.04.2024</t>
  </si>
  <si>
    <t>Планка Everest Beamy 600</t>
  </si>
  <si>
    <t>Приходная накладная 310 (вх. 1113) от 15.02.2024</t>
  </si>
  <si>
    <t>Пластик для 3D-принтера (ABS Standart чёрный) 1.75мм 750гр</t>
  </si>
  <si>
    <t>Приходная накладная 4214 (вх. 909-2) от 25.09.2024</t>
  </si>
  <si>
    <t>Пластик для 3D-принтера (PA12 carbon) 1.75мм 750гр</t>
  </si>
  <si>
    <t>Приходная накладная 1805 (вх. 676) от 22.07.2024</t>
  </si>
  <si>
    <t>Пластик для 3D-принтера (PETg Standart черный) 1,75мм, 750гр</t>
  </si>
  <si>
    <t>Приходная накладная 2025 (вх. 763) от 09.08.2024</t>
  </si>
  <si>
    <t>Приходная накладная 5183 (вх. 981) от 21.10.2024</t>
  </si>
  <si>
    <t>Пластик для 3D-принтера (Total GF-30 черный) 1.75 vv</t>
  </si>
  <si>
    <t>Пластик листовой ЧЁРНЫЙ 0,5 мм</t>
  </si>
  <si>
    <t>Приходная накладная 5134 (вх. 48) от 01.01.2024</t>
  </si>
  <si>
    <t>Пластик система Мусорный контейнер 120 л красный</t>
  </si>
  <si>
    <t>Приходная накладная 252 (вх. 1408945-МСК) от 12.02.2024</t>
  </si>
  <si>
    <t>Пластиковые подпятники Everest Beamy Simple(4шт)</t>
  </si>
  <si>
    <t>Пластиковый ящик для метизов красный</t>
  </si>
  <si>
    <t>Пластиковый ящик для метизов черный</t>
  </si>
  <si>
    <t>Пластилин скульптурный мягкий, серый, 1 кг</t>
  </si>
  <si>
    <t>Пластина выравнивающая 70/2  для усиленного подпятника</t>
  </si>
  <si>
    <t>Пластина твердосплавная ZP152</t>
  </si>
  <si>
    <t>Приходная накладная 4458 (вх. 49427) от 01.01.2024</t>
  </si>
  <si>
    <t>Пластиночная пружина с кнопкой 8V-I-0.6T</t>
  </si>
  <si>
    <t>Приходная накладная 2162 (вх. 209) от 22.08.2024</t>
  </si>
  <si>
    <t>Пластификатор Spectral PLAST 775 (0.5л)</t>
  </si>
  <si>
    <t>плата  защиты литиевой батареи BMS для дрели</t>
  </si>
  <si>
    <t>Плата CUAV CAN PDB Baseboard</t>
  </si>
  <si>
    <t>Авансовый отчет 231 от 05.03.2024</t>
  </si>
  <si>
    <t>Плата Hiden Плата сетевого управления Спутник Лайт Л30 (УТ-00002223)</t>
  </si>
  <si>
    <t>Плата Hiden Плата сетевого управления Спутник Лайт Л30 (УТ-00002267)</t>
  </si>
  <si>
    <t>Плата гальванической развязки Камеры</t>
  </si>
  <si>
    <t>Плата для подключения АКБ(ножевой разъём) Sbbtcon.1_3.0.0</t>
  </si>
  <si>
    <t>Приходная накладная 5157 (вх. 20241011-2) от 11.10.2024</t>
  </si>
  <si>
    <t>плата защиты батареи EGBO DMS PCM</t>
  </si>
  <si>
    <t>Плата кнопки левая</t>
  </si>
  <si>
    <t>Приходная накладная 1268 (вх. 54) от 23.05.2024</t>
  </si>
  <si>
    <t>Плата кнопки правая</t>
  </si>
  <si>
    <t>Плата макетная 100х150мм</t>
  </si>
  <si>
    <t>Приходная накладная 624 (вх. 1102) от 16.03.2024</t>
  </si>
  <si>
    <t>Плата макетная 53х165мм</t>
  </si>
  <si>
    <t>Плата радиоконтроллера</t>
  </si>
  <si>
    <t>Плата распределения MATEK FCHUB-12S</t>
  </si>
  <si>
    <t>Приходная накладная 1138 (вх. 167) от 06.05.2024</t>
  </si>
  <si>
    <t>плата распределения питания  выводит высокую точность тока</t>
  </si>
  <si>
    <t>Плата распределения питания PM06 HolyBro</t>
  </si>
  <si>
    <t>Приходная накладная 917 (вх. 124) от 09.04.2024</t>
  </si>
  <si>
    <t>Плата энкодера левая</t>
  </si>
  <si>
    <t>Плата энкодера правая</t>
  </si>
  <si>
    <t>Платформа Hiper NuGi510210U</t>
  </si>
  <si>
    <t>Приходная накладная 1348 (вх. 0406-19) от 04.06.2024</t>
  </si>
  <si>
    <t>Плашка круглая М5х0.8 Р6М5</t>
  </si>
  <si>
    <t>Плащ Альбатрос влагозащитный</t>
  </si>
  <si>
    <t>Пленка Everest Beamy 1200</t>
  </si>
  <si>
    <t>Пленка полиэтиленовая 3х100м (200мкм)</t>
  </si>
  <si>
    <t>Приходная накладная 3990 (вх. УТ-452) от 17.09.2024</t>
  </si>
  <si>
    <t>Пленка полиэтиленовая 3х100м 100мкм 21кг</t>
  </si>
  <si>
    <t>Приходная накладная 1090 (вх. 9072) от 25.04.2024</t>
  </si>
  <si>
    <t>Пленка полиэтиленовая 3х100м 120 мкм 26кг</t>
  </si>
  <si>
    <t>Приходная накладная 1319 (вх. 12963) от 31.05.2024</t>
  </si>
  <si>
    <t>Пленка полиэтиленовая 3х100м 150мкм 30кг</t>
  </si>
  <si>
    <t>Приходная накладная 1459 (вх. 14496) от 18.06.2024</t>
  </si>
  <si>
    <t>Пленка полиэтиленовая 80 мкм 3х100м</t>
  </si>
  <si>
    <t>Приходная накладная 267 (вх. 352) от 14.02.2024</t>
  </si>
  <si>
    <t>Пленка-пакет для ламинирования а6 111x154 мм 100 мкм глянцевая, 100 шт.уп.</t>
  </si>
  <si>
    <t>Плита 400х400 гранит</t>
  </si>
  <si>
    <t>Приходная накладная 3989 (вх. 24491) от 17.09.2024</t>
  </si>
  <si>
    <t>Плита Д16Т=50мм(200х500мм)</t>
  </si>
  <si>
    <t>Приходная накладная 2247 (вх. 3424) от 28.08.2024</t>
  </si>
  <si>
    <t>Плита модельная полиуретановая теплостойкая 1500х500х75мм</t>
  </si>
  <si>
    <t>Приходная накладная 1735 (вх. 1480) от 17.07.2024</t>
  </si>
  <si>
    <t>Пломба для опечатывания пластиковая номерная 320 мм желтая 50 шт</t>
  </si>
  <si>
    <t>Приходная накладная 1410 (вх. 6801231-МСК) от 13.06.2024</t>
  </si>
  <si>
    <t>Пломба пластиковая красная</t>
  </si>
  <si>
    <t>Приходная накладная 5321 (вх. 1306) от 25.10.2024</t>
  </si>
  <si>
    <t>Пломба пластиковая номерная, одноразовая, 200мм, красные, узк. 1000 шт/уп</t>
  </si>
  <si>
    <t>Приходная накладная 920 (вх. 55) от 10.04.2024</t>
  </si>
  <si>
    <t>Пломба свинцовая (упаковка 1кг)</t>
  </si>
  <si>
    <t>Пломбиратор с гравировкой 6мм латунь</t>
  </si>
  <si>
    <t>Приходная накладная 2261 (вх. УТ-4420) от 29.08.2024</t>
  </si>
  <si>
    <t>Пломбиратор усиленный с 2-мя латунными плашками</t>
  </si>
  <si>
    <t>Пломбировочный пластилин</t>
  </si>
  <si>
    <t>Приходная накладная 2147 (вх. 920) от 20.08.2024</t>
  </si>
  <si>
    <t>Плоскогубцы комбинированные 180 мм</t>
  </si>
  <si>
    <t>Площадка подвеса DJI MAVIC 3</t>
  </si>
  <si>
    <t>Приходная накладная 4457 (вх. R20614) от 01.01.2024</t>
  </si>
  <si>
    <t>Площадка самокл. под хомут 20x20 уп.100шт</t>
  </si>
  <si>
    <t>Приходная накладная 1763 (вх. 243483) от 18.07.2024</t>
  </si>
  <si>
    <t>Пневматическая ротор-орбитальная шлифовальная машинка J-1038B</t>
  </si>
  <si>
    <t>Пневматическая установка</t>
  </si>
  <si>
    <t>Приходная накладная 4848 (вх. 293) от 27.02.2024</t>
  </si>
  <si>
    <t>Пневмотрубка PU 4x2.5</t>
  </si>
  <si>
    <t>Пневмотрубка PU 6x4</t>
  </si>
  <si>
    <t>Пневмотрубка полиуретановая PU95 10x8 мм голубая</t>
  </si>
  <si>
    <t>Приходная накладная 79 (вх. 4248) от 16.01.2024</t>
  </si>
  <si>
    <t>Пневмотрубка полиуретановая PU95 12x6 мм голубая</t>
  </si>
  <si>
    <t>Пневмотрубка полиуретановая PU95 12x8 мм голубая</t>
  </si>
  <si>
    <t>Приходная накладная 870 (вх. 52329) от 02.04.2024</t>
  </si>
  <si>
    <t>Пневмотрубка полиуретановая PU95 8x6 мм голубая</t>
  </si>
  <si>
    <t>Пневмофитинг цанговый прямой с наружной резьбой PC 10-02</t>
  </si>
  <si>
    <t>Приходная накладная 268 (вх. 22470) от 13.02.2024</t>
  </si>
  <si>
    <t>Пневмофитинг цанговый прямой с наружной резьбой PC 10-03</t>
  </si>
  <si>
    <t>Пневмофитинг цанговый прямой с наружной резьбой PC 10-04</t>
  </si>
  <si>
    <t>Приходная накладная 5314 (вх. 171692) от 24.10.2024</t>
  </si>
  <si>
    <t>Пневмофитинг цанговый прямой с наружной резьбой PC 12-02</t>
  </si>
  <si>
    <t>Пневмофитинг цанговый прямой с наружной резьбой PC 12-03</t>
  </si>
  <si>
    <t>Пневмофитинг цанговый прямой с наружной резьбой PC 12-04</t>
  </si>
  <si>
    <t>Пневмофитинг цанговый прямой с наружной резьбой PC 8-02</t>
  </si>
  <si>
    <t>Пневмофитинг цанговый прямой с наружной резьбой PC 8-03</t>
  </si>
  <si>
    <t>Пневмофитинг цанговый прямой с наружной резьбой PC 8-04</t>
  </si>
  <si>
    <t>ПО "Виртуальная АТС"</t>
  </si>
  <si>
    <t>Приходная накладная 5099 (вх. 27110) от 31.07.2024</t>
  </si>
  <si>
    <t>ПО "Виртуальная" АТС</t>
  </si>
  <si>
    <t>Приходная накладная 4704 (вх. 22164) от 01.07.2024</t>
  </si>
  <si>
    <t>ПО-15-3 ESD RAL7035 Основная полка для оборудования 1500х300мм</t>
  </si>
  <si>
    <t>Поверка</t>
  </si>
  <si>
    <t>Приходная накладная 1982 (вх. ДМ-826) от 05.08.2024</t>
  </si>
  <si>
    <t>Поворот на 90 гр. LO 75 8873 LB комплект 2 штуки</t>
  </si>
  <si>
    <t>Поворот на 90 гр. LO 75 комплект 2 шт.</t>
  </si>
  <si>
    <t>Подарочный набор</t>
  </si>
  <si>
    <t>Приходная накладная 671 (вх. 9359) от 06.03.2024</t>
  </si>
  <si>
    <t>Поддон деревянный 1200х800</t>
  </si>
  <si>
    <t>Приходная накладная 5367 (вх. 391) от 30.10.2024</t>
  </si>
  <si>
    <t>Подкатной стенд для хранения и перемещения питателей</t>
  </si>
  <si>
    <t>Подпятник 70 усиленный</t>
  </si>
  <si>
    <t>Подставка для телевизора Onkron TS1351</t>
  </si>
  <si>
    <t>Приходная накладная 1486 (вх. 161358) от 19.06.2024</t>
  </si>
  <si>
    <t>Подставка под платы L-36</t>
  </si>
  <si>
    <t>Приходная накладная 107 (вх. 0414514-МСК) от 19.01.2024</t>
  </si>
  <si>
    <t>Подставка-органайзер Attache 4отдел башня 110х160х80мм металл сетка черная</t>
  </si>
  <si>
    <t>Подставка-органайзер M&amp;G 220x100x100 мм металл сетка черный</t>
  </si>
  <si>
    <t>Подставка-органайзер д/канц.мелочей Attache Line 6 отд черный 140х140х105мм</t>
  </si>
  <si>
    <t>Подставка-органайзер д/канцеляр.мелочей Attache имидж 4 отд черный ОР31АЕ</t>
  </si>
  <si>
    <t>Подставка-органайзер д/канцеляр.мелочей Attache ПРОФИ 7 отд черный ОР01АЕ</t>
  </si>
  <si>
    <t>Подставка-стакан Attache д/письм.прин.квадр.80х80мм,выс.98мм,мет.сет черная</t>
  </si>
  <si>
    <t>Подушка для смачивания пальцев гелевая ATTACHE 25г Россия</t>
  </si>
  <si>
    <t>Подшипник 608-2RSR-HLN</t>
  </si>
  <si>
    <t>Подшипник 6304 2RS 20*52*15мм</t>
  </si>
  <si>
    <t>Приходная накладная 1969 (вх. 258) от 02.08.2024</t>
  </si>
  <si>
    <t>Подшипник фланцевый MF105 ZZ</t>
  </si>
  <si>
    <t>Приходная накладная 734 (вх. 0146751736-0027/3101) от 31.01.2024</t>
  </si>
  <si>
    <t>Подшлемник п/ш черный, 55-62</t>
  </si>
  <si>
    <t>Подъем ручной, 1 этаж, весом от 50 до 100 кг.</t>
  </si>
  <si>
    <t>Пожарный щит закрытого типа с ящиком для песка 0,5 м3</t>
  </si>
  <si>
    <t>Приходная накладная 875 (вх. 2757) от 02.04.2024</t>
  </si>
  <si>
    <t>Покупка билетов</t>
  </si>
  <si>
    <t>Приходная накладная 3877 (вх. 40927/30/2) от 31.08.2024</t>
  </si>
  <si>
    <t>полётный контроллер  Matek</t>
  </si>
  <si>
    <t>Полетный контроллер CUAV V5+</t>
  </si>
  <si>
    <t>Приходная накладная 232 (вх. 24) от 07.02.2024</t>
  </si>
  <si>
    <t>Полётный контроллер CUAV V5+</t>
  </si>
  <si>
    <t>Авансовый отчет 227 от 05.03.2024</t>
  </si>
  <si>
    <t>Полётный контроллер HEX Pixhawk 2.1 Cube Orange+</t>
  </si>
  <si>
    <t>Приходная накладная 4916 (вх. Ф-Т220701) от 22.07.2024</t>
  </si>
  <si>
    <t>Полётный контроллер Holybro Pixhawk 6X</t>
  </si>
  <si>
    <t>Приходная накладная 4912 (вх. Ф-Т290701) от 29.07.2024</t>
  </si>
  <si>
    <t>Полетный контроллер Holydro Kakute</t>
  </si>
  <si>
    <t>Полётный контроллер Kakute F7</t>
  </si>
  <si>
    <t>Полётный контроллер Matek H743-WING2S v2</t>
  </si>
  <si>
    <t>Полетный контроллер ЖУК (Сибирь)</t>
  </si>
  <si>
    <t>Полетный контроллер ЖУК для Сибирячка (мини)</t>
  </si>
  <si>
    <t>Приходная накладная 5065 (вх. 20241004-1) от 07.10.2024</t>
  </si>
  <si>
    <t>Полетный контроллер Иртыш</t>
  </si>
  <si>
    <t>Полиамид 6 Гроднамид ПА6-ЛТЧ-СВ30</t>
  </si>
  <si>
    <t>Приходная накладная 372 (вх. 258) от 21.02.2024</t>
  </si>
  <si>
    <t>Полиамид ПА 6-210 КС серый RAL 7001</t>
  </si>
  <si>
    <t>Приходная накладная 4866 (вх. 273) от 03.10.2024</t>
  </si>
  <si>
    <t>Полиамидная жертвенная ткань с силиконовым покрытием, светло голубая Т=230</t>
  </si>
  <si>
    <t>Приходная накладная 1519 (вх. 203) от 21.06.2024</t>
  </si>
  <si>
    <t>Поликарбонат 2050х1250 0.5мм</t>
  </si>
  <si>
    <t>Приходная накладная 434 (вх. 24) от 27.02.2024</t>
  </si>
  <si>
    <t>Поликом Л1 зеленый RAL 6006</t>
  </si>
  <si>
    <t>Приходная накладная 1303 (вх. 147) от 27.05.2024</t>
  </si>
  <si>
    <t>Поликом Л1 зеленый RAL 6008</t>
  </si>
  <si>
    <t>Поликом Л1 серый рец.122</t>
  </si>
  <si>
    <t>Приходная накладная 1669 (вх. 194) от 09.07.2024</t>
  </si>
  <si>
    <t>Поликом Л1 темно-серый (RAL7021)</t>
  </si>
  <si>
    <t>Приходная накладная 1563 (вх. 172) от 26.06.2024</t>
  </si>
  <si>
    <t>Поликом Л1 черный</t>
  </si>
  <si>
    <t>ПОЛИМЕРБЫТ Корзина для бумаг 4390900</t>
  </si>
  <si>
    <t>Приходная накладная 167 (вх. 0705076-МСК) от 26.01.2024</t>
  </si>
  <si>
    <t>Полировальная машинка</t>
  </si>
  <si>
    <t>Приходная накладная 4459 (вх. 703) от 01.01.2024</t>
  </si>
  <si>
    <t>Полировальная паста ГОИ №1 100 гр.</t>
  </si>
  <si>
    <t>Приходная накладная 2109 (вх. 9870568-МСК) от 19.08.2024</t>
  </si>
  <si>
    <t>Полировальная паста ГОИ №2 100 гр.</t>
  </si>
  <si>
    <t>Полиуретановый воздуховод PU-700-100/10</t>
  </si>
  <si>
    <t>Полка 1200х500мм</t>
  </si>
  <si>
    <t>Приходная накладная 1092 (вх. 4704489-МСК) от 26.04.2024</t>
  </si>
  <si>
    <t>Полка 300х1050 (S=0,6)</t>
  </si>
  <si>
    <t>Полка Strong</t>
  </si>
  <si>
    <t>Полка яруса MS Pro 100*15</t>
  </si>
  <si>
    <t>Полный набор Arduino GyverKit IOT Pro</t>
  </si>
  <si>
    <t>Приходная накладная 665 (вх. 0146751736-0056/2702) от 27.02.2024</t>
  </si>
  <si>
    <t>Полоса АД31Т1 12хх2 L=6000</t>
  </si>
  <si>
    <t>Полоса АД31Т1 25хх3 L=6000</t>
  </si>
  <si>
    <t>Полотенца бумажные Tork Xpress листовые Multifold 2-сл. 190лx21пач/уп</t>
  </si>
  <si>
    <t>Полотно для ножовки по металлу 300 мм 3 шт.</t>
  </si>
  <si>
    <t>Приходная накладная 2238 (вх. 10316410-МСК) от 28.08.2024</t>
  </si>
  <si>
    <t>Полотно объёмное (синтепон) 1.5м х 8м, 150 г/м2</t>
  </si>
  <si>
    <t>Приходная накладная 1234 (вх. 949915/5) от 20.05.2024</t>
  </si>
  <si>
    <t>Полотно противопожарное ПП600 (1.5мх2.0м) в инд. Упаковке</t>
  </si>
  <si>
    <t>Полотно техническое ВАФЕЛЬНОЕ отбеленное, рулон 0,4х50м, пл. 120 г/м2</t>
  </si>
  <si>
    <t>Полотно техническое ХПП холстопрошивное светлое, рулон 0,8х50м, пл.210 г/м2</t>
  </si>
  <si>
    <t>Приходная накладная 156 (вх. 34153538) от 26.01.2024</t>
  </si>
  <si>
    <t>полуботинки (кроссовки) ПРОФЕССИОНАЛ (Professional) с композитным поносоком (Lime.40)</t>
  </si>
  <si>
    <t>Авансовый отчет 225 от 12.03.2024</t>
  </si>
  <si>
    <t>Полуботинки (ЮнионСрейс) с перфорацией 46</t>
  </si>
  <si>
    <t>Приходная накладная 4390 (вх. 116967) от 27.03.2024</t>
  </si>
  <si>
    <t>Полуботинки PEZZOL 171BB ARCO S1P черно/синие, 43</t>
  </si>
  <si>
    <t>Полуботинки PEZZOL 821U FORMULA 3 черно/синие, 36</t>
  </si>
  <si>
    <t>Полуботинки PEZZOL 821U FORMULA3 черно/синие, 36</t>
  </si>
  <si>
    <t>Полуботинки PEZZOL 821U FORMULA3 черно/синие, 38</t>
  </si>
  <si>
    <t>Полуботинки PEZZOL 821U FORMULA3 черно/синие, 39</t>
  </si>
  <si>
    <t>Полуботинки PEZZOL 821U FORMULA3 черно/синие, 41</t>
  </si>
  <si>
    <t>Полуботинки PEZZOL 821U FORMULA3 черно/синие, 42</t>
  </si>
  <si>
    <t>Полуботинки PEZZOL 821U FORMULA3 черно/синие, 43</t>
  </si>
  <si>
    <t>Полуботинки Кроссовки Фаворит НЬЮ черный , 40</t>
  </si>
  <si>
    <t>Полуботинки Кроссовки Фаворит НЬЮ черный , 41</t>
  </si>
  <si>
    <t>Полуботинки Кроссовки Фаворит НЬЮ черный , 42</t>
  </si>
  <si>
    <t>Полуботинки Кроссовки Фаворит НЬЮ черный , 43</t>
  </si>
  <si>
    <t>Полуботинки Кроссовки Фаворит НЬЮ черный , 44</t>
  </si>
  <si>
    <t>Полуботинки Кроссовки Фаворит НЬЮ черный , 45</t>
  </si>
  <si>
    <t>Полуботинки Кроссовки Фаворит НЬЮ черный , 46</t>
  </si>
  <si>
    <t>Полуботинки кроссовые арт.ШК черные 37</t>
  </si>
  <si>
    <t>Полуботинки кроссовые арт.ШК черные 38</t>
  </si>
  <si>
    <t>Полуботинки кроссовые арт.ШК черные 39</t>
  </si>
  <si>
    <t>Полуботинки кроссовые арт.ШК черные 40</t>
  </si>
  <si>
    <t>Полуботинки РАБЕР "NEW" с комп. подноском, 40</t>
  </si>
  <si>
    <t>Полуботинки РАБЕР "NEW" с комп. подноском, 41</t>
  </si>
  <si>
    <t>Полуботинки РАБЕР "NEW" с комп. подноском, 42</t>
  </si>
  <si>
    <t>Приходная накладная 4327 (вх. 147057) от 12.07.2024</t>
  </si>
  <si>
    <t>Полуботинки РАБЕР "NEW" с комп. подноском, 43</t>
  </si>
  <si>
    <t>Полуботинки РАБЕР "NEW" с комп. подноском, 44</t>
  </si>
  <si>
    <t>Полуботинки РАБЕР "NEW" с комп. подноском, 45</t>
  </si>
  <si>
    <t>Приходная накладная 73 (вх. 100230) от 16.01.2024</t>
  </si>
  <si>
    <t>Полуботинки РАБЕР "NEW" с комп. подноском, 46</t>
  </si>
  <si>
    <t>Полуботинки РАБЕР "NEW" с комп. подноском, 47</t>
  </si>
  <si>
    <t>Полумаска 5500P Jeta Safety</t>
  </si>
  <si>
    <t>Понижающий DC-DC преобразователь LM2596S</t>
  </si>
  <si>
    <t>понижающий регулируемый DC-DC преобразователь LM2596S.выход 4-40В 1,5-35В</t>
  </si>
  <si>
    <t>Пор. резина EPDM полуоткрытая пара АА 1000*2000*5мм</t>
  </si>
  <si>
    <t>Приходная накладная 686 (вх. 965) от 25.03.2024</t>
  </si>
  <si>
    <t>Пор. резина TPE-S AA 1000*2000*6мм</t>
  </si>
  <si>
    <t>Приходная накладная 346 (вх. 499) от 16.02.2024</t>
  </si>
  <si>
    <t>Поролон 10мм 1х2м</t>
  </si>
  <si>
    <t>Приходная накладная 1114 (вх. 4822407-МСК) от 02.05.2024</t>
  </si>
  <si>
    <t>Порошок стиральный МИФ автомат 3в1 Морозная свежесть, 6кг</t>
  </si>
  <si>
    <t>Порошок стиральный МИФ автомат 3в1 Свежий цвет, 4кг</t>
  </si>
  <si>
    <t>Портативная радиостанция Wouxun KG-R76</t>
  </si>
  <si>
    <t>Приходная накладная 2122 (вх. 1944) от 19.08.2024</t>
  </si>
  <si>
    <t>Портативный аккумулятор Baseus 30000mAh</t>
  </si>
  <si>
    <t>Приходная накладная 837 (вх. ФЦЗ-008481/8257) от 28.03.2024</t>
  </si>
  <si>
    <t>Портативный аккумулятор Baseus Amblight Quick Charge 65W черный</t>
  </si>
  <si>
    <t>Портативный анализатор спектра</t>
  </si>
  <si>
    <t>Приходная накладная 141 (вх. 12) от 15.01.2024</t>
  </si>
  <si>
    <t>Портативный аппарат для точечной сварки Docreate DO-02</t>
  </si>
  <si>
    <t>Приходная накладная 2296 (вх. 1760955/1359) от 03.09.2024</t>
  </si>
  <si>
    <t>Портативный монитор для PS4 PS5 Switch Xbox Huawei Xiaomi Phone 450</t>
  </si>
  <si>
    <t>портативный осциллограф</t>
  </si>
  <si>
    <t>Портативный тахометр Testo 460</t>
  </si>
  <si>
    <t>Портупея 4</t>
  </si>
  <si>
    <t>Приходная накладная 1088 (вх. 24) от 25.04.2024</t>
  </si>
  <si>
    <t>Поручень двойной</t>
  </si>
  <si>
    <t>Приходная накладная 5102 (вх. ER-1023) от 01.04.2024</t>
  </si>
  <si>
    <t>Постоянный магнит 10х5</t>
  </si>
  <si>
    <t>Приходная накладная 2054 (вх. 1852) от 13.08.2024</t>
  </si>
  <si>
    <t>Постоянный магнит 20х10</t>
  </si>
  <si>
    <t>Посудосушитель для тарелок</t>
  </si>
  <si>
    <t>ППГнг 3х2 плоский кабель</t>
  </si>
  <si>
    <t>Права на программу для ЭВМ Право на использование Континент 4. Узел безопасности.</t>
  </si>
  <si>
    <t>Приходная накладная 4623 (вх. Tr000001862) от 16.01.2024</t>
  </si>
  <si>
    <t>Права на программу для ЭВМ. Многофункциональный узел</t>
  </si>
  <si>
    <t>Право использования программы</t>
  </si>
  <si>
    <t>Приходная накладная 3903 (вх. 070824-0006) от 07.08.2024</t>
  </si>
  <si>
    <t>ПРАКТИК Стеллаж MS 220/100x40/6 S24199174602</t>
  </si>
  <si>
    <t>Приходная накладная 529 (вх. 2360252-МСК) от 05.03.2024</t>
  </si>
  <si>
    <t>ПРАКТИК Стеллаж MS Pro 200/150x60/4</t>
  </si>
  <si>
    <t>Приходная накладная 5190 (вх. 12569046-МСК) от 21.10.2024</t>
  </si>
  <si>
    <t>ПРАКТИК Шкаф CB-14</t>
  </si>
  <si>
    <t>Приходная накладная 1412 (вх. 6801228-МСК) от 13.06.2024</t>
  </si>
  <si>
    <t>ПРАКТИК Шкаф для раздевалок LS 11-50 S23099515202</t>
  </si>
  <si>
    <t>Приходная накладная 1315 (вх. 6234734-МСК) от 31.05.2024</t>
  </si>
  <si>
    <t>ПРАКТИК Шкаф для раздевалок LS/LE-11-40D S23099515102</t>
  </si>
  <si>
    <t>Приходная накладная 3912 (вх. 10825702-МСК) от 12.09.2024</t>
  </si>
  <si>
    <t>ПРАКТИКА Бур SDS-plus 6x50/110 мм серия "Мастер" по бетону 911-581</t>
  </si>
  <si>
    <t>ПРАКТИКА Набор пилок для лезвийных пил S711EF/S922BF/S644D - 150мм, 3 шт 911-277</t>
  </si>
  <si>
    <t>ПРАКТИКА Набор сверл по металлу Профи 19 шт 1-10 мм, шаг 0,5 мм, ПРО кассета 640-308</t>
  </si>
  <si>
    <t>Предоставление в аренду нежилых помещений (постоянная составляющая арендной платы) по Договору аренд</t>
  </si>
  <si>
    <t>Приходная накладная 3980 (вх. 24073101021) от 17.09.2024</t>
  </si>
  <si>
    <t>Предоставление во временное пользование имущества - рефрижераторного контейнера б/у 40ф,НС 67м/куб.,</t>
  </si>
  <si>
    <t>Приходная накладная 4528 (вх. 60Е05) от 01.04.2024</t>
  </si>
  <si>
    <t>Предоставление права использования Программы для ЭВМ «АСК. Платформа» (Модуль «Мониторинг транспорта</t>
  </si>
  <si>
    <t>Приходная накладная 3968 (вх. 277) от 16.09.2024</t>
  </si>
  <si>
    <t>Предохранитель 10x38, 32А, 500В, керамический, 2C, R015 IEC269VDE0636</t>
  </si>
  <si>
    <t>Предохранитель керамический C10G6, 6 А, 500 В 10х38мм  gG 120кА</t>
  </si>
  <si>
    <t>Приходная накладная 3940 (вх. 0787854) от 16.09.2024</t>
  </si>
  <si>
    <t>Предохранитель стеклянный быстродействующий 5х20мм 250В</t>
  </si>
  <si>
    <t>Приходная накладная 357 (вх. 1883) от 21.02.2024</t>
  </si>
  <si>
    <t>Предохранитель,C10G4, 4A,10X38, 500V</t>
  </si>
  <si>
    <t>Предфильтр противоаэрозольный Jeta Safety</t>
  </si>
  <si>
    <t>Приходная накладная 4140 (вх. 2166) от 24.06.2024</t>
  </si>
  <si>
    <t>Предфильтр Р2 (4шт) JETA</t>
  </si>
  <si>
    <t>Преобразователь LM2596S</t>
  </si>
  <si>
    <t>Преобразователь USB в TTL, чип CH343G</t>
  </si>
  <si>
    <t>Приходная накладная 559 (вх. 0223354) от 17.03.2024</t>
  </si>
  <si>
    <t>Преобразователь USB в UART CH340N</t>
  </si>
  <si>
    <t>Преобразователь USB-UART на базе CP2102 с разъемом USB</t>
  </si>
  <si>
    <t>Преобразователь USB-UART на базе FT232 с разъемом USB-A</t>
  </si>
  <si>
    <t>Преобразователь интерфейса USB-оптопорт VR-005.2</t>
  </si>
  <si>
    <t>Приходная накладная 1820 (вх. 2455) от 23.07.2024</t>
  </si>
  <si>
    <t>Преобразователь частоты M552T4B</t>
  </si>
  <si>
    <t>Приходная накладная 464 (вх. 921) от 22.02.2024</t>
  </si>
  <si>
    <t>Пресс клещи СТС-Д серия для опресовки коннекторов и автоклемм КВТ</t>
  </si>
  <si>
    <t>Приходная накладная 2251 (вх. 18496) от 28.08.2024</t>
  </si>
  <si>
    <t>Пресс ПГП-4(380В) в комплекте 20л гидравлической жидкости-1</t>
  </si>
  <si>
    <t>Приходная накладная 4241 (вх. 1245) от 26.07.2024</t>
  </si>
  <si>
    <t>Пресс ПГП-4к(380В)</t>
  </si>
  <si>
    <t>Приходная накладная 4843 (вх. 1090) от 02.07.2024</t>
  </si>
  <si>
    <t>Пресс форма корпуса GM01</t>
  </si>
  <si>
    <t>Приходная накладная 759 (вх. 69) от 04.03.2024</t>
  </si>
  <si>
    <t>Пресс форма левой/правой кнопки GM01</t>
  </si>
  <si>
    <t>Пресс форма левой/правой кнопки GM01 (2)</t>
  </si>
  <si>
    <t>Пресс форма нижняя часть GM01</t>
  </si>
  <si>
    <t>Пресс форма передняя часть GM01</t>
  </si>
  <si>
    <t>Пресс форма силиконовой ручки GM01</t>
  </si>
  <si>
    <t>Пресс форма соединительной платы CM01(1)</t>
  </si>
  <si>
    <t>Пресс форма соединительной платы GM01</t>
  </si>
  <si>
    <t>Пресс-клещи гексагональные</t>
  </si>
  <si>
    <t>Пресс-клещи для штекеров Micro-Fit Molex, 3 гнезда, AWG 30-26/24-22/20, L-190 мм</t>
  </si>
  <si>
    <t>Приходная накладная 2160 (вх. 9652183-МСК) от 22.08.2024</t>
  </si>
  <si>
    <t>Пресс-клещи квадратные</t>
  </si>
  <si>
    <t>Пресс-клещи с набором матриц CTM</t>
  </si>
  <si>
    <t>Приходная накладная 308 (вх. 0125749) от 14.02.2024</t>
  </si>
  <si>
    <t>Пресс-клещи шестигранные ПКВш-10</t>
  </si>
  <si>
    <t>Приходная накладная 912 (вх. 3827149-МСК) от 09.04.2024</t>
  </si>
  <si>
    <t>Пресс-клещи шестигранные ПКВш-6 к-кт</t>
  </si>
  <si>
    <t>Прецизионные бокорезы 125мм</t>
  </si>
  <si>
    <t>прецизионный пинцет для пайки, промышленный электронный пинцет, набор инструментов</t>
  </si>
  <si>
    <t>Авансовый отчет 233  от 30.05.2024</t>
  </si>
  <si>
    <t>Приемник Skyzone SKY04O PRO FPV Googles 5.8G</t>
  </si>
  <si>
    <t>Приходная накладная 1437 (вх. 1869259/9) от 14.06.2024</t>
  </si>
  <si>
    <t>Приемник tBeacon Findy Lite</t>
  </si>
  <si>
    <t>Приходная накладная 5247 (вх. 122) от 23.10.2024</t>
  </si>
  <si>
    <t>Приемник TBS NANO RX</t>
  </si>
  <si>
    <t>Приходная накладная 595 (вх. R23705) от 11.03.2024</t>
  </si>
  <si>
    <t>Приемник WILDFIRE</t>
  </si>
  <si>
    <t>Приемник управления: 915 МГц ELRS JHEMCU</t>
  </si>
  <si>
    <t>Прижимной разъем N-112С/10D цанговый</t>
  </si>
  <si>
    <t>Приходная накладная 3846 (вх. 202) от 10.09.2024</t>
  </si>
  <si>
    <t>Принтер Kyocera M8130cidn</t>
  </si>
  <si>
    <t>Приходная накладная 4251 (вх. 28335Ц) от 12.04.2024</t>
  </si>
  <si>
    <t>Принтер kyocera p2040dw</t>
  </si>
  <si>
    <t>Приходная накладная 2301 (вх. 0309-2) от 03.09.2024</t>
  </si>
  <si>
    <t>Принтер Pantum P2502</t>
  </si>
  <si>
    <t>Принтер Xprinter XP-365B, термопринтер для этикеток</t>
  </si>
  <si>
    <t>Приходная накладная 4168 (вх. 30) от 23.09.2024</t>
  </si>
  <si>
    <t>Принтер этикеток GODEX G500</t>
  </si>
  <si>
    <t>Приходная накладная 1497 (вх. 9//24-25929) от 20.06.2024</t>
  </si>
  <si>
    <t>Припой 100г</t>
  </si>
  <si>
    <t>Приходная накладная 2206 (вх. 10173440-МСК) от 26.08.2024</t>
  </si>
  <si>
    <t>Припой 200г</t>
  </si>
  <si>
    <t>Припой 200г Gigant</t>
  </si>
  <si>
    <t>Припой ПОС 61 прв  d=0.8мм  200г катушка</t>
  </si>
  <si>
    <t>Припой пруток 5 кг</t>
  </si>
  <si>
    <t>Приспособление для протакскивания ленты</t>
  </si>
  <si>
    <t>Приспособление монтажное BT40</t>
  </si>
  <si>
    <t>Приходная накладная 113 (вх. 5) от 17.01.2024</t>
  </si>
  <si>
    <t>Приставка - брифинг Д_EASY Director 2 ДСП мел. дуб шамони светлый 124/хром</t>
  </si>
  <si>
    <t>Приходная накладная 2106 (вх. 38733422) от 16.08.2024</t>
  </si>
  <si>
    <t>Приставка - брифинг САТУРН-Д (800,005) ясень</t>
  </si>
  <si>
    <t>Приходная накладная 2011 (вх. 38424098) от 08.08.2024</t>
  </si>
  <si>
    <t>Пробег за МКАД</t>
  </si>
  <si>
    <t>Приходная накладная 4078 (вх. 345) от 24.04.2024</t>
  </si>
  <si>
    <t>Пробка с внутр. шестигранником и кольцом из NBR 3 015 1/2</t>
  </si>
  <si>
    <t>Пробойник полый овальный 6х4</t>
  </si>
  <si>
    <t>Приходная накладная 358 (вх. 42522) от 14.02.2024</t>
  </si>
  <si>
    <t>Провод 12AWG красно-черный</t>
  </si>
  <si>
    <t>Приходная накладная 5240 (вх. 1126) от 23.10.2024</t>
  </si>
  <si>
    <t>Провод 14AWG красный</t>
  </si>
  <si>
    <t>Приходная накладная 2307 (вх. 0002052) от 03.09.2024</t>
  </si>
  <si>
    <t>Провод 14AWG черный</t>
  </si>
  <si>
    <t>Провод 16AWG красный</t>
  </si>
  <si>
    <t>Приходная накладная 1764 (вх. 79) от 18.07.2024</t>
  </si>
  <si>
    <t>Провод 16AWG черный</t>
  </si>
  <si>
    <t>Провод 22AWG желтый</t>
  </si>
  <si>
    <t>Приходная накладная 1023 (вх. 39) от 15.04.2024</t>
  </si>
  <si>
    <t>Провод 22AWG красный</t>
  </si>
  <si>
    <t>Провод 22AWG черный</t>
  </si>
  <si>
    <t>Провод 24AWG белый</t>
  </si>
  <si>
    <t>Провод 24AWG желтый</t>
  </si>
  <si>
    <t>Провод 24AWG зеленый</t>
  </si>
  <si>
    <t>Провод 24AWG коричневый</t>
  </si>
  <si>
    <t>Провод 24AWG красный</t>
  </si>
  <si>
    <t>Приходная накладная 4188 (вх. 4322) от 24.09.2024</t>
  </si>
  <si>
    <t>Провод 24AWG оранжевый</t>
  </si>
  <si>
    <t>Провод 24AWG синий</t>
  </si>
  <si>
    <t>Провод 24AWG фиолетовый</t>
  </si>
  <si>
    <t>Провод 24AWG черный</t>
  </si>
  <si>
    <t>Провод 26AWG белый</t>
  </si>
  <si>
    <t>Провод 26AWG ГОЛУБОЙ</t>
  </si>
  <si>
    <t>Приходная накладная 816 (вх. 11) от 26.03.2024</t>
  </si>
  <si>
    <t>Провод 26AWG желтый</t>
  </si>
  <si>
    <t>Приходная накладная 1039 (вх. 22) от 19.04.2024</t>
  </si>
  <si>
    <t>Провод 26AWG зеленый</t>
  </si>
  <si>
    <t>Провод 26AWG красно-черный</t>
  </si>
  <si>
    <t>Провод 26AWG красный</t>
  </si>
  <si>
    <t>Провод 26AWG серый</t>
  </si>
  <si>
    <t>Провод 26AWG синий</t>
  </si>
  <si>
    <t>Провод 26AWG черный</t>
  </si>
  <si>
    <t>Приходная накладная 1630 (вх. 74) от 03.07.2024</t>
  </si>
  <si>
    <t>Провод бортовой экранированный</t>
  </si>
  <si>
    <t>Авансовый отчет 189 от 12.04.2024</t>
  </si>
  <si>
    <t>Провод гибкий круглый ПВС 3х2,5 100м</t>
  </si>
  <si>
    <t>Провод ПВС 3x1,5 ГОСТ</t>
  </si>
  <si>
    <t>Провод ПВСнг(А)-LS 4x6+1x6 100м</t>
  </si>
  <si>
    <t>Провод ПГВА REXANT 1х1 красный</t>
  </si>
  <si>
    <t>Приходная накладная 189 (вх. 35454) от 31.01.2024</t>
  </si>
  <si>
    <t>Провод ПГВА REXANT 1х1 синий</t>
  </si>
  <si>
    <t>Провод ПГВА REXANT 1х1 черный</t>
  </si>
  <si>
    <t>Провод ШВВП 2x0.75 (ГОСТ) (100м/бухта)</t>
  </si>
  <si>
    <t>Провод ШВВП 2x0.75 (ГОСТ) (50м/бухта)</t>
  </si>
  <si>
    <t>Приходная накладная 1882 (вх. 8933536-МСК) от 29.07.2024</t>
  </si>
  <si>
    <t>Провод электрический пугв 1x10 мм 2 белый, 5м</t>
  </si>
  <si>
    <t>Провод электрический пугв 1x10 мм синий, 5м</t>
  </si>
  <si>
    <t>Провод электрический пугв 1x16 мм 2 белый, 5м</t>
  </si>
  <si>
    <t>Провод электрический пугв 1x16 мм 2 синий, 5м</t>
  </si>
  <si>
    <t>провода пере мычки 30см.</t>
  </si>
  <si>
    <t>Провода соединительные Dupont папа-мама, 20 см, 20 шт</t>
  </si>
  <si>
    <t>Приходная накладная 1452 (вх. 202406150001) от 17.06.2024</t>
  </si>
  <si>
    <t>ПРОВОДНИК Кабель монтажный мкэш 5x0.75 мм2, 100м</t>
  </si>
  <si>
    <t>Приходная накладная 4867 (вх. 11923405-МСК) от 03.10.2024</t>
  </si>
  <si>
    <t>Проволока для опломбирования мет.витая 100м, диаметр 0,65мм.</t>
  </si>
  <si>
    <t>Проволока медная мягкая луженая ММЛ 1,0 20м</t>
  </si>
  <si>
    <t>Проволока оцинкованная 4мм 5кг 50м</t>
  </si>
  <si>
    <t>Проволока сварочная ER 70S-6, d=1,0, 5кг</t>
  </si>
  <si>
    <t>Проволока сварочная Св-08Г2С-О 5кг Кассета D200 0.8</t>
  </si>
  <si>
    <t>Приходная накладная 5364 (вх. 13132431-МСК) от 30.10.2024</t>
  </si>
  <si>
    <t>Программа для ЭВМ</t>
  </si>
  <si>
    <t>Приходная накладная 4042 (вх. 253) от 31.07.2024</t>
  </si>
  <si>
    <t>Программа для ЭВМ "HR link". Лицензия пользователя (9 месяцев)</t>
  </si>
  <si>
    <t>Приходная накладная 3954 (вх. 2887) от 16.09.2024</t>
  </si>
  <si>
    <t>Программатор diymore USBASP</t>
  </si>
  <si>
    <t>Программатор ST LINK V2 для STM32 и STM8 с крышкой и кабелем</t>
  </si>
  <si>
    <t>Приходная накладная 810 (вх. 565298202403260002) от 26.03.2024</t>
  </si>
  <si>
    <t>Программатор ST LINK V3SET для STM32 и STM8 USB 2.0 JTAG DFU</t>
  </si>
  <si>
    <t>Программатор USB-TTL</t>
  </si>
  <si>
    <t>программатор микросхем</t>
  </si>
  <si>
    <t>Авансовый отчет 213 от 19.03.2024</t>
  </si>
  <si>
    <t>Програмное обеспечение для полетного контроллера "FPV"</t>
  </si>
  <si>
    <t>Приходная накладная 4108 (вх. 1) от 29.02.2024</t>
  </si>
  <si>
    <t>Продувочный пистолет с тремя соплами</t>
  </si>
  <si>
    <t>Приходная накладная 644 (вх. 3021390-МСК) от 21.03.2024</t>
  </si>
  <si>
    <t>Проживание в гостинице</t>
  </si>
  <si>
    <t>Приходная накладная 3878 (вх. 408927/30) от 31.08.2024</t>
  </si>
  <si>
    <t>Прозрачная плёнка для ч/б копиров., А4, 100 мкр, 50 листов, Lomond 0701415</t>
  </si>
  <si>
    <t>Приходная накладная 2292 (вх. 112607/94) от 03.09.2024</t>
  </si>
  <si>
    <t>Прокладка 2К29х29 КПТД-2М/3-0,25</t>
  </si>
  <si>
    <t>Приходная накладная 873 (вх. 1176) от 01.04.2024</t>
  </si>
  <si>
    <t>Прокладка 2К29х29 КПТД-2М/3-0,50</t>
  </si>
  <si>
    <t>Промрукав Коробка распределительная 40-0302 для прямого монтажа безгалогенная HF серая 100х100х50 1</t>
  </si>
  <si>
    <t>Промрукав Стяжки нейлоновые 4,8300 ч 100шт PR08.3077</t>
  </si>
  <si>
    <t>Пропеллер Autel Evo Max 4T</t>
  </si>
  <si>
    <t>Приходная накладная 262 (вх. 23592) от 05.02.2024</t>
  </si>
  <si>
    <t>Пропеллер Gemfan 5030</t>
  </si>
  <si>
    <t>Пропеллер HQ DT90 3.5 90мм</t>
  </si>
  <si>
    <t>Пропеллер АРС 5.25*8 CW+CCW</t>
  </si>
  <si>
    <t>Приходная накладная 5197 (вх. 12) от 22.10.2024</t>
  </si>
  <si>
    <t>Пропеллер АРС 7*11 CW+CCW</t>
  </si>
  <si>
    <t>пропеллер для электромоторов</t>
  </si>
  <si>
    <t>Пропеллер из углеродного волокна P18*6.1 дюйма- 2 листа/пара</t>
  </si>
  <si>
    <t>Пропеллер из углеродного волокна P20*6 дюйма- 2 листа/пара</t>
  </si>
  <si>
    <t>Пропеллер карбоновый Falcon 20х10 (осевое 10мм)</t>
  </si>
  <si>
    <t>Приходная накладная 82 (вх. 496) от 10.01.2024</t>
  </si>
  <si>
    <t>ПРОПЕЛЛЕР ПРЯМОЙ 5*5, 7*7, 4.75*4.75,</t>
  </si>
  <si>
    <t>Пропеллеры 2110s для DJI Matrice 350 RTK</t>
  </si>
  <si>
    <t>Приходная накладная 1366 (вх. 202405200001) от 06.06.2024</t>
  </si>
  <si>
    <t>Пропеллеры HW28*9.2(в комплекте с шайбой и болтами)</t>
  </si>
  <si>
    <t>Приходная накладная 3854 (вх. 371) от 11.09.2024</t>
  </si>
  <si>
    <t>Пропеллеры HW29*9.5(в комплекте с шайбой и болтами)</t>
  </si>
  <si>
    <t>Пропеллеры MF9545ll</t>
  </si>
  <si>
    <t>Пропеллеры PA28*9.2</t>
  </si>
  <si>
    <t>Пропеллеры PAB28*9.2</t>
  </si>
  <si>
    <t>пропеллеры для Mavic</t>
  </si>
  <si>
    <t>Авансовый отчет 221 от 12.03.2024</t>
  </si>
  <si>
    <t>Противошумные вкладыши (беруши) модель CONICCO200</t>
  </si>
  <si>
    <t>Приходная накладная 4330 (вх. 147055) от 12.07.2024</t>
  </si>
  <si>
    <t>Протирочная бумага LAIMA 500 листов</t>
  </si>
  <si>
    <t>Приходная накладная 1686 (вх. 8151196-МСК) от 11.07.2024</t>
  </si>
  <si>
    <t>Проушина прямая, 2мм 90*40 мм</t>
  </si>
  <si>
    <t>Профессиональная монтажная пена 65 805P</t>
  </si>
  <si>
    <t>Профессиональные длинногубцы 200 мм</t>
  </si>
  <si>
    <t>Профессиональный микроскоп Saike Digital</t>
  </si>
  <si>
    <t>Приходная накладная 2283 (вх. 000072300) от 02.09.2024</t>
  </si>
  <si>
    <t>Профхим д/руч.мытья пола нейтрал конц. НИКА/Универсал,5л</t>
  </si>
  <si>
    <t>Приходная накладная 807 (вх. 35510606) от 22.03.2024</t>
  </si>
  <si>
    <t>Профхим д/стекл-зеркал поверхн,очистка Стеклоочиститель, 0,5 т/р</t>
  </si>
  <si>
    <t>Профхим дезинфек табл ХЛОР д/поверхностей Эксподек/Эффективная формула, 1кг</t>
  </si>
  <si>
    <t>Профхим интерьер д/уборки-поверхн Grass/Universal Cleaner PROF, 0,6л_т/р</t>
  </si>
  <si>
    <t>Профхим спец пятновывод д/сухой чистки текстиля Effect/DELTA 403, 0,5л_т/р</t>
  </si>
  <si>
    <t>Профхим спец растворит скотча,граффити Grass/Antigraffiti PROF, 0,6л_т/р</t>
  </si>
  <si>
    <t>Профхим универсал щел конц. д/поверхн и пола DR.SCHNELL/FOROL,1л</t>
  </si>
  <si>
    <t>Приходная накладная 867 (вх. 1378) от 22.03.2024</t>
  </si>
  <si>
    <t>Проходной адаптер NA350</t>
  </si>
  <si>
    <t>Приходная накладная 2267 (вх. 3008-14) от 30.08.2024</t>
  </si>
  <si>
    <t>Проходной соединитель 8P8C RJ-45</t>
  </si>
  <si>
    <t>Процессор AMD Ryzen 7 5700G</t>
  </si>
  <si>
    <t>Процессор AMD Ryzen 9 5900X 3,7/4,8GHz, 12C/24T, 64Mb L3, DDR4-3200, TDP-105W, AM4, OEM [100-0000000</t>
  </si>
  <si>
    <t>Приходная накладная 1726 (вх. 188585) от 16.07.2024</t>
  </si>
  <si>
    <t>Процессор intel core i5-12400F</t>
  </si>
  <si>
    <t>Процессор Intel Xeon Gold 5218R (2.1GHz/27.50Mb/20cores)</t>
  </si>
  <si>
    <t>Проявитель U89 аэрозоль 500мл</t>
  </si>
  <si>
    <t>Приходная накладная 4237 (вх. 8179) от 26.09.2024</t>
  </si>
  <si>
    <t>Пружина 0.51х4х6</t>
  </si>
  <si>
    <t>Приходная накладная 586 (вх. 1000) от 14.03.2024</t>
  </si>
  <si>
    <t>Пружина 1086-0752</t>
  </si>
  <si>
    <t>Приходная накладная 680 (вх. 1091) от 21.03.2024</t>
  </si>
  <si>
    <t>Пружина кручения STAMO SPb Art. ST16284</t>
  </si>
  <si>
    <t>Приходная накладная 1211 (вх. 1195) от 16.05.2024</t>
  </si>
  <si>
    <t>Пружина сжатия (2x27x93,7x8,5)  (упак 10шт)</t>
  </si>
  <si>
    <t>Приходная накладная 2215 (вх. 10258923-МСК) от 27.08.2024</t>
  </si>
  <si>
    <t>Пружина сжатия 31х7, 3х1 AISI 302 MPSN598(сибирячок)</t>
  </si>
  <si>
    <t>Приходная накладная 5270 (вх. 13428) от 24.10.2024</t>
  </si>
  <si>
    <t>Пружина сжатия ПП41х8х0.8 (Сибирячок)</t>
  </si>
  <si>
    <t>Приходная накладная 1210 (вх. 1196) от 16.05.2024</t>
  </si>
  <si>
    <t>Пружинный контакт-зонд</t>
  </si>
  <si>
    <t>Пружинный тестовый зонд Pogo Pin. несколько размеров фобий</t>
  </si>
  <si>
    <t>Авансовый отчет 149  от 18.09.2024</t>
  </si>
  <si>
    <t>Пружинный тестовый зонд Ф 4-claw тестоваяшпилька для головки диаметром 1,5мм</t>
  </si>
  <si>
    <t>Пружины для переплета металлические  100шт</t>
  </si>
  <si>
    <t>Пруток АД1 20 3000мм</t>
  </si>
  <si>
    <t>Приходная накладная 1530 (вх. 527) от 24.06.2024</t>
  </si>
  <si>
    <t>Пруток ф.16мм Д16Т L=3м.</t>
  </si>
  <si>
    <t>Приходная накладная 1771 (вх. БВЦ-ХСЮ198225) от 18.07.2024</t>
  </si>
  <si>
    <t>Прямошлифмашина</t>
  </si>
  <si>
    <t>Псков Клапан впуска для унитаза с нижн. подв. КН57 28106</t>
  </si>
  <si>
    <t>ПуГПнг(А)-НF 1x25 провод белый Цветлит Цветлит (№2464-2261 бар 8Б)</t>
  </si>
  <si>
    <t>ПуГПнг(А)-НF 1x25 провод ж/з Цветлит Цветлит</t>
  </si>
  <si>
    <t>Пульт MK15-AS</t>
  </si>
  <si>
    <t>Приходная накладная 1864 (вх. БП-171) от 25.07.2024</t>
  </si>
  <si>
    <t>Пульт RadioMaster TX16S MKII HALL V4.0 ELRS HP0157</t>
  </si>
  <si>
    <t>Пульт Radiomaster Zorro ERLS</t>
  </si>
  <si>
    <t>Пульт беспроводной WHB04B-6А</t>
  </si>
  <si>
    <t>Приходная накладная 713 (вх. 27) от 18.03.2024</t>
  </si>
  <si>
    <t>Пульт дистанционного управления Electrolux</t>
  </si>
  <si>
    <t>Приходная накладная 1369 (вх. 62) от 06.06.2024</t>
  </si>
  <si>
    <t>Пульт Шерегеш 10</t>
  </si>
  <si>
    <t>Пульт Шерегеш 10 (3.0.6) с модемом (Сибирячок)</t>
  </si>
  <si>
    <t>Пульт Шерегеш с модемом (Сибирь)</t>
  </si>
  <si>
    <t>Приходная накладная 5205 (вх. 20241016-1) от 22.10.2024</t>
  </si>
  <si>
    <t>Пурифайер AEL LD-AEL-47s black/silver  напол,электрон,4хUFсистема очистки</t>
  </si>
  <si>
    <t>Приходная накладная 1549 (вх. 37557106) от 26.06.2024</t>
  </si>
  <si>
    <t>Пуско-наладочные работы</t>
  </si>
  <si>
    <t>Приходная накладная 3963 (вх. 341) от 16.09.2024</t>
  </si>
  <si>
    <t>Пылевой фильтр для ПК 120 х 120 мм / 2 шт.</t>
  </si>
  <si>
    <t>Приходная накладная 2165 (вх. 96204/41) от 22.08.2024</t>
  </si>
  <si>
    <t>Пылезащитная сетка</t>
  </si>
  <si>
    <t>Авансовый отчет 130  от 22.08.2024</t>
  </si>
  <si>
    <t>Пылезащитная сетка для ПК</t>
  </si>
  <si>
    <t>Пылезащитная сетка для системного блока 100х30см</t>
  </si>
  <si>
    <t>Пылесос 70л PS-0118</t>
  </si>
  <si>
    <t>Пылесос профессиональный /пылеводосос/ 2000W 70lVC-2/MERAN</t>
  </si>
  <si>
    <t>пэт А BORREХ 0.4 mm пла листовой прозрачный стик</t>
  </si>
  <si>
    <t>Авансовый отчет 184 от 12.04.2024</t>
  </si>
  <si>
    <t>Пятиосевой обрабатывающий центр с ЧПУ</t>
  </si>
  <si>
    <t>Приходная накладная 4250 (вх. 5610) от 14.04.2024</t>
  </si>
  <si>
    <t>Радиатор _доработанный</t>
  </si>
  <si>
    <t>Приходная накладная 4322 (вх. 11) от 19.07.2024</t>
  </si>
  <si>
    <t>Радиатор верхний KSV.012001.320.04</t>
  </si>
  <si>
    <t>Радиатор нижний KSV.012001.319.01</t>
  </si>
  <si>
    <t>Радиатор СНК 110.072.02.00.01</t>
  </si>
  <si>
    <t>Приходная накладная 5086 (вх. 364) от 08.10.2024</t>
  </si>
  <si>
    <t>Радиатор_малый_дороботанный</t>
  </si>
  <si>
    <t>Радиоаппаратура MK15</t>
  </si>
  <si>
    <t>Радиодетали</t>
  </si>
  <si>
    <t>Радиомаяк tBeacon Onyx</t>
  </si>
  <si>
    <t>Радиоприемник XK-F303Е</t>
  </si>
  <si>
    <t>Радиочастотный коаксиальный кабель RG316, 50 Ом 3м</t>
  </si>
  <si>
    <t>Приходная накладная 2321 (вх. 245206/475) от 04.09.2024</t>
  </si>
  <si>
    <t>Разбавитель Brulex 2K Standard 5л</t>
  </si>
  <si>
    <t>Разбавитель ВЛ-02</t>
  </si>
  <si>
    <t>Разбавитель для эпоксидных систем ДЭГ-1</t>
  </si>
  <si>
    <t>Приходная накладная 1201 (вх. 0146751736-0129/0805) от 16.05.2024</t>
  </si>
  <si>
    <t>Развертка 8,0-8,5 регулируемая</t>
  </si>
  <si>
    <t>Приходная накладная 211 (вх. 1096808-МСК) от 05.02.2024</t>
  </si>
  <si>
    <t>Развертка d 7,75-8,5 ручная регулируемая 9ХС ц/х</t>
  </si>
  <si>
    <t>Развертка ручная 10мм  H7</t>
  </si>
  <si>
    <t>Развертка ручная ц/х D5.0 9ХС</t>
  </si>
  <si>
    <t>Развертка ручная цил. 5 Н7 9ХС</t>
  </si>
  <si>
    <t>Развертка ручная цилиндрическая Ф 8.00х58х115</t>
  </si>
  <si>
    <t>Приходная накладная 1877 (вх. 8933541-МСК) от 29.07.2024</t>
  </si>
  <si>
    <t>Разветвитель DEXP</t>
  </si>
  <si>
    <t>Разветвитель Pixhawk2 JST GH I2C</t>
  </si>
  <si>
    <t>Приходная накладная 5248 (вх. БП-401) от 23.10.2024</t>
  </si>
  <si>
    <t>Разводной ключ, 150 мм</t>
  </si>
  <si>
    <t>Разгрузчик печатных плат L-типа с задней загрузкой магазинов, ULDBC460XL</t>
  </si>
  <si>
    <t>Разгрузчик печатных плат в один магазин, ULDA 460XL</t>
  </si>
  <si>
    <t>Разделитель листов 1-10, цв.карт.Attache,A4</t>
  </si>
  <si>
    <t>Разделитель листов 12 цв. пластик, Attache Economy</t>
  </si>
  <si>
    <t>Разделитель листов 20 цв.пласт. А4+, А-Я Attache Selection</t>
  </si>
  <si>
    <t>Разделитель листов 5 цв. пластик, Attache Economy</t>
  </si>
  <si>
    <t>Разделитель листов из сер.пласт. алфавит А-Я Attache, А4, 20 разделов</t>
  </si>
  <si>
    <t>Разделитель листов полоски,пласт,12 л.,4 цвет.Attache Selection</t>
  </si>
  <si>
    <t>Разделитель листов Разделительные полоски Attache, зеленые, 100 шт./уп.</t>
  </si>
  <si>
    <t>Разделитель листов Разделительные полоски Attache,голубые, 100 шт./уп.</t>
  </si>
  <si>
    <t>Разделитель листов Разделительные полоски Attache,розовые, 100 шт./уп.</t>
  </si>
  <si>
    <t>Разделитель поперечный прозрачный 105x79x2 сплошной</t>
  </si>
  <si>
    <t>Приходная накладная 425 (вх. 1998411-МСК) от 26.02.2024</t>
  </si>
  <si>
    <t>Разжим для стопорн. колец с 4-мя насадками</t>
  </si>
  <si>
    <t>Размешиватели Grifon дерево 140 мм 500 шт</t>
  </si>
  <si>
    <t>Размешиватели одноразовые Grifon дерево 17,8 см 500 шт</t>
  </si>
  <si>
    <t>Приходная накладная 4367 (вх. R678043104-H77064779588) от 06.05.2024</t>
  </si>
  <si>
    <t>Разработка изделия и технической документации</t>
  </si>
  <si>
    <t>Приходная накладная 5031 (вх. 00156) от 28.02.2024</t>
  </si>
  <si>
    <t>Разработка программы для ЭВМ СЛЭМ</t>
  </si>
  <si>
    <t>Приходная накладная 4175 (вх. 3) от 31.07.2024</t>
  </si>
  <si>
    <t>Разработка пульта с дисплеем 5,5/10 дюймов и процессорном модуле SIMCOM</t>
  </si>
  <si>
    <t>Приходная накладная 5061 (вх. 43) от 31.05.2024</t>
  </si>
  <si>
    <t>Разработка цвета АБС</t>
  </si>
  <si>
    <t>Разъем 3/8" внешняя резьба - "елочка" 10мм, латунь</t>
  </si>
  <si>
    <t>Разъем 4PIN</t>
  </si>
  <si>
    <t>Разъем 4pin с проводом и ответной частью</t>
  </si>
  <si>
    <t>Разъем Amass AS150 мама</t>
  </si>
  <si>
    <t>Приходная накладная 442 (вх. 63) от 27.02.2024</t>
  </si>
  <si>
    <t>Разъем Amass AS150 папа</t>
  </si>
  <si>
    <t>Разъем Amass XT30 мама</t>
  </si>
  <si>
    <t>Приходная накладная 1970 (вх. 352) от 02.08.2024</t>
  </si>
  <si>
    <t>Разъем Amass XT30 папа</t>
  </si>
  <si>
    <t>Разъем Amass XT60 мама</t>
  </si>
  <si>
    <t>Разъем Amass XT60 папа</t>
  </si>
  <si>
    <t>Разъем Amass XT90 мама</t>
  </si>
  <si>
    <t>Приходная накладная 5345 (вх. 123) от 29.10.2024</t>
  </si>
  <si>
    <t>Разъем Amass XT90 папа</t>
  </si>
  <si>
    <t>Разъем micro USB штекер 4pin для самостоятельной сборки под пайку</t>
  </si>
  <si>
    <t>Разъем N-C58P</t>
  </si>
  <si>
    <t>Приходная накладная 1103 (вх. 73) от 26.04.2024</t>
  </si>
  <si>
    <t>Разъем SMA RG-58 female - гнездо обжимное (4 штуки)</t>
  </si>
  <si>
    <t>Разъем SMA-C58P gold</t>
  </si>
  <si>
    <t>Разъем SMA-female под кабель RG174, RG178, RG316, 50 Ом, обжимной под пайку, 2 шт.</t>
  </si>
  <si>
    <t>Разъем SMA-male под кабель RG174, RG178, RG316, 50 Ом, обжимной под пайку, 4 шт.</t>
  </si>
  <si>
    <t>Разъём TYPE-C-4Pin-20 RUICHI, длина кабеля 155 мм, 4 контакта, 3 А, 30 В</t>
  </si>
  <si>
    <t>Разъем, Проводные клеммы и зажимы MICRO-FIT 3.0 REC</t>
  </si>
  <si>
    <t>Приходная накладная 3824 (вх. 0754218) от 09.09.2024</t>
  </si>
  <si>
    <t>Разъем: Plug 4.0 M+F(Бананы)</t>
  </si>
  <si>
    <t>Приходная накладная 1257 (вх. 193) от 22.05.2024</t>
  </si>
  <si>
    <t>Разъем: Plug 4.0 Бананы (мама)</t>
  </si>
  <si>
    <t>Разъем: Plug 4.0 Бананы (папа)</t>
  </si>
  <si>
    <t>Разъемное соединение быстросъем МАМА  внутренняя резьба G3/8</t>
  </si>
  <si>
    <t>Приходная накладная 712 (вх. 3232851-МСК) от 26.03.2024</t>
  </si>
  <si>
    <t>Разъемы ND-D27F-12PIN-0-S1(мама)</t>
  </si>
  <si>
    <t>Приходная накладная 1501 (вх. 256) от 20.06.2024</t>
  </si>
  <si>
    <t>Разъемы ND-D27M-12PIN-0-R1(папа)</t>
  </si>
  <si>
    <t>Приходная накладная 1662 (вх. 298) от 08.07.2024</t>
  </si>
  <si>
    <t>Разъемы xt 30 (Папа+ Мама)</t>
  </si>
  <si>
    <t>Приходная накладная 1470 (вх. 64) от 18.06.2024</t>
  </si>
  <si>
    <t>Разъемы герметичные RUICHI BLHK12-8PB (комплект мама-папа)</t>
  </si>
  <si>
    <t>Приходная накладная 1807 (вх. 198) от 22.07.2024</t>
  </si>
  <si>
    <t>Разъемы герметичные RUICHI BLHK16-8PB (комплект мама-папа)</t>
  </si>
  <si>
    <t>Приходная накладная 1345 (вх. 122) от 04.06.2024</t>
  </si>
  <si>
    <t>разьем 7Р ХР2,54-Па-Па</t>
  </si>
  <si>
    <t>Разьем питания штекер (папа) 2. 1x5. 5 с клеммной колодкой</t>
  </si>
  <si>
    <t>Разьем сигнальный FUTABA</t>
  </si>
  <si>
    <t>Приходная накладная 1324 (вх. 28) от 03.06.2024</t>
  </si>
  <si>
    <t>разьем туре-С папа USB3.1 с платой для распайки 24 вывода</t>
  </si>
  <si>
    <t>Разьёмы питания низковольтные BLS 2.54</t>
  </si>
  <si>
    <t>Приходная накладная 516 (вх. 34) от 05.03.2024</t>
  </si>
  <si>
    <t>Рама IFlight iX15 950</t>
  </si>
  <si>
    <t>Рамка для натяжения трафаретов 584х584мм</t>
  </si>
  <si>
    <t>рамка для сельскохозяйственного дрона</t>
  </si>
  <si>
    <t>Распаячная коробка 100x100x50мм черная</t>
  </si>
  <si>
    <t>Распаячная коробка 80x80x50мм черная</t>
  </si>
  <si>
    <t>Распаячная коробка ОП 100х100х55мм, крышка,IP54, 8вх. TDM</t>
  </si>
  <si>
    <t>Распределитель CAN Hub</t>
  </si>
  <si>
    <t>Распределительная плата MATEKSYS</t>
  </si>
  <si>
    <t>Приходная накладная 4456 (вх. R21329) от 01.01.2024</t>
  </si>
  <si>
    <t>Распылитель RoxelPro 1L</t>
  </si>
  <si>
    <t>Приходная накладная 1790 (вх. 8601864-МСК) от 22.07.2024</t>
  </si>
  <si>
    <t>Растворитель РФГ</t>
  </si>
  <si>
    <t>Приходная накладная 2086 (вх. 959) от 15.08.2024</t>
  </si>
  <si>
    <t>РВД в сборе H20-10-1200-B21</t>
  </si>
  <si>
    <t>РГА-3П, Разъем герметичный автомобильный 3pin</t>
  </si>
  <si>
    <t>Регулятор AIR20A</t>
  </si>
  <si>
    <t>Регулятор ESC Flame 80A</t>
  </si>
  <si>
    <t>Приходная накладная 219 (вх. 22) от 06.02.2024</t>
  </si>
  <si>
    <t>Регулятор Flipsky 75100</t>
  </si>
  <si>
    <t>Регулятор Hobbywing Platinum Pro V4 3-6S</t>
  </si>
  <si>
    <t>Приходная накладная 1379 (вх. 213) от 07.06.2024</t>
  </si>
  <si>
    <t>Регулятор Pro V4 120A</t>
  </si>
  <si>
    <t>Приходная накладная 2148 (вх. 370) от 20.08.2024</t>
  </si>
  <si>
    <t>Регулятор T-Motor Flame 60A  6-12S (Сибирь-2)</t>
  </si>
  <si>
    <t>Приходная накладная 5085 (вх. 482) от 30.09.2024</t>
  </si>
  <si>
    <t>Регулятор Xrotor PRO 60A RC (Сибирь-1)</t>
  </si>
  <si>
    <t>Приходная накладная 4900 (вх. 483) от 04.10.2024</t>
  </si>
  <si>
    <t>Регулятор воздуха с манометром для "Краскопульта" Jonnesway ACC-3806R</t>
  </si>
  <si>
    <t>Приходная накладная 4004 (вх. 11251740-МСК) от 18.09.2024</t>
  </si>
  <si>
    <t>Регулятор двигателя T-Motor Flame 60A HV</t>
  </si>
  <si>
    <t>Регулятор скорости V80A 14S ESC</t>
  </si>
  <si>
    <t>редуктор А-90</t>
  </si>
  <si>
    <t>Редуктор для круглых воздуховодов универсальный</t>
  </si>
  <si>
    <t>Редукция D 50/32мм вн.канализ.</t>
  </si>
  <si>
    <t>Резина МБС-С 2Ф 40x100x500 мм</t>
  </si>
  <si>
    <t>Приходная накладная 4811 (вх. 377333/145) от 01.10.2024</t>
  </si>
  <si>
    <t>Резиновый коврик для сам. оснащения</t>
  </si>
  <si>
    <t>Резиновый молоток</t>
  </si>
  <si>
    <t>Резиновый ремень 6мм</t>
  </si>
  <si>
    <t>резисторы 0201 0402 0603 0805 1206 ,книга резистров. полная серия. книга образцов OR</t>
  </si>
  <si>
    <t>Авансовый отчет 181 от 18.04.2024</t>
  </si>
  <si>
    <t>Резисторы 560 Ом</t>
  </si>
  <si>
    <t>Резисторы 570 OHM</t>
  </si>
  <si>
    <t>Резка</t>
  </si>
  <si>
    <t>Резъбовая паста Molykote 1000</t>
  </si>
  <si>
    <t>Приходная накладная 2039 (вх. 717) от 12.08.2024</t>
  </si>
  <si>
    <t>Резьбонарезной набор MINI-2, 25 пр, метчики M3-M12, на блистере</t>
  </si>
  <si>
    <t>Реле 1 переключ 5A</t>
  </si>
  <si>
    <t>Реле контроля фаз многофункциональное 3L+N; 400В AC;</t>
  </si>
  <si>
    <t>Ремень зубчатый HTD 310 5M, ширина 17 мм</t>
  </si>
  <si>
    <t>Приходная накладная 5254 (вх. 48630) от 23.10.2024</t>
  </si>
  <si>
    <t>Ремень зубчатый HTD 550 5M, ширина 15 мм</t>
  </si>
  <si>
    <t>Ремень клиновой широкоугольный 5M 365 POLYMAX ,длина: 365мм ,ширина ручья : 5мм</t>
  </si>
  <si>
    <t>Приходная накладная 1416 (вх. 1316851/92) от 13.06.2024</t>
  </si>
  <si>
    <t>ремешок RadioMaster для аппаратуры управления</t>
  </si>
  <si>
    <t>Авансовый отчет 178 от 18.04.2024</t>
  </si>
  <si>
    <t>РемоКолор Кисть филеночная, 10мм</t>
  </si>
  <si>
    <t>РемоКолор Мини-валик малярный с рукояткой Гирпан , ось 6мм, D15мм, 100мм, 06-4-521</t>
  </si>
  <si>
    <t>РемоКолор Набор сантехнических прокладок Сантехник№2, силикон, 61-0-072</t>
  </si>
  <si>
    <t>РемоКолор Салфетки влажные антибактериальные</t>
  </si>
  <si>
    <t>Ремонт, диагностика техники</t>
  </si>
  <si>
    <t>Приходная накладная 4640 (вх. 56) от 31.07.2024</t>
  </si>
  <si>
    <t>Ремонт, ТО автомобиля</t>
  </si>
  <si>
    <t>Приходная накладная 4639 (вх. МН-0148588/07) от 31.07.2024</t>
  </si>
  <si>
    <t>репитер, карта видио, адаптер usb</t>
  </si>
  <si>
    <t>Ресанта Дренажный насос НД-8000П/35</t>
  </si>
  <si>
    <t>Ресанта ТЕК Мультиметр DT 838 61/10/513</t>
  </si>
  <si>
    <t>Ресанта Удлинитель силовой на металлической катушке, СУ-3x2,5КГ-50/3</t>
  </si>
  <si>
    <t>Респиратор FFP3</t>
  </si>
  <si>
    <t>Приходная накладная 511 (вх. 2360254-МСК) от 05.03.2024</t>
  </si>
  <si>
    <t>Респиратор полумаска Юлия</t>
  </si>
  <si>
    <t>Респиратор-300 ПРО</t>
  </si>
  <si>
    <t>Ретикулированный пенополиуретан PPi45 1000х500х10</t>
  </si>
  <si>
    <t>Приходная накладная 4220 (вх. 1577) от 26.09.2024</t>
  </si>
  <si>
    <t>Ретранслятор на видео 1,2 ГГц на 5,8 ГГц (FPV)</t>
  </si>
  <si>
    <t>Приходная накладная 1240 (вх. 7) от 15.05.2024</t>
  </si>
  <si>
    <t>Ретранслятор на управление 0,433 на 2,4 (FPV)</t>
  </si>
  <si>
    <t>Рефрактометр для эмульсии</t>
  </si>
  <si>
    <t>РК ГРУП Крепежный уголок равносторонний 40x40x40 (50шт.) РКГ00000601</t>
  </si>
  <si>
    <t>РК ГРУП Уголок мебельный KW1 25x25x17 узкий РК000002065</t>
  </si>
  <si>
    <t>Р-М10 Резьбовой двуручный заклепочник в кейсе, М3 - М10</t>
  </si>
  <si>
    <t>Приходная накладная 973 (вх. 4053451-МСК) от 15.04.2024</t>
  </si>
  <si>
    <t>РМС Комплект колец "" для штор белые (12 шт./уп.) КДШБ РМС КДШБ</t>
  </si>
  <si>
    <t>РМС Смеситель для кухни SUS124-017F</t>
  </si>
  <si>
    <t>Приходная накладная 65 (вх. 0285490-МСК) от 16.01.2024</t>
  </si>
  <si>
    <t>Розетка 2-м ОП с заземл. бел.</t>
  </si>
  <si>
    <t>Розетка PA16-044C</t>
  </si>
  <si>
    <t>Приходная накладная 1221 (вх. 0408265) от 17.05.2024</t>
  </si>
  <si>
    <t>Розетка для монтажа на поверхность 16А</t>
  </si>
  <si>
    <t>Розетка компьютерная 2-м СП</t>
  </si>
  <si>
    <t>Приходная накладная 2135 (вх. 055/45235) от 20.08.2024</t>
  </si>
  <si>
    <t>Розетка с винтовыми клеммами для реле</t>
  </si>
  <si>
    <t>Приходная накладная 1756 (вх. 8489962-МСК) от 18.07.2024</t>
  </si>
  <si>
    <t>Розетка стационарная наружная 32А</t>
  </si>
  <si>
    <t>Ролик для сетчатой накатки</t>
  </si>
  <si>
    <t>Ролик красящий чернильный для MX2616 EOS</t>
  </si>
  <si>
    <t>Приходная накладная 1845 (вх. 38221418) от 24.07.2024</t>
  </si>
  <si>
    <t>Роллер Uni-Ball AIR 0,28-0,45мм синий UBA-188EL-M, голуб. корп</t>
  </si>
  <si>
    <t>Роллер Uni-Ball AIR 0,28-0,45мм синий UBA-188M</t>
  </si>
  <si>
    <t>РОСОМЗ Наушники противошумные СОМЗ-88 Победит 60988</t>
  </si>
  <si>
    <t>Приходная накладная 159 (вх. 0655450-МСК) от 26.01.2024</t>
  </si>
  <si>
    <t>РОСОМЗ Очки защитные открытые О35 ВИЗИОН 2С-1,2 PС 13511</t>
  </si>
  <si>
    <t>Россия Полумаска изолирующая ИСТОК-300/400 со сменными комбинированными фильтрами А1Р1 892437</t>
  </si>
  <si>
    <t>Россия Фильтр комбинированный к полумаске изолирующей ИСТОК 300/400, А1Р1, 2 шт. 892447</t>
  </si>
  <si>
    <t>Ротаметр SFR-400</t>
  </si>
  <si>
    <t>Приходная накладная 1105 (вх. 448) от 27.04.2024</t>
  </si>
  <si>
    <t>Роутер 3G/4G-WiFi Keenetic Runner 4G с уличной антенной ZETA-F MIMO 20 дБ</t>
  </si>
  <si>
    <t>Приходная накладная 2209 (вх. 16453974202408220001) от 26.08.2024</t>
  </si>
  <si>
    <t>Роутер CCLR</t>
  </si>
  <si>
    <t>Приходная накладная 951 (вх. 27) от 11.04.2024</t>
  </si>
  <si>
    <t>Рувинил Коробка распределительная ОП 70х70х40мм 7</t>
  </si>
  <si>
    <t>Рукавицы трансформеры вязанные ТЕЙКЕР ФРОСТ утеплённые_10</t>
  </si>
  <si>
    <t>Руководство по эксплуатации "Пульт Шерегеш"</t>
  </si>
  <si>
    <t>Руководство по эксплуатации БВС Сибирь-1 Камера Х10</t>
  </si>
  <si>
    <t>Руководство по эксплуатации БВС Сибирь-2 Камера Х10</t>
  </si>
  <si>
    <t>Руководство по эксплуатации БВС Сибирячок</t>
  </si>
  <si>
    <t>Руководство по эксплуатации БВС Шторм</t>
  </si>
  <si>
    <t>Рукоятка деревянная Азур 120см резьбовая</t>
  </si>
  <si>
    <t>Рулетка 3м х 16мм, прорезиненный корпус Kroft 202200</t>
  </si>
  <si>
    <t>Рулетка 5 м x 25 мм</t>
  </si>
  <si>
    <t>Рулетка SPARTA Elastica 5мх18мм, обрезин.корпус (31312)</t>
  </si>
  <si>
    <t>Ручка  FM 021  Хром</t>
  </si>
  <si>
    <t>Приходная накладная 140 (вх. 11) от 15.01.2024</t>
  </si>
  <si>
    <t>Ручка гелевая 0.29м черная Bic Gelocity</t>
  </si>
  <si>
    <t>Ручка гелевая 0.5мм синяя BIC Gelocity</t>
  </si>
  <si>
    <t>Ручка гелевая неавтомат. Attache City 0,5мм зеленый Россия</t>
  </si>
  <si>
    <t>Ручка гелевая неавтомат. Attache City 0,5мм красный Россия</t>
  </si>
  <si>
    <t>Ручка гелевая неавтомат. Attache City 0,5мм синий Россия</t>
  </si>
  <si>
    <t>Ручка гелевая неавтомат. Attache City 0,5мм черный Россия</t>
  </si>
  <si>
    <t>Ручка гелевая неавтомат. Attache Economy зеленый стерж., 0,5 мм,манж</t>
  </si>
  <si>
    <t>Ручка гелевая неавтомат. Attache Economy красный стерж., 0,5 мм,манж</t>
  </si>
  <si>
    <t>Ручка гелевая неавтомат. Attache Economy синий стерж., 0,5 мм,манж</t>
  </si>
  <si>
    <t>Ручка гелевая неавтомат. Attache Economy черный стерж., 0,5 мм,манж</t>
  </si>
  <si>
    <t>Ручка гелевая неавтомат. Attache Epic,цвет чернил-красный,манж</t>
  </si>
  <si>
    <t>Ручка гелевая неавтомат. Attache Town 0,5мм с резин.манжеткой черный</t>
  </si>
  <si>
    <t>Ручка гелевая неавтомат. Attache синий стерж., 0,5мм</t>
  </si>
  <si>
    <t>Ручка гелевая неавтомат. BIC Gelocity Stic резин.манжет.синяя</t>
  </si>
  <si>
    <t>Ручка гелевая неавтомат. BIC Gelocity Stic резин.манжет.черная</t>
  </si>
  <si>
    <t>Ручка гелевая неавтомат. Deli Daily д.ш.0,5мм,лин.0,35,чер,р/м E6600S</t>
  </si>
  <si>
    <t>Ручка гелевая неавтомат. PILOT биополимерн лин.пис 0.2мм син BL-GC4 L</t>
  </si>
  <si>
    <t>Ручка для ролика 50x6 мм Profi</t>
  </si>
  <si>
    <t>Приходная накладная 4005 (вх. 11251735-МСК) от 18.09.2024</t>
  </si>
  <si>
    <t>Ручка для транспортной платформы12т</t>
  </si>
  <si>
    <t>Ручка шариковая ULTRA-10</t>
  </si>
  <si>
    <t>Ручка шариковая автомат. Attache Comfort маслян корп Soft touch 0,5мм</t>
  </si>
  <si>
    <t>Ручка шариковая автомат. Attache Economy 0,5мм автомат рез.манжет,син</t>
  </si>
  <si>
    <t>Ручка шариковая автоматическая Attache Eclipse</t>
  </si>
  <si>
    <t>Ручка шариковая масляная, синяя 0,7 мм</t>
  </si>
  <si>
    <t>Ручка шариковая на подставке Attache Ocean, синий</t>
  </si>
  <si>
    <t>Ручка шариковая на подставке Attache Unity, синий</t>
  </si>
  <si>
    <t>Ручка шариковая неавтомат. Attache AA-927 игол.након,син ст0,38/0,5мм</t>
  </si>
  <si>
    <t>Ручка шариковая неавтомат. Attache Corvet зеленая, 0,7мм</t>
  </si>
  <si>
    <t>Ручка шариковая неавтомат. Attache Deli 0,5мм синий маслян.осн Россия</t>
  </si>
  <si>
    <t>Ручка шариковая неавтомат. Attache Sparkle 0,3мм,син,масл,манж</t>
  </si>
  <si>
    <t>Ручка шариковая неавтомат. Attache Style 0,5мм прорезин.корп.синий ст</t>
  </si>
  <si>
    <t>Ручка шариковая неавтомат. Attache Trio, маслян, син. стерж</t>
  </si>
  <si>
    <t>Ручка шариковая неавтомат. Attache Velex X 0,5мм син,масл,оранж.кор</t>
  </si>
  <si>
    <t>Ручка шариковая неавтомат. BIC Orange син,мас,0,3,Фран8099221/8249851</t>
  </si>
  <si>
    <t>Ручка шариковая неавтомат. Bic Раунд Стик син,921403/934598,лин0,32мм</t>
  </si>
  <si>
    <t>Ручка шариковая неавтомат. BicРаундСтикЭкзакт син,0,28,масл,ман918543</t>
  </si>
  <si>
    <t>Ручка шариковая неавтомат. Erich Krause R-301Classic 1,0,син,масл,манж</t>
  </si>
  <si>
    <t>Ручка шариковая неавтомат. MunHwa MC Gold син,0,5мм,масл,манж 207858</t>
  </si>
  <si>
    <t>Ручка шариковая неавтомат. My Tech игольчат након 0,7мм,лин 0,35мм</t>
  </si>
  <si>
    <t>Ручка шариковая неавтомат. PILOT BPS-GP-EF рез.манж. син 0,18ммЯпония</t>
  </si>
  <si>
    <t>Ручной дозатор для паяльной пасты</t>
  </si>
  <si>
    <t>Ручной заклепочник 2.4-4.8 GHR-48</t>
  </si>
  <si>
    <t>Приходная накладная 862 (вх. 3553003-МСК) от 02.04.2024</t>
  </si>
  <si>
    <t>Рыжий кот Губка металлическая для посуды, спираль, вес 12 гр., 1 шт. 310568</t>
  </si>
  <si>
    <t>Рым-болт DIN 580 м14</t>
  </si>
  <si>
    <t>Приходная накладная 4279 (вх. 11702764-МСК) от 27.09.2024</t>
  </si>
  <si>
    <t>Рым-болт DIN580 М16 1 шт</t>
  </si>
  <si>
    <t>Рым-болт DIN580 М8</t>
  </si>
  <si>
    <t>Приходная накладная 1695 (вх. 8206173-МСК) от 12.07.2024</t>
  </si>
  <si>
    <t>Рым-болт М10 (1 шт)</t>
  </si>
  <si>
    <t>Рым-болт М12 (1 шт)</t>
  </si>
  <si>
    <t>РЭ БВС Сибирь-1 Камера Х30 AS150 новые</t>
  </si>
  <si>
    <t>РЭ БВС Сибирь-1 Камера Х30 AS150 старые</t>
  </si>
  <si>
    <t>РЭ БВС Сибирь-1 Тепловизор A10TR x10 AS-150 новые</t>
  </si>
  <si>
    <t>РЭ БВС Сибирь-1 Тепловизор TH10T6LN AS-150 новые</t>
  </si>
  <si>
    <t>РЭ БВС Сибирь-1 Тепловизор TH10T6LN AS-150 старые</t>
  </si>
  <si>
    <t>РЭ БВС Сибирь-2 Камера Х30 AS150 старые</t>
  </si>
  <si>
    <t>РЭ БВС Сибирь-2 Тепловизор TH10T6LN AS150 старые</t>
  </si>
  <si>
    <t>Салфетка хозяйственная HQ Profiline д/стекл ПУ 35х40см 245г/м зелен 2шт/уп</t>
  </si>
  <si>
    <t>Салфетка хозяйственная HQ Profiline д/стекл ПУ 35х40см 245г/м2 синяя 2шт/уп</t>
  </si>
  <si>
    <t>Салфетка хозяйственная из микрофибры универс 200г/м2 30х30см жел</t>
  </si>
  <si>
    <t>Салфетка хозяйственная из микрофибры универс 200г/м2 30х30см зел</t>
  </si>
  <si>
    <t>Салфетка хозяйственная из микрофибры универс 200г/м2 30х30см красн</t>
  </si>
  <si>
    <t>Салфетка хозяйственная из микрофибры универс 200г/м2 30х30см синяя</t>
  </si>
  <si>
    <t>Салфетка хозяйственная из микрофибры универс 280г/м2 30х30см синяя</t>
  </si>
  <si>
    <t>Салфетка хозяйственная цел MITRA Super Absorbent 15x15см, 3шт/уп /K5044</t>
  </si>
  <si>
    <t>Салфетки Attache Selection Power универс, з/блок, 100 шт, 130х170</t>
  </si>
  <si>
    <t>Салфетки Attache Selection Smart Price для маркерн. досок влажные(100шт/уп)</t>
  </si>
  <si>
    <t>Салфетки Attache Selection д/экранов, туба, пов/пл, 100 шт, 130х150</t>
  </si>
  <si>
    <t>Салфетки безворсовые Kimtech Kimwipes Science (280 шт) размер 11x21 см</t>
  </si>
  <si>
    <t>Салфетки бумажные</t>
  </si>
  <si>
    <t>Салфетки влажные AURA антибак Family 120шт с крышкой</t>
  </si>
  <si>
    <t>Салфетки влажные Salfeti антибактериальные 72 шт</t>
  </si>
  <si>
    <t>Приходная накладная 4315 (вх. R550601685-H20895229692) от 25.07.2024</t>
  </si>
  <si>
    <t>Салфетки влажные Эконом smart N50 антибактериальные санитайзер 50шт/уп</t>
  </si>
  <si>
    <t>Приходная накладная 5255 (вх. 202410220001) от 23.10.2024</t>
  </si>
  <si>
    <t>Салфетки д/экранов туба 100шт/уп 112х170 МБЛ</t>
  </si>
  <si>
    <t>Салфетки д/экранов, з/блок, 100 шт, 130х170</t>
  </si>
  <si>
    <t>салфетки для обуви</t>
  </si>
  <si>
    <t>Салфетки косметические Tork F1 д/лица 2сл. 100шт/уп 120380</t>
  </si>
  <si>
    <t>Салфетки нетканные для обезжиривания JETA PRO J-Clean бирюзовые, 30x38см, рулон 500шт</t>
  </si>
  <si>
    <t>Приходная накладная 4891 (вх. 43226/546) от 04.10.2024</t>
  </si>
  <si>
    <t>Салфетки универс, з/блок, 100 шт, 130х170</t>
  </si>
  <si>
    <t>Салфетки универс, туба, 100 шт, 130х170</t>
  </si>
  <si>
    <t>Салфетки универсальные чистящие Home Protect антибакт. 50шт/уп</t>
  </si>
  <si>
    <t>Салфетки хозяйственные Luscan Professional BESTQUICK 38х40 см голуб 5шт/уп</t>
  </si>
  <si>
    <t>Самоклеющиеся крючки, держатель для полотенец набор 5 шт.</t>
  </si>
  <si>
    <t>Приходная накладная 662 (вх. 0146751736-0048/1602) от 16.02.2024</t>
  </si>
  <si>
    <t>Самоклеящиеся карманы  А4 223x303 мм 3 шт/уп</t>
  </si>
  <si>
    <t>Самоклеящиеся карманы Attache А4, 223х303 мм, 5 шт</t>
  </si>
  <si>
    <t>Саморез 2.2х13</t>
  </si>
  <si>
    <t>Приходная накладная 294 (вх. 10302) от 15.02.2024</t>
  </si>
  <si>
    <t>Саморез 2.2х9.5</t>
  </si>
  <si>
    <t>Саморез 3,5х60</t>
  </si>
  <si>
    <t>Саморез 3х16</t>
  </si>
  <si>
    <t>Приходная накладная 1498 (вх. УТ-130) от 20.06.2024</t>
  </si>
  <si>
    <t>Саморез 5x4</t>
  </si>
  <si>
    <t>Саморез ART.9091 1,4х5 А2 Ph</t>
  </si>
  <si>
    <t>Приходная накладная 509 (вх. УТ-45) от 26.02.2024</t>
  </si>
  <si>
    <t>Саморез ART.9091 2х5 А2 Ph</t>
  </si>
  <si>
    <t>Саморез ART.9091 3х6 А2 Ph</t>
  </si>
  <si>
    <t>Приходная накладная 510 (вх. УТ-39) от 20.02.2024</t>
  </si>
  <si>
    <t>Саморез ART.9091 3х8 Ph A2</t>
  </si>
  <si>
    <t>Саморез ART.9091 3х8 Ph черн.</t>
  </si>
  <si>
    <t>Саморез BLSC 1,7х5мм</t>
  </si>
  <si>
    <t>Приходная накладная 4033 (вх. 9607) от 20.09.2024</t>
  </si>
  <si>
    <t>Саморез DIN 7981 2,2x13</t>
  </si>
  <si>
    <t>Саморез DIN 7981 2,2x9,5</t>
  </si>
  <si>
    <t>Саморез DIN 7982 2,9x6,5</t>
  </si>
  <si>
    <t>Саморез DIN7981 2,2x6,5</t>
  </si>
  <si>
    <t>Саморез DIN7982 2.9х13</t>
  </si>
  <si>
    <t>Саморез желтый цинк 3x12(5000шт)</t>
  </si>
  <si>
    <t>Приходная накладная 909 (вх. 3712338-МСК) от 08.04.2024</t>
  </si>
  <si>
    <t>Саморез острый РН2 оц 4.2х32</t>
  </si>
  <si>
    <t>Саморез ПГЧ 2х5</t>
  </si>
  <si>
    <t>Саморез ПГЧ DIN7982 М2,5х12</t>
  </si>
  <si>
    <t>Саморез ПГЧ DIN7982 М2,5х12 черн</t>
  </si>
  <si>
    <t>Приходная накладная 5088 (вх. 10282) от 09.10.2024</t>
  </si>
  <si>
    <t>Саморез ПГЧ DIN7982 М2,5х8</t>
  </si>
  <si>
    <t>Саморез ПГЧ DIN7982 М2,5х8 черн</t>
  </si>
  <si>
    <t>Саморез прессшайба сверло</t>
  </si>
  <si>
    <t>Саморез ПСГЧ 1,7х5</t>
  </si>
  <si>
    <t>Саморез ПСГЧ 2х16</t>
  </si>
  <si>
    <t>Саморез с прессшайбой</t>
  </si>
  <si>
    <t>Саморез террасный 5.5х60</t>
  </si>
  <si>
    <t>Саморез универсальный по дереву 3х25 желтый цинк, 500 шт</t>
  </si>
  <si>
    <t>Приходная накладная 162 (вх. 0705078-МСК) от 26.01.2024</t>
  </si>
  <si>
    <t>САМОРЕЗ УНИВЕРСАЛЬНЫЙ СКРУГЛ. 2.5х10 Ц Pz 1 1000шт</t>
  </si>
  <si>
    <t>Приходная накладная 3976 (вх. 11185348-МСК) от 17.09.2024</t>
  </si>
  <si>
    <t>Саморез ШУЖ 3x12</t>
  </si>
  <si>
    <t>Саморезы пот/г кр/ш оксидир., 3,5x35, 500 шт</t>
  </si>
  <si>
    <t>Саморезы универсальные 10x2,5 мм 500 шт Tech-Krep</t>
  </si>
  <si>
    <t>Сансевиерия Лауренти 12*30-40</t>
  </si>
  <si>
    <t>СантехМастер Гель Зеленый, тюбик 60 г, блистер</t>
  </si>
  <si>
    <t>Сантехническая листовая резина для прокладок 0.5х1м 7мм</t>
  </si>
  <si>
    <t>Приходная накладная 1577 (вх. 6207363202406240001) от 27.06.2024</t>
  </si>
  <si>
    <t>Сапоги БАРС ЭВА утеплённые женские арт. С-051 серые 39-40</t>
  </si>
  <si>
    <t>Сапоги БАРС ЭВА утеплённые с композитным подноском 39/40</t>
  </si>
  <si>
    <t>Сапоги БАРС ЭВА утеплённые с композитным подноском 40/41</t>
  </si>
  <si>
    <t>Сапоги БАРС ЭВА утеплённые с композитным подноском 42/43</t>
  </si>
  <si>
    <t>Сапоги БАРС ЭВА утеплённые с композитным подноском 44/45</t>
  </si>
  <si>
    <t>Сахар Aro свекловичный белый прессованный 1 кг</t>
  </si>
  <si>
    <t>Сахар кусковой 1кг, 10шт/уп</t>
  </si>
  <si>
    <t>Приходная накладная 4383 (вх. R032413303-H58501074990) от 01.04.2024</t>
  </si>
  <si>
    <t>Сахар Русский сахар белый прессованный кусковой 1 кг</t>
  </si>
  <si>
    <t>СБ-1 Стеллаж ждя бумаг 77-37-200 Белый</t>
  </si>
  <si>
    <t>сбалансированная защита головы для Rc Lipo,батареи</t>
  </si>
  <si>
    <t>Сборка мебели</t>
  </si>
  <si>
    <t>Сборная каркасная перегородка</t>
  </si>
  <si>
    <t>Сборно-разборная каркасная перегородка 270см</t>
  </si>
  <si>
    <t>Сварочная смесь 40л 92%Ar+8%CO2 в баллоне</t>
  </si>
  <si>
    <t>Сверла по металлу 25 шт</t>
  </si>
  <si>
    <t>Сверло 2,9 ц/х Р6М5</t>
  </si>
  <si>
    <t>Сверло 3,0 ц/х</t>
  </si>
  <si>
    <t>Сверло 3,20 ц/х</t>
  </si>
  <si>
    <t>Приходная накладная 2005 (вх. 10901) от 07.08.2024</t>
  </si>
  <si>
    <t>Сверло 3,40 ц/х</t>
  </si>
  <si>
    <t>Сверло 5.0 OSAWA</t>
  </si>
  <si>
    <t>Сверло DIN 388 по металлу 14мм</t>
  </si>
  <si>
    <t>Сверло по металлу 1.0x56/33мм</t>
  </si>
  <si>
    <t>Приходная накладная 1113 (вх. 4822351-МСК) от 02.05.2024</t>
  </si>
  <si>
    <t>Сверло по металлу 1055-04-5S-SS10(10шт)</t>
  </si>
  <si>
    <t>Сверло по металлу 2.4x53/27мм. HSS-G DIN 338</t>
  </si>
  <si>
    <t>Сверло по металлу 2.5 х57мм HSS-Co 8%</t>
  </si>
  <si>
    <t>Сверло по металлу 2.5x57x30 мм 10 шт</t>
  </si>
  <si>
    <t>Сверло по металлу 3,1x65 мм (10 шт)</t>
  </si>
  <si>
    <t>Сверло по металлу 3,2x65 мм (10 шт)</t>
  </si>
  <si>
    <t>Сверло по металлу 3,3x65 мм (10 шт)</t>
  </si>
  <si>
    <t>Сверло по металлу 3,5 мм, уп 10шт</t>
  </si>
  <si>
    <t>Сверло по металлу 3,5x70 мм (10 шт)</t>
  </si>
  <si>
    <t>Сверло по металлу 3.3мм (2 шт/упак)</t>
  </si>
  <si>
    <t>Сверло по металлу 3х61мм</t>
  </si>
  <si>
    <t>Сверло по металлу DIN338 6х57х93</t>
  </si>
  <si>
    <t>Приходная накладная 1654 (вх. УТ-161) от 05.07.2024</t>
  </si>
  <si>
    <t>Сверло по металлу DIN338 9х81х125</t>
  </si>
  <si>
    <t>Сверло по металлу Titan m2 DIN.338 5.1 mm 10 шт</t>
  </si>
  <si>
    <t>Сверло по металлу длинное 8x300 мм</t>
  </si>
  <si>
    <t>Сверло по металлу с кобальтом 3.4x70 мм</t>
  </si>
  <si>
    <t>Сверло по стеклу и кафелю</t>
  </si>
  <si>
    <t>Сверло с цилиндрическим хвостовиком 8.0 длинное L-300мм</t>
  </si>
  <si>
    <t>Сверло спиральное HSS 5,2x86mm(10шт)</t>
  </si>
  <si>
    <t>Сверло ступенчатое по металлу d 4,0-20,0 мм, 9 ступ.</t>
  </si>
  <si>
    <t>Приходная накладная 417 (вх. 1998413-МСК) от 26.02.2024</t>
  </si>
  <si>
    <t>Сверло твердосплавное 3,2х49</t>
  </si>
  <si>
    <t>Приходная накладная 2225 (вх. УТ-230) от 27.08.2024</t>
  </si>
  <si>
    <t>Сверло твердосплавное 3,2х55</t>
  </si>
  <si>
    <t>Сверло твердосплавное 6,0х66</t>
  </si>
  <si>
    <t>Сверло твердосплавное d=6, I3=14мм</t>
  </si>
  <si>
    <t>Приходная накладная 3931 (вх. УТ-11723) от 16.09.2024</t>
  </si>
  <si>
    <t>Сверло твердосплавное d=6, I3=20мм</t>
  </si>
  <si>
    <t>Сверло ц/ хв. 9,0 мм DIN338 HSS-Co ( упаковка из 10 шт)</t>
  </si>
  <si>
    <t>Сверло ц/х 14 4хD</t>
  </si>
  <si>
    <t>Приходная накладная 2007 (вх. 10902) от 07.08.2024</t>
  </si>
  <si>
    <t>Сверло ц/х 14 5хD</t>
  </si>
  <si>
    <t>Сверло ц/х ф3 М35</t>
  </si>
  <si>
    <t>Приходная накладная 1673 (вх. 10876) от 09.07.2024</t>
  </si>
  <si>
    <t>Сверло ц/хв 2,0мм DIN 338 HSS-Co</t>
  </si>
  <si>
    <t>Светильник 48В ДСП</t>
  </si>
  <si>
    <t>Светильник Ultraflash UF-812 C01, LED, 7Вт, 4500К, 3 ур.яркости, белый</t>
  </si>
  <si>
    <t>Светильник для шинопровода LED 12W 4000K белый/черный</t>
  </si>
  <si>
    <t>Приходная накладная 4332 (вх. 58) от 11.07.2024</t>
  </si>
  <si>
    <t>Светильник настольный ЭРА NLED-496-12W-BK светодиодный на струбцине черный</t>
  </si>
  <si>
    <t>Светильник светодиодный ДиКом 60.01.1300</t>
  </si>
  <si>
    <t>Светильник складной светодиодный WHB-02 150Вт 230В 5000К 15750Лм 105Лм/Вт IP65 без пульсации NEOX</t>
  </si>
  <si>
    <t>Светильник станочный ПБД 62-6-008</t>
  </si>
  <si>
    <t>Приходная накладная 2149 (вх. ЦБ-3189) от 20.08.2024</t>
  </si>
  <si>
    <t>Светильник Старт СТ58 черный</t>
  </si>
  <si>
    <t>Светильник Старт СТ59 черный</t>
  </si>
  <si>
    <t>Светильник Трансвит Гермес, на струбцине,(черный),светодиодный, диммер</t>
  </si>
  <si>
    <t>Светильник Трансвит Дельта С16 8W белый</t>
  </si>
  <si>
    <t>Световой короб 450х450х1000</t>
  </si>
  <si>
    <t>Приходная накладная 5103 (вх. 10246) от 07.06.2024</t>
  </si>
  <si>
    <t>Световой короб 450х450х1100</t>
  </si>
  <si>
    <t>Световой короб 450х450х1200</t>
  </si>
  <si>
    <t>Световой короб 450х450х800</t>
  </si>
  <si>
    <t>Световой короб 450х450х900</t>
  </si>
  <si>
    <t>Световой короб 600х450х900</t>
  </si>
  <si>
    <t>Световой короб 600х560х1100</t>
  </si>
  <si>
    <t>Световой короб 750х560х1000</t>
  </si>
  <si>
    <t>Светодиод оранжевый 1.6х0.8мм 200мКд</t>
  </si>
  <si>
    <t>Светодиодный настольный светодиодный 18Вт</t>
  </si>
  <si>
    <t>Приходная накладная 659 (вх. 0146751736-0046/1602) от 16.02.2024</t>
  </si>
  <si>
    <t>СВС Перчатки для точных работ ПОЛИКС полиэфир, р. 9, черные, 1 пара 93-243_9</t>
  </si>
  <si>
    <t>Приходная накладная 5185 (вх. 12669387-МСК) от 21.10.2024</t>
  </si>
  <si>
    <t>СГМ-7, Инструмент, Мини-дрель 6-18В/5.8А</t>
  </si>
  <si>
    <t>Сгон (склиз) ЭкоКоллекция 35 см к арт 571061</t>
  </si>
  <si>
    <t>Сегмент-Абразив Лента на ткани 10ммх330мм Р100 (5шт.)</t>
  </si>
  <si>
    <t>Приходная накладная 995 (вх. 4053418-МСК) от 16.04.2024</t>
  </si>
  <si>
    <t>Сейф бронированный КЗ-065Т</t>
  </si>
  <si>
    <t>Приходная накладная 1094 (вх. 445) от 26.04.2024</t>
  </si>
  <si>
    <t>Секундомер электронный Интеграл С-02</t>
  </si>
  <si>
    <t>сельхоз машина для защиты растений</t>
  </si>
  <si>
    <t>СЕМ Dt-9868s тепловизор</t>
  </si>
  <si>
    <t>СЕМ DT-9918T Мультиметр профессиональный</t>
  </si>
  <si>
    <t>Сепаратор для разделения ПП</t>
  </si>
  <si>
    <t>Серая эмаль  алкидная 520мл HOLEX</t>
  </si>
  <si>
    <t>Сервер HPE DL380 Gen10 - 1</t>
  </si>
  <si>
    <t>Сервер HPE DL380 Gen10 - 2</t>
  </si>
  <si>
    <t>Сервомашинка RDS3115MG</t>
  </si>
  <si>
    <t>Сервопривод DualSky DS9410 (тубус)</t>
  </si>
  <si>
    <t>Сервопривод KST DS215MG</t>
  </si>
  <si>
    <t>Сервопривод KST DS725MG</t>
  </si>
  <si>
    <t>Сервопривод крыла  KINGMAX CLS911W 26g</t>
  </si>
  <si>
    <t>Сердечник ферритовый кольцевой 100х60х15</t>
  </si>
  <si>
    <t>Приходная накладная 1376 (вх. 0475411) от 06.06.2024</t>
  </si>
  <si>
    <t>Серфомашинка цифровая JX</t>
  </si>
  <si>
    <t>Приходная накладная 5120 (вх. 64) от 01.01.2024</t>
  </si>
  <si>
    <t>Сетевое зарядное устройство Buro BUWD1 18Вт,  3A,</t>
  </si>
  <si>
    <t>Приходная накладная 643 (вх. 73396) от 20.03.2024</t>
  </si>
  <si>
    <t>Сетевое зарядное устройство Xiaomi Mi 33W</t>
  </si>
  <si>
    <t>Приходная накладная 591 (вх. 2861067-МСК) от 18.03.2024</t>
  </si>
  <si>
    <t>Сетевой адаптер TP-Link Archer T3U</t>
  </si>
  <si>
    <t>Сетевой адаптер TP-Link UE306</t>
  </si>
  <si>
    <t>Приходная накладная 3838 (вх. 356694) от 10.09.2024</t>
  </si>
  <si>
    <t>Сетевой контроллер Sigur E510</t>
  </si>
  <si>
    <t>Сетевой удлинитель Defender G550 5м 5 розеток</t>
  </si>
  <si>
    <t>Приходная накладная 2287 (вх. 40053/10170) от 02.09.2024</t>
  </si>
  <si>
    <t>Сетевой фильтр 1,8м 6 розеток, евровилка, белый</t>
  </si>
  <si>
    <t>Приходная накладная 569 (вх. 140) от 06.02.2024</t>
  </si>
  <si>
    <t>Сетевой фильтр 3м 6 розеток, евровилка, белый</t>
  </si>
  <si>
    <t>Сетевой фильтр 5 м.</t>
  </si>
  <si>
    <t>Авансовый отчет 128  от 28.05.2024</t>
  </si>
  <si>
    <t>Сетевой фильтр Buro 600SH-16-3 3м</t>
  </si>
  <si>
    <t>Сетевой фильтр Buro 600SH-16-5-B 5м (6 розеток)</t>
  </si>
  <si>
    <t>Приходная накладная 5216 (вх. 2210-8) от 22.10.2024</t>
  </si>
  <si>
    <t>Сетевой фильтр Defender 3m</t>
  </si>
  <si>
    <t>Приходная накладная 2268 (вх. 3008-7) от 30.08.2024</t>
  </si>
  <si>
    <t>Сетевой фильтр Exegate EX119392RUS SP-6-3G</t>
  </si>
  <si>
    <t>Сетевой фильтр Exegate EX119393RUS SP-6-3B</t>
  </si>
  <si>
    <t>Сетевой фильтр Pilot S-Max 6 розеток 3м серый</t>
  </si>
  <si>
    <t>Приходная накладная 1840 (вх. 2407-8) от 24.07.2024</t>
  </si>
  <si>
    <t>Сетевой фильтр с базовой защитой  4 розетки USF4es3m2xUSBACW</t>
  </si>
  <si>
    <t>Приходная накладная 1628 (вх. 7767557-МСК) от 03.07.2024</t>
  </si>
  <si>
    <t>Сетевой фильтр, 5 розеток с/з, с выключателем, 5м, 10А Эра</t>
  </si>
  <si>
    <t>Приходная накладная 5333 (вх. 12708) от 28.10.2024</t>
  </si>
  <si>
    <t>Сетевой хаб D-Link DUB-1340/D1A серый</t>
  </si>
  <si>
    <t>Сетка для средних футбольных ворот 5 на 2</t>
  </si>
  <si>
    <t>Приходная накладная 287 (вх. 0155232321-0004/0902) от 09.02.2024</t>
  </si>
  <si>
    <t>Сетка заградительная</t>
  </si>
  <si>
    <t>Приходная накладная 605 (вх. 926) от 13.03.2024</t>
  </si>
  <si>
    <t>СЗУ Accesstyle18W</t>
  </si>
  <si>
    <t>Приходная накладная 594 (вх. ФЦ3-007054/8257) от 17.03.2024</t>
  </si>
  <si>
    <t>СЗУ DEXP IET003188</t>
  </si>
  <si>
    <t>СИБКОНТАКТ Инвертор ИС-12-1500У преобразователь напряжения DC/AC 12/220B</t>
  </si>
  <si>
    <t>СИБРТЕХ Кисть флейцевая "Стандарт", 25*6</t>
  </si>
  <si>
    <t>СИБРТЕХ Молоток слесарный, 100 г, фибергласовая обрезиненная рукоятка// 10316</t>
  </si>
  <si>
    <t>СИБРТЕХ Набор кистей флейцевых 3шт</t>
  </si>
  <si>
    <t>Приходная накладная 256 (вх. 1408956-МСК) от 12.02.2024</t>
  </si>
  <si>
    <t>Силиконовая заглушка в разъем Type-C</t>
  </si>
  <si>
    <t>Приходная накладная 5368 (вх. 128) от 30.10.2024</t>
  </si>
  <si>
    <t>Силиконовая ручка</t>
  </si>
  <si>
    <t>Силиконовое масло ПМС-1000 15мл</t>
  </si>
  <si>
    <t>Силиконовые кнопки (L)</t>
  </si>
  <si>
    <t>Силиконовые кнопки (R)</t>
  </si>
  <si>
    <t>Силиконовый медный кабель 10 awg силовой (красный+черный по 2м)</t>
  </si>
  <si>
    <t>Приходная накладная 5166 (вх. 773533/173) от 14.10.2024</t>
  </si>
  <si>
    <t>Силиконовый носок E3D V6 PT100</t>
  </si>
  <si>
    <t>Силиконовый спрей для атниадегезивного покрытия</t>
  </si>
  <si>
    <t>Приходная накладная 1115 (вх. 4822384-МСК) от 02.05.2024</t>
  </si>
  <si>
    <t>Силиконовый стопор XY-0068</t>
  </si>
  <si>
    <t>Силовой разъем B7B-XHA-(LF) (SN)</t>
  </si>
  <si>
    <t>Приходная накладная 1610 (вх. 285) от 01.07.2024</t>
  </si>
  <si>
    <t>Система охлаждения 120Вт</t>
  </si>
  <si>
    <t>Приходная накладная 1777 (вх. 010470) от 18.07.2024</t>
  </si>
  <si>
    <t>Система распознавания лиц RX8 (200W, 8 IPS :800*1280 CPU:  ARM Cortex-A5)</t>
  </si>
  <si>
    <t>Приходная накладная 5152 (вх. БП-246) от 11.10.2024</t>
  </si>
  <si>
    <t>Система хранения трафатетов</t>
  </si>
  <si>
    <t>Скальпель малый остроконечный СО-01 130 мм</t>
  </si>
  <si>
    <t>Скамья СТ-3/1200</t>
  </si>
  <si>
    <t>Приходная накладная 4442 (вх. 125) от 22.01.2024</t>
  </si>
  <si>
    <t>Сканер штрих-кода 2D</t>
  </si>
  <si>
    <t>Складное крепление (резьба) для трубы 25мм</t>
  </si>
  <si>
    <t>Приходная накладная 5366 (вх. 529) от 30.10.2024</t>
  </si>
  <si>
    <t>Складной вал</t>
  </si>
  <si>
    <t>Складной пропеллер Gemfan F4019 4CW 4CCW</t>
  </si>
  <si>
    <t>Складной пропеллер тяги FA20.2*6.6 дюйма - 2 листа/пара</t>
  </si>
  <si>
    <t>складные детали из алюмииевого сплава для радиоуправляемого сельского хохяйства БПЛА</t>
  </si>
  <si>
    <t>складные детали из алюминиевого сплава для радиоуправляемой сельхоз машны</t>
  </si>
  <si>
    <t>Скобы для степлера N10 Attache оцинкованные (2-20 листов), 1000 шт/уп</t>
  </si>
  <si>
    <t>Скобы для степлера N10 ATTACHE оцинкованные(2-20 лист.) 1000 шт в уп.Россия</t>
  </si>
  <si>
    <t>Скобы для степлера N24/6 Attache оцинкованные (2-30 листов), 1000 шт/уп</t>
  </si>
  <si>
    <t>Скобы для степлера N24/6 ATTACHE оцинкованные (2-30лис) 1000 шт в уп.Россия</t>
  </si>
  <si>
    <t>СКОБЯНОЙ Ограничитель ок. металл. бел. Хедер 008400</t>
  </si>
  <si>
    <t>Скоросшиватель картонный ДЕЛО 280г/м2 мелов 20шт/уп 1496191,1496147,1496163</t>
  </si>
  <si>
    <t>Скоросшиватель пластиковый A4 Attache Economy (100/110) гол 10шт/уп Россия</t>
  </si>
  <si>
    <t>Скоросшиватель пластиковый A4 Attache Economy (100/110) зел 10шт/уп Россия</t>
  </si>
  <si>
    <t>Скоросшиватель пластиковый A4 Attache зеленый 10шт/уп Россия</t>
  </si>
  <si>
    <t>Скоросшиватель пластиковый A4 Attache красный 10шт/уп Россия</t>
  </si>
  <si>
    <t>Скоросшиватель пластиковый A4 Attache синий 10шт/уп Россия</t>
  </si>
  <si>
    <t>Скоросшиватель пластиковый А4 с перф-цией на кор. син.пласт. 10шт/уп Россия</t>
  </si>
  <si>
    <t>Скоросшиватель пластиковый Комус А4 желтый 1810</t>
  </si>
  <si>
    <t>Скоросшиватель пластиковый Комус А4 зеленый 1810</t>
  </si>
  <si>
    <t>Скоросшиватель пластиковый Комус А4 красный 1810</t>
  </si>
  <si>
    <t>Скоросшиватель пластиковый Комус А4 синий 1810</t>
  </si>
  <si>
    <t>Скоросшиватель пластиковый Комус с перфор. на корешке А4 10шт/уп в асс</t>
  </si>
  <si>
    <t>Скотч двусторонний 5мм/1мм/33м</t>
  </si>
  <si>
    <t>Приходная накладная 1787 (вх. 123849) от 19.07.2024</t>
  </si>
  <si>
    <t>Скотч двухсторонний зеленый 22мм х 2м</t>
  </si>
  <si>
    <t>Скотч двухсторонний зеленый, 40 мм х 2м</t>
  </si>
  <si>
    <t>Скотч двухсторонний, ширина 20 мм</t>
  </si>
  <si>
    <t>Приходная накладная 4213 (вх. 346513) от 25.09.2024</t>
  </si>
  <si>
    <t>Скотч хозяйственный</t>
  </si>
  <si>
    <t>Приходная накладная 4206 (вх. 268070) от 25.09.2024</t>
  </si>
  <si>
    <t>Скотчлок-соединитель для 2-х жил 0.4-0.9мм (100шт/уп)</t>
  </si>
  <si>
    <t>Скребок для стекла + 3 лезвия</t>
  </si>
  <si>
    <t>Скрепки Attache Economy с полимерн. покрытием,28 мм,разноцветные, 50 шт/уп</t>
  </si>
  <si>
    <t>Скрепки Attache никелированные, 28 мм, негофрированные, 100 шт/уп</t>
  </si>
  <si>
    <t>Скрепки Attache оцинкованные 28 мм, негофрированные, 100шт/уп</t>
  </si>
  <si>
    <t>Скрепки Attache с полимерным покрытием,28 мм, разноцветные, 100 шт/уп</t>
  </si>
  <si>
    <t>Скрепки Attache с полимерным покрытием,28 мм,разноцветные, 100 шт/уп</t>
  </si>
  <si>
    <t>Скрепки КОМУС никелированные, 28 мм, негофрированные, 100 шт/уп</t>
  </si>
  <si>
    <t>Скрепки КОМУС оцинкованные, 50 мм, гофрированные,30 шт/уп</t>
  </si>
  <si>
    <t>Скрепочница магнитная Attache с металл. скрепками 28 мм, цвет черный</t>
  </si>
  <si>
    <t>Скрепочница магнитная круглая открытая 200104, цвет ассорти</t>
  </si>
  <si>
    <t>Смазка  EFELE SG-395 с пищевым допуском</t>
  </si>
  <si>
    <t>Приходная накладная 3825 (вх. 63952/423) от 09.09.2024</t>
  </si>
  <si>
    <t>Смазка JD 909A</t>
  </si>
  <si>
    <t>Приходная накладная 1636 (вх. 00000134) от 27.06.2024</t>
  </si>
  <si>
    <t>Смазка АЛКМ-1</t>
  </si>
  <si>
    <t>Приходная накладная 4889 (вх. 93) от 03.10.2024</t>
  </si>
  <si>
    <t>Смазка антиадгезионная серии "Пента-120", марка "Пента-126"</t>
  </si>
  <si>
    <t>Приходная накладная 1460 (вх. 3848) от 18.06.2024</t>
  </si>
  <si>
    <t>Смазка высокотемпературная JD 508</t>
  </si>
  <si>
    <t>Смазка высокотемпературная КМ99</t>
  </si>
  <si>
    <t>Смазка пластичная</t>
  </si>
  <si>
    <t>Смазка ЦИАТИМ-201 банка 0.8кг</t>
  </si>
  <si>
    <t>Приходная накладная 4278 (вх. 11702755-МСК) от 27.09.2024</t>
  </si>
  <si>
    <t>Смартфон Samsung Galaxy Z Fold</t>
  </si>
  <si>
    <t>Приходная накладная 4325 (вх. 187226) от 15.07.2024</t>
  </si>
  <si>
    <t>Сменный аэрозоль Энергия востока</t>
  </si>
  <si>
    <t>Сменный аэрозоль Яблоко и корица</t>
  </si>
  <si>
    <t>Сменный фильтр JETA</t>
  </si>
  <si>
    <t>Смола КДА-ЭП</t>
  </si>
  <si>
    <t>Смола нейлон для 3д</t>
  </si>
  <si>
    <t>Приходная накладная 2246 (вх. 1375) от 28.08.2024</t>
  </si>
  <si>
    <t>Снегоходная приставка (гусеничный привод) Нева ГС1</t>
  </si>
  <si>
    <t>Приходная накладная 1208 (вх. 24-0514-033) от 16.05.2024</t>
  </si>
  <si>
    <t>СНК 110.000.00.00.03 Скоба</t>
  </si>
  <si>
    <t>Приходная накладная 1674 (вх. 17) от 25.06.2024</t>
  </si>
  <si>
    <t>СНК 110.010.01.00.06 Зажим для трубы</t>
  </si>
  <si>
    <t>СНК 110.010.02.01.01 Направляющая под as150</t>
  </si>
  <si>
    <t>Приходная накладная 518 (вх. 10) от 05.03.2024</t>
  </si>
  <si>
    <t>СНК 110.010.02.02.00 Переходник на зарядку Сибирь</t>
  </si>
  <si>
    <t>Приходная накладная 3863 (вх. 20240909-1) от 09.09.2024</t>
  </si>
  <si>
    <t>СНК 110.010.03.00.01 Корпус контактов</t>
  </si>
  <si>
    <t>СНК 110.010.03.00.02 Корпус контактов</t>
  </si>
  <si>
    <t>СНК 110.011.01.00.01 Корпус контактов</t>
  </si>
  <si>
    <t>Приходная накладная 5356 (вх. 62) от 29.10.2024</t>
  </si>
  <si>
    <t>СНК 110.020.00.00.02 Наконечник</t>
  </si>
  <si>
    <t>Приходная накладная 1596 (вх. 9) от 31.05.2024</t>
  </si>
  <si>
    <t>СНК 110.030.00.00.02 Защитная наклейка</t>
  </si>
  <si>
    <t>Приходная накладная 1556 (вх. 45) от 26.06.2024</t>
  </si>
  <si>
    <t>СНК 110.040.00.00.00 Аккумуляторная батарея ( Ранее Аккумуляторная батарея в сборе Сибирь -1)</t>
  </si>
  <si>
    <t>Приходная накладная 2309 (вх. 20240903-3) от 03.09.2024</t>
  </si>
  <si>
    <t>СНК 110.040.00.00.01 Корпус АКБ ( ранее Деталь "Кейс АКБ" из АБС 2мм)</t>
  </si>
  <si>
    <t>Приходная накладная 1436 (вх. 193) от 14.06.2024</t>
  </si>
  <si>
    <t>СНК 110.040.00.00.02 Клин</t>
  </si>
  <si>
    <t>СНК 110.040.00.00.03 Втулка</t>
  </si>
  <si>
    <t>СНК 110.040.00.00.04 Крышка ( Ранее Крышка кейса формованная из АБС 2мм)</t>
  </si>
  <si>
    <t>СНК 110.040.00.00.05 Планка</t>
  </si>
  <si>
    <t>СНК 110.040.00.02.01 Планка контактов</t>
  </si>
  <si>
    <t>СНК 110.070.01.00.01 Хомут держателя</t>
  </si>
  <si>
    <t>СНК 110.070.01.03.01 Держатель (Ранее 110.010.03.01.03.01 Держатель антенны)</t>
  </si>
  <si>
    <t>СНК 110.080.00.01.01 Корпус ( Ранее 110.070.00.00.01 Корпус)</t>
  </si>
  <si>
    <t>СНК 110.080.00.01.02 Рычажок (110.070.00.00.02 Рычажек)</t>
  </si>
  <si>
    <t>СНК 110.080.00.01.03 Крышка (110.070.00.00.03 Крышка)</t>
  </si>
  <si>
    <t>СНК 110.080.00.01.04 Кронштейн (Ранее 110.070.00.00.04 Кронштейн)</t>
  </si>
  <si>
    <t>СНК 110.100.00.00.01 - Фиксатор луча</t>
  </si>
  <si>
    <t>СНК 110.113.00.00.00-10 Жгут S.BUS</t>
  </si>
  <si>
    <t>Приходная накладная 2187 (вх. 397) от 23.08.2024</t>
  </si>
  <si>
    <t>СНК 110.114.00.00.00-10 Жгут управления Skydroid H30</t>
  </si>
  <si>
    <t>СНК 110.117.00.00.00-10 Жгут LAN1 приемопередатчика Skydroid H30</t>
  </si>
  <si>
    <t>СНК 110.119.00.00.00-10 Жгут питания</t>
  </si>
  <si>
    <t>СНК 110.120.00.00.00-10 Жгут питания и S.BUS</t>
  </si>
  <si>
    <t>СНК 110.121.00.00.00-10 Жгут S.BUS на разъем</t>
  </si>
  <si>
    <t>СНК 110.122.00.00.00.10. СБ Жгут Tarot T30X Zoom Сиб-1</t>
  </si>
  <si>
    <t>СНК 110.123.00.00.00-10 Жгут Telem 2</t>
  </si>
  <si>
    <t>СНК 110.124.00.00.00-10 Жгут CAN</t>
  </si>
  <si>
    <t>СНК 110.125.00.00.00-10 Жгут Console</t>
  </si>
  <si>
    <t>СНК 110.150.00.00.00  Информационная бирка</t>
  </si>
  <si>
    <t>Приходная накладная 5094 (вх. 557) от 09.10.2024</t>
  </si>
  <si>
    <t>СНК 120.122.00.00.00.12 СБ Жгут Tarot T30X Zoom Сиб-2</t>
  </si>
  <si>
    <t>СНК 220.00.00.01 Ось</t>
  </si>
  <si>
    <t>Приходная накладная 4297 (вх. 347) от 30.09.2024</t>
  </si>
  <si>
    <t>СНК 220.00.00.02 Кронштейн камеры</t>
  </si>
  <si>
    <t>Приходная накладная 171 (вх. 4) от 29.01.2024</t>
  </si>
  <si>
    <t>СНК 220.01.01.02 Корпус луча передний правый</t>
  </si>
  <si>
    <t>СНК 220.01.01.02-01 Корпус луча передний левый</t>
  </si>
  <si>
    <t>СНК 220.01.01.03 Корпус луча задний правый</t>
  </si>
  <si>
    <t>СНК 220.01.01.03-01 Корпус луча задний левый</t>
  </si>
  <si>
    <t>СНК 220.01.01.04 Рамка правая</t>
  </si>
  <si>
    <t>СНК 220.01.01.04-01 Рамка левая</t>
  </si>
  <si>
    <t>СНК 220.03.00.01 Кронштейн компаса</t>
  </si>
  <si>
    <t>СНК 220.04.00.01 Рамка</t>
  </si>
  <si>
    <t>Приходная накладная 1144 (вх. 3) от 06.05.2024</t>
  </si>
  <si>
    <t>СНК 220.05.00.01 Кронштейн луча передний правый</t>
  </si>
  <si>
    <t>СНК 220.05.00.01-01 Кронштейн луча передний левый</t>
  </si>
  <si>
    <t>СНК 220.05.00.03 Корпус мотормаунта</t>
  </si>
  <si>
    <t>Приходная накладная 226 (вх. 5) от 06.02.2024</t>
  </si>
  <si>
    <t>СНК 220.06.00.01 Кронштейн луча задний правый</t>
  </si>
  <si>
    <t>СНК 220.06.00.01-01 Кронштейн луча задний левый</t>
  </si>
  <si>
    <t>СНК 220.08.00.02 Основание датчика</t>
  </si>
  <si>
    <t>СНК 220.08.00.03 Прижим датчика</t>
  </si>
  <si>
    <t>СНК 221.00.00.03 Липучка-ремень нейлоновая с пластиковой застежкой, Сибирячок</t>
  </si>
  <si>
    <t>Приходная накладная 2087 (вх. 58) от 15.08.2024</t>
  </si>
  <si>
    <t>СНК 221.01.00.07 Верхний обтекатель</t>
  </si>
  <si>
    <t>Приходная накладная 5207 (вх. БП-365) от 22.10.2024</t>
  </si>
  <si>
    <t>СНК 221.01.00.08 Боковая стенка правая</t>
  </si>
  <si>
    <t>Приходная накладная 2028 (вх. БП-214) от 09.08.2024</t>
  </si>
  <si>
    <t>СНК 221.01.00.08-01 Боковая стенка левая</t>
  </si>
  <si>
    <t>СНК 221.01.01.02 Кронштейн луча передний правый</t>
  </si>
  <si>
    <t>СНК 221.01.01.02-01 Кронштейн луча передний левый</t>
  </si>
  <si>
    <t>СНК 221.01.01.03 Кронштейн луча задний правый</t>
  </si>
  <si>
    <t>СНК 221.01.01.03-01 Кронштейн луча задний левый</t>
  </si>
  <si>
    <t>СНК 221.02.00.01 Луч передний правый</t>
  </si>
  <si>
    <t>СНК 221.02.00.01-01 Луч передний левый</t>
  </si>
  <si>
    <t>СНК 221.03.00.01 Луч задний правый</t>
  </si>
  <si>
    <t>СНК 221.03.00.01-01 Луч задний левый</t>
  </si>
  <si>
    <t>СНК 221.03.00.02 Корпус антенны правый</t>
  </si>
  <si>
    <t>СНК 221.03.00.02-01 Корпус антенны левый</t>
  </si>
  <si>
    <t>СНК 221.04.00.01 Нижний обтекатель</t>
  </si>
  <si>
    <t>СНК 310.010.02 Держатель мотора</t>
  </si>
  <si>
    <t>СНК 310.010.03 Поддержка</t>
  </si>
  <si>
    <t>СНК 310.010.03-01 Поддержка</t>
  </si>
  <si>
    <t>СНК 310.010.04 Стопор</t>
  </si>
  <si>
    <t>СНК 310.030.03 Ползун</t>
  </si>
  <si>
    <t>СНК.221.30.00.00. Жгут подключения лидара</t>
  </si>
  <si>
    <t>Приходная накладная 4028 (вх. 12685) от 19.09.2024</t>
  </si>
  <si>
    <t>СНК.221.31.00.00. Жгут телеметрии</t>
  </si>
  <si>
    <t>СНК.221.32.00.00. Жгут подключения GPS</t>
  </si>
  <si>
    <t>СНК.221.33.00.00. Жгут SBUS</t>
  </si>
  <si>
    <t>СНК.221.34.00.00. Жгут подключения камеры</t>
  </si>
  <si>
    <t>СНК.221.35.00.00. Жгут полетного контроллера</t>
  </si>
  <si>
    <t>Приходная накладная 5241 (вх. 14555) от 23.10.2024</t>
  </si>
  <si>
    <t>СНК.221.36.00.00. Жгут SBUS подвеса</t>
  </si>
  <si>
    <t>СНК.221.37.00.00. Жгут USB</t>
  </si>
  <si>
    <t>Совок для мусора с щеткой-метлой</t>
  </si>
  <si>
    <t>Совок с щеткой для пола пластик, с резинкой, с длинной ручкой</t>
  </si>
  <si>
    <t>Приходная накладная 1479 (вх. 2451) от 19.06.2024</t>
  </si>
  <si>
    <t>Совок-ловушка, крышка+щётка</t>
  </si>
  <si>
    <t>Приходная накладная 635 (вх. 2860797-МСК) от 18.03.2024</t>
  </si>
  <si>
    <t>Согласованная нагрузка для антенн 50 Ohm SMA</t>
  </si>
  <si>
    <t>Соединение колена типа С</t>
  </si>
  <si>
    <t>Соединение на стык КМС 100x60  уп.2шт</t>
  </si>
  <si>
    <t>Соединение проходное с отводом с внутренней резьбой</t>
  </si>
  <si>
    <t>Соединение цанговое прямое LPC12-M16 12мм М16</t>
  </si>
  <si>
    <t>Приходная накладная 697 (вх. 217) от 21.03.2024</t>
  </si>
  <si>
    <t>Соединитель 3/4 HL033 с аквастопом внутренняя резьба</t>
  </si>
  <si>
    <t>Соединитель резьба вн.-штуцер 1/2"х10 Valtec</t>
  </si>
  <si>
    <t>Соединитель спаренного ряда 250</t>
  </si>
  <si>
    <t>Соединитель угловой для шинопровода</t>
  </si>
  <si>
    <t>Соединительная клемма для быстрого монтажа  5-ти проводная0,5-2,5мм 450В, 24А,</t>
  </si>
  <si>
    <t>Соединительная колодка для заземления МкМк231288</t>
  </si>
  <si>
    <t>Соединительная пластина пульта управления (Sheregesh)</t>
  </si>
  <si>
    <t>Соединительный волоконно-оптический шнур NIKOMAX желтый, 2м</t>
  </si>
  <si>
    <t>Соединительный конвейер 1м, CYA 460XL-1000</t>
  </si>
  <si>
    <t>Приходная накладная 4850 (вх. 295) от 27.02.2024</t>
  </si>
  <si>
    <t>Сопло каленое 0,5мм</t>
  </si>
  <si>
    <t>Сопло латунь 0,5мм</t>
  </si>
  <si>
    <t>Сопровождение Программы для ЭВМ «АСК. Платформа» (Модуль «Мониторинг транспорта» за август 2024 г.</t>
  </si>
  <si>
    <t>Сотовый поликарбонат 8х2100х6000мм</t>
  </si>
  <si>
    <t>Приходная накладная 412 (вх. 0226-001) от 26.02.2024</t>
  </si>
  <si>
    <t>СОУТ</t>
  </si>
  <si>
    <t>Приходная накладная 4798 (вх. 90424-С-15) от 06.05.2024</t>
  </si>
  <si>
    <t>Спектр Магнит 20Т (5000К прозрачный)</t>
  </si>
  <si>
    <t>Приходная накладная 1943 (вх. 140) от 31.07.2024</t>
  </si>
  <si>
    <t>Спектроанализатор Arinst SSA-TG LC R2</t>
  </si>
  <si>
    <t>Приходная накладная 498 (вх. 913) от 29.02.2024</t>
  </si>
  <si>
    <t>СПЕЦ Баллон цанговый газ всесезонный 400 мл</t>
  </si>
  <si>
    <t>спрей для обуви антипыть</t>
  </si>
  <si>
    <t>Спрей для чистки досок</t>
  </si>
  <si>
    <t>Спрей для чистки маркерных досок Attache Selection White Board Clean 250мл</t>
  </si>
  <si>
    <t>Средство для мытья посуды Luscan Антибактериальное 1л с дозатором</t>
  </si>
  <si>
    <t>Средство для мытья посуды Sorti Бальзам с алоэ вера 900гр</t>
  </si>
  <si>
    <t>Средство для мытья посуды Synergetic Алоэ концентрированное 5л</t>
  </si>
  <si>
    <t>Средство для мытья посуды Synergetic гель Апельсин 1л с дозатором</t>
  </si>
  <si>
    <t>Средство для мытья посуды Synergetic гель Арбуз 1л</t>
  </si>
  <si>
    <t>Средство для мытья посуды Synergetic гель Арбуз 1л с дозатором</t>
  </si>
  <si>
    <t>Средство для прочистки труб ДЕБОШИР жидкость  1л Аквалон</t>
  </si>
  <si>
    <t>Средство для прочистки труб Санокс-чистый сток 500мл</t>
  </si>
  <si>
    <t>Средство для сантехники Grass Gloss Gel от налета и ржавч акр 0,6л_т/р</t>
  </si>
  <si>
    <t>Средство для сантехники Luscan гель 500мл от ржавчины</t>
  </si>
  <si>
    <t>Средство для сантехники САНОКС  750 гр</t>
  </si>
  <si>
    <t>Средство для сантехники САНОКС УЛЬТРА 750 гр</t>
  </si>
  <si>
    <t>Средство для стекол и зеркал 500мл тригер 966391</t>
  </si>
  <si>
    <t>Средство для стекол и зеркал HELP Свежий озон 5л ПЭТ</t>
  </si>
  <si>
    <t>Средство для стекол и зеркал Нитхинол-люкс 500 мл</t>
  </si>
  <si>
    <t>Средство чистящее "КЛИНОК" в гранулах 5кг</t>
  </si>
  <si>
    <t>Приходная накладная 1979 (вх. 410) от 05.08.2024</t>
  </si>
  <si>
    <t>СТ-42 Стол 140*60*76 Дуб Молочный</t>
  </si>
  <si>
    <t>Приходная накладная 13 (вх. 1) от 08.01.2024</t>
  </si>
  <si>
    <t>Стабилизатор напряжения Ресанта</t>
  </si>
  <si>
    <t>Стакан одноразовый 200мл прозр. для хол/гор., эконом, КОМУС ПП 100шт/уп</t>
  </si>
  <si>
    <t>Стакан одноразовый 200мл прозр.,  для хол/гор., бюджет, КОМУС ПП100шт/уп</t>
  </si>
  <si>
    <t>Стакан одноразовый бум 1-сл. d-80мм 250мл белый 1000шт/кор</t>
  </si>
  <si>
    <t>Стакан одноразовый бумажный 250мл 50шт/уп</t>
  </si>
  <si>
    <t>Приходная накладная 1473 (вх. 37414094) от 18.06.2024</t>
  </si>
  <si>
    <t>Стакан Олд Фэшн 185 мл. d=69/60 мм. h=75 мм. Истанбул Б 12шт/уп</t>
  </si>
  <si>
    <t>Стаканы одноразовые Metro Professional бумажные белые 300 мл х 50 шт</t>
  </si>
  <si>
    <t>Стаканы одноразовые Rioba для кофе бумажные черные 200 мл х 50 шт</t>
  </si>
  <si>
    <t>Стальная щетка</t>
  </si>
  <si>
    <t>Стальные цанги 6 шт</t>
  </si>
  <si>
    <t>Приходная накладная 1354 (вх. 36739/16) от 05.06.2024</t>
  </si>
  <si>
    <t>Станкоимпорт Набор экстракторов и сверел, 10 предм. KA-7324K</t>
  </si>
  <si>
    <t>Станок для заточки сверл</t>
  </si>
  <si>
    <t>Приходная накладная 2110 (вх. 9870555-МСК) от 19.08.2024</t>
  </si>
  <si>
    <t>Станок резки и зачистки проводов SWT508-SD</t>
  </si>
  <si>
    <t>Приходная накладная 4255 (вх. 451) от 20.03.2024</t>
  </si>
  <si>
    <t>Станок ТВФ в комплекте с компрессором FUBAG VCF/100 CV3.440n/мин</t>
  </si>
  <si>
    <t>Приходная накладная 4239 (вх. 23) от 20.08.2024</t>
  </si>
  <si>
    <t>Стекло к знезду для запасного ключа</t>
  </si>
  <si>
    <t>Стекло на стол DESXrest 4мм</t>
  </si>
  <si>
    <t>Стеклотекстолит СТЭФ 1000х1000мм 0.5 мм</t>
  </si>
  <si>
    <t>Приходная накладная 1657 (вх. 108263) от 05.07.2024</t>
  </si>
  <si>
    <t>Стеклотекстолит СТЭФ 1000х1000мм 3 мм</t>
  </si>
  <si>
    <t>Приходная накладная 1367 (вх. 176) от 06.06.2024</t>
  </si>
  <si>
    <t>Стеклотекстолит СТЭФ 4мм</t>
  </si>
  <si>
    <t>Приходная накладная 1022 (вх. 111) от 18.04.2024</t>
  </si>
  <si>
    <t>Стеклотекстолит фольгированный СФ 2-35 2мм</t>
  </si>
  <si>
    <t>Приходная накладная 351 (вх. 45) от 16.02.2024</t>
  </si>
  <si>
    <t>Стеклоткань 100г/м2 полотно 12х12 нитей 1000 мм ширина, 200 м2 в рулоне</t>
  </si>
  <si>
    <t>Приходная накладная 1427 (вх. 1172) от 13.06.2024</t>
  </si>
  <si>
    <t>Стеклоткань 200 г/м2 1000мм 200м2 в рулоне</t>
  </si>
  <si>
    <t>Приходная накладная 2262 (вх. 1634) от 29.08.2024</t>
  </si>
  <si>
    <t>Стеклоткань 50 г/м2 полотно 1000мм 250м2 в рулоне</t>
  </si>
  <si>
    <t>Стеклоткань 80 г/м2 полотно 12х12 нитей/см 1000мм 200м2 в рулоне</t>
  </si>
  <si>
    <t>Стеклоткань Aeroglas E80</t>
  </si>
  <si>
    <t>Стеллаж MON_Канц   открытый высокий ШК31.15 дуб.мол</t>
  </si>
  <si>
    <t>Стеллаж MS_Grand GrY-62 ясень шимо</t>
  </si>
  <si>
    <t>Приходная накладная 152 (вх. 34137318) от 25.01.2024</t>
  </si>
  <si>
    <t>Стеллаж MSR тип 2000-1</t>
  </si>
  <si>
    <t>Приходная накладная 4248 (вх. 282) от 06.05.2024</t>
  </si>
  <si>
    <t>Стеллаж MSR тип 2000-2</t>
  </si>
  <si>
    <t>Стеллаж optimus universal h-2000, 4 полки 1200x500 M-TSUS2000x1200x500x4</t>
  </si>
  <si>
    <t>Приходная накладная 882 (вх. 3607003-МСК) от 03.04.2024</t>
  </si>
  <si>
    <t>Стеллаж SBL 180KD-120х40/5</t>
  </si>
  <si>
    <t>Приходная накладная 1545 (вх. 4688) от 25.06.2024</t>
  </si>
  <si>
    <t>Стеллаж SBL 180KD-75x35-5</t>
  </si>
  <si>
    <t>Приходная накладная 233 (вх. 1216823-МСК) от 07.02.2024</t>
  </si>
  <si>
    <t>Стеллаж Д_EASY Director широк ДСП мел. дуб шамони св.124 005.707</t>
  </si>
  <si>
    <t>Приходная накладная 2006 (вх. 38459601) от 07.08.2024</t>
  </si>
  <si>
    <t>Стеллаж для документов (дуб сонома, 770*365*2000мм)</t>
  </si>
  <si>
    <t>Приходная накладная 393 (вх. 27) от 19.02.2024</t>
  </si>
  <si>
    <t>Стеллаж для металлических листов 1800х800</t>
  </si>
  <si>
    <t>Приходная накладная 839 (вх. 801) от 01.04.2024</t>
  </si>
  <si>
    <t>Стеллаж металический 5 полок 200х100х30см, серый, нагрузка 100кг</t>
  </si>
  <si>
    <t>Приходная накладная 1719 (вх. 262/2024-AB0208731) от 16.07.2024</t>
  </si>
  <si>
    <t>Стеллаж металический 5 полок 200х100х50см, серый, нагрузка 100кг</t>
  </si>
  <si>
    <t>Стеллаж металл 5 полок 200*100*30 см 100 кг на полку цвет серый</t>
  </si>
  <si>
    <t>Приходная накладная 63 (вх. 049/2024-АВ0005320) от 15.01.2024</t>
  </si>
  <si>
    <t>Стеллаж металл 5 полок 200*100*50 см 100 кг на полку цвет серый</t>
  </si>
  <si>
    <t>Стеллаж МС-254/500</t>
  </si>
  <si>
    <t>Приходная накладная 80 (вх. 5768) от 16.01.2024</t>
  </si>
  <si>
    <t>Стеллаж САТУРН-Д высокий узк. (800,019) ясень</t>
  </si>
  <si>
    <t>Приходная накладная 3786 (вх. 39198652) от 06.09.2024</t>
  </si>
  <si>
    <t>Стеллаж САТУРН-Д низкий шир. (800,018) ясень</t>
  </si>
  <si>
    <t>Приходная накладная 1946 (вх. 38322137) от 31.07.2024</t>
  </si>
  <si>
    <t>Стеллаж САТУРН-Д широкий (800,011) ясень</t>
  </si>
  <si>
    <t>Стеллаж ТСУ 4  (2000х1060х600)</t>
  </si>
  <si>
    <t>Приходная накладная 1169 (вх. 81) от 07.05.2024</t>
  </si>
  <si>
    <t>Стеллажный лоток 300x117x90мм</t>
  </si>
  <si>
    <t>стенд для теста бесколлекорных моторов БПЛА</t>
  </si>
  <si>
    <t>Авансовый отчет 177 от 18.04.2024</t>
  </si>
  <si>
    <t>Стенд зарядно-разрядный NEWARE CE-6008n-60V 100A-H</t>
  </si>
  <si>
    <t>Приходная накладная 4272 (вх. LT002509/1) от 15.01.2024</t>
  </si>
  <si>
    <t>Стенд Информация СИ-06</t>
  </si>
  <si>
    <t>Приходная накладная 2178 (вх. 699) от 22.08.2024</t>
  </si>
  <si>
    <t>Стенд Охрана труда СИ-14</t>
  </si>
  <si>
    <t>Стенд Уголок пожарной безопасности СИ-12</t>
  </si>
  <si>
    <t>Степлер ATTACHE 8209 (N10) до 12 лист. синий антистеп</t>
  </si>
  <si>
    <t>Степлер ATTACHE 8215 (N24/6&amp;26/6) до 25 лист. черный</t>
  </si>
  <si>
    <t>Степлер Attache Comfort  до 12 лист., soft touch покрыт,черн,N10 антистеп</t>
  </si>
  <si>
    <t>Степлер Attache Compact (N10) до 15 листов, пластик, синий</t>
  </si>
  <si>
    <t>Степлер Attache Economy до 20 листов, на 24/6, 26/6 пластик, чёрный</t>
  </si>
  <si>
    <t>Степлер Attache N 24/6 до 22л., серо-черный</t>
  </si>
  <si>
    <t>Степлер Attache N24/6 до 22л., черный</t>
  </si>
  <si>
    <t>Степлер Комус MSBK24301 (N24/6-26/6) до 30 лист., металл, чёрный</t>
  </si>
  <si>
    <t>Степлер -мини Комус MSR2420 (N24/6-26/6) до 20 лист.,металл, красный</t>
  </si>
  <si>
    <t>Стержень клеевой Sparta, 11 x 300 мм, прозрачные, 33 шт/уп (930705)</t>
  </si>
  <si>
    <t>Стержень микрографический 0,5 Attache HB 30 грифелей</t>
  </si>
  <si>
    <t>Стержень микрографический полимерный 0,5мм Attache HB 12 грифелей</t>
  </si>
  <si>
    <t>Стикеры Attache Economy 51x51 мм, 100 л, цв в асс, 12 бл/уп '1408010</t>
  </si>
  <si>
    <t>Стикеры Attache Economy 76x76 мм, 100 л, цв в асс, 12 бл/уп '1408009</t>
  </si>
  <si>
    <t>Стикеры Attache Economy с клеев.краем 38x51 мм, 100л в блоке, неон 12 бл</t>
  </si>
  <si>
    <t>Стикеры Attache Economy с клеев.краем 51x51 мм, 400 лист, 5 неоновых цв</t>
  </si>
  <si>
    <t>Стикеры Attache Economy с клеев.краем  76х76 мм, 400 лист, 8 неоновых цв</t>
  </si>
  <si>
    <t>Стикеры Attache Selection куб 76х76, клубничный микс 400 л</t>
  </si>
  <si>
    <t>Стикеры Attache Selection куб 76х76, радуга 400 л</t>
  </si>
  <si>
    <t>Стикеры ATTACHE с клеев.краем 76х76 желтый 100л</t>
  </si>
  <si>
    <t>Стикеры ATTACHE с клеев.краем 76х76 салатовый 100л</t>
  </si>
  <si>
    <t>Стиральный порошок DOSIA 8кг.</t>
  </si>
  <si>
    <t>Стирол</t>
  </si>
  <si>
    <t>Стойка (Стол) поворотная для окраски элементов</t>
  </si>
  <si>
    <t>Приходная накладная 1387 (вх. 6627930-МСК) от 10.06.2024</t>
  </si>
  <si>
    <t>Стойка 2,0х70х5300</t>
  </si>
  <si>
    <t>Стойка Everest Beamy simple 1800</t>
  </si>
  <si>
    <t>Стойка PCHSS-10 М3 латунная</t>
  </si>
  <si>
    <t>Приходная накладная 5091 (вх. 10386) от 09.10.2024</t>
  </si>
  <si>
    <t>Стойка PCHSS-11 M3 латунь</t>
  </si>
  <si>
    <t>Приходная накладная 5069 (вх. УТ-3840) от 07.10.2024</t>
  </si>
  <si>
    <t>Стойка Strong</t>
  </si>
  <si>
    <t>Стойка для маскировочной бумаги на 3 рулона (30, 60, 90см)</t>
  </si>
  <si>
    <t>Приходная накладная 3972 (вх. 11185342-МСК) от 17.09.2024</t>
  </si>
  <si>
    <t>Стойка для нового изделия</t>
  </si>
  <si>
    <t>Приходная накладная 1955 (вх. 13) от 30.07.2024</t>
  </si>
  <si>
    <t>Стойка для плат (пластик) М3х10мм</t>
  </si>
  <si>
    <t>Приходная накладная 1904 (вх. 0633738) от 29.07.2024</t>
  </si>
  <si>
    <t>Стойка для плат (пластик) М3х15мм</t>
  </si>
  <si>
    <t>Стойка из нержавеющей стали</t>
  </si>
  <si>
    <t>Стойка латунь М 2,5х5+6 папа мама</t>
  </si>
  <si>
    <t>Приходная накладная 5344 (вх. 124) от 29.10.2024</t>
  </si>
  <si>
    <t>Стойка латунь М 2,5х8 мама мама</t>
  </si>
  <si>
    <t>Приходная накладная 1574 (вх. 171) от 27.06.2024</t>
  </si>
  <si>
    <t>Стойка нейлон HTP-306 М2,5</t>
  </si>
  <si>
    <t>Приходная накладная 2213 (вх. 252) от 26.08.2024</t>
  </si>
  <si>
    <t>Стойка нейлон М 2,5х6 мама мама</t>
  </si>
  <si>
    <t>Приходная накладная 4234 (вх. 269) от 26.09.2024</t>
  </si>
  <si>
    <t>Стойка нейлон М 2,5х8 мама мама</t>
  </si>
  <si>
    <t>Приходная накладная 4040 (вх. 109) от 20.09.2024</t>
  </si>
  <si>
    <t>Стойка нейлон М 2,5х8 папа мама</t>
  </si>
  <si>
    <t>Стойка нейлон М3х15мм (папа-мама)</t>
  </si>
  <si>
    <t>Приходная накладная 1604 (вх. 0544320) от 28.06.2024</t>
  </si>
  <si>
    <t>Стойка нейлон на М3х5 мама мама</t>
  </si>
  <si>
    <t>Стойка нейлон на М3х50 мама мама</t>
  </si>
  <si>
    <t>Приходная накладная 221 (вх. 22) от 24.01.2024</t>
  </si>
  <si>
    <t>Стойка нейлоновая HTS-305</t>
  </si>
  <si>
    <t>Стойка нейлоновая HTS-310</t>
  </si>
  <si>
    <t>Приходная накладная 4880 (вх. 219) от 03.10.2024</t>
  </si>
  <si>
    <t>Стойка нейлоновая HTS-315-B</t>
  </si>
  <si>
    <t>Приходная накладная 1599 (вх. 71) от 27.06.2024</t>
  </si>
  <si>
    <t>Стойка ограждения базовая (нержавеющая сталь)</t>
  </si>
  <si>
    <t>Стойка ПВХ на М3х30мм HTP-330</t>
  </si>
  <si>
    <t>Приходная накладная 138 (вх. 4) от 09.01.2024</t>
  </si>
  <si>
    <t>Стойка тренога для фотозоны</t>
  </si>
  <si>
    <t>Приходная накладная 277 (вх. 1421/313) от 13.02.2024</t>
  </si>
  <si>
    <t>Стол Easy One 908861 дуб сонома Ш1400 Г600</t>
  </si>
  <si>
    <t>Приходная накладная 1095 (вх. 36294963) от 26.04.2024</t>
  </si>
  <si>
    <t>Стол Easy One 908863 дуб сонома Ш1200 Г730</t>
  </si>
  <si>
    <t>Стол Easy One 908864 дуб сонома Ш1400 Г730</t>
  </si>
  <si>
    <t>Приходная накладная 5277 (вх. 40307513) от 24.10.2024</t>
  </si>
  <si>
    <t>Стол Easy One 908865 дуб сонома Ш1600 Г730</t>
  </si>
  <si>
    <t>Приходная накладная 5276 (вх. 40307511) от 24.10.2024</t>
  </si>
  <si>
    <t>Стол Easy One левый (882,883) дуб сонома Ш1400 Г1200</t>
  </si>
  <si>
    <t>Приходная накладная 1688 (вх. 37933829) от 11.07.2024</t>
  </si>
  <si>
    <t>Стол Easy One левый (886,887) дуб сонома Ш1600 Г1200</t>
  </si>
  <si>
    <t>Приходная накладная 4012 (вх. 39468610) от 18.09.2024</t>
  </si>
  <si>
    <t>Стол Easy One правый (884,885) дуб сонома Ш1400 Г1200</t>
  </si>
  <si>
    <t>Стол Easy One правый (888,889) дуб сонома Ш1600 Г1200</t>
  </si>
  <si>
    <t>Стол MS_Grand GrY-16 ясень шимо</t>
  </si>
  <si>
    <t>Стол RIVA А.СП-3 венге цаво Ш1400</t>
  </si>
  <si>
    <t>Приходная накладная 1947 (вх. 38323420) от 31.07.2024</t>
  </si>
  <si>
    <t>Стол SP Бюджет 2362 (402660) дуб сонома 1200</t>
  </si>
  <si>
    <t>Приходная накладная 1537 (вх. 37556412) от 25.06.2024</t>
  </si>
  <si>
    <t>Стол для прямого модуля Габарит 1200х720х750 Цвет серый</t>
  </si>
  <si>
    <t>Стол журнальный из ЛДСП</t>
  </si>
  <si>
    <t>Приходная накладная 3985 (вх. 20514611202409040001) от 17.09.2024</t>
  </si>
  <si>
    <t>Стол Мон_EASY Director 1800 M89 дуб шамони светлый</t>
  </si>
  <si>
    <t>Стол монтажный ESD в комплектации 16.7</t>
  </si>
  <si>
    <t>Приходная накладная 177 (вх. Ак300124-05) от 30.01.2024</t>
  </si>
  <si>
    <t>Стол приставной СПР-14 (дуб молочный 1400*600*730 мм)</t>
  </si>
  <si>
    <t>Стол рабочий MON_Канц 1400 СК21.15 дуб молочный</t>
  </si>
  <si>
    <t>Приходная накладная 2281 (вх. 38950957) от 02.09.2024</t>
  </si>
  <si>
    <t>Стол рабочий серии Арбат 1200-900</t>
  </si>
  <si>
    <t>Приходная накладная 5324 (вх. ЦБ-1827) от 25.10.2024</t>
  </si>
  <si>
    <t>Стол РТ_Приоритет рук-ля К-961 Ш1800 (К-903, К-904) венге</t>
  </si>
  <si>
    <t>Приходная накладная 4011 (вх. 39465590) от 18.09.2024</t>
  </si>
  <si>
    <t>Стол САТУРН-Д для рук-ля эргоном.1600 (800,023) ясень</t>
  </si>
  <si>
    <t>Стол складной 180*73.3*74 сталь /пластик</t>
  </si>
  <si>
    <t>Стол эргономичный (дуб сонома 1400*600/1200*760 мм) левый</t>
  </si>
  <si>
    <t>Стол эргономичный (дуб сонома 1400*600/1200*760 мм) правый</t>
  </si>
  <si>
    <t>Столешница W Montage</t>
  </si>
  <si>
    <t>Столешница W Montage 3000*1500</t>
  </si>
  <si>
    <t>Столешница углового модуля Габарит 815х815х22 Цвет серый</t>
  </si>
  <si>
    <t>Стопорное кольцо</t>
  </si>
  <si>
    <t>Страховая премия  ОСАГО</t>
  </si>
  <si>
    <t>Приходная накладная 4584 (вх. ХХХ 0377768872) от 13.02.2024</t>
  </si>
  <si>
    <t>Страховая премия КАСКО</t>
  </si>
  <si>
    <t>Приходная накладная 4582 (вх. АСЗ09281789) от 14.02.2024</t>
  </si>
  <si>
    <t>Страховка груза</t>
  </si>
  <si>
    <t>Приходная накладная 3965 (вх. 1389216/0287) от 16.09.2024</t>
  </si>
  <si>
    <t>Стрейч пленка</t>
  </si>
  <si>
    <t>Стремянка  стальная 5 ст</t>
  </si>
  <si>
    <t>Приходная накладная 1684 (вх. 37915077) от 10.07.2024</t>
  </si>
  <si>
    <t>Стремянка алюминиевая  2 ст</t>
  </si>
  <si>
    <t>Приходная накладная 1829 (вх. 8701096-МСК) от 24.07.2024</t>
  </si>
  <si>
    <t>Стремянка стальная</t>
  </si>
  <si>
    <t>Строительно-монтажная клемма с рычажками проходная 2-4 полюсов 0,08-4 мм2 (SBE-cwcc-2-4)</t>
  </si>
  <si>
    <t>Строительно-монтажная клемма с рычажками проходная 2-6 полюсов 0,08-4 мм2 (SBE-cwcc-2-6)</t>
  </si>
  <si>
    <t>Строительные особопрочные мусорные мешки 240 л, 50 шт</t>
  </si>
  <si>
    <t>Строительный нож с винтовым зажимом 18 мм</t>
  </si>
  <si>
    <t>Строительный пылесос, объем бака 60 л, GPS-VC-60</t>
  </si>
  <si>
    <t>Стройбат Гайка оцинк. DIN 934 М10, 50 шт  2632008 / 015361</t>
  </si>
  <si>
    <t>Стройбат Гайка оцинк. DIN 934 М5, 400 шт  2632005 / 015451</t>
  </si>
  <si>
    <t>Стройбат Дюбель полипропилен. 6х40, 350 шт  2520006 / 216900</t>
  </si>
  <si>
    <t>Строп текстильный петлевой СТП 1т 2м</t>
  </si>
  <si>
    <t>Приходная накладная 918 (вх. 3885617-МСК) от 10.04.2024</t>
  </si>
  <si>
    <t>Строп текстильный петлевой СТП 2т 3м</t>
  </si>
  <si>
    <t>Строп текстильный петлевой СТП 3т 3м</t>
  </si>
  <si>
    <t>Строп текстильный петлевой СТП 5т 4м</t>
  </si>
  <si>
    <t>Строп цепной2СЦ 2,12 т, 1 м Т8 двухветвевой</t>
  </si>
  <si>
    <t>Струбцина кованая тип F 120x450мм</t>
  </si>
  <si>
    <t>Струбцина кованая тип F 120x600мм</t>
  </si>
  <si>
    <t>Приходная накладная 1051 (вх. 4413798-МСК) от 22.04.2024</t>
  </si>
  <si>
    <t>Струбцина кованая тип G125 мм</t>
  </si>
  <si>
    <t>Стружкоотсос с автозапуском 230 В JT1-236</t>
  </si>
  <si>
    <t>Струйка белая-матовая с накаткой. Пластик ПВХ 5 мм, резка в размер А4 (2вида)</t>
  </si>
  <si>
    <t>Приходная накладная 435 (вх. 000002) от 22.01.2024</t>
  </si>
  <si>
    <t>Струйная печать, пленка белая-матовая 75*100 мм</t>
  </si>
  <si>
    <t>Струйная печать, пленка белая-матовая, размер 33*110</t>
  </si>
  <si>
    <t>Струйная печать, пленка белая-матовая, размер 39*110</t>
  </si>
  <si>
    <t>Струйная печать, пленка белая-матовая, размер А3</t>
  </si>
  <si>
    <t>Стул FA_EChair Rio(ИЗО) черн, ткань черная С-11/ТК-1</t>
  </si>
  <si>
    <t>Приходная накладная 1948 (вх. 38321456) от 31.07.2024</t>
  </si>
  <si>
    <t>Стул UA_ISO WIN(ИЗО) черн, ткань черная С-11</t>
  </si>
  <si>
    <t>Приходная накладная 5176 (вх. 40102214) от 17.10.2024</t>
  </si>
  <si>
    <t>Стул антистатический "Москвичка"</t>
  </si>
  <si>
    <t>Стул мастера Бруни М со спинкой и круглым сиденьем, черный</t>
  </si>
  <si>
    <t>Приходная накладная 4892 (вх. 257462/125) от 04.10.2024</t>
  </si>
  <si>
    <t>Стул стальной 2 ступени с антискользящим покрытием</t>
  </si>
  <si>
    <t>Ступенчатое сверло 4-20мм Практика</t>
  </si>
  <si>
    <t>Ступица колеса 10 дюймов 23x7.00-10, Передний</t>
  </si>
  <si>
    <t>Стусло пластик фигурное 300x65мм</t>
  </si>
  <si>
    <t>Стяжка  5х350 б уп.100шт белые</t>
  </si>
  <si>
    <t>Стяжка 2.5x120 нейл. бел. уп.100шт</t>
  </si>
  <si>
    <t>Стяжка 3.6х200мм100 шт белые</t>
  </si>
  <si>
    <t>Стяжка кабельная нейлоновая 920x9,0мм, черная 100 шт/уп</t>
  </si>
  <si>
    <t>Стяжка ленточная 3,6х300 черный,100 шт</t>
  </si>
  <si>
    <t>Стяжка нейлоновая 3х80</t>
  </si>
  <si>
    <t>Стяжка пластиковая нейлоновая с площадкой для маркировки 2,5x100мм, белая, 100шт</t>
  </si>
  <si>
    <t>Стяжка-липучка 2*50см, черная (FPV)</t>
  </si>
  <si>
    <t>Приходная накладная 160 (вх. 2) от 26.01.2024</t>
  </si>
  <si>
    <t>Стяжки нейлоновые 8x500 100 шт.</t>
  </si>
  <si>
    <t>Стяжки нейлоновые КСС 3х100 (черный) (100шт.) (Fortisflex)</t>
  </si>
  <si>
    <t>Приходная накладная 4387 (вх. 415) от 01.04.2024</t>
  </si>
  <si>
    <t>Стяжки пластиковые 250 мм х 3.6 мм 100 шт</t>
  </si>
  <si>
    <t>Сумка 00-002 Новая (Сибирячок)</t>
  </si>
  <si>
    <t>Приходная накладная 5149 (вх. 45) от 11.10.2024</t>
  </si>
  <si>
    <t>Сумка 023 Сибирь2 (1100х520х300)</t>
  </si>
  <si>
    <t>Приходная накладная 1694 (вх. 27) от 11.07.2024</t>
  </si>
  <si>
    <t>Сумка для инструмента Handwerker</t>
  </si>
  <si>
    <t>Сумка ЗИП (Сибирь-2)</t>
  </si>
  <si>
    <t>Приходная накладная 4409 (вх. 8) от 26.02.2024 (удален) (не проведен)</t>
  </si>
  <si>
    <t>Сумка ЗИП №2 (Сибирь)</t>
  </si>
  <si>
    <t>Приходная накладная 1071 (вх. 21) от 24.04.2024</t>
  </si>
  <si>
    <t>Сумка-рюкзак 00-011 (Сибирь-1) новая</t>
  </si>
  <si>
    <t>Суперконцентрат серый МЕ100888</t>
  </si>
  <si>
    <t>Приходная накладная 1474 (вх. 1173) от 18.06.2024</t>
  </si>
  <si>
    <t>Сухари для станочных пазов М16 17.5х28х20</t>
  </si>
  <si>
    <t>Приходная накладная 4283 (вх. 236875) от 27.09.2024</t>
  </si>
  <si>
    <t>Сухари для станочных пасов 9.7мм 15х18х6х12мм, М8</t>
  </si>
  <si>
    <t>Приходная накладная 1643 (вх. 41315 - 1686615) от 04.07.2024</t>
  </si>
  <si>
    <t>Сушильная печь в вертикальном исполнении</t>
  </si>
  <si>
    <t>Счетчик CE101 R5 145 M6</t>
  </si>
  <si>
    <t>Счетчик времени наработки с автозапуском и сбросом СМ-1 АС</t>
  </si>
  <si>
    <t>Приходная накладная 3821 (вх. 10727156-МСК) от 09.09.2024</t>
  </si>
  <si>
    <t>Счетчик моточасов СВН2-02 24В</t>
  </si>
  <si>
    <t>Приходная накладная 2223 (вх. 514258/179) от 27.08.2024</t>
  </si>
  <si>
    <t>Съемник изоляции для кабеля и одиночных проводов с инструментом для разъемов SHTOK СИ-2ВП 27103</t>
  </si>
  <si>
    <t>Съемник стопорных колец</t>
  </si>
  <si>
    <t>Сыктывкарские Бумага 6 рулонов в упак</t>
  </si>
  <si>
    <t>Т-60s тестер экрана 7-84 LCD LED TV PC</t>
  </si>
  <si>
    <t>Авансовый отчет 245 от 15.02.2024</t>
  </si>
  <si>
    <t>Табличка 10*10 см (ПВХ)</t>
  </si>
  <si>
    <t>Приходная накладная 4181 (вх. 102371) от 24.09.2024</t>
  </si>
  <si>
    <t>Табличка информационная 315х320</t>
  </si>
  <si>
    <t>Тавотница M8 90 комплект (5шт)</t>
  </si>
  <si>
    <t>Приходная накладная 5215 (вх. Ц-000377301) от 22.10.2024</t>
  </si>
  <si>
    <t>Такелажные услуги и услуги спецтехники</t>
  </si>
  <si>
    <t>Приходная накладная 5113 (вх. 4) от 07.02.2024</t>
  </si>
  <si>
    <t>Тара.ру Куботейнер 23л с крышкой квадратный</t>
  </si>
  <si>
    <t>Тара.ру Мусорный контейнер 120л зеленый</t>
  </si>
  <si>
    <t>Приходная накладная 329 (вх. 1723509-МСК) от 19.02.2024</t>
  </si>
  <si>
    <t>Тара.ру Ящик п/э 400х300х260 Фин-Пак цв черный</t>
  </si>
  <si>
    <t>Тарелки одноразовые</t>
  </si>
  <si>
    <t>Тарифный план: Бизнес_100М _2021_ip</t>
  </si>
  <si>
    <t>Приходная накладная 3869 (вх. 2845) от 31.08.2024</t>
  </si>
  <si>
    <t>Твердотельный накопитель Kingston SSD 480GB</t>
  </si>
  <si>
    <t>Телевизор Xiaomi Mi TV A2 55, 4K Ultra HD, черный</t>
  </si>
  <si>
    <t>Приходная накладная 175 (вх. 19858) от 29.01.2024</t>
  </si>
  <si>
    <t>Тележка для газовых баллонов TOR ГБ-2, 2 баллона</t>
  </si>
  <si>
    <t>Приходная накладная 454 (вх. 34921906) от 27.02.2024</t>
  </si>
  <si>
    <t>Тележка для хранения и перемещения катушек с компоненстами YG-1848ST05</t>
  </si>
  <si>
    <t>Приходная накладная 4358 (вх. 678) от 23.05.2024</t>
  </si>
  <si>
    <t>Тележка инструментальная</t>
  </si>
  <si>
    <t>Тележка пластиковая 600х400</t>
  </si>
  <si>
    <t>Тележка пластиковая 620х420</t>
  </si>
  <si>
    <t>Тележка платформенная с резиновым покрытием ТПР 1</t>
  </si>
  <si>
    <t>Приходная накладная 1476 (вх. 7108323-МСК) от 19.06.2024</t>
  </si>
  <si>
    <t>Тележка сервисная двух ярусная (500x800)</t>
  </si>
  <si>
    <t>Телескопическая алюминевая мачта с лебедкой в Белгороде</t>
  </si>
  <si>
    <t>Телескопическая алюминевая мачта с механической лебедкой</t>
  </si>
  <si>
    <t>Тельфер цепной передвижной электрический</t>
  </si>
  <si>
    <t>Тепловентилятор Тепломаш КЭВ-100M5W2</t>
  </si>
  <si>
    <t>Приходная накладная 5330 (вх. 8917) от 28.10.2024</t>
  </si>
  <si>
    <t>Тепловизор RGK TL-160+</t>
  </si>
  <si>
    <t>Приходная накладная 532 (вх. 240222047) от 22.02.2024</t>
  </si>
  <si>
    <t>Тепловизор TH10T6LN</t>
  </si>
  <si>
    <t>Приходная накладная 1675 (вх. 2024070901) от 09.07.2024</t>
  </si>
  <si>
    <t>Теплый пол инфракрасный 0,5 м2, пленочный под ламинат</t>
  </si>
  <si>
    <t>Авансовый отчет 181  от 12.08.2024</t>
  </si>
  <si>
    <t>Теплый пол инфракрасный 2 м2, пленочный под ламинат</t>
  </si>
  <si>
    <t>Приходная накладная 1277 (вх. 770/138) от 23.05.2024</t>
  </si>
  <si>
    <t>Терминал сбора данных Urovo DT40</t>
  </si>
  <si>
    <t>Приходная накладная 1736 (вх. 02-07\000578) от 17.07.2024</t>
  </si>
  <si>
    <t>Термоанемометр RGK AM-20</t>
  </si>
  <si>
    <t>Приходная накладная 2062 (вх. УТ-9495) от 13.08.2024</t>
  </si>
  <si>
    <t>Термогигрометр с функцией отображения давления</t>
  </si>
  <si>
    <t>Приходная накладная 1903 (вх. 16824) от 29.07.2024</t>
  </si>
  <si>
    <t>Термоклеевой пист. d11mm 300W t140-220</t>
  </si>
  <si>
    <t>Термометр</t>
  </si>
  <si>
    <t>Приходная накладная 1812 (вх. 0609407) от 23.07.2024</t>
  </si>
  <si>
    <t>Термонож HOTBLADE 100</t>
  </si>
  <si>
    <t>Приходная накладная 2108 (вх. 9870574-МСК) от 19.08.2024</t>
  </si>
  <si>
    <t>Термопинцет</t>
  </si>
  <si>
    <t>Термопластичный полиуретан марки Ecollan S 95A L CN</t>
  </si>
  <si>
    <t>Приходная накладная 1438 (вх. 130624-4) от 14.06.2024</t>
  </si>
  <si>
    <t>Термопот Profi Cook PC-HGA 1111 16л, 1500Вт</t>
  </si>
  <si>
    <t>Термопрокладка KURT</t>
  </si>
  <si>
    <t>Термоскотч для пайки</t>
  </si>
  <si>
    <t>Приходная накладная 1084 (вх. 84839/1441) от 25.04.2024</t>
  </si>
  <si>
    <t>термоскотч, высокотемпературная лента, каптоновый скотч</t>
  </si>
  <si>
    <t>Авансовый отчет 220 от 12.03.2024</t>
  </si>
  <si>
    <t>Термостат водяной HTMC-6WG/W</t>
  </si>
  <si>
    <t>Приходная накладная 4256 (вх. 447) от 15.03.2024</t>
  </si>
  <si>
    <t>Термостат водяной HTMC-9WG/W</t>
  </si>
  <si>
    <t>термоусадка синяя</t>
  </si>
  <si>
    <t>Термоусаживаемая трубка 2,0/1,0 мм, пять цветов (неклеевая)</t>
  </si>
  <si>
    <t>Термоусаживаемая трубка 5,0/2,5 мм, черная</t>
  </si>
  <si>
    <t>Термоусаживаемая трубка ТУТнг 10/5 черная (100м/ролл) ТDM</t>
  </si>
  <si>
    <t>Термоусаживаемая трубка ТУТнг 2/1 черная по 1м (200м/упак) TDM</t>
  </si>
  <si>
    <t>Термоусаживаемая трубка ТУТнг 4/2 черная (200м/ролл) TDM</t>
  </si>
  <si>
    <t>Термоусаживаемая трубка ТУТнг 6/3 черная (100м/ролл) TDM</t>
  </si>
  <si>
    <t>Термоусаживаемая трубка ТУТнг 8/4 черная (100м/ролл) TDM</t>
  </si>
  <si>
    <t>Термофен с диспл,2000Вт DEXTER4</t>
  </si>
  <si>
    <t>Термоэластопласт Elastoprend MF102 A90(гранулы)</t>
  </si>
  <si>
    <t>Приходная накладная 723 (вх. 212) от 21.03.2024</t>
  </si>
  <si>
    <t>Термоэтикетка 30*20 б/п ЭКО 2000 (80) 40вт</t>
  </si>
  <si>
    <t>Приходная накладная 5131 (вх. 53) от 01.01.2024</t>
  </si>
  <si>
    <t>Термоэтикетка 30ммх20мм</t>
  </si>
  <si>
    <t>Термоэтикетка 30х10мм</t>
  </si>
  <si>
    <t>Приходная накладная 1291 (вх. 91) от 24.05.2024</t>
  </si>
  <si>
    <t>термоэтикетка 50*25</t>
  </si>
  <si>
    <t>Термоэтикетки 58x40мм</t>
  </si>
  <si>
    <t>Приходная накладная 128 (вх. 0505613-МСК) от 22.01.2024</t>
  </si>
  <si>
    <t>Термоэтикетки зеленые 58х40 мм</t>
  </si>
  <si>
    <t>Приходная накладная 1670 (вх. 127038/196) от 09.07.2024</t>
  </si>
  <si>
    <t>Термоэтикетки красные 58х40 мм</t>
  </si>
  <si>
    <t>Термоэтикетки ТОП 50х25, 400 шт/рул, вт. 25</t>
  </si>
  <si>
    <t>Термоэтикетки ТОП 50х50, 200 шт/рул, вт. 25</t>
  </si>
  <si>
    <t>Термоэтикетки ТОП 58х40,700шт/рул, вт.40</t>
  </si>
  <si>
    <t>Приходная накладная 1624 (вх. 37704814) от 02.07.2024</t>
  </si>
  <si>
    <t>Термоэтикетки ЭКО 30х20 2000 шт/рул вт.40 21 рул/кор</t>
  </si>
  <si>
    <t>Термоэтикетки ЭКО 50х50, 200 шт/рул, вт. 25</t>
  </si>
  <si>
    <t>Термоэтикетки ЭКО 58х40, 700 шт/рул, вт.40, ПЭТ, 10 рул/уп, спайка</t>
  </si>
  <si>
    <t>Приходная накладная 101 (вх. 33981824) от 18.01.2024</t>
  </si>
  <si>
    <t>Термоэтикетки ЭКО 58х40, без печати, 700шт/рул, вт.40</t>
  </si>
  <si>
    <t>ТЕСАР конденсатор танталовый</t>
  </si>
  <si>
    <t>Тестер G.T.Power для проверки сервоприводов и регуляторов скорости</t>
  </si>
  <si>
    <t>Приходная накладная 589 (вх. 00242) от 07.03.2024</t>
  </si>
  <si>
    <t>Тестер LAN для RJ-45, RG-58</t>
  </si>
  <si>
    <t>Тестер LiPo</t>
  </si>
  <si>
    <t>Приходная накладная 5124 (вх. 46) от 01.01.2024</t>
  </si>
  <si>
    <t>Тестер LiPo (тип 2)</t>
  </si>
  <si>
    <t>Тестер АКБ</t>
  </si>
  <si>
    <t>Приходная накладная 5117 (вх. 80) от 01.01.2024</t>
  </si>
  <si>
    <t>Тестер емкости аккумулятора</t>
  </si>
  <si>
    <t>Тестер литиевых аккумуляторов Cellmeter-7 V2</t>
  </si>
  <si>
    <t>Приходная накладная 599 (вх. УПД-ИП-2024-0017181) от 12.03.2024</t>
  </si>
  <si>
    <t>тестер матриц</t>
  </si>
  <si>
    <t>Тестер мощности immersion RF Power Meter V2</t>
  </si>
  <si>
    <t>Приходная накладная 1046 (вх. 88) от 22.04.2024</t>
  </si>
  <si>
    <t>Тестер сервоприводов</t>
  </si>
  <si>
    <t>Приходная накладная 4007 (вх. 233) от 18.09.2024</t>
  </si>
  <si>
    <t>Тестирование БПЛА</t>
  </si>
  <si>
    <t>Приходная накладная 4119 (вх. б/н) от 02.02.2024</t>
  </si>
  <si>
    <t>Тестовый зонд для печатной платы R50 Series, розетка,зазьем  Pogo Pin подключение розеткиR50-2S 1S.3</t>
  </si>
  <si>
    <t>Тетрадь общая Attache,96л,клет,А4,спир,обл.мел.карт</t>
  </si>
  <si>
    <t>Техническое обслуживание и ремонт слаботочных систем (автоматическая пожарная сигнализация (АПС), ав</t>
  </si>
  <si>
    <t>Приходная накладная 3964 (вх. 539) от 16.09.2024</t>
  </si>
  <si>
    <t>Техническое обслуживание сетей противопожарных систем</t>
  </si>
  <si>
    <t>Технониколь Герметик санитарный силиконовый белый 280 мл. TN667564</t>
  </si>
  <si>
    <t>Технониколь Герметик санитарный силиконовый бесцветный 280 мл. TN667563</t>
  </si>
  <si>
    <t>Технониколь Пена монтажная 70 PROFESSIONAL всесезонная TN528369</t>
  </si>
  <si>
    <t>Технониколь Пена монтажная MASTER 65  /всесезонная/ НОВИНКА!!! TN625511</t>
  </si>
  <si>
    <t>ТЕХНОРЕАЛ Стойка магнитная WCE-4CF-III</t>
  </si>
  <si>
    <t>Тиски самоцентрирующиеся TMV-75x180</t>
  </si>
  <si>
    <t>Приходная накладная 2084 (вх. 69980) от 15.08.2024</t>
  </si>
  <si>
    <t>Тиски станочные для сверильных станков</t>
  </si>
  <si>
    <t>ТК-07 Тумба 82*44-76 Белый</t>
  </si>
  <si>
    <t>Ткань хлориновая</t>
  </si>
  <si>
    <t>Приходная накладная 373 (вх. 21) от 15.02.2024</t>
  </si>
  <si>
    <t>ТМ БЭЗ Электродвигатель АИР 80B2</t>
  </si>
  <si>
    <t>Приходная накладная 2046 (вх. 9652198-МСК) от 13.08.2024</t>
  </si>
  <si>
    <t>Токоизмерительные клещи Fluke</t>
  </si>
  <si>
    <t>Приходная накладная 246 (вх. ТМ24020616) от 06.02.2024</t>
  </si>
  <si>
    <t>Толкатель Z3010</t>
  </si>
  <si>
    <t>Приходная накладная 1780 (вх. 1475) от 19.07.2024</t>
  </si>
  <si>
    <t>Толкатель для флюса Kaisi K-2208</t>
  </si>
  <si>
    <t>Приходная накладная 2294 (вх. 97275/1608) от 03.09.2024</t>
  </si>
  <si>
    <t>Толстовка KOTLINE флисовая с капюшоном черная, 44-46/170-176</t>
  </si>
  <si>
    <t>Толстовка KOTLINE флисовая с капюшоном черная, 48-50/170-176</t>
  </si>
  <si>
    <t>Толстовка KOTLINE флисовая с капюшоном черная, 52-54/170-176</t>
  </si>
  <si>
    <t>тонер А4 термотрансферная бумага для печатных плат "сделай сам"</t>
  </si>
  <si>
    <t>Авансовый отчет 182 от 18.04.2024</t>
  </si>
  <si>
    <t>Тонкогубцы изогнутые 160мм</t>
  </si>
  <si>
    <t>Тонкогубцы изогнутые 200 мм</t>
  </si>
  <si>
    <t>Топор для пожарного щита</t>
  </si>
  <si>
    <t>Торкабель Провод ПУГВ 2,5 белый 5 м в упак</t>
  </si>
  <si>
    <t>Торкабель Провод ПУГВ 2,5 красный 5 м в упак</t>
  </si>
  <si>
    <t>Торкабель Провод ПУГВ 2,5 синий 5 м в упак</t>
  </si>
  <si>
    <t>Торкабель Провод ПУГВ 2,5 черный 5 м в упак</t>
  </si>
  <si>
    <t>Торкабель проволока ММЛ 0,50 115м</t>
  </si>
  <si>
    <t>Торцевая головка 5,5мм 1/4</t>
  </si>
  <si>
    <t>Тосол ОЖ-45 10кг</t>
  </si>
  <si>
    <t>Приходная накладная 861 (вх. 3553004-МСК) от 02.04.2024</t>
  </si>
  <si>
    <t>Точилка Attache Economy на 1 отвт, прямоуг, с цветным контейнером, ассорти</t>
  </si>
  <si>
    <t>Точилка Attache Economy на 2 отв., c цветным контейнером, ассорти</t>
  </si>
  <si>
    <t>Точилка Attache Happy,с контейнером,2отверстия, в асс</t>
  </si>
  <si>
    <t>Точилка механическая Attache Bright Colours,авто-фиксация карандаша,зеленый</t>
  </si>
  <si>
    <t>Точилка механическая Deli, 1 отв., в картонной коробке, черный</t>
  </si>
  <si>
    <t>Точилка электрическая Attache,стальное спиральн.лезвие,батарейки AA, черный</t>
  </si>
  <si>
    <t>Точка доступа UniFi 7 Pro</t>
  </si>
  <si>
    <t>ТП-01/П ESD RAL7035 Подвесная тумба 490х354х605мм</t>
  </si>
  <si>
    <t>ТПВ MASFLEX 50509NAT9022 Гранулы</t>
  </si>
  <si>
    <t>Приходная накладная 681 (вх. 1380) от 22.03.2024</t>
  </si>
  <si>
    <t>Транспондер PAN номер: 6372195000003152511</t>
  </si>
  <si>
    <t>Приходная накладная 4441 (вх. 0222500-КТ001) от 22.01.2024</t>
  </si>
  <si>
    <t>Транспондер PAN номер: 6372195000003209766</t>
  </si>
  <si>
    <t>Транспортировка груза</t>
  </si>
  <si>
    <t>Приходная накладная 4733 (вх. б/н) от 28.06.2024</t>
  </si>
  <si>
    <t>Транспортно-роликовые платформы CRA6</t>
  </si>
  <si>
    <t>Транспортно-экспедиционные услуги</t>
  </si>
  <si>
    <t>Транспортные услуги</t>
  </si>
  <si>
    <t>Приходная накладная 3908 (вх. 24172) от 02.08.2024</t>
  </si>
  <si>
    <t>Трафарез Encorder_left_Top</t>
  </si>
  <si>
    <t>Приходная накладная 298 (вх. 1391) от 10.02.2024</t>
  </si>
  <si>
    <t>Трафарет AP_v1.1_Bottom BOT</t>
  </si>
  <si>
    <t>Приходная накладная 5306 (вх. 2847) от 01.07.2024</t>
  </si>
  <si>
    <t>Трафарет AP_v1.1_Bottom_var2 BOT</t>
  </si>
  <si>
    <t>Приходная накладная 5307 (вх. 2848) от 01.07.2024</t>
  </si>
  <si>
    <t>Трафарет AP_v1.1_Top TOP</t>
  </si>
  <si>
    <t>Трафарет AP_v1.1_Top_var2 TOP</t>
  </si>
  <si>
    <t>Трафарет Buffer_cross_panel_Bottom BOT</t>
  </si>
  <si>
    <t>Приходная накладная 5304 (вх. 2717) от 01.07.2024</t>
  </si>
  <si>
    <t>Трафарет Buffer_cross_panel_Top TOP</t>
  </si>
  <si>
    <t>Трафарет Button _LED_left_Top TOP</t>
  </si>
  <si>
    <t>Приходная накладная 300 (вх. 1389) от 10.02.2024</t>
  </si>
  <si>
    <t>Трафарет Button_LED_left_Bottom BOT</t>
  </si>
  <si>
    <t>Трафарет Button_LED_right_Botton BOT</t>
  </si>
  <si>
    <t>Приходная накладная 299 (вх. 1390) от 10.02.2024</t>
  </si>
  <si>
    <t>Трафарет Button_LED_right_Top_NEW! TOP</t>
  </si>
  <si>
    <t>Приходная накладная 5308 (вх. 2849) от 01.07.2024</t>
  </si>
  <si>
    <t>Трафарет Button_right_Top TOP</t>
  </si>
  <si>
    <t>Трафарет Encorder_left_Bottom</t>
  </si>
  <si>
    <t>Трафарет Encorder_right_Bottom</t>
  </si>
  <si>
    <t>Приходная накладная 297 (вх. 1392) от 10.02.2024</t>
  </si>
  <si>
    <t>Трафарет Encorder_right_Top</t>
  </si>
  <si>
    <t>Трафарет ESC_1.2_Bottom_var2 BOT</t>
  </si>
  <si>
    <t>Приходная накладная 5303 (вх. 2511) от 01.07.2024</t>
  </si>
  <si>
    <t>Трафарет ESC_1.2_Bottom_var3 BOT</t>
  </si>
  <si>
    <t>Приходная накладная 5305 (вх. 2742) от 01.07.2024</t>
  </si>
  <si>
    <t>Трафарет ESC_1.2_Botton BOT</t>
  </si>
  <si>
    <t>Приходная накладная 5297 (вх. 2337) от 01.07.2024</t>
  </si>
  <si>
    <t>Трафарет ESC_1.2_Top TOP</t>
  </si>
  <si>
    <t>Трафарет ESC_1.2_Top_var2 TOP</t>
  </si>
  <si>
    <t>Трафарет ESC_1.2_Top_var3 TOP</t>
  </si>
  <si>
    <t>Трафарет FC_FMU_STM32H7_Bottom BOT</t>
  </si>
  <si>
    <t>Приходная накладная 5295 (вх. 1744) от 01.07.2024</t>
  </si>
  <si>
    <t>Трафарет FC_FMU_STM32H7_rev4_Bottom BOT</t>
  </si>
  <si>
    <t>Приходная накладная 501 (вх. 2102) от 01.03.2024</t>
  </si>
  <si>
    <t>Трафарет FC_FMU_STM32H7_rev4_Top TOP</t>
  </si>
  <si>
    <t>Трафарет FC_FMU_STM32H7_Top TOP</t>
  </si>
  <si>
    <t>Трафарет FC_IMU_VIBRO_ISOLATED_rev.1p1_27112023_Top TOP</t>
  </si>
  <si>
    <t>Приходная накладная 5296 (вх. 1745) от 01.07.2024</t>
  </si>
  <si>
    <t>Трафарет FC_IMU_VIBRO_ISOLATED_rev.1p1_27112024_NEW TOP</t>
  </si>
  <si>
    <t>Приходная накладная 5298 (вх. 2399) от 01.07.2024</t>
  </si>
  <si>
    <t>Трафарет MB_v20x2_v44 _top</t>
  </si>
  <si>
    <t>Приходная накладная 5301 (вх. 2510) от 01.07.2024</t>
  </si>
  <si>
    <t>Трафарет RC_10inch_RK3399 BOT</t>
  </si>
  <si>
    <t>Приходная накладная 5290 (вх. 456) от 01.07.2024</t>
  </si>
  <si>
    <t>Трафарет RC_10inch_RK3399 NEWEST BOT</t>
  </si>
  <si>
    <t>Приходная накладная 386 (вх. 11925) от 01.01.2024</t>
  </si>
  <si>
    <t>Трафарет RC_10inch_RK3399 NEWEST TOP</t>
  </si>
  <si>
    <t>Трафарет RC_10inch_RK3399 TOP</t>
  </si>
  <si>
    <t>Трафарет Regular_16V_to_12V_rev1_NEW TOP</t>
  </si>
  <si>
    <t>Приходная накладная 377 (вх. 13335) от 01.01.2024</t>
  </si>
  <si>
    <t>Трафарет Regulator_16V_to_12V_rev1_Top TOP</t>
  </si>
  <si>
    <t>Приходная накладная 389 (вх. 13042) от 01.01.2024</t>
  </si>
  <si>
    <t>Трафарет RK3399 Bottom Bot</t>
  </si>
  <si>
    <t>Приходная накладная 5293 (вх. 762) от 01.07.2024</t>
  </si>
  <si>
    <t>Трафарет RK3399 top TOP</t>
  </si>
  <si>
    <t>Трафарет RK3399_VIDEO_Botton BOT</t>
  </si>
  <si>
    <t>Приходная накладная 5299 (вх. 2400) от 01.07.2024</t>
  </si>
  <si>
    <t>Трафарет RK3399_VIDEO_Top TOP</t>
  </si>
  <si>
    <t>Трафарет RM_band_botton BOT</t>
  </si>
  <si>
    <t>Приходная накладная 5300 (вх. 2509) от 01.07.2024</t>
  </si>
  <si>
    <t>Трафарет RM_band_top TOP</t>
  </si>
  <si>
    <t>Трафарет для реболлинга</t>
  </si>
  <si>
    <t>Приходная накладная 1195 (вх. 125) от 14.05.2024</t>
  </si>
  <si>
    <t>Третья рука МАСТЕР с лупой х3 REXANT 12-0258</t>
  </si>
  <si>
    <t>Третья рука с лупой</t>
  </si>
  <si>
    <t>Треугольник шлифовальный "МАСТЕР", 6 отверстий, Р180, 93x93x93мм</t>
  </si>
  <si>
    <t>Трехосевой подвес для камеры</t>
  </si>
  <si>
    <t>Приходная накладная 4450 (вх. 130) от 09.01.2024</t>
  </si>
  <si>
    <t>Трехточечное сверло по дереву спиральное 4.0х75х43</t>
  </si>
  <si>
    <t>Приходная накладная 1605 (вх. 14286) от 28.06.2024</t>
  </si>
  <si>
    <t>Трехточечное сверло по дереву спиральное 5.0х86х52</t>
  </si>
  <si>
    <t>Трехточечное сверло по дереву спиральное 7.0х109х65</t>
  </si>
  <si>
    <t>Трехточечное сверло по дереву спиральное 9.0х120х80</t>
  </si>
  <si>
    <t>Тройник 10мм</t>
  </si>
  <si>
    <t>Тройник 12мм</t>
  </si>
  <si>
    <t>Приходная накладная 5116 (вх. 61) от 01.01.2024</t>
  </si>
  <si>
    <t>Тройник 20х20х20мм</t>
  </si>
  <si>
    <t>Тройник 8мм</t>
  </si>
  <si>
    <t>Тройник внутренняя канализация</t>
  </si>
  <si>
    <t>Тройник для шасси 25x16</t>
  </si>
  <si>
    <t>Тройник с двумя переходами на нар. р. 1/2 вн.Valtec</t>
  </si>
  <si>
    <t>Приходная накладная 424 (вх. 1998438-МСК) от 26.02.2024</t>
  </si>
  <si>
    <t>Тросовый подвес 2шт белый</t>
  </si>
  <si>
    <t>Труба 20х20х1,5</t>
  </si>
  <si>
    <t>Труба 32мм из нерж. стали, 1 метр</t>
  </si>
  <si>
    <t>Труба 40х20х1,5</t>
  </si>
  <si>
    <t>Труба 50х4</t>
  </si>
  <si>
    <t>Приходная накладная 404 (вх. 83) от 22.02.2024</t>
  </si>
  <si>
    <t>Труба 51х6</t>
  </si>
  <si>
    <t>Труба Aqua 20мм 2м</t>
  </si>
  <si>
    <t>Труба АД31Т1 22x1x6000мм ГОСТ 18482-79</t>
  </si>
  <si>
    <t>Приходная накладная 2323 (вх. 157948-64) от 04.09.2024</t>
  </si>
  <si>
    <t>Труба АД31Т1 60х1.5 для 6000</t>
  </si>
  <si>
    <t>Приходная накладная 4437 (вх. 70) от 25.01.2024 (удален) (не проведен)</t>
  </si>
  <si>
    <t>Труба алюм.профиль (бокс) 14х14х1х6000 АД31Т1</t>
  </si>
  <si>
    <t>Приходная накладная 153 (вх. 70) от 25.01.2024</t>
  </si>
  <si>
    <t>Труба алюминиевая АД31т внешний диаметр 14мм, стенка 1,2мм, длина 2000мм, 1шт</t>
  </si>
  <si>
    <t>Приходная накладная 4813 (вх. 318858/522) от 01.10.2024</t>
  </si>
  <si>
    <t>Труба гофрированная 25 ПВХ 19мм без зонда</t>
  </si>
  <si>
    <t>Труба гофрированная d 16мм с зондом 50м</t>
  </si>
  <si>
    <t>Труба гофрированная ПВХ 25 Строительная с/з</t>
  </si>
  <si>
    <t>Труба гофрированная с зондом 20мм 100м</t>
  </si>
  <si>
    <t>Труба круглая 6х1х1000мм</t>
  </si>
  <si>
    <t>Приходная накладная 1134 (вх. 049/2024-АВ0115781) от 06.05.2024</t>
  </si>
  <si>
    <t>Труба ПВХ гибкая гофр д20мм лёгкая с протяжкой 50м</t>
  </si>
  <si>
    <t>Труба профильная 20х20х1.5мм</t>
  </si>
  <si>
    <t>Труба профильная 40х20х2</t>
  </si>
  <si>
    <t>Приходная накладная 1520 (вх. 257/2024-АВ0177123) от 21.06.2024</t>
  </si>
  <si>
    <t>Труба профильная 50х50х3</t>
  </si>
  <si>
    <t>Трубка 1/4 белая (моток 15м)</t>
  </si>
  <si>
    <t>Приходная накладная 513 (вх. 859) от 02.03.2024</t>
  </si>
  <si>
    <t>Трубка 20х20х2мм дл=6м (2шт) ГОСТ8639</t>
  </si>
  <si>
    <t>Трубка алюм. серебр. 6x1х1000</t>
  </si>
  <si>
    <t>Приходная накладная 2265 (вх. 10405623-МСК) от 30.08.2024</t>
  </si>
  <si>
    <t>Трубка ВГП 32х3.2 дл.7800мм</t>
  </si>
  <si>
    <t>Приходная накладная 1224 (вх. 396) от 17.05.2024</t>
  </si>
  <si>
    <t>Трубка карбон/арамид 16*2*1000, изгиб до 80С.матовая</t>
  </si>
  <si>
    <t>Приходная накладная 4158 (вх. 3) от 13.02.2024</t>
  </si>
  <si>
    <t>Трубка квадр. сталь 20x20x1,5x2000</t>
  </si>
  <si>
    <t>Трубка ПВХ 5*8мм</t>
  </si>
  <si>
    <t>Трубка пневматическая PU98 12-8-50М NBPT</t>
  </si>
  <si>
    <t>Приходная накладная 2295 (вх. 10535645-МСК) от 03.09.2024</t>
  </si>
  <si>
    <t>Трубка полиуретановая 12/8 синяя TPU</t>
  </si>
  <si>
    <t>Приходная накладная 2060 (вх. 80540) от 13.08.2024</t>
  </si>
  <si>
    <t>Трубка силиконовая 8 х 4</t>
  </si>
  <si>
    <t>Приходная накладная 500 (вх. 1425) от 04.03.2024</t>
  </si>
  <si>
    <t>Трубка термоусадка 1.0/0.5 мм 1м белая</t>
  </si>
  <si>
    <t>Приходная накладная 527 (вх. 28) от 05.03.2024</t>
  </si>
  <si>
    <t>Трубка термоусадка 1.0/0.5 мм 1м синяя</t>
  </si>
  <si>
    <t>Трубка термоусадка 1.5/0.75 мм 1м желтая</t>
  </si>
  <si>
    <t>Трубка термоусадка 10.0/5.0 мм 1м красная</t>
  </si>
  <si>
    <t>Трубка термоусадка 12.0/6.0 мм 1м синяя</t>
  </si>
  <si>
    <t>Трубка термоусадка 2.0/1.0 мм 1м красная</t>
  </si>
  <si>
    <t>Трубка термоусадка 3.0/1.5 мм 1м белая</t>
  </si>
  <si>
    <t>Трубка термоусадка 3.0/1.5 мм 1м черная</t>
  </si>
  <si>
    <t>Трубка термоусадка 5.0/2.5 мм 1м зеленая</t>
  </si>
  <si>
    <t>Трубка термоусадка 6.0/3.0 мм 1м зеленая</t>
  </si>
  <si>
    <t>Трубка термоусадка 8.0/4.0 мм 1м белая</t>
  </si>
  <si>
    <t>Трубка термоусадка 9.0/4.5 мм 1м черная</t>
  </si>
  <si>
    <t>Трубка термоусадка синяя 2:1 2мм</t>
  </si>
  <si>
    <t>Приходная накладная 4879 (вх. 0002217) от 03.10.2024</t>
  </si>
  <si>
    <t>Трубка термоусадочная (Клеевая) 12/4 черная</t>
  </si>
  <si>
    <t>Приходная накладная 2026 (вх. 055/43014) от 09.08.2024</t>
  </si>
  <si>
    <t>Трубка термоусадочная (Клеевая) 180/58 мм 3:1 (1м) черная</t>
  </si>
  <si>
    <t>Трубка термоусадочная (Клеевая) 3/1 мм (1м) прозрачная</t>
  </si>
  <si>
    <t>Трубка термоусадочная (Клеевая) 4.8/2.4 мм (1м) черная</t>
  </si>
  <si>
    <t>Приходная накладная 1554 (вх. 2714) от 26.06.2024</t>
  </si>
  <si>
    <t>Трубка термоусадочная (Клеевая) 6/2 мм (1м) прозрачная</t>
  </si>
  <si>
    <t>Трубка термоусадочная (Клеевая) 6/2 мм (1м) черная</t>
  </si>
  <si>
    <t>Приходная накладная 2293 (вх. 231) от 03.09.2024</t>
  </si>
  <si>
    <t>Трубка термоусадочная (Клеевая) 9/3 мм (1м) черная</t>
  </si>
  <si>
    <t>Приходная накладная 1258 (вх. 055/26385) от 22.05.2024</t>
  </si>
  <si>
    <t>Трубка термоусадочная (Неклеевая) 1.0/0.5 мм (1м) черная</t>
  </si>
  <si>
    <t>Трубка термоусадочная (Неклеевая) 15.0/7.5 мм (1м) черная</t>
  </si>
  <si>
    <t>Трубка термоусадочная (Неклеевая) 2/1 мм (1м) черная</t>
  </si>
  <si>
    <t>Трубка термоусадочная (Неклеевая) ТНТ 30/15мм (1м) черная</t>
  </si>
  <si>
    <t>Трубка термоусадочная (Неклеевая) ТУТнг 10/5 мм(100м)</t>
  </si>
  <si>
    <t>Приходная накладная 1128 (вх. 308) от 03.05.2024</t>
  </si>
  <si>
    <t>Трубка термоусадочная (Неклеевая) ТУТнг-2/1 мм (200м)</t>
  </si>
  <si>
    <t>Трубка термоусадочная 20/10 1м черн</t>
  </si>
  <si>
    <t>Трубка термоусадочная 4.8/1.6 мм (1м) черная (клеевая)</t>
  </si>
  <si>
    <t>Приходная накладная 1480 (вх. 2574) от 19.06.2024</t>
  </si>
  <si>
    <t>Трубка термоусадочная клеевая  ТТК(3:1) 6/2 черная</t>
  </si>
  <si>
    <t>Трубка термоусадочная клеевая  ТТК(3:1)-20/6 прозр</t>
  </si>
  <si>
    <t>Приходная накладная 1843 (вх. 201) от 24.07.2024</t>
  </si>
  <si>
    <t>Трубка термоусадочная клеевая  ТТК(3:1)-9/3 прозр</t>
  </si>
  <si>
    <t>Трубка термоусадочная ТУТ 16/8 прозрачная 9 (не клеевая)</t>
  </si>
  <si>
    <t>Трубка термоусадочная ТУТ 8/4 прозрачная (не клеевая)</t>
  </si>
  <si>
    <t>Трубка термоусадочная ТУТк 12/4 черная (1м) клеевая</t>
  </si>
  <si>
    <t>Приходная накладная 1671 (вх. 055/36325) от 09.07.2024</t>
  </si>
  <si>
    <t>Трубка термоусадочная ТУТнг LS-8/4 черная (не клеевая)</t>
  </si>
  <si>
    <t>Трубка углепластиковая 20.05*22*1100мм</t>
  </si>
  <si>
    <t>Приходная накладная 1380 (вх. 212) от 07.06.2024</t>
  </si>
  <si>
    <t>Трубки термоусадочные (FPV)</t>
  </si>
  <si>
    <t>трубки углеродные</t>
  </si>
  <si>
    <t>Трубный рычажный ключ №3</t>
  </si>
  <si>
    <t>Тряпка для пола 100% микрофибра 70х80</t>
  </si>
  <si>
    <t>Тряпка для пола из микрофибры универсальная 180г/м2 70х80см</t>
  </si>
  <si>
    <t>Туалетный блок Бреф средство для унитаза (150г)</t>
  </si>
  <si>
    <t>Приходная накладная 656 (вх. 2783274) от 21.02.2024</t>
  </si>
  <si>
    <t>Туламаш Метчик м/р М 3</t>
  </si>
  <si>
    <t>Туламаш Набор резьбовых шаблонов N3 М60 и Д55 103524</t>
  </si>
  <si>
    <t>Туламаш Плашка М 3x0.5 9ХС ТМ 57868</t>
  </si>
  <si>
    <t>Туламаш Шаблон радиусный №3 ТМ</t>
  </si>
  <si>
    <t>Тумба Easy One . мобильная 911274 (091) дуб сонома</t>
  </si>
  <si>
    <t>Приходная накладная 4906 (вх. 39816581) от 04.10.2024</t>
  </si>
  <si>
    <t>Тумба Easy One д/оргтехинки (908896) дуб сонома</t>
  </si>
  <si>
    <t>Приходная накладная 1057 (вх. 36102696) от 22.04.2024</t>
  </si>
  <si>
    <t>Тумба MON_Канц . выкатная с замком ТК29.15 дуб.мол</t>
  </si>
  <si>
    <t>Тумба MON_Канц . выкатная ТК30.15 дуб.мол</t>
  </si>
  <si>
    <t>Тумба MON_Канц . выкатная ТК30.16 венге</t>
  </si>
  <si>
    <t>Приходная накладная 1690 (вх. 37943496) от 11.07.2024</t>
  </si>
  <si>
    <t>Тумба Mon_Эталон выкатная КЭ35 дуб молочный</t>
  </si>
  <si>
    <t>Приходная накладная 5164 (вх. 40041596) от 14.10.2024</t>
  </si>
  <si>
    <t>Тумба MS_Grand мобильная GrY-32 ясень шимо</t>
  </si>
  <si>
    <t>Приходная накладная 420 (вх. 34796282) от 20.02.2024</t>
  </si>
  <si>
    <t>Тумба RIVA . подкатная 3 ящика А.ТМ-3Y/3F венге цаво</t>
  </si>
  <si>
    <t>Приходная накладная 2276 (вх. 39041830) от 02.09.2024</t>
  </si>
  <si>
    <t>Тумба SP Бюджет . выкатная б/з 2556 (402952) дуб сонома</t>
  </si>
  <si>
    <t>Приходная накладная 4899 (вх. 39799498) от 04.10.2024</t>
  </si>
  <si>
    <t>Тумба SP Бюджет д/оргтехники 2558 (402658) дуб сонома</t>
  </si>
  <si>
    <t>Тумба выкатная Easy Standard LT 16/16 (дуб сонома, 400x420x563 мм)</t>
  </si>
  <si>
    <t>Тумба Мон_EASY Director подст. М93 дуб шамони светлый</t>
  </si>
  <si>
    <t>Тумба под оргтехнику (дуб сонома, 800*600*600 мм)</t>
  </si>
  <si>
    <t>Тумба подкотная (дуб сонома, 440*450*580 мм)</t>
  </si>
  <si>
    <t>Тумба приставная Бюджет 2557 (дуб сонома, 400*600*740 мм)</t>
  </si>
  <si>
    <t>Тумба РТ_Приоритет мобильная К-923 ц/з венге</t>
  </si>
  <si>
    <t>Тумба САТУРН-Д подкатная Р (800,037) ясень</t>
  </si>
  <si>
    <t>Тумблер MTS-303</t>
  </si>
  <si>
    <t>Тумблер WPC-05</t>
  </si>
  <si>
    <t>ТУНДРА Дистанционный держатель для табличек, 12x40 мм</t>
  </si>
  <si>
    <t>Приходная накладная 230 (вх. 0909179-МСК) от 31.01.2024</t>
  </si>
  <si>
    <t>ТУНДРА Цилиндровый механизм, 60 мм, с вертушкой, английский ключ, 2921831</t>
  </si>
  <si>
    <t>Приходная накладная 1215 (вх. 5499529-МСК) от 17.05.2024</t>
  </si>
  <si>
    <t>Турникет Cube C-04-H-2R (считыватель Mifare 2шт)</t>
  </si>
  <si>
    <t>ТХ490-JKD-20</t>
  </si>
  <si>
    <t>Уборочная машина Теннант модели Т780D</t>
  </si>
  <si>
    <t>Приходная накладная 4243 (вх. 9284) от 28.06.2024</t>
  </si>
  <si>
    <t>Углепластиковая трубка 17*20*1100mm</t>
  </si>
  <si>
    <t>Углеродная ткань полотно ЗК-1000-200</t>
  </si>
  <si>
    <t>Углеродная ткань саржа (твил) 3К-1000-200 200 г/м2, 1 м2</t>
  </si>
  <si>
    <t>Угловая насадка для дрели и шуруповерта / Угловой переходник адаптер</t>
  </si>
  <si>
    <t>Приходная накладная 2317 (вх. 180358/246) от 04.09.2024</t>
  </si>
  <si>
    <t>Угловой коннектор питания белый</t>
  </si>
  <si>
    <t>Угломер нониусный 0-180° 5 5УМ тип 1</t>
  </si>
  <si>
    <t>Приходная накладная 4038 (вх. ИН1862) от 20.09.2024</t>
  </si>
  <si>
    <t>Угломер электронный AngleRuler 20</t>
  </si>
  <si>
    <t>Приходная накладная 646 (вх. 3021389-МСК) от 21.03.2024</t>
  </si>
  <si>
    <t>Уголок 10х10 Al</t>
  </si>
  <si>
    <t>Уголок 30х30х1,5мм АД31Т1 L=2. (заготовка, резка)</t>
  </si>
  <si>
    <t>Приходная накладная 4165 (вх. БАМ-ХСЮ207668) от 23.09.2024</t>
  </si>
  <si>
    <t>Уголок АД31Т1 10хх10х1.2 L=6000</t>
  </si>
  <si>
    <t>Уголок АД31Т1 12хх12х1.5 L=6000</t>
  </si>
  <si>
    <t>Уголок АД31Т1 30хх15х1.5 L=6000</t>
  </si>
  <si>
    <t>Уголок для капельных трубок 10мм</t>
  </si>
  <si>
    <t>Угольник 60х250 мм</t>
  </si>
  <si>
    <t>Угольник НВ 1/2 STOUT SFT-0011-000012 RG008Q0PDL71BE</t>
  </si>
  <si>
    <t>Угольник поверочный УП 250х160 кл.1</t>
  </si>
  <si>
    <t>Угольник поверочный УП 400х250 кл.1</t>
  </si>
  <si>
    <t>Приходная накладная 5214 (вх. ИН1984) от 22.10.2024</t>
  </si>
  <si>
    <t>Угольник поверочный УШ 100х60 кл.1</t>
  </si>
  <si>
    <t>Угольник поверочный УШ 250х160 кл.1</t>
  </si>
  <si>
    <t>Угольник поверочный УШ 60х40 кл.1</t>
  </si>
  <si>
    <t>Удлинитель USB 3.0 (A-A), плоский, 1.0 м</t>
  </si>
  <si>
    <t>Приходная накладная 4281 (вх. 734698/82) от 27.09.2024</t>
  </si>
  <si>
    <t>Удлинитель катушка</t>
  </si>
  <si>
    <t>Удлинитель на катушке У1С-4-50 4 роз с\з ПВС 3х1,0 50 м</t>
  </si>
  <si>
    <t>Приходная накладная 1895 (вх. 311) от 29.07.2024</t>
  </si>
  <si>
    <t>Удлинитель с заземлением Defender S550 Выключатель, 5.0 м, 5 розеток</t>
  </si>
  <si>
    <t>Приходная накладная 885 (вх. 465852202404020093) от 02.04.2024</t>
  </si>
  <si>
    <t>Удлинитель-Катушка УД-Л 40 м 4П 3500ВТ с/з</t>
  </si>
  <si>
    <t>Удлиннитель вил 2000х140х60 к-т</t>
  </si>
  <si>
    <t>Приходная накладная 1637 (вх. 300002524) от 04.07.2024</t>
  </si>
  <si>
    <t>Указатель напряжения до 1000В ПИН-90Э ET-UNN101</t>
  </si>
  <si>
    <t>Ультрабук Honor MagicBook X15.15.6"IPS. intel Core 15 10210U 1.6ГГц</t>
  </si>
  <si>
    <t>Ультразвуковая ванна (мойка) с подогревом 22 литра</t>
  </si>
  <si>
    <t>Приходная накладная 672 (вх. 3071241-МСК) от 22.03.2024</t>
  </si>
  <si>
    <t>Ультрафиолетовый клей LOCA TP-2500F 50г</t>
  </si>
  <si>
    <t>Приходная накладная 4881 (вх. 239) от 03.10.2024</t>
  </si>
  <si>
    <t>Универсальная BGA станция с магнитной автоматической регулировкой,80мм 90мм</t>
  </si>
  <si>
    <t>Универсальное чистящее средство AQUALON многоцел конц моющее средство 5л</t>
  </si>
  <si>
    <t>Универсальное чистящее средство ПЕМОЛЮКС порошк 480 г. Яблоко</t>
  </si>
  <si>
    <t>Универсальное чистящее средство порошкообразное Пемоксоль лимон, 400гр</t>
  </si>
  <si>
    <t>Универсальное чистящее средство порошкообразное Пемоксоль,500гр</t>
  </si>
  <si>
    <t>Универсальное чистящее средство ПРОГРЕСС 5л ПЭТ Бутылка</t>
  </si>
  <si>
    <t>Универсальный аэрозольный клей ультра-сильной фиксации</t>
  </si>
  <si>
    <t>Приходная накладная 573 (вх. 39) от 05.02.2024</t>
  </si>
  <si>
    <t>Универсальный измерительный 3D щуп D8мм</t>
  </si>
  <si>
    <t>Универсальный пылезащитный силиконовый USB-разъем для ноутбука</t>
  </si>
  <si>
    <t>Приходная накладная 5335 (вх. 250) от 28.10.2024</t>
  </si>
  <si>
    <t>универсальный регулируемый ремень для дистанционного управления</t>
  </si>
  <si>
    <t>Универсальный строительный нож</t>
  </si>
  <si>
    <t>Универсальный тестер аккумуляторов</t>
  </si>
  <si>
    <t>Приходная накладная 1434 (вх. 769) от 14.06.2024</t>
  </si>
  <si>
    <t>Уничтожитель бумаг</t>
  </si>
  <si>
    <t>Приходная накладная 908 (вх. 28419) от 04.04.2024</t>
  </si>
  <si>
    <t>Уплотнитель для динамика 40KLS08</t>
  </si>
  <si>
    <t>Упор дверной</t>
  </si>
  <si>
    <t>Приходная накладная 530 (вх. 581) от 11.03.2024</t>
  </si>
  <si>
    <t>Упор дверной напольный</t>
  </si>
  <si>
    <t>Упор из стали</t>
  </si>
  <si>
    <t>Урал ПАК " Напольный кабель-канал Стандарт светло-серый 70x16 2 м</t>
  </si>
  <si>
    <t>Уровень брусковый 150мм 0.1мм/м</t>
  </si>
  <si>
    <t>Уровень Брусковый 200мм, цена деления 0,02мм/м</t>
  </si>
  <si>
    <t>Приходная накладная 486 (вх. 2299012-МСК) от 04.03.2024</t>
  </si>
  <si>
    <t>Уровень круглый 25мм</t>
  </si>
  <si>
    <t>Уровень цифровойМЕГЕОН 77100</t>
  </si>
  <si>
    <t>Приходная накладная 2241 (вх. 38949752) от 28.08.2024</t>
  </si>
  <si>
    <t>Усиленный литой заклёпочник 260 мм</t>
  </si>
  <si>
    <t>Усилитель сотовой связи Teleston 2G/3G/4G репитер 900/1800/2100 МГц</t>
  </si>
  <si>
    <t>Приходная накладная 2227 (вх. 202408260001) от 27.08.2024</t>
  </si>
  <si>
    <t>Услуга по доставке</t>
  </si>
  <si>
    <t>Приходная накладная 5161 (вх. 40042551) от 14.10.2024</t>
  </si>
  <si>
    <t>Услуга по обучению с программой</t>
  </si>
  <si>
    <t>Приходная накладная 4079 (вх. 79595) от 24.04.2024</t>
  </si>
  <si>
    <t>Услуга по организации доставки (экспедированию) груза (документов) из г. Санкт-Петербург в г. Балаши</t>
  </si>
  <si>
    <t>Приходная накладная 3958 (вх. 5056316/0021) от 16.09.2024</t>
  </si>
  <si>
    <t>Услуга по организации доставки (экспедированию) груза из г. Балашиха в г. Санкт-Петербург (мест: 1;</t>
  </si>
  <si>
    <t>Приходная накладная 3952 (вх. 1396330/0287) от 16.09.2024</t>
  </si>
  <si>
    <t>Услуга по организации доставки (экспедированию) груза из г. Балашиха в г. Саранск (мест: 1; 1 кг; 0,</t>
  </si>
  <si>
    <t>Услуга по организации доставки (экспедированию) груза из г. Москва в г. Балашиха (мест: 1; 3 кг; 0,1</t>
  </si>
  <si>
    <t>Приходная накладная 3961 (вх. 1506135/0119) от 16.09.2024</t>
  </si>
  <si>
    <t>Услуга по организации доставки (экспедированию) груза по г. Саранск</t>
  </si>
  <si>
    <t>Услуга по организации доставки (экспедированию) малогабаритного груза из г. Балашиха в г. Барнаул (м</t>
  </si>
  <si>
    <t>Приходная накладная 3955 (вх. 1359310/0287) от 16.09.2024</t>
  </si>
  <si>
    <t>Услуга по организации доставки (экспедированию) малогабаритного груза из г. Раменское(Моск.обл.) в г</t>
  </si>
  <si>
    <t>Приходная накладная 3956 (вх. 0005833/5171) от 16.09.2024</t>
  </si>
  <si>
    <t>Услуга по организации подачи машины (компенсация прогона до адреса отправителя)</t>
  </si>
  <si>
    <t>Приходная накладная 3938 (вх. 5180318/0244) от 16.09.2024</t>
  </si>
  <si>
    <t>Услуга по организации ускоренной доставки (экспедированию) груза из г. Казань в г. Балашиха (мест: 5</t>
  </si>
  <si>
    <t>Приходная накладная 3959 (вх. 1153785/0023) от 16.09.2024</t>
  </si>
  <si>
    <t>Услуга по организации ускоренной доставки (экспедированию) груза из г. Санкт-Петербург в г. Балашиха</t>
  </si>
  <si>
    <t>Услуги  по организации платного проезда по  автомобильной дороге "Новый выход на московскую кольцеву</t>
  </si>
  <si>
    <t>Приходная накладная 3947 (вх. Н08-15517) от 16.09.2024</t>
  </si>
  <si>
    <t>Услуги аренды  по предоставлению в аренду нежилых помещений</t>
  </si>
  <si>
    <t>Приходная накладная 4824 (вх. 24073100441) от 31.07.2024</t>
  </si>
  <si>
    <t>Услуги по 3-D сканированию</t>
  </si>
  <si>
    <t>Приходная накладная 4714 (вх. б/н) от 01.07.2024</t>
  </si>
  <si>
    <t>Услуги по бронированию номеров</t>
  </si>
  <si>
    <t>Приходная накладная 4666 (вх. 93) от 25.07.2024</t>
  </si>
  <si>
    <t>Услуги по договору</t>
  </si>
  <si>
    <t>Приходная накладная 4044 (вх. БП-199) от 31.07.2024</t>
  </si>
  <si>
    <t>Услуги по испытаниям МЦ</t>
  </si>
  <si>
    <t>Приходная накладная 4130 (вх. 21846/1) от 23.01.2024</t>
  </si>
  <si>
    <t>Услуги по комплексной уборке помещений</t>
  </si>
  <si>
    <t>Приходная накладная 5052 (вх. 88) от 09.01.2024</t>
  </si>
  <si>
    <t>Услуги по обслуживанию АПС и АУПТ</t>
  </si>
  <si>
    <t>Приходная накладная 3893 (вх. 515) от 16.08.2024</t>
  </si>
  <si>
    <t>Услуги по обслуживанию кофемашин</t>
  </si>
  <si>
    <t>Приходная накладная 4788 (вх. 99) от 22.05.2024</t>
  </si>
  <si>
    <t>Услуги по обслуживанию принтеров</t>
  </si>
  <si>
    <t>Приходная накладная 4711 (вх. 13414) от 01.07.2024</t>
  </si>
  <si>
    <t>Услуги по обслуживанию холодильников</t>
  </si>
  <si>
    <t>Приходная накладная 4592 (вх. 27) от 05.02.2024</t>
  </si>
  <si>
    <t>Услуги по организации перевозок пассажиров и багажа легковым такси</t>
  </si>
  <si>
    <t>Приходная накладная 4719 (вх. 203832947) от 30.06.2024</t>
  </si>
  <si>
    <t>Услуги по организации платного проезда</t>
  </si>
  <si>
    <t>Приходная накладная 4855 (вх. 6) от 30.06.2024</t>
  </si>
  <si>
    <t>Услуги по организации платного проезда по автомобильной дороге «Проспект Багратиона)" за август 2024</t>
  </si>
  <si>
    <t>Услуги по организации проезда по платной дороге М11</t>
  </si>
  <si>
    <t>Приходная накладная 3943 (вх. 8) от 16.09.2024</t>
  </si>
  <si>
    <t>Услуги по оформлению документов</t>
  </si>
  <si>
    <t>Приходная накладная 4780 (вх. б/н) от 31.05.2024</t>
  </si>
  <si>
    <t>Услуги по предоставлению доступа</t>
  </si>
  <si>
    <t>Приходная накладная 4607 (вх. 5048426-012024) от 31.01.2024</t>
  </si>
  <si>
    <t>Услуги по размещению и обеспечению возможности эксплуатации оборудования по Договору №01-04-24РО/Р о</t>
  </si>
  <si>
    <t>Приходная накладная 3969 (вх. 24083100119) от 17.09.2024</t>
  </si>
  <si>
    <t>Услуги по размещению легковых транспортных средств с оформлением постоянного пропуска по Договору №</t>
  </si>
  <si>
    <t>Приходная накладная 3971 (вх. 24083100895) от 17.09.2024</t>
  </si>
  <si>
    <t>Услуги по размещению оборудования</t>
  </si>
  <si>
    <t>Приходная накладная 4642 (вх. 24073100433) от 31.07.2024</t>
  </si>
  <si>
    <t>Услуги по реверс-инжинирингу</t>
  </si>
  <si>
    <t>Приходная накладная 4705 (вх. 1) от 01.07.2024</t>
  </si>
  <si>
    <t>Услуги по ремонту и обслуживанию оборудования</t>
  </si>
  <si>
    <t>Приходная накладная 3891 (вх. 8) от 18.08.2024</t>
  </si>
  <si>
    <t>Услуги по финансовой аренде (лизингу) за  Август 2024 г. по Договору финансовой аренды (лизинга) №ДЛ</t>
  </si>
  <si>
    <t>Приходная накладная 3951 (вх. 310824н067307) от 16.09.2024</t>
  </si>
  <si>
    <t>Услуги посадочной площадки</t>
  </si>
  <si>
    <t>Приходная накладная 3882 (вх. 40) от 30.08.2024</t>
  </si>
  <si>
    <t>Услуги фотографа</t>
  </si>
  <si>
    <t>Приходная накладная 5137 (вх. 25) от 06.03.2024</t>
  </si>
  <si>
    <t>Услуги хранения ТМЦ за август 2024 г.</t>
  </si>
  <si>
    <t>Приходная накладная 3967 (вх. БП-283) от 16.09.2024</t>
  </si>
  <si>
    <t>Устройство для зарядки питателей SME</t>
  </si>
  <si>
    <t>Устройство захвата видео HDMI -&gt; USB 2.0, 1080p/30Hz</t>
  </si>
  <si>
    <t>Приходная накладная 1454 (вх. 3607614202406170001) от 18.06.2024</t>
  </si>
  <si>
    <t>Устройство контроля температуры</t>
  </si>
  <si>
    <t>Приходная накладная 3857 (вх. 4736) от 11.09.2024</t>
  </si>
  <si>
    <t>Устройство привязки инструента по оси Z, 50мм</t>
  </si>
  <si>
    <t>Приходная накладная 602 (вх. 19971) от 07.03.2024</t>
  </si>
  <si>
    <t>Ф 30А 14,08 V литий-ионная литиевая батарея 18650, BMS встроенные схемы баланса</t>
  </si>
  <si>
    <t>Фабрика замков Фиксатор двери КН белый СТ-00000328</t>
  </si>
  <si>
    <t>Приходная накладная 168 (вх. 0705077-МСК) от 26.01.2024</t>
  </si>
  <si>
    <t>Фазостабильный коаксиальный СВЧ кабель RG-142</t>
  </si>
  <si>
    <t>Приходная накладная 4808 (вх. 100225/206) от 01.10.2024</t>
  </si>
  <si>
    <t>Файл-вкладыш А3 30мкм ATTACHE вертикальный, 50 шт</t>
  </si>
  <si>
    <t>Файл-вкладыш А4 40мкм Attache  S Элементарис перфорацией,100 шт</t>
  </si>
  <si>
    <t>Файл-вкладыш А4 40мкм Attache с перфорацией,100 шт</t>
  </si>
  <si>
    <t>Файл-вкладыш А4 Attache Economy,Стандарт ,100шт./уп.с перф.,Россия</t>
  </si>
  <si>
    <t>Файл-вкладыш А4 Attache Economy,Стандарт ,100шт./уп.с перф.Россия</t>
  </si>
  <si>
    <t>Файл-вкладыш А4+ 100мкм Комус, 50шт/уп, гладкий</t>
  </si>
  <si>
    <t>Файл-вкладыш А5 , 30 мкм 100шт./уп. с боков.перфор. Россия</t>
  </si>
  <si>
    <t>Фанера ФК 4 мм, размер 1525х1525 мм,сорт 3/4</t>
  </si>
  <si>
    <t>Приходная накладная 223 (вх. 2) от 12.01.2024</t>
  </si>
  <si>
    <t>Фанера фк сок.шл 4мм 2/2 1525</t>
  </si>
  <si>
    <t>Приходная накладная 1037 (вх. 63/Е) от 18.04.2024</t>
  </si>
  <si>
    <t>Фартук CLINPLEX Вита Лайт графит/св.серый/оранжевый, 44-54</t>
  </si>
  <si>
    <t>Фартук ПВХ</t>
  </si>
  <si>
    <t>Приходная накладная 4417 (вх. 109017) от 20.02.2024</t>
  </si>
  <si>
    <t>Фартук прорезиненный</t>
  </si>
  <si>
    <t>Фартук спилковый</t>
  </si>
  <si>
    <t>Фаскомер цифровой 0-10мм 0.01мм</t>
  </si>
  <si>
    <t>Приходная накладная 1980 (вх. 64907) от 05.08.2024</t>
  </si>
  <si>
    <t>Фиксатор _УЗК_козья ножка дверной Аллюр КН-130 РУ ( 15491) белый RAL9016</t>
  </si>
  <si>
    <t>Приходная накладная 4872 (вх. 39631643) от 03.10.2024</t>
  </si>
  <si>
    <t>Фиксатор балки</t>
  </si>
  <si>
    <t>Фиксатор для резьбовых соединений, низкопрочный, анаэробный VN201, 50 мл</t>
  </si>
  <si>
    <t>Фиксатор для стяжки балок MGK</t>
  </si>
  <si>
    <t>Фиксатор резьбовых соединений разъёмный (синий)</t>
  </si>
  <si>
    <t>Приходная накладная 5363 (вх. 13065813-МСК) от 30.10.2024</t>
  </si>
  <si>
    <t>Фиксатор резьбы 6мл</t>
  </si>
  <si>
    <t>Приходная накладная 1508 (вх. 7216437-МСК) от 21.06.2024</t>
  </si>
  <si>
    <t>Фиксатор резьбы Loctite 270 50мл</t>
  </si>
  <si>
    <t>Приходная накладная 1125 (вх. 0146751736-0128/0205) от 03.05.2024</t>
  </si>
  <si>
    <t>Фиксатор резьбы высокой прочности Loctite 270 10 мл</t>
  </si>
  <si>
    <t>Приходная накладная 1127 (вх. 0146751736-0128/2704) от 03.05.2024</t>
  </si>
  <si>
    <t>фильтр Flywoo 1.2 GH VRX Notch (868/915 MHz)</t>
  </si>
  <si>
    <t>Фильтр карманный</t>
  </si>
  <si>
    <t>Фильтр напольный 1х20м</t>
  </si>
  <si>
    <t>Фильтр напольный 2х20м</t>
  </si>
  <si>
    <t>Фильтр от пыли  для вентилятора ПК120мм х120мм толщина 0,5мм размер ячейки 0,8мм черный</t>
  </si>
  <si>
    <t>Приходная накладная 4307 (вх. 546763202407280003) от 28.07.2024</t>
  </si>
  <si>
    <t>Фильтр потолочный 2200х1000мм</t>
  </si>
  <si>
    <t>Фильтр противоаэрозольный (предфильтр) класса P2 R/упаковка 4 шт</t>
  </si>
  <si>
    <t>Приходная накладная 426 (вх. 1998406-МСК) от 26.02.2024</t>
  </si>
  <si>
    <t>Фильтр противогазовый Jeta Safety</t>
  </si>
  <si>
    <t>Фильтр противогазовый для защиты от органических газов и паров класса А1 2 шт</t>
  </si>
  <si>
    <t>Фильтр регулятор Artorq BPFR15 G1/2 с манометром</t>
  </si>
  <si>
    <t>Приходная накладная 1441 (вх. 1708654/47) от 14.06.2024</t>
  </si>
  <si>
    <t>Фильтровентиляционный агрегат</t>
  </si>
  <si>
    <t>Приходная накладная 4246 (вх. 678) от 23.05.2024</t>
  </si>
  <si>
    <t>Фильтрующий материал ФВР 100-2-40-G2</t>
  </si>
  <si>
    <t>Приходная накладная 652 (вх. 298) от 06.02.2024</t>
  </si>
  <si>
    <t>Финики</t>
  </si>
  <si>
    <t>Фитили для гигрометра 5 штук</t>
  </si>
  <si>
    <t>Приходная накладная 5252 (вх. 1260787/326) от 23.10.2024</t>
  </si>
  <si>
    <t>Фитинг 9410 12-М20Х1.5-С</t>
  </si>
  <si>
    <t>Приходная накладная 853 (вх. 818) от 29.03.2024</t>
  </si>
  <si>
    <t>Фитинг для подключения воды</t>
  </si>
  <si>
    <t>Фитинг заглушка</t>
  </si>
  <si>
    <t>Приходная накладная 1118 (вх. 4822383-МСК) от 02.05.2024</t>
  </si>
  <si>
    <t>Фитинг пневматический цанговый пластиковый Y-образный PY 10</t>
  </si>
  <si>
    <t>Приходная накладная 854 (вх. 49672) от 28.03.2024</t>
  </si>
  <si>
    <t>Фитинг пневматический цанговый пластиковый Y-образный PY 12</t>
  </si>
  <si>
    <t>Фитинг пневматический цанговый пластиковый Y-образный PY 8</t>
  </si>
  <si>
    <t>Фитинг пневматический цанговый т-образный PUT10</t>
  </si>
  <si>
    <t>Фитинг пневматический цанговый т-образный PUT12</t>
  </si>
  <si>
    <t>Фитинг пневматический цанговый т-образный PUT8</t>
  </si>
  <si>
    <t>Фитинг пневмо. цанговый прямой PUC 10</t>
  </si>
  <si>
    <t>Фитинг пневмо. цанговый прямой PUC 12</t>
  </si>
  <si>
    <t>Фитинг пневмо. цанговый прямой PUC 8</t>
  </si>
  <si>
    <t>Фитинг прямой переходной пластик</t>
  </si>
  <si>
    <t>Фитинг прямой трубка 1/4-трубка 1/4</t>
  </si>
  <si>
    <t>Фитинг РВ 12-04</t>
  </si>
  <si>
    <t>Приходная накладная 1166 (вх. 11323) от 07.05.2024</t>
  </si>
  <si>
    <t>Фитинг с наруж. метал. резьбой 12мм G3/8</t>
  </si>
  <si>
    <t>Фитинг угловой 12мм</t>
  </si>
  <si>
    <t>Фитинг угловой 8мм</t>
  </si>
  <si>
    <t>Фитинг угловой трубка 1/4-трубка 1/4</t>
  </si>
  <si>
    <t>Фитинг цанговый  F1/4</t>
  </si>
  <si>
    <t>Фитинг цанговый 8мм Pegas 5603</t>
  </si>
  <si>
    <t>Фитинг цанговый диаметр 12мм</t>
  </si>
  <si>
    <t>Фитинг цанговый прямой F1/2</t>
  </si>
  <si>
    <t>Фитинг цанговый прямой с наружной резьбой PC 12-R02</t>
  </si>
  <si>
    <t>Приходная накладная 1352 (вх. УТ-2101) от 05.06.2024</t>
  </si>
  <si>
    <t>Фитинг-переходник цанговый пневматический, 12-10 мм</t>
  </si>
  <si>
    <t>Приходная накладная 1715 (вх. 8370191-МСК) от 16.07.2024</t>
  </si>
  <si>
    <t>Флексформа (Гаскар Групп)</t>
  </si>
  <si>
    <t>Флеш карта microSDHC 32GB ADATA</t>
  </si>
  <si>
    <t>Флешка 32Gb</t>
  </si>
  <si>
    <t>Приходная накладная 2337 (вх. 0509-11) от 05.09.2024</t>
  </si>
  <si>
    <t>Флешка 32Gb Netac U116 white USB 3.0</t>
  </si>
  <si>
    <t>Приходная накладная 4024 (вх. 1909-11) от 19.09.2024</t>
  </si>
  <si>
    <t>Флешка Smartbuy USB Drive 8Gb</t>
  </si>
  <si>
    <t>Приходная накладная 523 (вх. 16422Ц) от 05.03.2024</t>
  </si>
  <si>
    <t>Флешка USB Kingston DataTraveler Exodia 128ГБ</t>
  </si>
  <si>
    <t>Флешка USB Kingston DataTraveler Kyson 32ГБ</t>
  </si>
  <si>
    <t>Приходная накладная 1983 (вх. 202408020001) от 05.08.2024</t>
  </si>
  <si>
    <t>Флешка USB Kingston DataTraveler Kyson 64ГБ</t>
  </si>
  <si>
    <t>Флешка USB NETAC UM1 64ГБ серебристый</t>
  </si>
  <si>
    <t>Флешка USB Transcend Jetflash 700 16ГБ, USB3.0, черный</t>
  </si>
  <si>
    <t>Флеш-память Kingston DataTraveler Kyson, USB 3.2 G1, сереб, DTKN/32GB</t>
  </si>
  <si>
    <t>Флеш-память Mirex USB KNIGHT WHITE 8Gb (13600-FMUKWH08 )</t>
  </si>
  <si>
    <t>Флеш-память Transcend JetFlash 700, 32Gb, USB 3.1 G1, чер, TS32GJF700</t>
  </si>
  <si>
    <t>Флипчарт 70х100 на треноге</t>
  </si>
  <si>
    <t>Флюс для пайки , паста TR-RM KELLER, 20 мл</t>
  </si>
  <si>
    <t>Флюс паяльный HR-500-LK 10 мл</t>
  </si>
  <si>
    <t>Флюс паяльный безотмывочный 100 мл</t>
  </si>
  <si>
    <t>Флюс ТАГС 30мл</t>
  </si>
  <si>
    <t>Флюс ФБП безотмывочный 5 л</t>
  </si>
  <si>
    <t>Приходная накладная 1033 (вх. 11) от 18.04.2024</t>
  </si>
  <si>
    <t>Флюс-гель 10 мл</t>
  </si>
  <si>
    <t>Флюс-гель 20 мл</t>
  </si>
  <si>
    <t>Фокусирующая линза D20 F101.6</t>
  </si>
  <si>
    <t>Приходная накладная 125 (вх. УТ-302) от 18.01.2024</t>
  </si>
  <si>
    <t>Фокусирующая линза ZnSe D20 F50.8</t>
  </si>
  <si>
    <t>фонарик ультрофиолетовый 365нм. мощность 20вт</t>
  </si>
  <si>
    <t>Фонарь налобный</t>
  </si>
  <si>
    <t>Форма футбольная NB DRYF белая/черная (48 RUS (XL))</t>
  </si>
  <si>
    <t>Приходная накладная 4319 (вх. 214) от 22.07.2024</t>
  </si>
  <si>
    <t>Форма футбольная NB DRYF белая/черная (50 RUS (2XL))</t>
  </si>
  <si>
    <t>Форма футбольная NB DRYF белая/черная (52 RUS (3XL))</t>
  </si>
  <si>
    <t>Форма футбольная NB DRYF белая/черная (54 RUS (4XL))</t>
  </si>
  <si>
    <t>Форма футбольная NB PSG салатовая/черная (50 RUS (2XL))</t>
  </si>
  <si>
    <t>Фотобарабан SAKURA DR2335</t>
  </si>
  <si>
    <t>Приходная накладная 2222 (вх. 202408260001) от 27.08.2024</t>
  </si>
  <si>
    <t>Фотобумага для цв.струй.печ. ProMEGA jet (А4, 160г, мат)уп.25л(1457504)</t>
  </si>
  <si>
    <t>Фотополимер ABS Black (1кг)</t>
  </si>
  <si>
    <t>Приходная накладная 1524 (вх. ЦБ-1205) от 24.06.2024</t>
  </si>
  <si>
    <t>Фотополимер HARZ Nylon-Like</t>
  </si>
  <si>
    <t>Приходная накладная 2102 (вх. 2009) от 16.08.2024</t>
  </si>
  <si>
    <t>Фотополимер HARZ PP-Like</t>
  </si>
  <si>
    <t>Фотополимерная UV-смола ERYONE</t>
  </si>
  <si>
    <t>Приходная накладная 2195 (вх. 00788) от 23.08.2024</t>
  </si>
  <si>
    <t>Фоторезист пленочный негативный 300х3000мм</t>
  </si>
  <si>
    <t>Фреза 709.32.06</t>
  </si>
  <si>
    <t>Фреза A2QX3.104</t>
  </si>
  <si>
    <t>Приходная накладная 4232 (вх. 9723) от 26.09.2024</t>
  </si>
  <si>
    <t>Фреза A2QX6.52</t>
  </si>
  <si>
    <t>Приходная накладная 4041 (вх. 9530) от 20.09.2024</t>
  </si>
  <si>
    <t>Фреза AAL150</t>
  </si>
  <si>
    <t>Приходная накладная 1018 (вх. 2401255) от 17.04.2024</t>
  </si>
  <si>
    <t>Фреза APL100</t>
  </si>
  <si>
    <t>Фреза AST3.08</t>
  </si>
  <si>
    <t>Приходная накладная 1468 (вх. 6065) от 18.06.2024</t>
  </si>
  <si>
    <t>Фреза AST3.1.508</t>
  </si>
  <si>
    <t>Приходная накладная 570 (вх. 2428) от 12.03.2024</t>
  </si>
  <si>
    <t>Фреза AST3.1.508P</t>
  </si>
  <si>
    <t>Фреза AST3.208</t>
  </si>
  <si>
    <t>Фреза AST3.210P</t>
  </si>
  <si>
    <t>Фреза AST3.212</t>
  </si>
  <si>
    <t>Фреза C32-ER32-100</t>
  </si>
  <si>
    <t>Фреза DAB2-015</t>
  </si>
  <si>
    <t>Приходная накладная 2098 (вх. 8283) от 16.08.2024</t>
  </si>
  <si>
    <t>Фреза DAB2-02</t>
  </si>
  <si>
    <t>Фреза DAB2-06</t>
  </si>
  <si>
    <t>Фреза DAE2-01</t>
  </si>
  <si>
    <t>Фреза DAE2-025</t>
  </si>
  <si>
    <t>Приходная накладная 3798 (вх. 9047) от 06.09.2024</t>
  </si>
  <si>
    <t>Фреза DAE2-02B</t>
  </si>
  <si>
    <t>Фреза DAE2-0315</t>
  </si>
  <si>
    <t>Фреза DAE2-03В</t>
  </si>
  <si>
    <t>Фреза DAE2-06B</t>
  </si>
  <si>
    <t>Фреза DAE2-08</t>
  </si>
  <si>
    <t>Фреза DAE2-10</t>
  </si>
  <si>
    <t>Фреза DAE2-18</t>
  </si>
  <si>
    <t>Приходная накладная 4215 (вх. 9673) от 25.09.2024</t>
  </si>
  <si>
    <t>Фреза DAE2-20</t>
  </si>
  <si>
    <t>Приходная накладная 2210 (вх. 8551) от 26.08.2024</t>
  </si>
  <si>
    <t>Фреза DAE3-16</t>
  </si>
  <si>
    <t>Фреза DPE2-03A</t>
  </si>
  <si>
    <t>Приходная накладная 642 (вх. 1668) от 26.02.2024</t>
  </si>
  <si>
    <t>Фреза DPE4-02A</t>
  </si>
  <si>
    <t>Приходная накладная 2051 (вх. 8164) от 13.08.2024</t>
  </si>
  <si>
    <t>Фреза DPE4-20</t>
  </si>
  <si>
    <t>Фреза DPE6-10</t>
  </si>
  <si>
    <t>Приходная накладная 655 (вх. 1667) от 26.02.2024</t>
  </si>
  <si>
    <t>Фреза DPE6-20</t>
  </si>
  <si>
    <t>Фреза DPF-16</t>
  </si>
  <si>
    <t>Фреза HSSKX162.0</t>
  </si>
  <si>
    <t>Фреза N2QX6.72(L-120)</t>
  </si>
  <si>
    <t>Фреза NL2QX12.100.3</t>
  </si>
  <si>
    <t>Фреза NST3.08</t>
  </si>
  <si>
    <t>Фреза ST3.208</t>
  </si>
  <si>
    <t>Приходная накладная 609 (вх. 003788) от 14.03.2024</t>
  </si>
  <si>
    <t>Фреза для выравнивания дна D=22x20x50</t>
  </si>
  <si>
    <t>фреза конц. ц/х ф 2.0 z2 (WAE302020-10)</t>
  </si>
  <si>
    <t>фреза конц. ц/х ф 4.0 z2 (WAE302040-16)</t>
  </si>
  <si>
    <t>фреза конц. ц/х ф 6.0 z2</t>
  </si>
  <si>
    <t>Фреза концевая</t>
  </si>
  <si>
    <t>Фреза кукуруза RCM1006D3138FT-DR</t>
  </si>
  <si>
    <t>Приходная накладная 1968 (вх. 757) от 02.08.2024</t>
  </si>
  <si>
    <t>Фреза кукуруза RCM1507D3138FT-DR</t>
  </si>
  <si>
    <t>Приходная накладная 1752 (вх. 709) от 18.07.2024</t>
  </si>
  <si>
    <t>Фреза кукуруза RCM2008D3138FT</t>
  </si>
  <si>
    <t>Приходная накладная 1089 (вх. 430) от 25.04.2024</t>
  </si>
  <si>
    <t>Фреза кукуруза RCM3012D3138FT-DR</t>
  </si>
  <si>
    <t>Фреза кукуруза RCM31507FT</t>
  </si>
  <si>
    <t>Фреза многолезвийная</t>
  </si>
  <si>
    <t>Фреза рашпильная кукуруза</t>
  </si>
  <si>
    <t>Приходная накладная 1484 (вх. 008833) от 19.06.2024</t>
  </si>
  <si>
    <t>Фреза ц/х 14 z2 HB Holex</t>
  </si>
  <si>
    <t>Фреза ц/х 14 z3 TiAIN Garant</t>
  </si>
  <si>
    <t>Фреза ц/х 14 z4 AiCrN Formic</t>
  </si>
  <si>
    <t>Фреза ц/х 14 z4 TiSi Holex</t>
  </si>
  <si>
    <t>Фрезы DJTOL</t>
  </si>
  <si>
    <t>Приходная накладная 16 (вх. 000021) от 09.01.2024</t>
  </si>
  <si>
    <t>Фундук</t>
  </si>
  <si>
    <t>футболка (графит,L (48-50))</t>
  </si>
  <si>
    <t>Футболка т.-синяя 2XL (52-54)</t>
  </si>
  <si>
    <t>Футболка т.-синяя 3XL (54-56)</t>
  </si>
  <si>
    <t>Футболка т.-синяя 5XL (64-66)</t>
  </si>
  <si>
    <t>Футболка т.-синяя L (48-50)</t>
  </si>
  <si>
    <t>Футболка т.-синяя M (46-48)</t>
  </si>
  <si>
    <t>Футболка т.-синяя S (44-46)</t>
  </si>
  <si>
    <t>Футболка т.-синяя XL (50-52)</t>
  </si>
  <si>
    <t>Футболка т.-синяя, 4XL(60-62)</t>
  </si>
  <si>
    <t>Футболка т.-синяя, 6XL(68-70)</t>
  </si>
  <si>
    <t>Футбольные ворота 300х200см Large gates</t>
  </si>
  <si>
    <t>Авансовый отчет 247 от 08.02.2024</t>
  </si>
  <si>
    <t>Футорка 3/4"х1/2"</t>
  </si>
  <si>
    <t>Футорка D8 М6х13</t>
  </si>
  <si>
    <t>Приходная накладная 3802 (вх. ФД000080513) от 06.09.2024</t>
  </si>
  <si>
    <t>ФЭСТ Аптечка производственная 380x160x300 ф 7,3</t>
  </si>
  <si>
    <t>Приходная накладная 827 (вх. 3388161-МСК) от 29.03.2024</t>
  </si>
  <si>
    <t>ФЭСТ Аптечка производственная ф 7,2</t>
  </si>
  <si>
    <t>Халат CLINPLEX  черный графит 48-50/170-176</t>
  </si>
  <si>
    <t>Халат CLINPLEX  черный графит 48-50/182-188</t>
  </si>
  <si>
    <t>Халат CLINPLEX  черный графит 52-54/170-176</t>
  </si>
  <si>
    <t>Халат CLINPLEX  черный графит 52-54/182-188</t>
  </si>
  <si>
    <t>Халат CLINPLEX  черный графит 56-58/158-164</t>
  </si>
  <si>
    <t>Халат CLINPLEX  черный графит 56-58/170-176</t>
  </si>
  <si>
    <t>Приходная накладная 4369 (вх. 127379) от 27.04.2024</t>
  </si>
  <si>
    <t>Халат CLINPLEX  черный графит 56-58/182-188</t>
  </si>
  <si>
    <t>Хлопковые волокна 500г</t>
  </si>
  <si>
    <t>Приходная накладная 1871 (вх. 743) от 26.07.2024</t>
  </si>
  <si>
    <t>Холодильник двухкамерный Indesit ES18 белый</t>
  </si>
  <si>
    <t>Приходная накладная 83 (вх. TЦ-С-2024-01-17-0029) от 17.01.2024</t>
  </si>
  <si>
    <t>Холодильник однокамерный Атлант X-1602-100 белый</t>
  </si>
  <si>
    <t>Холодная сварка 70мл</t>
  </si>
  <si>
    <t>Холодная сварка черная 57г</t>
  </si>
  <si>
    <t>Хомут 100</t>
  </si>
  <si>
    <t>Хомут обжимной 210 x 230</t>
  </si>
  <si>
    <t>Приходная накладная 621 (вх. 2920393-МСК) от 19.03.2024</t>
  </si>
  <si>
    <t>Хомут пластиковый</t>
  </si>
  <si>
    <t>Хомут червячный 8-12 мм/9 W2,25 шт</t>
  </si>
  <si>
    <t>Хомут червячный PL-12 /180-200//W2 69028</t>
  </si>
  <si>
    <t>Приходная накладная 491 (вх. 2160192-МСК) от 29.02.2024</t>
  </si>
  <si>
    <t>Хомут червячный PL-12 /200-220</t>
  </si>
  <si>
    <t>Хомут-стяжка ленточная 4,5*200 черный,100 шт</t>
  </si>
  <si>
    <t>Хомуты металлические с формой ключа 16-25мм 2 шт</t>
  </si>
  <si>
    <t>Хомуты, 150 х 7 мм черные, 100 шт</t>
  </si>
  <si>
    <t>Хорошие кресла кресло Nickolas 2110H chocolate</t>
  </si>
  <si>
    <t>Хортъ Шкант мебельный 8x40 березовый 100 шт Фасовка 31032-0</t>
  </si>
  <si>
    <t>Приходная накладная 831 (вх. 3388170-МСК) от 29.03.2024</t>
  </si>
  <si>
    <t>Хотенд для принтера Bambu Lab X1</t>
  </si>
  <si>
    <t>Цанга ER11-3</t>
  </si>
  <si>
    <t>Цанга ER11-3.175</t>
  </si>
  <si>
    <t>Цанга ER20-3</t>
  </si>
  <si>
    <t>Цанга ER20-3.175</t>
  </si>
  <si>
    <t>Цанга ER25-3</t>
  </si>
  <si>
    <t>Цанга ER25-3.175</t>
  </si>
  <si>
    <t>Цанга ER32-10</t>
  </si>
  <si>
    <t>Цанга ER32-12</t>
  </si>
  <si>
    <t>Цанга ER32-20</t>
  </si>
  <si>
    <t>Цанга ER32-4</t>
  </si>
  <si>
    <t>Приходная накладная 4886 (вх. 9951) от 03.10.2024</t>
  </si>
  <si>
    <t>Цанга ER32-5</t>
  </si>
  <si>
    <t>Цанга ER32-6</t>
  </si>
  <si>
    <t>Цанга ER40-16.0-T</t>
  </si>
  <si>
    <t>Цанга ER40-8.0-T</t>
  </si>
  <si>
    <t>Цанга высокоточная ER20-4 Rotis</t>
  </si>
  <si>
    <t>Приходная накладная 4192 (вх. 9649) от 24.09.2024</t>
  </si>
  <si>
    <t>Цанги ER20</t>
  </si>
  <si>
    <t>Приходная накладная 1371 (вх. 008109) от 06.06.2024</t>
  </si>
  <si>
    <t>Цанги ER25</t>
  </si>
  <si>
    <t>Цепь приводная роликовая однорядная 08B-1</t>
  </si>
  <si>
    <t>Приходная накладная 1911 (вх. 27651) от 30.07.2024</t>
  </si>
  <si>
    <t>Цил.мех. перфо ключ-верт.C70mm SN (мат.никель) DOMX</t>
  </si>
  <si>
    <t>Приходная накладная 5142 (вх. 238) от 10.10.2024</t>
  </si>
  <si>
    <t>Цил.мех. перфо ключ-верт.C80mm SN (мат.никель) DOMX</t>
  </si>
  <si>
    <t>Цил.мех. перфо ключ-верт.CW70mm SN (мат.никель) DOMX</t>
  </si>
  <si>
    <t>Цил.мех. перфо ключ-верт.CW80mm SN (мат.никель) DOMX</t>
  </si>
  <si>
    <t>Цилиндр 30х30 хром</t>
  </si>
  <si>
    <t>Авансовый отчет 204  от 19.07.2024</t>
  </si>
  <si>
    <t>Цилиндровый механизм с вертушкой AX102/60 mm (25+10+25)</t>
  </si>
  <si>
    <t>Цилиндровый механизм с вертушкой AX102/700 mm (30+10+30)</t>
  </si>
  <si>
    <t>Цифра, ПВХ 5мм, чёрный</t>
  </si>
  <si>
    <t>Приходная накладная 396 (вх. 84) от 02.02.2024</t>
  </si>
  <si>
    <t>Цифровая одноканальная станция ST-80 ATTEN 80 Вт (220В)</t>
  </si>
  <si>
    <t>Цифровая сервомашинка с усилием 20кг*см TD-8120MG, Сервомотор Tiankong RC Professional Servo TD-8120</t>
  </si>
  <si>
    <t>Приходная накладная 729 (вх. 0146751736-0023/1801) от 18.01.2024</t>
  </si>
  <si>
    <t>Цифровой вольтметр круглый DC 4-100B зеленый</t>
  </si>
  <si>
    <t>Приходная накладная 1998 (вх. УПД-ИП-2024-0018774) от 07.08.2024</t>
  </si>
  <si>
    <t>Цифровой вольтметр круглый DC 4-100B синий</t>
  </si>
  <si>
    <t>Цифровой вольтметр-амперметр DC 100В 50А</t>
  </si>
  <si>
    <t>Цифровой датчик CUAV SKYE</t>
  </si>
  <si>
    <t>Приходная накладная 1666 (вх. 291) от 08.07.2024</t>
  </si>
  <si>
    <t>цифровой многофункциональный измеритель мощности и емкости аккумулятора</t>
  </si>
  <si>
    <t>Авансовый отчет 222 от 12.03.2024</t>
  </si>
  <si>
    <t>Цифровой осциллограф Hantek DSO5102P</t>
  </si>
  <si>
    <t>Приходная накладная 640 (вх. 000064675) от 18.03.2024</t>
  </si>
  <si>
    <t>Цифровой термогигрометр</t>
  </si>
  <si>
    <t>Приходная накладная 1981 (вх. С2407290064) от 05.08.2024</t>
  </si>
  <si>
    <t>Цифровой тестер CELLMETER 8</t>
  </si>
  <si>
    <t>Цифровой фен-карандаш</t>
  </si>
  <si>
    <t>цифровые изоляторы USB со скоростью 12 Мбит с ADUM316</t>
  </si>
  <si>
    <t>ЦКИ ВИНТ ISO7380 М4x16 10.9 ОКС 100 шт 22217</t>
  </si>
  <si>
    <t>ЦКИ ВИНТ ISO7380 М6x20 10.9 Ц HEX 4 50шт 2404007</t>
  </si>
  <si>
    <t>Приходная накладная 4178 (вх. 11420700-МСК) от 24.09.2024</t>
  </si>
  <si>
    <t>ЦКИ ВИНТ ISO7380 М6х20 10.9 ОКС 100шт 61334</t>
  </si>
  <si>
    <t>ЦКИ ГАЙКА DIN934 M4 250шт</t>
  </si>
  <si>
    <t>Приходная накладная 5068 (вх. 11756424-МСК) от 07.10.2024</t>
  </si>
  <si>
    <t>ЦКИ ГАЙКА DIN934 М 6 ВЫСОКОПРОЧНАЯ 10 ОКС 150шт 57854</t>
  </si>
  <si>
    <t>ЦКИ ГАЙКА DIN985 M 4 Ц 1000шт 60778</t>
  </si>
  <si>
    <t>Приходная накладная 3982 (вх. 10510535-БЛГ) от 17.09.2024</t>
  </si>
  <si>
    <t>ЦКИ ЗАКЛЕПКА-ГАЙКА М 3 Плоск. СТ. Ц REX 500шт 61970</t>
  </si>
  <si>
    <t>ЦКИ Шпонка DIN6885 A 6x6x25 Б/П 20шт</t>
  </si>
  <si>
    <t>Чай зеленый Greenfield Flying Dragon в пакетиках 2 г х 100 шт</t>
  </si>
  <si>
    <t>Чай зеленый Greenfield Flying Dragon листовой 200 г</t>
  </si>
  <si>
    <t>Чай зеленый Greenfield Green Melissa в пакетиках 1,5 г х 100 шт</t>
  </si>
  <si>
    <t>Чай черный Greenfield Classic Breakfast в пакетиках 2 г х 100 шт</t>
  </si>
  <si>
    <t>Чай черный Greenfield Golden Ceylon в пакетиках 2 г х 100 шт</t>
  </si>
  <si>
    <t>Чай черный Greenfield Golden Ceylon листовой 200 г</t>
  </si>
  <si>
    <t>Часовая батарейка Seizaiken 357 (SR44W) - 10 шт</t>
  </si>
  <si>
    <t>Приходная накладная 5253 (вх. 314108/18) от 23.10.2024</t>
  </si>
  <si>
    <t>Частотный преобразователь FC300-4</t>
  </si>
  <si>
    <t>Приходная накладная 2083 (вх. 439) от 15.08.2024</t>
  </si>
  <si>
    <t>частотный фильтр</t>
  </si>
  <si>
    <t>Часы настенные диаметр 30см корпус пластик арт.WXS004 White</t>
  </si>
  <si>
    <t>Чаша пломбировочная под винт М3</t>
  </si>
  <si>
    <t>Приходная накладная 5182 (вх. 1258) от 21.10.2024</t>
  </si>
  <si>
    <t>Чернослив Metro Chef без косточки 500 г</t>
  </si>
  <si>
    <t>Приходная накладная 4361 (вх. R080470560-H84046605579) от 16.05.2024</t>
  </si>
  <si>
    <t>черный стальной маленький микро крест, набор коробка</t>
  </si>
  <si>
    <t>Чиллер S-A CW-5000TG</t>
  </si>
  <si>
    <t>Чистящее средство для кухни Grass Azelit для казана 600мл</t>
  </si>
  <si>
    <t>Чистящее средство для кухни для холодильн и удал запахов AQUALON, 650мл</t>
  </si>
  <si>
    <t>ЧПУ контроллеры Sen sync v1.3 (плата синхронизации)</t>
  </si>
  <si>
    <t>Приходная накладная 1642 (вх. 009597) от 04.07.2024</t>
  </si>
  <si>
    <t>Шаблон радиусный №1 МИК</t>
  </si>
  <si>
    <t>Шаблон радиусный №3</t>
  </si>
  <si>
    <t>Приходная накладная 5250 (вх. 2943) от 23.10.2024</t>
  </si>
  <si>
    <t>Шаблон цифровой для измерения фаски (фаскометр) 0-6 0.01мм 45гр.</t>
  </si>
  <si>
    <t>Приходная накладная 5359 (вх. УТ-4828) от 29.10.2024</t>
  </si>
  <si>
    <t>Шаблоны радиусные (15,5-25 мм), 30 штук</t>
  </si>
  <si>
    <t>Шайба DIN 125 М5</t>
  </si>
  <si>
    <t>Шайба DIN 125 плоская оц d3</t>
  </si>
  <si>
    <t>Приходная накладная 4454 (вх. УТ-3293) от 01.01.2024</t>
  </si>
  <si>
    <t>Шайба DIN 125 плоская оц d8</t>
  </si>
  <si>
    <t>Шайба DIN 127 пружинная оц 6мм</t>
  </si>
  <si>
    <t>Шайба DIN 6799 стопорная быстросьёмная d3.2</t>
  </si>
  <si>
    <t>Приходная накладная 4902 (вх. ЦБ-1801) от 04.10.2024</t>
  </si>
  <si>
    <t>Шайба DIN 9021 М 6 черная</t>
  </si>
  <si>
    <t>Шайба DIN 9021 М4</t>
  </si>
  <si>
    <t>Приходная накладная 1263 (вх. ЦБ-8810) от 22.05.2024</t>
  </si>
  <si>
    <t>Шайба DIN 9021 М8</t>
  </si>
  <si>
    <t>Шайба DIN 9021 плоская  увеличенная (кузовная) б/п d8</t>
  </si>
  <si>
    <t>Шайба DIN125 d3</t>
  </si>
  <si>
    <t>Шайба DIN125 d6</t>
  </si>
  <si>
    <t>Шайба DIN125 d8</t>
  </si>
  <si>
    <t>Шайба DIN125 М14 30шт</t>
  </si>
  <si>
    <t>Шайба DIN6798 M5 с внешними зубцами</t>
  </si>
  <si>
    <t>Приходная накладная 475 (вх. К-10086) от 29.02.2024</t>
  </si>
  <si>
    <t>Шайба DIN9021 M3</t>
  </si>
  <si>
    <t>Шайба кузовная оцинкованная DIN 9021</t>
  </si>
  <si>
    <t>Шайба М2.5</t>
  </si>
  <si>
    <t>Шайба Нержавеющая М16 DIN 127 А2 гровер 12 шт</t>
  </si>
  <si>
    <t>Шайба оцинкованная</t>
  </si>
  <si>
    <t>Шайба плоская узкая DIN433 d2,5</t>
  </si>
  <si>
    <t>Шайба пружинная DIN 127 М14 (8 шт)</t>
  </si>
  <si>
    <t>шайба стопорная</t>
  </si>
  <si>
    <t>Авансовый отчет 214 от 14.03.2024</t>
  </si>
  <si>
    <t>Шайба усиленная М2</t>
  </si>
  <si>
    <t>Приходная накладная 3919 (вх. 23282) от 12.09.2024</t>
  </si>
  <si>
    <t>Шакл малый 1/2 2,0T</t>
  </si>
  <si>
    <t>Шарошки алмазные 3 мм, 10 шт</t>
  </si>
  <si>
    <t>Шарошки, усиленная сталь 70 с алмазным напылением, набор 20 шт</t>
  </si>
  <si>
    <t>Шары PMTC 0.2mm для реболлинга BGA микросхем и пайки</t>
  </si>
  <si>
    <t>Приходная накладная 1008 (вх. 92) от 17.04.2024</t>
  </si>
  <si>
    <t>шасси с фиксированным крылом и несколькими осями шасси БПЛА</t>
  </si>
  <si>
    <t>Шестерня (Sheregesh)</t>
  </si>
  <si>
    <t>Шиномонтаж</t>
  </si>
  <si>
    <t>Шкаф LS 21-60</t>
  </si>
  <si>
    <t>Приходная накладная 3913 (вх. 10826001-МСК) от 12.09.2024</t>
  </si>
  <si>
    <t>Шкаф MON_Канц для одежды офисный ШК40.16 венге</t>
  </si>
  <si>
    <t>Приходная накладная 2278 (вх. 39049380) от 02.09.2024</t>
  </si>
  <si>
    <t>Шкаф MON_Канц Колонка открытая высокая КК32.15 дуб.мол</t>
  </si>
  <si>
    <t>Приходная накладная 2107 (вх. 38733456) от 16.08.2024</t>
  </si>
  <si>
    <t>Шкаф MS_Агат   полузакрытый высокий АЯ-23.0 ясень шимо</t>
  </si>
  <si>
    <t>Шкаф SP Бюджет   полузакр. 2552 (651,879) дуб сонома</t>
  </si>
  <si>
    <t>Шкаф TNC 182.6S</t>
  </si>
  <si>
    <t>Шкаф для ключей AIKO KEY-60 на 60 ключей с брелоками</t>
  </si>
  <si>
    <t>Шкаф для одежды металлический ПРАКТИК Стандарт LS-11-40D</t>
  </si>
  <si>
    <t>Приходная накладная 3796 (вх. 39110862) от 06.09.2024</t>
  </si>
  <si>
    <t>Шкаф инструментальный</t>
  </si>
  <si>
    <t>Приходная накладная 3822 (вх. 10727934-МСК) от 09.09.2024</t>
  </si>
  <si>
    <t>Шкаф КБС 021ТН</t>
  </si>
  <si>
    <t>Приходная накладная 5168 (вх. УТ-905) от 15.10.2024</t>
  </si>
  <si>
    <t>Шкаф коммутационный NT 565726 напольный,  стеклянная передняя дверь,  24U,  800x1000 мм</t>
  </si>
  <si>
    <t>Приходная накладная 1749 (вх. 189977) от 18.07.2024</t>
  </si>
  <si>
    <t>Шкаф огнестойкий для литий-ионных АКБ БШ-О-02-03-А-ПС 1</t>
  </si>
  <si>
    <t>Приходная накладная 4261 (вх. 123) от 06.03.2024</t>
  </si>
  <si>
    <t>Шкаф огнестойкий для литий-ионных АКБ БШ-О-02-03-А-ПС 2</t>
  </si>
  <si>
    <t>Шкаф огнестойкий для литий-ионных АКБ БШ-О-02-03-А-ПС 3</t>
  </si>
  <si>
    <t>Шкаф РТ_Приоритет Корпус К-932 венге</t>
  </si>
  <si>
    <t>Шкаф сухого хранения</t>
  </si>
  <si>
    <t>Шкаф телекоммуникационный 19" напольный 48U</t>
  </si>
  <si>
    <t>Шкаф ШАМ-12</t>
  </si>
  <si>
    <t>Приходная накладная 4299 (вх. 8478) от 30.09.2024</t>
  </si>
  <si>
    <t>Шланг FLEX 10-B</t>
  </si>
  <si>
    <t>Приходная накладная 33 (вх. ЦБ-3) от 11.01.2024</t>
  </si>
  <si>
    <t>Шланг FLEX 10-R</t>
  </si>
  <si>
    <t>Шланг Stron PU-1000 Ф250мм</t>
  </si>
  <si>
    <t>Приходная накладная 4139 (вх. 770) от 01.07.2024</t>
  </si>
  <si>
    <t>Шланг VPV d100мм</t>
  </si>
  <si>
    <t>Шланг армированный 1 1/4" х 25м 3 сл., навивочный каркас</t>
  </si>
  <si>
    <t>Шланг красный PDLOK-10R</t>
  </si>
  <si>
    <t>Приходная накладная 1766 (вх. 385) от 18.07.2024</t>
  </si>
  <si>
    <t>Шланг пищевой 3/4, 25м</t>
  </si>
  <si>
    <t>Шланг синий PDLOK-10B</t>
  </si>
  <si>
    <t>Шланг спиральный SRU 15-8 8x10 15м</t>
  </si>
  <si>
    <t>Шлейф 20-пин с шагом 0,5мм 1000мм</t>
  </si>
  <si>
    <t>Приходная накладная 601 (вх. 250) от 12.03.2024</t>
  </si>
  <si>
    <t>Шлиф мат на сетч синт основе 70х420мм Р80</t>
  </si>
  <si>
    <t>Приходная накладная 1141 (вх. 562) от 06.05.2024</t>
  </si>
  <si>
    <t>Шлиф мат.на сетч.синт.осн.AUTONET 150 mm P180 50шт/уп</t>
  </si>
  <si>
    <t>Шлиф.мат.на сетч осн.ABRANET 150mm Р120 50шт/уп</t>
  </si>
  <si>
    <t>Приходная накладная 974 (вх. 4053427-МСК) от 15.04.2024</t>
  </si>
  <si>
    <t>Шлиф.мат.на сетч осн.ABRANET 150mm Р180</t>
  </si>
  <si>
    <t>Приходная накладная 1482 (вх. 241) от 19.06.2024</t>
  </si>
  <si>
    <t>Шлиф.мат.на сетч осн.ABRANET 150mm Р240</t>
  </si>
  <si>
    <t>Шлиф.мат.на сетч осн.ABRANET 150mm Р320</t>
  </si>
  <si>
    <t>Шлиф.мат.на сетч осн.ABRANET 150mm Р400</t>
  </si>
  <si>
    <t>Шлиф.мат.на сетч осн.ABRANET 70х420мм Р120</t>
  </si>
  <si>
    <t>Шлиф.мат.на сетч осн.ABRANET 70х420мм Р240</t>
  </si>
  <si>
    <t>Шлиф.мат.на сетч осн.ABRANET 70х420мм Р400</t>
  </si>
  <si>
    <t>Шлиф.мат.на сетч осн.ABRANET 70х420мм Р80</t>
  </si>
  <si>
    <t>Шлифкруг ф150</t>
  </si>
  <si>
    <t>Шлифмашина эксцентриковая DEKO DKG350, 350Вт, d125мм (063-4263)</t>
  </si>
  <si>
    <t>Приходная накладная 473 (вх. 34954132) от 28.02.2024</t>
  </si>
  <si>
    <t>Шлифовальная полоска Р120</t>
  </si>
  <si>
    <t>Приходная накладная 933 (вх. 441) от 10.04.2024</t>
  </si>
  <si>
    <t>Шлифовальная полоска Р240</t>
  </si>
  <si>
    <t>Шлифовальный войлок, красный, рулон 115мм x 10метров</t>
  </si>
  <si>
    <t>Приходная накладная 1453 (вх. 202406160001) от 18.06.2024</t>
  </si>
  <si>
    <t>Шлифовальный войлок, серый, рулон 115мм x 10метров</t>
  </si>
  <si>
    <t>Шнур Extra высокопрочный 1.0мм тест 50кг 100м, катушка</t>
  </si>
  <si>
    <t>Приходная накладная 4037 (вх. 1559) от 20.09.2024</t>
  </si>
  <si>
    <t>Шнурок тканевый, черный 17,5 см</t>
  </si>
  <si>
    <t>Приходная накладная 1833 (вх. 200) от 24.07.2024</t>
  </si>
  <si>
    <t>Шпагат (рулон)</t>
  </si>
  <si>
    <t>Шпагат крученый п/п 2200 текс в бобине 1 кг + 2%, 455м</t>
  </si>
  <si>
    <t>Шпателевка Novol Spray(0.8л)  1,2+0.05кг</t>
  </si>
  <si>
    <t>Приходная накладная 5338 (вх. 0935202) от 28.10.2024</t>
  </si>
  <si>
    <t>Шпатели "японские", пластик, 4 шт.</t>
  </si>
  <si>
    <t>Приходная накладная 235 (вх. 1212905-МСК) от 07.02.2024</t>
  </si>
  <si>
    <t>Шпатель для клея нерж.сталь с деревянной ручкой</t>
  </si>
  <si>
    <t>Приходная накладная 859 (вх. 3553000-МСК) от 02.04.2024</t>
  </si>
  <si>
    <t>Шпатель многофункциональный</t>
  </si>
  <si>
    <t>Приходная накладная 1111 (вх. 4822354-МСК) от 02.05.2024</t>
  </si>
  <si>
    <t>Шпатель нержавеющая сталь прямая трапеция 180 мм S3 зуб 2,5х2мм</t>
  </si>
  <si>
    <t>Шпатлевка Jeta PRO 0.5 кг</t>
  </si>
  <si>
    <t>Шпатлевка SOFT JETAPO 0.5кг</t>
  </si>
  <si>
    <t>Шпилька резьбовая усиленная 12x1000, DIN 975</t>
  </si>
  <si>
    <t>Шпилька резьбовая усиленная, DIN 975 8x2000,класс прочности 6,8 цинк</t>
  </si>
  <si>
    <t>Шпиндель GDZ-125-4</t>
  </si>
  <si>
    <t>Шпиндель HQD 380В</t>
  </si>
  <si>
    <t>Приходная накладная 1373 (вх. 13932) от 06.06.2024</t>
  </si>
  <si>
    <t>Шприц 10 мл</t>
  </si>
  <si>
    <t>Приходная накладная 5317 (вх. 0927191) от 25.10.2024</t>
  </si>
  <si>
    <t>Шприц 2-комп. однораз. 20мл LS 21G(0,8х40) прил. 50шт/уп СТЕРИН</t>
  </si>
  <si>
    <t>Приходная накладная 1733 (вх. 38069178) от 17.07.2024</t>
  </si>
  <si>
    <t>Шприц 3-комп. однораз. 50мл</t>
  </si>
  <si>
    <t>Шприц 5 мл</t>
  </si>
  <si>
    <t>Приходная накладная 5256 (вх. 1212131202410210001) от 23.10.2024</t>
  </si>
  <si>
    <t>Шприц для дозирования флюсов 5 мл с иглами 11 шт</t>
  </si>
  <si>
    <t>Приходная накладная 941 (вх. 1342541/276) от 11.04.2024</t>
  </si>
  <si>
    <t>Шприц для смазки 500мл</t>
  </si>
  <si>
    <t>Приходная накладная 1093 (вх. 4704485-МСК) от 26.04.2024</t>
  </si>
  <si>
    <t>Штабелер самоходный Xilin</t>
  </si>
  <si>
    <t>Приходная накладная 4263 (вх. 2113572-МСК) от 28.02.2024</t>
  </si>
  <si>
    <t>штаг винт пластик для печатной платы фиксированные нейлоновые</t>
  </si>
  <si>
    <t>Штамп авто на квадратной насадке</t>
  </si>
  <si>
    <t>Приходная накладная 4348 (вх. 2294) от 05.06.2024</t>
  </si>
  <si>
    <t>Штамп самонаборный Attache 1-2 стр. 70х10 8016</t>
  </si>
  <si>
    <t>Штамп самонаборный Attache 1-3 стр. 38х14 8051</t>
  </si>
  <si>
    <t>Штамп самонаборный Attache 1-4 стр. 48х18 8052</t>
  </si>
  <si>
    <t>Штамп самонаборный NEW Printer С20-Set 4 стр.14х38мм 1 касса корпус черный</t>
  </si>
  <si>
    <t>Штамп самонаборный самонаборный 3стр. 20/3-Set NEW!38х14мм</t>
  </si>
  <si>
    <t>Штанга телескопическая 2-х колен., 2,4м к арт.571062,571063</t>
  </si>
  <si>
    <t>Штанга усиленная оц DIN976 М14х300мм</t>
  </si>
  <si>
    <t>Штанга хром</t>
  </si>
  <si>
    <t>Штангенрейсмас ШРЦ-500 0,01 электр</t>
  </si>
  <si>
    <t>Штангенципуль ШЦ-2</t>
  </si>
  <si>
    <t>Штангенциркуль</t>
  </si>
  <si>
    <t>Штангенциркуль 200 мм, 0,02 мм, металлический, с глубиномером (316325)</t>
  </si>
  <si>
    <t>Штангенциркуль 250 мм, цена деления 0,02 мм, металлический, с глубиномером</t>
  </si>
  <si>
    <t>Штангенциркуль Micron ШЦЦ-1-150 0.01</t>
  </si>
  <si>
    <t>Штангенциркуль межцентровой ШЦС 20-200-0.02</t>
  </si>
  <si>
    <t>Штангенциркуль цифровой Mechanic</t>
  </si>
  <si>
    <t>Штангенциркуль ШЦ-3-600 0,05 губ. 125мм</t>
  </si>
  <si>
    <t>Штангенциркуль ШЦЦ-1-200 0,01 губ 50мм</t>
  </si>
  <si>
    <t>Штангенциркуль ШЦЦ-1-300 0,01</t>
  </si>
  <si>
    <t>Штангенциркуль ШЦЦ-1-300 0,01 губ.60мм</t>
  </si>
  <si>
    <t>Штангенциркуль ШЦЦ-2-200 0.01 90мм</t>
  </si>
  <si>
    <t>Штангенциркуль ШЦЦ-I-</t>
  </si>
  <si>
    <t>Приходная накладная 1073 (вх. ИН861) от 24.04.2024</t>
  </si>
  <si>
    <t>Штемпельная подушка настольная 50х90мм BRAUBERG синяя</t>
  </si>
  <si>
    <t>Приходная накладная 4316 (вх. 202407230001) от 23.07.2024</t>
  </si>
  <si>
    <t>Штиль однофазный стабилизатор переменного напряжения IS8000</t>
  </si>
  <si>
    <t>Приходная накладная 1626 (вх. 7767552-МСК) от 03.07.2024</t>
  </si>
  <si>
    <t>Штифт цилиндрический DIN6325 6х30</t>
  </si>
  <si>
    <t>Приходная накладная 5143 (вх. 60962-1699783) от 10.10.2024</t>
  </si>
  <si>
    <t>Штопор открывалка металлическая (38577)</t>
  </si>
  <si>
    <t>Штуцер врезка в бак емкость с прокладкой 3/4"</t>
  </si>
  <si>
    <t>Штыри и гнезда для плат 2.54мм BLS-3+Terminal</t>
  </si>
  <si>
    <t>Шуруп 9091 А2 2,0х8</t>
  </si>
  <si>
    <t>Приходная накладная 1122 (вх. 30392) от 02.05.2024</t>
  </si>
  <si>
    <t>Шуруп кольцо LSS 12 x350</t>
  </si>
  <si>
    <t>Приходная накладная 5193 (вх. К-64894) от 21.10.2024</t>
  </si>
  <si>
    <t>Шуруповерт аккумуляторный</t>
  </si>
  <si>
    <t>Щетка</t>
  </si>
  <si>
    <t>Приходная накладная 828 (вх. 3388172-МСК) от 29.03.2024</t>
  </si>
  <si>
    <t>Щетка аспирации для шпинделя 80мм</t>
  </si>
  <si>
    <t>Щетка дисковая д125x20x20+адаптеры, ворс гофр нерж сталь</t>
  </si>
  <si>
    <t>Приходная накладная 614 (вх. 2920389-МСК) от 19.03.2024</t>
  </si>
  <si>
    <t>Щетка для мытья посуды и труднодоступных мест 26см</t>
  </si>
  <si>
    <t>Щетка утюжок Макси YORK</t>
  </si>
  <si>
    <t>Щетка -утюжок мини York</t>
  </si>
  <si>
    <t>Щетка -шробер Твиги AZUR</t>
  </si>
  <si>
    <t>Щётка-насадка для шпинделя 80 мм</t>
  </si>
  <si>
    <t>Приходная накладная 1207 (вх. 0146751736-0128/0805) от 16.05.2024</t>
  </si>
  <si>
    <t>Щетка-сметка</t>
  </si>
  <si>
    <t>Щетки угольные ЗУБР</t>
  </si>
  <si>
    <t>Приходная накладная 502 (вх. 183) от 19.02.2024</t>
  </si>
  <si>
    <t>Щит распределительный навесной ЩРн-П-18 IP65</t>
  </si>
  <si>
    <t>ЩМП-60.60.40 ЩМП-12</t>
  </si>
  <si>
    <t>Приходная накладная 4876 (вх. ЭР01717831) от 03.10.2024</t>
  </si>
  <si>
    <t>Эвент Алюм. гофрир. воздуховод ВА, д= 200, 3м</t>
  </si>
  <si>
    <t>Эвент лючок пластиковый 3050 ЛП</t>
  </si>
  <si>
    <t>Эврика Бокс универсальный с контейнерами ER - 10310</t>
  </si>
  <si>
    <t>Экопласт RFA100x40 Заглушка 100x40мм для канала</t>
  </si>
  <si>
    <t>Экопласт Розетка с з/ к. со шторками белый LK45 851104-1</t>
  </si>
  <si>
    <t>ЭКОСНАЙПЕР Ультразвуковой отпугиватель мух AN-A323</t>
  </si>
  <si>
    <t>Приходная накладная 1880 (вх. 8933535-МСК) от 29.07.2024</t>
  </si>
  <si>
    <t>Экофикс 250-270 мм/9W2</t>
  </si>
  <si>
    <t>Приходная накладная 5136 (вх. 47) от 01.01.2024</t>
  </si>
  <si>
    <t>Экран Easy St с креплением (279,275) серый (030)</t>
  </si>
  <si>
    <t>Приходная накладная 332 (вх. 34346903) от 01.02.2024</t>
  </si>
  <si>
    <t>Экран LSD 10,1 дюйма</t>
  </si>
  <si>
    <t>Приходная накладная 1243 (вх. 191) от 21.05.2024</t>
  </si>
  <si>
    <t>Экран ДиКом ВЛ-К-150-Э2</t>
  </si>
  <si>
    <t>Экспедирование груза</t>
  </si>
  <si>
    <t>Приходная накладная 3899 (вх. 4890) от 11.08.2024</t>
  </si>
  <si>
    <t>Электрическая дрель 5S 18V 21V</t>
  </si>
  <si>
    <t>Электрическая отвертка Xiaomi</t>
  </si>
  <si>
    <t>Электрический мини-паяльник TS101 c жалом BC2, 65 Вт</t>
  </si>
  <si>
    <t>Приходная накладная 2325 (вх. 269534/250) от 05.09.2024</t>
  </si>
  <si>
    <t>Электрический резак</t>
  </si>
  <si>
    <t>Приходная накладная 5118 (вх. 60) от 01.01.2024</t>
  </si>
  <si>
    <t>Электрод ESR 11 ф 2,0мм</t>
  </si>
  <si>
    <t>Электродвигатель 8108 100KV</t>
  </si>
  <si>
    <t>Электродвигатель 8108-100KV</t>
  </si>
  <si>
    <t>Электродвигатель 8110-110KV</t>
  </si>
  <si>
    <t>Электродвигатель AIR2213 100KV</t>
  </si>
  <si>
    <t>Электродвигатель AIR2213 KV1000 CCW</t>
  </si>
  <si>
    <t>Электродвигатель AIR2213 KV1000 CW</t>
  </si>
  <si>
    <t>Электродвигатель Brotherhobby Tornado T5 3115-400KV(FPV)</t>
  </si>
  <si>
    <t>Приходная накладная 92 (вх. 1) от 09.01.2024</t>
  </si>
  <si>
    <t>Электродвигатель Dualsky eco5332C</t>
  </si>
  <si>
    <t>Электродвигатель MN4116 340KV</t>
  </si>
  <si>
    <t>Электродвигатель T-Motor MN5212 KV340</t>
  </si>
  <si>
    <t>Электродвигатель T-Motor MN5212 KV420</t>
  </si>
  <si>
    <t>Электродвигатель T-Motor U8II KV85 (Сибирь 2)</t>
  </si>
  <si>
    <t>Приходная накладная 5106 (вх. 508) от 09.10.2024</t>
  </si>
  <si>
    <t>Электродвигатель U3 700KV</t>
  </si>
  <si>
    <t>Электродвигатель U5 400KV</t>
  </si>
  <si>
    <t>Электродвигатель U7 280KV</t>
  </si>
  <si>
    <t>Электродвигатель U7 420KV</t>
  </si>
  <si>
    <t>Электродвигатель U7 490KV</t>
  </si>
  <si>
    <t>Электродвигатель U8II 100KV</t>
  </si>
  <si>
    <t>Приходная накладная 4877 (вх. 480) от 03.10.2024</t>
  </si>
  <si>
    <t>Электродвигатель u8II 127KV</t>
  </si>
  <si>
    <t>Приходная накладная 1849 (вх. 324) от 24.07.2024</t>
  </si>
  <si>
    <t>Электродвигатель U8ll 100KV</t>
  </si>
  <si>
    <t>Электродвигатель VL7015 KV190</t>
  </si>
  <si>
    <t>Электродвигатель АИР 100 S2 4кВт</t>
  </si>
  <si>
    <t>Приходная накладная 1873 (вх. 13706) от 26.07.2024</t>
  </si>
  <si>
    <t>Электродвигатель бесколлекторный РОТОМ PY5210</t>
  </si>
  <si>
    <t>Приходная накладная 1267 (вх. 1) от 16.03.2024</t>
  </si>
  <si>
    <t>Электродинамический вибрационный стенд</t>
  </si>
  <si>
    <t>Приходная накладная 4254 (вх. 36) от 28.03.2024</t>
  </si>
  <si>
    <t>Электромагнитный замок, 12V DC, не более 0,47 A, усилие 300 кг, 222x52x34</t>
  </si>
  <si>
    <t>Электромотор DUALSKY ECO5322C 380KV</t>
  </si>
  <si>
    <t>Приходная накладная 1751 (вх. 303) от 18.07.2024</t>
  </si>
  <si>
    <t>Электромотор Т-мотор Velox V2808 KV1500</t>
  </si>
  <si>
    <t>Приходная накладная 5151 (вх. 404) от 11.10.2024</t>
  </si>
  <si>
    <t>Электромотор Т-мотор Velox V2808 KV1950K</t>
  </si>
  <si>
    <t>Приходная накладная 5210 (вх. 11) от 22.10.2024</t>
  </si>
  <si>
    <t>Электронная нагрузка высокой мощности</t>
  </si>
  <si>
    <t>Приходная накладная 4449 (вх. 000061479) от 09.01.2024</t>
  </si>
  <si>
    <t>Электронный подарочный сертификат ЭВР 1000 рублей.</t>
  </si>
  <si>
    <t>Приходная накладная 765 (вх. 8484) от 05.03.2024</t>
  </si>
  <si>
    <t>элементы для крепления сетки</t>
  </si>
  <si>
    <t>Авансовый отчет 235 от 05.03.2024</t>
  </si>
  <si>
    <t>ЭлПроКабель Провод гибкий круглый ПВС 3х0,75  100м</t>
  </si>
  <si>
    <t>Эмаль ПФ-115 серый</t>
  </si>
  <si>
    <t>эмуляор</t>
  </si>
  <si>
    <t>Энкор  Полотно BiM 32TPI M2</t>
  </si>
  <si>
    <t>Энкор Набор вставок для точных работ с держателем 36 пр, / 6 / 24 / 1/ 19842</t>
  </si>
  <si>
    <t>Энкор Плоскогубцы с изогнутыми губками-60гр. 180мм 1/5/50 19041</t>
  </si>
  <si>
    <t>ЭПА-15 Панель электромонтажная для столов 1500мм</t>
  </si>
  <si>
    <t>Эпоксидная смола L 285</t>
  </si>
  <si>
    <t>Приходная накладная 2245 (вх. 857) от 28.08.2024</t>
  </si>
  <si>
    <t>Эпоксидные марки Т20-60</t>
  </si>
  <si>
    <t>Приходная накладная 1163 (вх. 357) от 07.05.2024</t>
  </si>
  <si>
    <t>Эпоксидные марки Т30-60</t>
  </si>
  <si>
    <t>Приходная накладная 1079 (вх. 319) от 24.04.2024</t>
  </si>
  <si>
    <t>Эпоксидный гелькоут СР200</t>
  </si>
  <si>
    <t>Эпоксидный клей 25мл</t>
  </si>
  <si>
    <t>ЭРА SPP201040K048 Светильник светодиодный линейный IP65 48Вт 4500Лм 4000К 1500мм мат 12/120 Б0047178</t>
  </si>
  <si>
    <t>ЭРА SSA101320 Светильник аварийныйсветодиодный 1,5ч 3Вт ВЫХОДEXITЧЕЛс Б0044390</t>
  </si>
  <si>
    <t>ЭРА Бокс ЩРН-П-6 модулей навесн.пластик IP41 SIMPLE</t>
  </si>
  <si>
    <t>ЭРА Коробка распаячн. открытой установки КОР 65х65х50мм с гермовводами 4 вх. IP54 Б0037445</t>
  </si>
  <si>
    <t>ЭРА Коробка распаячн.открытой установки КОР 65х65х50 мм с гермовводами 4вх</t>
  </si>
  <si>
    <t>ЭРА Корпус модульный пластиковыйсерии КМПн, IP65, Б0046405</t>
  </si>
  <si>
    <t>ЭРА Линейный светодиодный светильник LLED-01-12W-6500-W 12Вт 6500K L872мм с выключателем</t>
  </si>
  <si>
    <t>ЭРА Удлинитель силовой RP-1 катушка пластиковая для намотки кабеля</t>
  </si>
  <si>
    <t>ЭРА Эксперт Белый Розетка Зх2Р+Е IP54, 16АХ-250В, открытая установка 11-2405-01 Б0020720</t>
  </si>
  <si>
    <t>Этикетка гарантийная 66х22 серая</t>
  </si>
  <si>
    <t>Приходная накладная 4337 (вх. 120) от 01.07.2024</t>
  </si>
  <si>
    <t>Этикетка самоклеющаяся ПГЛ 2 вида - CW и CCW d19мм 76 втулка</t>
  </si>
  <si>
    <t>Приходная накладная 1170 (вх. УТ-681) от 08.05.2024</t>
  </si>
  <si>
    <t>Этикетки 30х10 мм</t>
  </si>
  <si>
    <t>Приходная накладная 5128 (вх. 74) от 01.01.2024</t>
  </si>
  <si>
    <t>Этикетки самоклеящиеся 210х297мм,80г белая глянцевая (25л/уп)</t>
  </si>
  <si>
    <t>Этикетки самоклеящиеся 38х16,9 мм/85 шт. на листе А4 (100л</t>
  </si>
  <si>
    <t>Этикетки самоклеящиеся 70х42,3 мм/21 шт. на лист. А4 (100 л</t>
  </si>
  <si>
    <t>Этикетки самоклеящиеся Promega label 210х297мм,70г белая (10 листов/уп.)</t>
  </si>
  <si>
    <t>Этикетки самоклеящиеся ProMega label белые звездочки д/опечат. 15шт/А4/25л</t>
  </si>
  <si>
    <t>Этикетки самоклеящиеся универсальные 210х297мм,70г белая (10 листов/уп.)</t>
  </si>
  <si>
    <t>Этикет-лента 21,5х12 оранж прям 1000шт/рул 10рул/уп</t>
  </si>
  <si>
    <t>Этикет-лента 26х16 зел прям 1000шт/рул 10рул/уп</t>
  </si>
  <si>
    <t>Этикет-пистолет PRONTO C20 2-стр10х10зн,26х16пр</t>
  </si>
  <si>
    <t>ЮПИТЕР Кабельный наконечник НШвИ 4,0-9 4,0 мм2 100 штук JP7205-06</t>
  </si>
  <si>
    <t>Яблоки Голден</t>
  </si>
  <si>
    <t>Яблоки Ред Делишес</t>
  </si>
  <si>
    <t>ЯРКИЙ ЛУЧ Фонарь налобный</t>
  </si>
  <si>
    <t>Ярпожинвест Огнетушитель порошковый ОП-6(3)-АВСЕ-01</t>
  </si>
  <si>
    <t>Ящик в кузов</t>
  </si>
  <si>
    <t>Приходная накладная 4443 (вх. 22) от 16.01.2024</t>
  </si>
  <si>
    <t>Ящик для ветоши 420х510х360 серый</t>
  </si>
  <si>
    <t>Приходная накладная 5351 (вх. 616) от 29.10.2024</t>
  </si>
  <si>
    <t>Ящик пластиковый Фин пак 400х300х280мм</t>
  </si>
  <si>
    <t>Приходная накладная 5192 (вх. 4099) от 21.10.2024</t>
  </si>
  <si>
    <t>Ящик полимерный многооборотный(250х150х130)</t>
  </si>
  <si>
    <t>Ящик полимерный многооборотный(400х225х150)</t>
  </si>
  <si>
    <t>Приходная накладная 1202 (вх. 11417/7) от 16.05.2024</t>
  </si>
  <si>
    <t>Ящик универсальный 570x380x272 48Л</t>
  </si>
  <si>
    <t>Приходная накладная 972 (вх. 4053429-МСК) от 15.04.2024</t>
  </si>
  <si>
    <t xml:space="preserve">Ед.измерения материалов </t>
  </si>
  <si>
    <t xml:space="preserve">Ед.измерения материалов  </t>
  </si>
  <si>
    <t xml:space="preserve">Ед.измерения материалов   </t>
  </si>
  <si>
    <t xml:space="preserve">Цена, руб без НДС </t>
  </si>
  <si>
    <t xml:space="preserve">Расход сырья на 1 единицу изделия </t>
  </si>
  <si>
    <t xml:space="preserve">Расход сырья на 1 единицу изделия  </t>
  </si>
  <si>
    <t>Материал/ Комплектующие</t>
  </si>
  <si>
    <t>5.3.</t>
  </si>
  <si>
    <t>5.1.1.</t>
  </si>
  <si>
    <t>5.1.2.</t>
  </si>
  <si>
    <t>5.2.1.</t>
  </si>
  <si>
    <t>5.2.2.</t>
  </si>
  <si>
    <t>5.3.1.</t>
  </si>
  <si>
    <t>5.3.2.</t>
  </si>
  <si>
    <t>5.4.</t>
  </si>
  <si>
    <t>5.4.1.</t>
  </si>
  <si>
    <t>5.4.2.</t>
  </si>
  <si>
    <t>ХХХХХХХХХХХХХ</t>
  </si>
  <si>
    <t xml:space="preserve">Название сырья или материала (указывается, если используем более одного вида сырья) </t>
  </si>
  <si>
    <t>Название сырья или материала (указывается, если используем более одного вида сырья)</t>
  </si>
  <si>
    <t>Трудозатраты</t>
  </si>
  <si>
    <t>6.1.1.</t>
  </si>
  <si>
    <t>6.1.2.</t>
  </si>
  <si>
    <t>6.1.3.</t>
  </si>
  <si>
    <t>6.2.1.</t>
  </si>
  <si>
    <t>6.2.2.</t>
  </si>
  <si>
    <t>6.2.3.</t>
  </si>
  <si>
    <t>6.3.</t>
  </si>
  <si>
    <t>Количество человек должности(указанной в пункте 6.1.) производят работу по выпуску (указанному в пункте 2.)изделий.</t>
  </si>
  <si>
    <t>Количество человек должности(указанной в пункте 6.2.) производят работу по выпуску (указанному в пункте 2.)изделий.</t>
  </si>
  <si>
    <t>Количество человек должности(указанной в пункте 6.3.) производят работу по выпуску (указанному в пункте 2.)изделий.</t>
  </si>
  <si>
    <t>кг.</t>
  </si>
  <si>
    <t>метр</t>
  </si>
  <si>
    <t>6.3.1.</t>
  </si>
  <si>
    <t>6.3.2.</t>
  </si>
  <si>
    <t>6.3.3.</t>
  </si>
  <si>
    <t>7.1.1.</t>
  </si>
  <si>
    <t>Матрица/ Жертвенный стол</t>
  </si>
  <si>
    <t>8.</t>
  </si>
  <si>
    <t>8.1.2.</t>
  </si>
  <si>
    <t>8.2.1.</t>
  </si>
  <si>
    <t>8.1.1.</t>
  </si>
  <si>
    <t>8.2.2.</t>
  </si>
  <si>
    <t>8.3.1.</t>
  </si>
  <si>
    <t>8.3.2.</t>
  </si>
  <si>
    <r>
      <t xml:space="preserve">Кол-во упаковки на 1 ед.продукции </t>
    </r>
    <r>
      <rPr>
        <i/>
        <sz val="8"/>
        <rFont val="Arial"/>
        <family val="2"/>
        <charset val="204"/>
      </rPr>
      <t>(Пример : В один пакет укладываем 1 изделие, то нужно указать 0,1 шт.; В один пакет укладываем 10 изделий, то нужно указать 0,1 шт.)</t>
    </r>
  </si>
  <si>
    <t>Кол-во упаковки на 1 ед.продукции</t>
  </si>
  <si>
    <t xml:space="preserve">Должность производственного рабочего, (указывается , если работы производятся более, чем одним человеком) </t>
  </si>
  <si>
    <t>Наименование номенклатуры упаковки, указывается, если используется более одного вида упаковки.</t>
  </si>
  <si>
    <t>Наименование номенклатуры упаковки.</t>
  </si>
  <si>
    <t>Обработчик изделий из пластмасс 2 разряда /Участок производства изделий из пластмасс /</t>
  </si>
  <si>
    <t>Монтажник электрооборудования летательных аппаратов 2 разряда /Участок сборочных линий БВС/</t>
  </si>
  <si>
    <t>Сборщик изделий из стеклопластиков 4 разряда /Участок композитного производства/</t>
  </si>
  <si>
    <t>Формовщик стеклопластиковых изделий /Участок композитного производства/</t>
  </si>
  <si>
    <t>Слесарь-сборщик летательных аппаратов 4 разряда /Участок механической обработки /</t>
  </si>
  <si>
    <t>Слесарь-сборщик летательных аппаратов 4 разряда /Участок сборочных линий БВС/</t>
  </si>
  <si>
    <t>Слесарь-сборщик летательных аппаратов 3 разряда /Участок сборочных линий БВС/</t>
  </si>
  <si>
    <t>Слесарь-сборщик летательных аппаратов 3 разряда /Участок механической обработки /</t>
  </si>
  <si>
    <t>Контуровщик стеклопластиковых изделий /Участок композитного производства/</t>
  </si>
  <si>
    <t>Монтажник электрооборудования летательных аппаратов 3 разряда /Участок сборочных линий БВС/</t>
  </si>
  <si>
    <t>Слесарь по изготовлению и доводке деталей летательных аппаратов /Участок композитного производства/</t>
  </si>
  <si>
    <t>Формовщик стеклопластиковых изделий 3 разряда /Участок композитного производства/</t>
  </si>
  <si>
    <t>Сборщик изделий из стеклопластиков 3 разряда /Участок композитного производства/</t>
  </si>
  <si>
    <t>Оператор оборудования трехмерной печати /Участок производства изделий из пластмасс /</t>
  </si>
  <si>
    <t>Машинист вакуум-формовочной машины 2 разряда /Участок производства изделий из пластмасс /</t>
  </si>
  <si>
    <t>Оператор станков с программным управлением 3 разряда /Участок механической обработки /</t>
  </si>
  <si>
    <t>Литейщик пластмасс 2 разряда /Участок производства изделий из пластмасс /</t>
  </si>
  <si>
    <t>Монтажник электрооборудования летательных аппаратов 4 разряда /Участок сборочных линий БВС/</t>
  </si>
  <si>
    <t>Раскройщик стекловолокнистых материалов /Участок композитного производства/</t>
  </si>
  <si>
    <t>Слесарь-сборщик летательных аппаратов 5 разряда /Участок сборочных линий БВС/</t>
  </si>
  <si>
    <t>Монтажник электрооборудования летательных аппаратов 5 разряда /Участок сборочных линий БВС/</t>
  </si>
  <si>
    <t>Начальник смены /Участок механической обработки /</t>
  </si>
  <si>
    <t>Начальник смены /Участок сборочных линий БВС/</t>
  </si>
  <si>
    <t>Начальник смены /Участок композитного производства/</t>
  </si>
  <si>
    <t>Мастер /Участок производства изделий из пластмасс /</t>
  </si>
  <si>
    <t>Инженер-технолог /Участок производства изделий из пластмасс /</t>
  </si>
  <si>
    <t>Окрасчик изделий из стеклопластиков /Участок композитного производства/</t>
  </si>
  <si>
    <t>Мастер /Участок сборочных линий БВС/</t>
  </si>
  <si>
    <t>Мастер /Участок композитного производства/</t>
  </si>
  <si>
    <t>Мастер /Участок механической обработки /</t>
  </si>
  <si>
    <t>Наладчик инжекционно-литьевой машины /Участок производства изделий из пластмасс /</t>
  </si>
  <si>
    <t>Оператор станков с программным управлением 4 разряда /Участок механической обработки /</t>
  </si>
  <si>
    <t>Сервисный инженер /Ремонтно-механический отдел/</t>
  </si>
  <si>
    <t>Начальник участка /Участок композитного производства/</t>
  </si>
  <si>
    <t>Начальник участка /Участок производства изделий из пластмасс /</t>
  </si>
  <si>
    <t>Начальник участка /Участок сборочных линий БВС/</t>
  </si>
  <si>
    <t>Начальник участка /Участок механической обработки/</t>
  </si>
  <si>
    <t>Главный механик /Ремонтно-механический отдел/</t>
  </si>
  <si>
    <t>п.метр</t>
  </si>
  <si>
    <t>Подразделение</t>
  </si>
  <si>
    <t>Участок сборочных линий БВС</t>
  </si>
  <si>
    <t xml:space="preserve">Участок производства изделий из пластмасс </t>
  </si>
  <si>
    <t>Участок композитного производства</t>
  </si>
  <si>
    <t>Участок механической обработки</t>
  </si>
  <si>
    <t>ЗП</t>
  </si>
  <si>
    <t xml:space="preserve">Должность </t>
  </si>
  <si>
    <t>Должности</t>
  </si>
  <si>
    <t>ЗП+ФОНД Кф=1,317</t>
  </si>
  <si>
    <t>Стоимость часа работы Кф=1/165 часов в месяц</t>
  </si>
  <si>
    <t>х</t>
  </si>
  <si>
    <t xml:space="preserve">Стоимость часа работы по ФОТ с учетом отчислений в фонды( Кф=1,317), (Кф рабочих часов в месяц = 1/165) </t>
  </si>
  <si>
    <r>
      <t xml:space="preserve">Количество часов на изготовление деталей всего выпуска одного вида изделия (количество деталей выпуска, указано в пункте 2.). </t>
    </r>
    <r>
      <rPr>
        <i/>
        <sz val="8"/>
        <rFont val="Arial"/>
        <family val="2"/>
        <charset val="204"/>
      </rPr>
      <t>Пример. Работало два человека, должность у которых одинаковая "Оператор лазерных установок 3 разряда /Участок механической обработки". Работали одновременно одну смену и вместе изготовили 100 штук деталей. Нужно указать в пункте 2. "100"; в пункте 6.1.1. "2 человека"; в пункте 6.1.2."11,00 часов".</t>
    </r>
  </si>
  <si>
    <t>Количество часов на изготовление деталей всего выпуска одного вида изделия</t>
  </si>
  <si>
    <t>Сырьевая с/с ед. руб. без НДС</t>
  </si>
  <si>
    <t>Заработная плата на ед. изделия, руб.</t>
  </si>
  <si>
    <t>Количество человек производящих работу по выпуску всего объема изделий(см. п. 2.)</t>
  </si>
  <si>
    <t>Амортизация</t>
  </si>
  <si>
    <t>Мощность оборудования</t>
  </si>
  <si>
    <t>Кол-во часов использования</t>
  </si>
  <si>
    <t>Номинальная мощность станка по паспорту, кв*ч</t>
  </si>
  <si>
    <t>Упаковка, руб без НДС</t>
  </si>
  <si>
    <t>Цена, руб без НДС</t>
  </si>
  <si>
    <t>Амортизация, в т.ч.</t>
  </si>
  <si>
    <t>x</t>
  </si>
  <si>
    <t>шт</t>
  </si>
  <si>
    <t>20%</t>
  </si>
  <si>
    <t>Катушка индуктивности SMD</t>
  </si>
  <si>
    <t>Заклепка М3 100 шт Цилиндрическая для крепления камеры на крыло "Листопад"</t>
  </si>
  <si>
    <t>Тяги передние регулируемые для Remo Hobby</t>
  </si>
  <si>
    <t>Радиоуправляемая рулевая тяга</t>
  </si>
  <si>
    <t>Адаптер для монтажа на панель</t>
  </si>
  <si>
    <t>Запчасти для самолетов-Шестеренчатый двигатель без сердечника</t>
  </si>
  <si>
    <t>Видеопередатчик 25 мВт 200МВт 400МВт 800МВт 1000МВт регулируемый для FPV гоночных дронов</t>
  </si>
  <si>
    <t>Премник ELRS 915 МГц с атенной Т-типа, поддержка WI-FI, обновление для радиоуправляемых FPV</t>
  </si>
  <si>
    <t xml:space="preserve">Водяной пистолет LIPO 3S  </t>
  </si>
  <si>
    <t>Пропеллеры для RC FPV</t>
  </si>
  <si>
    <t>Аккумулятор для водяного пистолета +зарядное устройство</t>
  </si>
  <si>
    <t>переходник Dexter</t>
  </si>
  <si>
    <t>Суперклей</t>
  </si>
  <si>
    <t xml:space="preserve">Веревка джутовая </t>
  </si>
  <si>
    <t>валик 2х5х6см</t>
  </si>
  <si>
    <t>Бюгель для валиков</t>
  </si>
  <si>
    <t>Вода "Аквалидер" 19 л.</t>
  </si>
  <si>
    <t xml:space="preserve">Печать на автоматической оснастке Colop Printer R40 </t>
  </si>
  <si>
    <t>Шкаф серверный Cabeus</t>
  </si>
  <si>
    <t>Карбоновая трубка 1м 10мм</t>
  </si>
  <si>
    <t>Карбоновая трубка 1м 14мм</t>
  </si>
  <si>
    <t xml:space="preserve">Картридж ТК 5240 для Kyocera </t>
  </si>
  <si>
    <t>Заклепка резьбовая стальная Messer  М3 с насечкой уменьши. борт кр 50 шт 212103S-50</t>
  </si>
  <si>
    <t xml:space="preserve">Нить полимерная для 3D принтера  Clotho ABC Black ТУ (750гр, катушка пластиковая , пакет) 1 шт </t>
  </si>
  <si>
    <t>Встраиваемая посудомоечная машина Gorenje Gv62040  13 комплектов</t>
  </si>
  <si>
    <t>Комплект (клавиатура + мышь) Logitech МК220</t>
  </si>
  <si>
    <t>Подставка для телевизора Onkron TS1881 50-83</t>
  </si>
  <si>
    <t xml:space="preserve">Web-камера Logitech Brio </t>
  </si>
  <si>
    <t>Моноблок HIPER V8, 23,8, intel Core i3 10100, 16ГБ 512 SSD Intel UHD Graphics 630 Windows 10 Home</t>
  </si>
  <si>
    <t>Термопот SUNWIND SUN-TP-3, черный и серебристый</t>
  </si>
  <si>
    <t xml:space="preserve">Телевизор xiomi MI TV A2, 4К Ultra HD, смарт </t>
  </si>
  <si>
    <t>Кофемашина Philips EP2224/40</t>
  </si>
  <si>
    <t>Неттоп Rombica Blackbird i5 HX104165D</t>
  </si>
  <si>
    <t>Кулер AEL LC-FTL-809, напольный, компрессорный, кнопка</t>
  </si>
  <si>
    <t xml:space="preserve">Пурифайер AEL LD AEL-47s </t>
  </si>
  <si>
    <t>Подвод питания (Maytoni)</t>
  </si>
  <si>
    <t>Прямой коннектор белый</t>
  </si>
  <si>
    <t>Заглушка торцевая для шинопровода белая Maytoni</t>
  </si>
  <si>
    <t>Крепление для троса Maytoni</t>
  </si>
  <si>
    <t>Прямой коннектор белый Maytoni</t>
  </si>
  <si>
    <t>Тросовый подвес L-2000mm Maytoni</t>
  </si>
  <si>
    <t>Накладной/подвесной шинопровод L 1000mm</t>
  </si>
  <si>
    <t>Шинопровод магнитный, L 2000mm Maytoni</t>
  </si>
  <si>
    <t>Драйвер DC48V 100W Maytoni</t>
  </si>
  <si>
    <t>Драйвер DC48V 200W Maytoni</t>
  </si>
  <si>
    <t>Подвесной светильник под лампы GU10 Y 1220mm L1600mm</t>
  </si>
  <si>
    <t>Лампа GU10 4000К 10W</t>
  </si>
  <si>
    <t>Аэрозольный клей для текстиля</t>
  </si>
  <si>
    <t>Пакеты, мешки для мусора</t>
  </si>
  <si>
    <t>Выкл с/з ПВС 3*1 UNIVersal S-304</t>
  </si>
  <si>
    <t>Урга с педалью Титан 10л</t>
  </si>
  <si>
    <t>Удлинитель Эра с выкл 3*1мм2 16А ПВС 5м</t>
  </si>
  <si>
    <t>ПК  DEXP Atlas H388 Core i5-12400/16GB/SSD 512GB/без ПО</t>
  </si>
  <si>
    <t>Клавиатура+мышь беспроводная Aser OKR120</t>
  </si>
  <si>
    <t>AEG Мультитул OMNI 300-KIT1 4935431790</t>
  </si>
  <si>
    <t>ArtSpase Линейка 100см стальная, ПВХ чехол с ом ЛС-100-528</t>
  </si>
  <si>
    <t>ArtSpase Линейка 100см стальная, ПВХ чехол с ом ЛС-50-527</t>
  </si>
  <si>
    <t>Creativiki Линейка деревянная 30 см ЛД30КР</t>
  </si>
  <si>
    <t>Dermagrip Перчатки см латекс Classic 100 штук,  размер Xl</t>
  </si>
  <si>
    <t>Euroboor Набор из 4 твердосплавных борфрез с хвостовиком 3 мм RBS.104</t>
  </si>
  <si>
    <t>HB BODY Маскировочная лента MSK 80 50х50 0200300003</t>
  </si>
  <si>
    <t>JTC клещи автоматические для снятия изоляции  с кабелей 0,2-5мм и 8мм /1 JTC-5620</t>
  </si>
  <si>
    <t>LK Studio Розетка с з/к, со шторками белый LK45 851404-1</t>
  </si>
  <si>
    <t>Manipula Specialist Перчатки КЩС-2 CG-943 латекс 10-10.5/XL пер 616/1/XL10</t>
  </si>
  <si>
    <t xml:space="preserve">Mutlusan electric набор для монтажа для розетки в кабель-канал 3 поста </t>
  </si>
  <si>
    <t>Rox Box Ящик п/п 210х170х135мм с крышкой и клипсами прозрачный</t>
  </si>
  <si>
    <t>RUKO Набор бор-фрез твердосплавных  их 35шт 116008</t>
  </si>
  <si>
    <t>SKRAB Набор отрезных дисков МИНИ 4пр 54,8мм держ. 6мм металл/дерево/керамика 34450</t>
  </si>
  <si>
    <t>TOPTUL Набор надфилей 6 предметов GNBA0601</t>
  </si>
  <si>
    <t>ULTIMA  Перчатки текстурированные нитриловые неопудренные 100шт ULT300 SKY BLUE, р. XL/10</t>
  </si>
  <si>
    <t>Буревесник Линейка металлическая с двусторонней шкалой 150х19х0.6мм 137</t>
  </si>
  <si>
    <t>Изделия из искусственного камня</t>
  </si>
  <si>
    <t>Буревесник Линейка металлическая с двусторонней шкалой 500х26х0,6мм139</t>
  </si>
  <si>
    <t>Лайма Полотно техническое Вафельное отбеленное, рулон 0,45х50м, плотность 240г/м2 ГОСТ 604755</t>
  </si>
  <si>
    <t>Экопласт INSTA 100x55 Короб с крышкой Крышка/80мм, 2м 76002-2</t>
  </si>
  <si>
    <t>Экопласт RF 100х55 Заглушка 76811-1</t>
  </si>
  <si>
    <t>Экопласт Rl 100х55 Угол внутренний изменяемый 76111-1</t>
  </si>
  <si>
    <t>Компьютер RASKAT STANDART 500, Intel Core, i5 11400, DDR4 16ГБ 480ГБ(SSD) Intel UHD Graphics 730 noO</t>
  </si>
  <si>
    <t>Бумага А4 500л</t>
  </si>
  <si>
    <t>Вешалка напольная</t>
  </si>
  <si>
    <t>Клей-карандаш</t>
  </si>
  <si>
    <t>Лоток для бумаг 3шт/уп</t>
  </si>
  <si>
    <t>упак</t>
  </si>
  <si>
    <t>Стикеры  с клеев.краем 76х76мм 400 лист</t>
  </si>
  <si>
    <t>Степлер  ATTACHE №24</t>
  </si>
  <si>
    <t>Скрепки 50мм 50шт</t>
  </si>
  <si>
    <t xml:space="preserve">Нож канцелярский 9мм </t>
  </si>
  <si>
    <t>Термоэтикетки ЭКО 50х25 400шт/рул</t>
  </si>
  <si>
    <t>рул</t>
  </si>
  <si>
    <t>Обложки для переплета картонные А4 100шт/уп</t>
  </si>
  <si>
    <t>Обложки для переплета пластиковые  А4 100шт/уп</t>
  </si>
  <si>
    <t>Полотенца бумажные 2-сл 8 рул/упак</t>
  </si>
  <si>
    <t>Коврик на стол 100х45 ЭВА</t>
  </si>
  <si>
    <t>Папка-планшет д/бумаг А4</t>
  </si>
  <si>
    <t>Папка-регистратор 75мм</t>
  </si>
  <si>
    <t>Клейкая лента бумажная 48х50 крепированная</t>
  </si>
  <si>
    <t>ПК City 101 в составе INTEL i7 10700/MSI H510M-A PRO/2x8Gb/GTX1660S-6Gb/480Gb/650W</t>
  </si>
  <si>
    <t>Мышь GMNG XM001, игровая, оптическая, беспроводная USB, черный</t>
  </si>
  <si>
    <t>Монитор SunWind SUN-M27BG110 27</t>
  </si>
  <si>
    <t>Клавиатура TECH Fstyler FK10, USB</t>
  </si>
  <si>
    <t>Мышь Acer OMR170, оптическая, беспроводная, USB</t>
  </si>
  <si>
    <t>Ноутбук Huawei MateBook D 15 BoD-WDH9, 15.6 IPS,Intel Core i5 1135G7 2.4ГГц, 4-ядерный, 8ГБ DDR4, 25</t>
  </si>
  <si>
    <t>Сейф Aiko T-28EL мебельный, электронный замок</t>
  </si>
  <si>
    <t>Скобы для степлера №24/6 1000шт/уп</t>
  </si>
  <si>
    <t>Кофе в зернах 1кг</t>
  </si>
  <si>
    <t>Помпа механическая</t>
  </si>
  <si>
    <t>Скрепки 33мм 100шт</t>
  </si>
  <si>
    <t>Файл-вкладыш А4 100шт</t>
  </si>
  <si>
    <t>Освежитель воздуха 300мл</t>
  </si>
  <si>
    <t>DINFIX плотное 125 г/кв.м техническое отбеленное вафельное полотно 10мх40см</t>
  </si>
  <si>
    <t>Einhell Пылесос строительный TC-VC 1930 S 2342188</t>
  </si>
  <si>
    <t>Gigant Стеллаж СТФЛ</t>
  </si>
  <si>
    <t>Nord-Yada Трубка термоучадочная 9,0 мм/4,5 мм длина 1м черная 5шт</t>
  </si>
  <si>
    <t>WEGO Масло гидравлическое Гидравлик 68 20л 17,5кг</t>
  </si>
  <si>
    <t xml:space="preserve">Стамм Тубус А2 телескопический малый черный </t>
  </si>
  <si>
    <t>Комплект для защиты дыхания полумаска из силикона, размер L, Jeta Safety J-set 6500-L</t>
  </si>
  <si>
    <t xml:space="preserve">Комплект (куртка и брюки) малярный, многоразовый, размер L, Jeta Safety </t>
  </si>
  <si>
    <t xml:space="preserve">Комплект (куртка и брюки) малярный, многоразовый, размер XL 52-54, Jeta Safety </t>
  </si>
  <si>
    <t xml:space="preserve">Перчатки для защиты от порезов, размер M/8, Jeta Safety </t>
  </si>
  <si>
    <t xml:space="preserve">Компьютер iRU Home 310H5SE, Intel Core i5 11400, DDR4, 16ГБ, 1ТБ (SSD) Intel Core UHD GRAPHICS 730, </t>
  </si>
  <si>
    <t>1010-LM DISCO, стул, цвет сиденья серебрянный металлик, цвет основания хром</t>
  </si>
  <si>
    <t>Двухдиапазонный WI-FI USB-адаптер TR-LINK Acher T2U plus</t>
  </si>
  <si>
    <t>Патч-корд ITK кат, 6 UTR LSZH, 2м, серый</t>
  </si>
  <si>
    <t>Ноутбук Maibenben M547 15,6 FHD IPS/R7-47000U/8Gb/512GbSSD/UMAL/Linux/Silver</t>
  </si>
  <si>
    <t>Шкаф настенный LANMASTER Next TWT-CBWNG-6U-6X6-BK, черный</t>
  </si>
  <si>
    <t>Адаптер проходной гнездо-гнездо</t>
  </si>
  <si>
    <t>Пресс-клещи для штекеров типа RJ (Westerm) Knipex 190мм, двухкомпонентные рукоятки</t>
  </si>
  <si>
    <t>Коннектор RJ45 ATCOM (100шт)</t>
  </si>
  <si>
    <t>Ключница AIKO KEY-60</t>
  </si>
  <si>
    <t>Стяжки хомуты кабельные 3,6200мм, пластиковые, черные 100шт АСТ-N-22</t>
  </si>
  <si>
    <t>Ящик универсальный Econova, 400х335х170мм Кристалл 18л</t>
  </si>
  <si>
    <t>Клещи автоматические для снятия изоляции с кабелей 0,2-5мм и 8мм JTC-5620</t>
  </si>
  <si>
    <t>KRAFTOOL Combo2-m6, Комбинированный литой заклепочник в кейсе, 2 вида заклепок</t>
  </si>
  <si>
    <t>Сверхмощная стойка для одежды Taltraft DROGO</t>
  </si>
  <si>
    <t>Uniel Комплект светодиодной ленты 2шт х1,2м IP65 ULS-R02-6W/4000K</t>
  </si>
  <si>
    <t>Кран шаровой VRT 1 1/2 вн/нар рукоятка</t>
  </si>
  <si>
    <t>МЕГЕОН Комплект жал 900М-Т-1,6D-K</t>
  </si>
  <si>
    <t>Практик Аптечка  AMD-39</t>
  </si>
  <si>
    <t>Кабель питания аудио-видео Buro  HDMI 1.4, 1,5м</t>
  </si>
  <si>
    <t>ПК iRU City 101 в составе INTEL Core i7 11700/ASUS TUF GAMING B560-PLUS WIFI/x16Gb/RTX3060-12GB/1Tb/</t>
  </si>
  <si>
    <t>Пистолет для герметиков двухкомпонентных VBM MR 400</t>
  </si>
  <si>
    <t>Лист горячекатаный 3х750х1250мм</t>
  </si>
  <si>
    <t xml:space="preserve">Баллон 40л </t>
  </si>
  <si>
    <t>Кислород ПЧ 40л</t>
  </si>
  <si>
    <t>Баллон аргоновый 40л</t>
  </si>
  <si>
    <t>Аргон газообразный ВЧ 40л</t>
  </si>
  <si>
    <t>Песок -микростекло 150-250мкм круглый</t>
  </si>
  <si>
    <t>Пылесос промышленный Daewoo DAVC 6025s</t>
  </si>
  <si>
    <t>GUHRING Сверло сверхкороткая серия О14мм DIN1897, HSCO</t>
  </si>
  <si>
    <t>Торцовочная пила 1800Вт DEWALT DWS777</t>
  </si>
  <si>
    <t>Верстак  Inforce 1200x686x845</t>
  </si>
  <si>
    <t>Верстак  Inforce с драйвером 1600x686x845</t>
  </si>
  <si>
    <t>Трубка термоусадочная 9,0 мм/4,5 мм длина 1м 5 шт в упак</t>
  </si>
  <si>
    <t>Дело Техники 838020 Тарелка магнитная для крепежа прямоугольная 136*237 мм 24/12</t>
  </si>
  <si>
    <t>Светогор Верстак бестумбовый СВ-ОТ,00,00,19</t>
  </si>
  <si>
    <t>Гильотина сабельного типа METALMASTER MG 1000</t>
  </si>
  <si>
    <t>Пирометр инфракрасный ADA TemPro 900( от -50с до 900с)</t>
  </si>
  <si>
    <t>Креппированная клейкая бумажная/малярная лента 50мм*50мм AVIORA</t>
  </si>
  <si>
    <t>AVIORA Перчатки хозяйственные, резиновые размер М</t>
  </si>
  <si>
    <t>Лента Brady 12.7mm/6.4m винил, черный на белом</t>
  </si>
  <si>
    <t>Калькулятор Citizen SDC-444S</t>
  </si>
  <si>
    <t>Оплетка кабельная из полиэстера FORTISFLEX XP-6 85360</t>
  </si>
  <si>
    <t>боб</t>
  </si>
  <si>
    <t>ULTIMA POXIFAST клей эпоксидный двухкомпонентный  60г</t>
  </si>
  <si>
    <t>UNI-T UT61E+ Мультиметр цифровой</t>
  </si>
  <si>
    <t>ИСТОК Респиратор-400 ПРО (РУ-60 м)</t>
  </si>
  <si>
    <t>Скотч двусторонний ширина 10 мм</t>
  </si>
  <si>
    <t>Корзина для мусора 10л пластик</t>
  </si>
  <si>
    <t>Мыло жидкое канистра 5 литров</t>
  </si>
  <si>
    <t>Клейкая лента упаковочная 48мм х 60м 40мкм прозрачная 6 шт/уп</t>
  </si>
  <si>
    <t>Мешки для мусора120л 10шт/рул</t>
  </si>
  <si>
    <t>Средство для сантехники 1л</t>
  </si>
  <si>
    <t>Штуцер 1 1/2 нар. х 38мм (латунь)</t>
  </si>
  <si>
    <t>Силиконовое уплотняющее кольцо D20 для ZnSe линз</t>
  </si>
  <si>
    <t>Приставной столик Shirei диаметр 40см зеленый</t>
  </si>
  <si>
    <t>Приставной столик Yinan диаметр 48см черный</t>
  </si>
  <si>
    <t>Пластик для 3D-принтера (ABS GF-4 черный) 1.75 vv 750гр</t>
  </si>
  <si>
    <t>Модуль прямой, ЛДСП 1000*736*1156мм</t>
  </si>
  <si>
    <t>Модуль угловой, ЛДСП 736*736*1156мм</t>
  </si>
  <si>
    <t>Модуль прямой, ЛДСП 800*736*1156мм</t>
  </si>
  <si>
    <t>Накладка с подсветкой, ЛДСП, 1160*321*536 мм</t>
  </si>
  <si>
    <t>Боковина левая, ЛДСП  741*22*1159</t>
  </si>
  <si>
    <t>Боковина правая, ЛДСП  741*22*1159</t>
  </si>
  <si>
    <t>Шкаф-Купе низкий (наполнение полки) ЛДСП 1140*410*750 мм</t>
  </si>
  <si>
    <t>Тумба подкатная (4 ящика фолдинг с замком) ЛДСП 420*450*714 мм</t>
  </si>
  <si>
    <t>Стойка угловая ЛДСП 950*950*1150 мм</t>
  </si>
  <si>
    <t>Стойка прямая ЛДСП, 1244*506*1150 мм</t>
  </si>
  <si>
    <t>Полка для стойки угловой ЛДСП 815*815*22 мм</t>
  </si>
  <si>
    <t>Тумба подкатная (4 ящика фолдинг с замком) ЛДСП 420*450*708 мм</t>
  </si>
  <si>
    <t>Стол письменный ЛДСП 1200*720*750 мм</t>
  </si>
  <si>
    <t xml:space="preserve">Кресло со средней спинкой на крестовине с колесами, габаритные размеры 680*680*990 мм Кант Dollaro </t>
  </si>
  <si>
    <t>Экран металлический перфорированный, вырезы в боковинах 1,7м2</t>
  </si>
  <si>
    <t>Решетка металлическая врезная разборная размер посадочный 485-495*290-295</t>
  </si>
  <si>
    <t>Лист АБС 1х1000х3000мм (3,18кг) Черный Песок мелкий (Z1)</t>
  </si>
  <si>
    <t>Титан Мета Скамья Ст-3</t>
  </si>
  <si>
    <t>Поворотная уличная камера IP Dahua DH-SD3A400-GNP-D-PV</t>
  </si>
  <si>
    <t>Вакуумметр цифровой VMV-1</t>
  </si>
  <si>
    <t>Пылесос PANDA 440M GA XP INOX</t>
  </si>
  <si>
    <t>Ручка-рубка угловая коническая</t>
  </si>
  <si>
    <t>Трубка удлинительная</t>
  </si>
  <si>
    <t>Шланг гофрированный с коннекторами</t>
  </si>
  <si>
    <t>Насадка для пола с изгибом</t>
  </si>
  <si>
    <t>Фильтр-корзина</t>
  </si>
  <si>
    <t>Насадка-щетка круглая</t>
  </si>
  <si>
    <t>Optical zoom camera TH10T6LN</t>
  </si>
  <si>
    <t>AEG 18B Многофункциональный инструмент 4935478943</t>
  </si>
  <si>
    <t>Верстакофф Верстак 125323</t>
  </si>
  <si>
    <t xml:space="preserve">Святогор Стол монтажный </t>
  </si>
  <si>
    <t xml:space="preserve">BRADY M21-500-595-WT лента </t>
  </si>
  <si>
    <t>Оплетка кабельная ХР-6</t>
  </si>
  <si>
    <t>м</t>
  </si>
  <si>
    <t xml:space="preserve">Ресанта Автотрансформатор </t>
  </si>
  <si>
    <t>Лента двусторонняя клейкая 5м REXANT 09-6520</t>
  </si>
  <si>
    <t>Rox Box Контейнер с крышкой 8л, прозрачный</t>
  </si>
  <si>
    <t>коврик входной</t>
  </si>
  <si>
    <t>Электронный вакууметр VG200</t>
  </si>
  <si>
    <t>Лист ПНД 4мм (1000*2000мм черный)</t>
  </si>
  <si>
    <t>Ящик п/э 600х400х300 слошной цв. синий 601</t>
  </si>
  <si>
    <t>Сумка ЗИП (Сибирь-1)</t>
  </si>
  <si>
    <t xml:space="preserve">Нить полимерная для 3D принтера  Clotho ABC Black ТУ (2кг, катушка пластиковая , пакет) 1 шт </t>
  </si>
  <si>
    <t>Расходный материал - пластик для 3D принтера REC PLA 750г</t>
  </si>
  <si>
    <t>Клей для FDM печати Picaso 250 мл</t>
  </si>
  <si>
    <t>л (дм3)</t>
  </si>
  <si>
    <t>Расходный материал - пластик для 3D принтера REC ABC 750г</t>
  </si>
  <si>
    <t>Кулер AEL LD-AEL-28</t>
  </si>
  <si>
    <t>Кулер HOTFROST V400AS</t>
  </si>
  <si>
    <t>Стаканодержатель для кулера</t>
  </si>
  <si>
    <t>Adhesol ET 200 HV Клей эпоксидный двухкомпонентный</t>
  </si>
  <si>
    <t xml:space="preserve">Смесительная насадка для двухкомпонентного клея </t>
  </si>
  <si>
    <t>Tatkraft Вешалка напольная Marvel 13605</t>
  </si>
  <si>
    <t>Кабель HDMI-HDMI FinePower 3m YdTms300</t>
  </si>
  <si>
    <t>Hardy Шпатели 0820-400400</t>
  </si>
  <si>
    <t xml:space="preserve">Jeta Safety Наушники противошумные </t>
  </si>
  <si>
    <t xml:space="preserve">Jeta Safety Перчатки с микронитриловым покрытием </t>
  </si>
  <si>
    <t>Makers Шпатель для выравнивания 902</t>
  </si>
  <si>
    <t>Rox Box Контейнер с крышкой и клипсами 10л</t>
  </si>
  <si>
    <t>Rox Box Контейнер  с крышкой 16 л, прозрачный 016-00.07</t>
  </si>
  <si>
    <t>Ящик 335х220х155 мм с крышкой и клипсами прозрачный</t>
  </si>
  <si>
    <t>RoxelPro, средний шлифок 70х198 мм 22 отверстия</t>
  </si>
  <si>
    <t>Rox Box Ящик п/п 415х300х190 мм скрышкой и клипсами прозрачный</t>
  </si>
  <si>
    <t>STAYER Миксер "MASTER" для песчано-гравийных смесей, шестигранный хвостовик, оцинкованный, 40х400мм</t>
  </si>
  <si>
    <t>Tulips tools Шпатель-скребок, 5 в 1</t>
  </si>
  <si>
    <t>Uniq tool Uniqtool Шлифок ручной "Острый угол"</t>
  </si>
  <si>
    <t>VIRTUS Шпатель для улаления ржавчины, 50мм</t>
  </si>
  <si>
    <t xml:space="preserve">VOREL Набор нерж. шпателей тип "японский" </t>
  </si>
  <si>
    <t>Зубр набор стамесок-долот "ЭКСПЕРТ", с деревянной ручкой, хромованадиевых</t>
  </si>
  <si>
    <t>Тенниска-поло синий, L (50)</t>
  </si>
  <si>
    <t>Тенниска-поло синий, М (48)</t>
  </si>
  <si>
    <t>Тенниска-поло синий, S (46)</t>
  </si>
  <si>
    <t>Тенниска-поло синий, XL (52)</t>
  </si>
  <si>
    <t>Датчик температуры и нагревательный элемент для Picaso 3D</t>
  </si>
  <si>
    <t>Вентилятор для Picaso на подшипниках</t>
  </si>
  <si>
    <t>Подшипник М63 для Picaso</t>
  </si>
  <si>
    <t>Сопло каленое 0,4мм</t>
  </si>
  <si>
    <t>Сопло каленое 0,8мм</t>
  </si>
  <si>
    <t>Сопло каленое 1 мм</t>
  </si>
  <si>
    <t>Блок нагрева для 3D принтера Picaso Designer ХL, титановый термобарьер</t>
  </si>
  <si>
    <t>Блок нагрева для 3D принтера Picaso Designer ХPRO, титановый термобарьер, левый</t>
  </si>
  <si>
    <t>компл</t>
  </si>
  <si>
    <t>Этикетки А4</t>
  </si>
  <si>
    <t>Порошок ONSINT PA12 10кг</t>
  </si>
  <si>
    <t>Фреза кукуруза  твердосплавная</t>
  </si>
  <si>
    <t>Монолитный поликарбонат 2050*3050 (3мм) черный</t>
  </si>
  <si>
    <t>л.</t>
  </si>
  <si>
    <t>Муфта DIN 7965 M 5x12 оц</t>
  </si>
  <si>
    <t>Болт имбус 5х25 Din 912 оцинк 8,8</t>
  </si>
  <si>
    <t>Камера SY ZT30 Optical Pod</t>
  </si>
  <si>
    <t>Разъем MR30 (папа)</t>
  </si>
  <si>
    <t>Разъем MR30 (мама)</t>
  </si>
  <si>
    <t>Стойка приемника GPS Tarot</t>
  </si>
  <si>
    <t>Сервотестер G.T. Power</t>
  </si>
  <si>
    <t>GPS приемник HEX HERE 3 GPS</t>
  </si>
  <si>
    <t>Шкаф с раздвижными дверями 1800х440Н1950</t>
  </si>
  <si>
    <t>Шкаф с полками, двери глухие, 800х400Н1950</t>
  </si>
  <si>
    <t>Гардероб (наполнение полка+вешало), двери глухие 800х400Н1950</t>
  </si>
  <si>
    <t>Стол переговорный 240х120х72см Столешница ЛДСП Опоры металл</t>
  </si>
  <si>
    <t>Диван В*Ш*Г 85*203*94см, обивка велюр, цвет серый</t>
  </si>
  <si>
    <t>Кресло с высокой спинкой В*Ш*Г 109-119*65,5*68см, обивка велюр, цвет синий</t>
  </si>
  <si>
    <t>Кресло с низкой спинкой В*Ш*Г 79-89*70*66см, обивка велюр, цвет серый</t>
  </si>
  <si>
    <t>Стол кофейный тип 1 D550h450 столешница белый мрамор, база металл</t>
  </si>
  <si>
    <t>Стол кофейный тип 2 D570h500 столешница черный мрамор, база металл</t>
  </si>
  <si>
    <t>Стол кофейный тип 3 D550h500 столешница серый мрамор, база металл</t>
  </si>
  <si>
    <t>Шкаф низкий 800х420хh750 цвет белый</t>
  </si>
  <si>
    <t>Кресло на металлической базе, обивка велюр, цвет синий В*Ш*Г 98-108*85*76см</t>
  </si>
  <si>
    <t>Кресло на роликах, Обивка сетка, Каркас пластик, цвет серый</t>
  </si>
  <si>
    <t>Столешница для барного стола, ЛДСП, цвет Н-3331 Дуб Небраска</t>
  </si>
  <si>
    <t>Труба АД31Т1 ф6х1х3000 мм</t>
  </si>
  <si>
    <t>Труба АД31Т1 ф8х1х3000 мм</t>
  </si>
  <si>
    <t>Труба АД31Т1 ф10х1х3000 мм</t>
  </si>
  <si>
    <t>Труба АД31Т1 ф12х1х6000 мм</t>
  </si>
  <si>
    <t>Труба АД31Т1 ф16х1х6000 мм</t>
  </si>
  <si>
    <t>Труба АД31Т1 ф18х1х6000 мм</t>
  </si>
  <si>
    <t>DJTOL Фреза компрессионная однозаходная A1FLX4.32</t>
  </si>
  <si>
    <t>DJTOL Фреза компрессионная однозаходная A1FLX6.45</t>
  </si>
  <si>
    <t>Термотрансферный принтер этикеток TSC TE200</t>
  </si>
  <si>
    <t>Фреза NL2QX6</t>
  </si>
  <si>
    <t>Беспроводной сканер штрих-кода Datalogic QuickScan I QBT2430</t>
  </si>
  <si>
    <t>DJTOL Фреза спиральная однозаходная N1LX8.52</t>
  </si>
  <si>
    <t>JET Фрезерно-сверлильный станок JMD-1</t>
  </si>
  <si>
    <t>Этикет-лента 43*25 полуглянец (1000 этикеток в ролике)</t>
  </si>
  <si>
    <t>Красящая лента TS WAX Premium 300м/60мм/60мм</t>
  </si>
  <si>
    <t>PACK INNOVATION Пакет с замком Zip-Lock 20x35 см особопр. 80мкм 1000шт</t>
  </si>
  <si>
    <t>RoxelPro, Длинный шлифок 70х400мм, 53 отверствия</t>
  </si>
  <si>
    <t>ШАБАШКА Шпатель Для Клея Прямой 80мм S3 Зуб 2,5х2мм</t>
  </si>
  <si>
    <t>ШАБАШКА Шпатель Для Клея Трапеция 250мм S3 Зуб 2,5x2 мм</t>
  </si>
  <si>
    <t>Святогор Верстак бестумбовый</t>
  </si>
  <si>
    <t xml:space="preserve">Коронка </t>
  </si>
  <si>
    <t>Пакеты для мусора</t>
  </si>
  <si>
    <t>Ручка телескопическая</t>
  </si>
  <si>
    <t xml:space="preserve">МОП х/б с резьбовым креплением </t>
  </si>
  <si>
    <t>Одноведерная тележка 25л с отжимом, лоток, металлическая рама UCTEM 1/2</t>
  </si>
  <si>
    <t>Двухведерная тележка по 25л с отжимом, лоток UCTEM 1/1 1/2</t>
  </si>
  <si>
    <t xml:space="preserve">Флаундер пластиковый складной </t>
  </si>
  <si>
    <t xml:space="preserve"> Ручка алюминиевая для флаундеров</t>
  </si>
  <si>
    <t xml:space="preserve">МОП полиэстер+микроволокно+вискоза, уши+карманы </t>
  </si>
  <si>
    <t>МОП микрофибра, уши+карманы</t>
  </si>
  <si>
    <t>Средство для мытья окон</t>
  </si>
  <si>
    <t xml:space="preserve">Держатель для шубки </t>
  </si>
  <si>
    <t>Шубка для стекла микрофибра на липучке</t>
  </si>
  <si>
    <t xml:space="preserve">Скребок для удаления загрязнений со стекла и других поверхностей, пластик, под штангу </t>
  </si>
  <si>
    <t>Мыло хозяйственное</t>
  </si>
  <si>
    <t>Средство чистящее для унитаза</t>
  </si>
  <si>
    <t>ПЕМОЛЮКС чистящ. порошок</t>
  </si>
  <si>
    <t>Средство нейтральное для мытья полов</t>
  </si>
  <si>
    <t>Салфетка вискоза</t>
  </si>
  <si>
    <t>Салфетка микрофибра красная</t>
  </si>
  <si>
    <t xml:space="preserve">Салфетка микрофибра синяя </t>
  </si>
  <si>
    <t>Салфетка микрофибра желтая</t>
  </si>
  <si>
    <t>Щетка для пола 50см</t>
  </si>
  <si>
    <t xml:space="preserve">Ручка алюминиевая </t>
  </si>
  <si>
    <t>Панель Light с полимерным покрытием 2,03х2,5, пруток 3,5 мм 4 ребра</t>
  </si>
  <si>
    <t>Столб 60х60 длина 2м</t>
  </si>
  <si>
    <t>Комплект крепления скоба+саморез</t>
  </si>
  <si>
    <t>Каркас ворот распашных 3,0х2,03.</t>
  </si>
  <si>
    <t>Каркас калитки распашной 1,0х2,03.</t>
  </si>
  <si>
    <t>Заглушки на столбы</t>
  </si>
  <si>
    <t>Замок на калитку KALE врезной с ручками</t>
  </si>
  <si>
    <t>R30 Optical Pod</t>
  </si>
  <si>
    <t>Шкаф "ШБ-3" для трех баллонов 40л (серый, 820х1600х300)</t>
  </si>
  <si>
    <t>Шкаф "ШБ-2" для двух баллонов 40л (серый, 550х1600х300)</t>
  </si>
  <si>
    <t>Подставка для шкафа "ШБ-3"</t>
  </si>
  <si>
    <t>Подставка для шкафа "ШБ-2"</t>
  </si>
  <si>
    <t>Хомут</t>
  </si>
  <si>
    <t>АБС пластик, обрезки</t>
  </si>
  <si>
    <t>Быстросъём1</t>
  </si>
  <si>
    <t>Быстросъём2</t>
  </si>
  <si>
    <t>Быстросъём3</t>
  </si>
  <si>
    <t>Быстросъём4</t>
  </si>
  <si>
    <t>GPS приемник HEX HERE 3+ GPS</t>
  </si>
  <si>
    <t>DC-DC повышающий конвертер 600 Вт</t>
  </si>
  <si>
    <t>Модуль питания QSKJ QS-4805CBAN-90W</t>
  </si>
  <si>
    <t>Модуль питания RCNUN RC481210 с защитой корпуса IP68</t>
  </si>
  <si>
    <t>ПВХ белый 1мм 3050х1560х1 UNEXT STR</t>
  </si>
  <si>
    <t>ПВХ белый 2мм 3050х1560х2 UNEXT STR</t>
  </si>
  <si>
    <t>ПВХ белый 3мм 3050х1560х3 UNEXT STR</t>
  </si>
  <si>
    <t>ПВХ белый 5мм 3050х1560х5 UNEXT STR</t>
  </si>
  <si>
    <t>Gigant Бак для мусора 240 л</t>
  </si>
  <si>
    <t xml:space="preserve">Плошкин Ложкин Набор ситечек </t>
  </si>
  <si>
    <t>СИБРТЕХ Щетка деревянная 500мм 84620</t>
  </si>
  <si>
    <t>LM922-334 Пластик Rowmark (1.5х1220х600мм) Серебро сатиновое/Черный</t>
  </si>
  <si>
    <t>Пластик для 3D-принтера (AEROTEX) 1.75 vv 750гр</t>
  </si>
  <si>
    <t>AEG Бур SDS+ 10х160 4932478688</t>
  </si>
  <si>
    <t>AEG Бур SDS+ 8х160 4932478688</t>
  </si>
  <si>
    <t>Bosch Перфоратор  240</t>
  </si>
  <si>
    <t xml:space="preserve">Color Штамп самонаборный </t>
  </si>
  <si>
    <t>Denzel Аппарат инвентор дуговой сварки</t>
  </si>
  <si>
    <t>Маркер белый</t>
  </si>
  <si>
    <t>ExeGate Кабель питания Евровилка 264333</t>
  </si>
  <si>
    <t>Стяжка нейлоновая 3х150</t>
  </si>
  <si>
    <t>Gigant Щетка Пеликан с черенком</t>
  </si>
  <si>
    <t>Inforce Электроды MP-3 синие 3мм</t>
  </si>
  <si>
    <t xml:space="preserve">JTC Кернер автоматический </t>
  </si>
  <si>
    <t xml:space="preserve">Kraftool Ножовка мини по металлу </t>
  </si>
  <si>
    <t>ProsKit Набор ключей HW-609B</t>
  </si>
  <si>
    <t>Proxxon Алмазный отреной диск 28840</t>
  </si>
  <si>
    <t xml:space="preserve">RUSKLAD Тележка платформенная </t>
  </si>
  <si>
    <t xml:space="preserve">Proxxon Армированные отрезные диски </t>
  </si>
  <si>
    <t xml:space="preserve">ЕВРОПАТНЕР Гайка М3 </t>
  </si>
  <si>
    <t>Саморез кровельный 90шт.</t>
  </si>
  <si>
    <t>Профессионал комплект кабеля 16мм 10-25 803</t>
  </si>
  <si>
    <t>Креп-комп Анкер 10х80 50шт.</t>
  </si>
  <si>
    <t xml:space="preserve">Ресанта Угольник магнитный </t>
  </si>
  <si>
    <t>Рыжий кот Корзина для бумаг 312559</t>
  </si>
  <si>
    <t xml:space="preserve">ЦКИ Саморез Din7981 </t>
  </si>
  <si>
    <t>ЯСХИМ УАЙТ-СПИРИТ 0,5л</t>
  </si>
  <si>
    <t>Брошюровщик Bulros К-1500</t>
  </si>
  <si>
    <t>NIKOMAX Оптический кросс 19", 1U, до 24 SC портом или 48 LC портов, серый</t>
  </si>
  <si>
    <t>NIKOMAX Оптический кросс 19" 2U, до 48 SC портов или 96 LC портов, серый</t>
  </si>
  <si>
    <t>МТК Болты DIN 933 5.8 Zn 1кг, 8х25</t>
  </si>
  <si>
    <t>РК ГРУП Лента прямая LP 20х0,7 25м</t>
  </si>
  <si>
    <t>ЦКИ Пластина перфорированная угловая 80х80х80х2.0 (20 шт)</t>
  </si>
  <si>
    <t>NORDBERG Ультразвуковая мойка с подогревом,10л</t>
  </si>
  <si>
    <t xml:space="preserve">Ода сервис Моющая жидкость для ультразвуковой ванны InjCleaner ODA-26503 </t>
  </si>
  <si>
    <t>Пылесос профессиональный 3000W 100I Meran VC-3/100T</t>
  </si>
  <si>
    <t>Bella Cucina Кастрюля со стеклянной крышкой, 24см, 5,6л BC-2139</t>
  </si>
  <si>
    <t>Inforce Набор комбинированных ключей Non-Slip 12 предметов</t>
  </si>
  <si>
    <t>Inforce Набор отверток диэлектрических 7шт</t>
  </si>
  <si>
    <t>Kitfort Индукционная плитка KT-107</t>
  </si>
  <si>
    <t>KUDO Эмаль универсальная акриловая RAL 9003 белая матовая 520мл</t>
  </si>
  <si>
    <t>Ryobi ONE+ Аккумуляторная угловая шлифмашина R18AG-0 без аккумулятора в комлекте</t>
  </si>
  <si>
    <t>Ryobi Перфоратор SDS ONE+ R18SDS-0 Без аккумулятора в комплекте</t>
  </si>
  <si>
    <t xml:space="preserve">КВТ КТ 208А "PROLINE" Токовые клещи цифровые </t>
  </si>
  <si>
    <t>Ресанта Лампа светодиодная LL-R-A65-15W-230-3K-E27</t>
  </si>
  <si>
    <t>CEM DT-175CV1 Регистратор тока и напряжения3</t>
  </si>
  <si>
    <t>Клей герметик для проклейки тачскринов T-7000, черный,15мл</t>
  </si>
  <si>
    <t>Inforce Верстак с драйвером 1600х686х845 LW-2</t>
  </si>
  <si>
    <t>КОБАЛЬТ Заклепки резьбовые стальные, М5х13.0мм 50шт</t>
  </si>
  <si>
    <t>Тара.ру ТАРА Ведро металлическое 27л синий цвет крышка-обруч</t>
  </si>
  <si>
    <t>Подвесной светильник OVALE 4000K 60W 1500х700х100х80</t>
  </si>
  <si>
    <t>Смартфон РОСО С40 3/32GB Черный</t>
  </si>
  <si>
    <t>Этал-01447ТВ (Т) Гелькоут матричный 5 кг</t>
  </si>
  <si>
    <t>Втулка проходная Втулки 3х8х5х4,5х1,5</t>
  </si>
  <si>
    <t>Втулка проходная Втулки 3х14х10х6х2</t>
  </si>
  <si>
    <t>Разъем Plug 3.0 M+F</t>
  </si>
  <si>
    <t>МДФ шлифованная F 38х2800х2070мм</t>
  </si>
  <si>
    <t>МДФ шлифованная ST 12х2800х2070мм</t>
  </si>
  <si>
    <t>Состав для заполнения пористых поверхностей Mikon 399 MC (1.2кг)</t>
  </si>
  <si>
    <t>Струбцина с пружинным зажимом Dexter 140мм</t>
  </si>
  <si>
    <t>Струбцина F-образная Dexter 200мм</t>
  </si>
  <si>
    <t>Струбцина F-образная Dexter 150мм, 2шт</t>
  </si>
  <si>
    <t>Разъем для батареи XT60(папа-мама)</t>
  </si>
  <si>
    <t>Разъем для батареи ХТ60+ (папа-мама) с кожухом для защиты провода от выдирания</t>
  </si>
  <si>
    <t>Разъём для батареи ХТ90(папа-мама)</t>
  </si>
  <si>
    <t>Разъём для батареи ХТ90 Antispark (папа-мама)</t>
  </si>
  <si>
    <t>Adtek Клей термоплавкий в стержнях 702, 11мм</t>
  </si>
  <si>
    <t>Луч алюминиевый 220мм</t>
  </si>
  <si>
    <t>Bahco ножовка универсальная NP-22-U7/8-HP</t>
  </si>
  <si>
    <t>EcoLat Перчатки диагност. смотров. из латекса, текстур. 50 2020/XL</t>
  </si>
  <si>
    <t>FORT Черенок Форт для швабры в/с d22 с резьбой</t>
  </si>
  <si>
    <t>Крепа луча несущая</t>
  </si>
  <si>
    <t>Gigant Бак для мусора 240л QEE-02</t>
  </si>
  <si>
    <t>KRAFTOOL Pro Пистолет термоклеящий 300Вт</t>
  </si>
  <si>
    <t>STERN Клей для MDF быстрозастывающий 100гр.+400мл.</t>
  </si>
  <si>
    <t xml:space="preserve">Мемотерм-ММ Спиральная лента ЛСТ-10 черная 10 м </t>
  </si>
  <si>
    <t xml:space="preserve">Замочки </t>
  </si>
  <si>
    <t>ООО Комус Мешки для мусора ПВД 240л 80мкм 10шт/уп черные 90х140см</t>
  </si>
  <si>
    <t>Дека центральная</t>
  </si>
  <si>
    <t>Упорчик</t>
  </si>
  <si>
    <t>Преобраз.напряжения Matek Ubec DUO А4/5~12V</t>
  </si>
  <si>
    <t>Стойка алюминиевая 35мм</t>
  </si>
  <si>
    <t>Стеклотекстолит СТЭФ 2мм, 1000х2000мм</t>
  </si>
  <si>
    <t>3D печатные детали для БЛПА</t>
  </si>
  <si>
    <t>Деталь "Обтекатель в1" 2мм</t>
  </si>
  <si>
    <t>Картридж SAKURA TN2375 для Brother HL-L2300DR, HL-L2340DWR, HL-L2360DNR, HL-L2365DWR, DCP-L2500DR, D</t>
  </si>
  <si>
    <t>Пудра алюминиевая ПАП-2 ГОСТ 5494-2022</t>
  </si>
  <si>
    <t>Карбоновая трубка 3К 10х8х1000</t>
  </si>
  <si>
    <t>Dollex Насос для перекачки технических жидковстей, ручной груша с краном 3.0 м RPU-009</t>
  </si>
  <si>
    <t>OILCOOL концентрат СОЖ 216 л PATRIOT216</t>
  </si>
  <si>
    <t>Кнопка: LXA2 (3SA5)-BS542 on-off</t>
  </si>
  <si>
    <t>Светодиодная лента: 2835 300LED IP33 12V BLUE</t>
  </si>
  <si>
    <t>Разъем BLHK16-7PB 7 pin</t>
  </si>
  <si>
    <t>Картридж NV Print TK-5240 Cyan для Kyocera ECOSYS P5026cdn/P5026cdw/M5526cdn/M5526cdw (3000k)</t>
  </si>
  <si>
    <t>Картридж NV Print TK-5240 Yellow для Kyocera ECOSYS P5026cdn/P5026cdw/M5526cdn/M5526cdw (3000k)</t>
  </si>
  <si>
    <t>Картридж NV Print TK-5240 Black для Kyocera ECOSYS P5026cdn/P5026cdw/M5526cdn/M5526cdw (4000k)</t>
  </si>
  <si>
    <t>Картридж NV Print TK-5240 Magenta для Kyocera ECOSYS P5026cdn/P5026cdw/M5526cdn/M5526cdw (3000k)</t>
  </si>
  <si>
    <t>Док станция USB Type C 5 в 1 KS-is (KS-561)</t>
  </si>
  <si>
    <t>Труба профильная 25х25х1,5 мм квадратная 6м</t>
  </si>
  <si>
    <t>Труба профильная 40х40х2мм квадратная 6м</t>
  </si>
  <si>
    <t>Профнастил С8 1,2х2м 0,45мм зеленый</t>
  </si>
  <si>
    <t>Струбцина с пружинным зажимом Dexter 75мм</t>
  </si>
  <si>
    <t>Клей ISISTEM FAST для вклейки стекол 310мл</t>
  </si>
  <si>
    <t>Круг Film Green 125мм 8 отв.P120</t>
  </si>
  <si>
    <t>Лак KUDO акриловый матовый 520мл</t>
  </si>
  <si>
    <t>Эмаль АСТРОХИМ для дисков черная 520мл, АС-602</t>
  </si>
  <si>
    <t>TELCORD ШОС-2х3.0-2LC/U(dx)-2LC/U(dx)-MM503-1м-LSZH-AQ Шнур оптический duplex (ШОС), LC/UPC duplex -</t>
  </si>
  <si>
    <t xml:space="preserve">TELCORD ШОС-0.9-РТ-LC/U-MM503-1.5м-L SZH-AQ Шнур оптический (ШОС) pigtail LC/UPC, MM50(OM3), 0.9vv, </t>
  </si>
  <si>
    <t>TELCORD AD-LC/MM-DX-AQ Оптическая розетка (адаптер) duplex LC/MM (SC-type), корпус аква</t>
  </si>
  <si>
    <t>TELCORD KDZS-60 Комплект деталей для защиты места сварки (КДЗС) 60мм</t>
  </si>
  <si>
    <t>Пистолет для герметиков Soudal красный 300мл</t>
  </si>
  <si>
    <t>Камера SIYI ZR30</t>
  </si>
  <si>
    <t>Беспилотное воздушное судно "Зубочистка"</t>
  </si>
  <si>
    <t>Полетный контроллер HEX  cube orange mini</t>
  </si>
  <si>
    <t>Полетный контроллер HEX cube orange+</t>
  </si>
  <si>
    <t>Разъем Amass типа банан/пуля 10 пар</t>
  </si>
  <si>
    <t>Аккумулятор LION 21700,4S2P, XT60 (Сибирячок)</t>
  </si>
  <si>
    <t>RBattery. Плата комплекса тестирования АКБ</t>
  </si>
  <si>
    <t>RTrust. Плата комплекса тестирования ВМГ</t>
  </si>
  <si>
    <t>Сибирь-1 Пластина контакта</t>
  </si>
  <si>
    <t>Камера SIYI ZR10</t>
  </si>
  <si>
    <t>Модуль питания CUAV can pmu</t>
  </si>
  <si>
    <t>Модуль питания Mauch PL-200</t>
  </si>
  <si>
    <t>Компас CUAV IST8</t>
  </si>
  <si>
    <t>Модуль питания100А*2 BEC (12V + 3-20V 2A)</t>
  </si>
  <si>
    <t>Пигмент Black SL (117 гр) 823-005</t>
  </si>
  <si>
    <t>Угловое соединение Corti 10mm</t>
  </si>
  <si>
    <t>Тройник Corti 10mm</t>
  </si>
  <si>
    <t>Аэросил-380 (10кг) Китай</t>
  </si>
  <si>
    <t>Гелькоут Resolcoat 7090 NOIR (25кг)</t>
  </si>
  <si>
    <t>Отвердитель</t>
  </si>
  <si>
    <t>Эпоксидная смола Resoltech 1500 (200кг)</t>
  </si>
  <si>
    <t>Отвердитель 1504 (30кг)</t>
  </si>
  <si>
    <t>Отвердитель 7091T (7,5кг)</t>
  </si>
  <si>
    <t>Ведро металлическое 10 л с крышкой</t>
  </si>
  <si>
    <t>Лист горячекатный 2х750х1250мм</t>
  </si>
  <si>
    <t>Лист алюминиевый 1.2х600х1200мм гладкий</t>
  </si>
  <si>
    <t xml:space="preserve">INGCO Набор шарнирно-губцевого инструмента </t>
  </si>
  <si>
    <t>Пластик для 3D-принтера 1,75мм 750г</t>
  </si>
  <si>
    <t>Фиксатор упорный АРТ.К340.1104</t>
  </si>
  <si>
    <t>Сетка "Железный слон" ромб 60х30 пер. 1.5х3мм стальная</t>
  </si>
  <si>
    <t>REXANT Трубка термоусаживаемая 8,0/4,0 мм</t>
  </si>
  <si>
    <t>Холодильник однокамерный NORDFROST NR 506B Черный матовый</t>
  </si>
  <si>
    <t>Арикон Ацетон 10л</t>
  </si>
  <si>
    <t>Тара.ру Ящик</t>
  </si>
  <si>
    <t xml:space="preserve">Тенниска-поло синий, XXL(54) </t>
  </si>
  <si>
    <t>Cabeus Кабель питания компьютера (Schuko+C13)(3x1.0),1.2м</t>
  </si>
  <si>
    <t xml:space="preserve">FIT DIY Кисти флейцевые, набор 3шт., 1, 1.5, 2дюйма </t>
  </si>
  <si>
    <t>GAH ALBERTS уголок пепфо оц. 90х90х40х3мм</t>
  </si>
  <si>
    <t>Proremontt Грунт-Эмаль 3в1 быстросохнущая серая матовая 15кг</t>
  </si>
  <si>
    <t>Proxxon Армированные отрезные диски PR-28808</t>
  </si>
  <si>
    <t xml:space="preserve">REXANT Разъем питания C14 3PIN 250V 6A 10шт </t>
  </si>
  <si>
    <t>REXANT Разъем питания C14 3PIN 250V 10A 10шт</t>
  </si>
  <si>
    <t>Буревестник Линейка металлическая с двусторонней шкалой 300х19х06мм</t>
  </si>
  <si>
    <t>Гарнизон Кабель USB 2.0 1м</t>
  </si>
  <si>
    <t>Латунина Ручка-скоба PC-60-C алюминий</t>
  </si>
  <si>
    <t>СИБРТЕХ Угольник, 300мм, металлический</t>
  </si>
  <si>
    <t>ЦКИ ГАЙКА DIN985 М3 Ц</t>
  </si>
  <si>
    <t>AVIORA Креппированная клейкая бумажная/малярная лента 50мм 50м</t>
  </si>
  <si>
    <t>EcoLat Перчатки нитриловые Black 100шт/уп размер L</t>
  </si>
  <si>
    <t>EDGE by PATRIOT Бита PZ1 длина 25мм, 3шт в блистере</t>
  </si>
  <si>
    <t>Gigant Шланг универсальный из прозрачного ПВХ L=10м, D=100мм, S=0,5мм</t>
  </si>
  <si>
    <t>KRAFTOOL Optimum Line Биты, PH2, 50мм, 10шт в блистере</t>
  </si>
  <si>
    <t>Биты для шуруповерта</t>
  </si>
  <si>
    <t>Stayer Наушники "MASTER" защитные</t>
  </si>
  <si>
    <t>Tech-Krep Саморез ШСММ 4,2х25 200шт</t>
  </si>
  <si>
    <t>Белмаш Лента шлифовальная 152х1219 Р150 упак.5шт</t>
  </si>
  <si>
    <t>ЗУБР 23х35см протирочная бумага в рулоне, 2-х слойная, 1000 листов</t>
  </si>
  <si>
    <t>ПАКС Стеллаж МС-254 разрезной</t>
  </si>
  <si>
    <t>Фрукты</t>
  </si>
  <si>
    <t>Пластик для 3D-принтера (РА6 черный) 1.75мм 750кг</t>
  </si>
  <si>
    <t>Подставка-стакан для канцелярских мелочей</t>
  </si>
  <si>
    <t>Журнал регистрации вводного инструктажа по ОТ</t>
  </si>
  <si>
    <t>Лоток вертикальный</t>
  </si>
  <si>
    <t>Бумага туалетная Luscan 24рул/уп</t>
  </si>
  <si>
    <t>Точилка металлическая Attache</t>
  </si>
  <si>
    <t>Дырокол 40 листов</t>
  </si>
  <si>
    <t>Линейка 30см</t>
  </si>
  <si>
    <t>Карандаш Attache 6шт/уп</t>
  </si>
  <si>
    <t>Стакан одноразовый бумажный 40мл 50шт/уп</t>
  </si>
  <si>
    <t>Папка-конверт на кнопке 10шт/уп</t>
  </si>
  <si>
    <t>Папка-планшет Комус с крышкой,черный</t>
  </si>
  <si>
    <t>Папка-планшет BANTEX черный д/бумаг А4</t>
  </si>
  <si>
    <t>Журнал учета противопожарных инструктажей</t>
  </si>
  <si>
    <t>Скрепки 28мм 70шт</t>
  </si>
  <si>
    <t>Ручка шариковая 0,5мм</t>
  </si>
  <si>
    <t>Нить прошивная белая</t>
  </si>
  <si>
    <t>Скрепки 28мм 100шт</t>
  </si>
  <si>
    <t>Термоэтикетки 43х25 1000шт/рул</t>
  </si>
  <si>
    <t>Риббон 60мм х 300м OUT Wax Mild</t>
  </si>
  <si>
    <t>Подставка Attache для блок-кубиков чёрный</t>
  </si>
  <si>
    <t>Журнал регистрации инструктажа на рабочем месте</t>
  </si>
  <si>
    <t>Корзина круглая 14л черная</t>
  </si>
  <si>
    <t>Вертикальный накопитель Attache 72мм черный</t>
  </si>
  <si>
    <t>Журнал регистрации несчастных случаев на производстве</t>
  </si>
  <si>
    <t>Шредер Buro</t>
  </si>
  <si>
    <t>Ножницы Attache 169мм</t>
  </si>
  <si>
    <t xml:space="preserve">Скрепочница </t>
  </si>
  <si>
    <t>Молоко Домик в Деревне 3,2%</t>
  </si>
  <si>
    <t>Клейкая лента упаковочная 48ммх66мх45мкм прозрачная</t>
  </si>
  <si>
    <t>Клейкая лента двусторонняя 48мм х 25м</t>
  </si>
  <si>
    <t>Экран матовый для PDS MIC ( Arling,Пластик)</t>
  </si>
  <si>
    <t>Блок для записей в подставке 9х9х9 белый</t>
  </si>
  <si>
    <t>Стакан одноразовый бумажный 1000шт/кор</t>
  </si>
  <si>
    <t>Профиль PDS-F-2000 ANOD</t>
  </si>
  <si>
    <t>Корректирующая лента 5ммх6м</t>
  </si>
  <si>
    <t>Лоток горизонтальный 340х255х63мм</t>
  </si>
  <si>
    <t>Стикеры куб 76х76 400л</t>
  </si>
  <si>
    <t>Клейкие закладки 12ммх45</t>
  </si>
  <si>
    <t xml:space="preserve">Гайка Заклепка стандартный борт М4 (0,5-3) с насечкой </t>
  </si>
  <si>
    <t>Гайка Заклепка стандартный борт М5 (0,5-3) с насечкой</t>
  </si>
  <si>
    <t>Винт  ISO ( 7380) М6х50</t>
  </si>
  <si>
    <t xml:space="preserve">Ручка шариковая неавтоматическая 0,7мм </t>
  </si>
  <si>
    <t>Зажимы для бумаг 41мм 12шт/уп</t>
  </si>
  <si>
    <t>Маркер текстовыделитель 1-4мм</t>
  </si>
  <si>
    <t>Карандаш 0,5мм синий</t>
  </si>
  <si>
    <t>Линейка 20см</t>
  </si>
  <si>
    <t>Карандаш чернографитный</t>
  </si>
  <si>
    <t>Винт ISO (7380 ) М5х16</t>
  </si>
  <si>
    <t>Калькулятор EM888F</t>
  </si>
  <si>
    <t>Батарейка DURACELL</t>
  </si>
  <si>
    <t>Папка уголок 180мкм 10шт/уп</t>
  </si>
  <si>
    <t>Конверт белый 229х324 50шт/уп</t>
  </si>
  <si>
    <t>Зажимы для бумаг 25мм 12шт/уп</t>
  </si>
  <si>
    <t>Набор настольный JC805</t>
  </si>
  <si>
    <t>Корректирующий карандаш 8мл</t>
  </si>
  <si>
    <t>Скоросшиватель пластиковый</t>
  </si>
  <si>
    <t>Винт ISO (7380 ) М4х25</t>
  </si>
  <si>
    <t>Винт DIN ( 7991) М4х10</t>
  </si>
  <si>
    <t>Винт DIN ( 7991) М4х25</t>
  </si>
  <si>
    <t>Винт ISO (7380 ) М3х12</t>
  </si>
  <si>
    <t>Винт DIN ( 7991) М5х10</t>
  </si>
  <si>
    <t>Винт DIN ( 7991) М3х16</t>
  </si>
  <si>
    <t>Винт DIN ( 7991) М3х12</t>
  </si>
  <si>
    <t>Винт DIN ( 965 ) М3х8 оц.</t>
  </si>
  <si>
    <t>Винт ISO (7380 ) М4х12</t>
  </si>
  <si>
    <t>Винт ISO (7380 ) М5х10</t>
  </si>
  <si>
    <t>Гайка Заклепка стандартный борт М8 (1,5-4) с насечкой</t>
  </si>
  <si>
    <t>Гайка Din982 М6 оц.</t>
  </si>
  <si>
    <t>Гайка Din982 М5 оц.</t>
  </si>
  <si>
    <t>Гайка Din982 М4 оц.</t>
  </si>
  <si>
    <t>Шлифовальный материал R550 P120</t>
  </si>
  <si>
    <t>Шлифовальный материал R550 P240</t>
  </si>
  <si>
    <t>Шлифовальный материал R550 P80</t>
  </si>
  <si>
    <t>Шлифовальный материал S181 P60</t>
  </si>
  <si>
    <t>Заклёпка DIN ( 7337) вытяжная стандартный борт 3,2х6</t>
  </si>
  <si>
    <t>Винт ISO (7380 ) М5х45</t>
  </si>
  <si>
    <t>Адаптер беспроводной TP-LINK T2U Ples</t>
  </si>
  <si>
    <t>Картридж струйный T2 №123XL (IC-HF6V18A для HP Deskjet цветной</t>
  </si>
  <si>
    <t>Картридж струйный T2 №123XL (IC-HF6V18A для HP Deskjet черный</t>
  </si>
  <si>
    <t>Жесткий диск 3,5 8ТВ</t>
  </si>
  <si>
    <t xml:space="preserve">Репитер Baltic Signal </t>
  </si>
  <si>
    <t>CNIC Патрон цанговый с хв-ком M16x2.0 55940</t>
  </si>
  <si>
    <t>Duracell батарейки AA/LR6 18шт.</t>
  </si>
  <si>
    <t>GRASS Бумага протирочная 23х35см</t>
  </si>
  <si>
    <t>Inforce сверло по металлу 2х49х24мм 2шт</t>
  </si>
  <si>
    <t>KRAFTOOL AR-64 Заклепочник 31185_z02</t>
  </si>
  <si>
    <t>WOODWORK ER32 D=3 Цанга высокоточная 0,01мм</t>
  </si>
  <si>
    <t>БосХоз Мусорный бак 120л</t>
  </si>
  <si>
    <t>ЗУБР Зенкер конусный d10,4х50мм M5</t>
  </si>
  <si>
    <t>Сверло по металлу 1.5х40мм</t>
  </si>
  <si>
    <t>Стекло прозрачное 5мм 400х245мм</t>
  </si>
  <si>
    <t>Element Коврик термостойкий 16699</t>
  </si>
  <si>
    <t>Sparta Третья рука 914605</t>
  </si>
  <si>
    <t>Карбон 80г/м однонаправленный (0) (100см)</t>
  </si>
  <si>
    <t>Беспилотное воздушное судно "Втулка с камерой х30"</t>
  </si>
  <si>
    <t>Беспилотное воздушное судно "Втулка с тепловизором"</t>
  </si>
  <si>
    <t>Регулятор T-Motor Air 40A</t>
  </si>
  <si>
    <t>Электродвигатель GARTT MT5210</t>
  </si>
  <si>
    <t>Продукты питания</t>
  </si>
  <si>
    <t>Уплотнитель U-образный 3м, уплотнитель п образный резиновый</t>
  </si>
  <si>
    <t>Камера FH336V2  36xOptical Zoom Starling</t>
  </si>
  <si>
    <t>Баллон сменный для освежителя</t>
  </si>
  <si>
    <t>LAVR Антискотч 400мл</t>
  </si>
  <si>
    <t>PROJAHN Бур Rocket 5 10x260мм</t>
  </si>
  <si>
    <t>PROJAHN Бур 6мм Rocket 5 L=110мм</t>
  </si>
  <si>
    <t>PROJAHN Бур 8мм Rocket 5 L=160мм</t>
  </si>
  <si>
    <t>Ryobi ONE+ Аккумулятор RB18</t>
  </si>
  <si>
    <t>WHDZ Клещи WH3303</t>
  </si>
  <si>
    <t>ПРАКТИКА Биты PH-2-110мм 036-575</t>
  </si>
  <si>
    <t>ПРАКТИКА Набор бит 3шт 776-362</t>
  </si>
  <si>
    <t>ПРАКТИКА Набор сверл по металлу 19шт 1-10мм 640-308</t>
  </si>
  <si>
    <t>5Bites Сетевой фильтр 3м SP5B-330</t>
  </si>
  <si>
    <t>IEK Сетевой фильтр 5 мест 1.5 метра 3х1 мм</t>
  </si>
  <si>
    <t>UNIVersal Удлинитель s-304а длина 3м 1734</t>
  </si>
  <si>
    <t>UNIVersal Удлинитель s-304а длина 7м 1736</t>
  </si>
  <si>
    <t>Vektor Сетевой фильтр 3.5 кВт 5м 16527</t>
  </si>
  <si>
    <t>HKL20 Ключ торцевой удлинненый H2</t>
  </si>
  <si>
    <t>EME Половник NACRE 7718</t>
  </si>
  <si>
    <t>HKLB20 Ключ торцевой удлинненый  Н2</t>
  </si>
  <si>
    <t>Jeta Safety Перчатки 12 пар JP011w-L</t>
  </si>
  <si>
    <t>HKLB25 Ключ торцевой удлинненый Н2.5</t>
  </si>
  <si>
    <t>Jeta Safety Перчатки 12 пар JP011w-XL</t>
  </si>
  <si>
    <t>KING TONY Вставка бита 2мм L=25мм 102502Н</t>
  </si>
  <si>
    <t>Mallony Лопатка 306см 007113</t>
  </si>
  <si>
    <t>YATO Пинцет изогнутый 115мм YT-6907</t>
  </si>
  <si>
    <t>Рыжий кот запасные блоки LRB-50 092409</t>
  </si>
  <si>
    <t>Рыжий кот Набор для чистки LRS-50 092408</t>
  </si>
  <si>
    <t>Винт ЦГЧ DIN912 M4x25 12.9</t>
  </si>
  <si>
    <t>Втулка проходная изоляционная М1 5х8</t>
  </si>
  <si>
    <t>Втулка проходная изоляционная М1 8х8</t>
  </si>
  <si>
    <t xml:space="preserve">Ноутбук S14I </t>
  </si>
  <si>
    <t>Лента 9.53мм/6.4м винил черный на желтом</t>
  </si>
  <si>
    <t>Портативный ленточный принтер-маркиратор</t>
  </si>
  <si>
    <t>Гайка Заклепка резьбовая М3(0,5-3)</t>
  </si>
  <si>
    <t xml:space="preserve">Pegas pneumatic краскопульт грунтовочный  </t>
  </si>
  <si>
    <t>Ruco Сверло по металлу 14.0х160/108мм</t>
  </si>
  <si>
    <t>Джойстик проводной Thrustmaster Т-16000М</t>
  </si>
  <si>
    <t>краска для разметки дорог</t>
  </si>
  <si>
    <t>Кабель ExeGate Special UTP4-C5e-CCA-S26-IN-PVC-GY-305UTP 4пары бухта 305м</t>
  </si>
  <si>
    <t>Вентилятор для корпуса ID-Cooling SF-12025-R 120x120x25 RED</t>
  </si>
  <si>
    <t>Поло серая, M</t>
  </si>
  <si>
    <t>Поло серая, L</t>
  </si>
  <si>
    <t>Разъем BLHK12-7PB</t>
  </si>
  <si>
    <t>Rexant Кронштейн для телевизора 38-0050</t>
  </si>
  <si>
    <t>BAKU пинцет загнутый BK-15</t>
  </si>
  <si>
    <t>Palladium Замок почтовый ML-30</t>
  </si>
  <si>
    <t>REXANT Неодимовый магнитный прямоугольник</t>
  </si>
  <si>
    <t>REXANT Пинцет изогнутый 160мм 12-0358</t>
  </si>
  <si>
    <t>Anker Powerconf black спикерфон</t>
  </si>
  <si>
    <t>Коммутатор TP-LINK TL-SL1226P</t>
  </si>
  <si>
    <t>Втулка для троса 5мм, 25103</t>
  </si>
  <si>
    <t>Трос стальной 5мм, 25014</t>
  </si>
  <si>
    <t>Коуш для троса 5мм, 25803</t>
  </si>
  <si>
    <t>Gigant Подводка 1/2х50см Р-50-GG</t>
  </si>
  <si>
    <t>PROFACTOR Кран шаровой 1/2 PF BBC 328</t>
  </si>
  <si>
    <t>Terma тройник 1/2в/н/н 419055</t>
  </si>
  <si>
    <t>Блок питания SkyRC 50A 15-30V 1200W</t>
  </si>
  <si>
    <t>Изделие цеха секционных ворот DUS-011-6</t>
  </si>
  <si>
    <t>Тележка-шпилька ТШГ-18-8-6 (21000804264)</t>
  </si>
  <si>
    <t>Противень 600х400х20 нерж. 08,мм сварной Luxstahl</t>
  </si>
  <si>
    <t>Ноутбук Digma EVE 14 C415 14  Intel Celeron 3350 1.1ГГц 2 ядерный 4ГБ 128ГБ еММС</t>
  </si>
  <si>
    <t>5001 LM Mira цвет сиденья синий цвет основания хром</t>
  </si>
  <si>
    <t>Муфта быстросъемная SY-0413M</t>
  </si>
  <si>
    <t>Масло для пневмоинструмента 1 л</t>
  </si>
  <si>
    <t>Карбоновая трубка 1м 6х4</t>
  </si>
  <si>
    <t>Крышка для стакана</t>
  </si>
  <si>
    <t>Фоторамка</t>
  </si>
  <si>
    <t>Кресло черное</t>
  </si>
  <si>
    <t>WERA Отвертка 2,0/60 мм</t>
  </si>
  <si>
    <t>ОНЛАЙТ третья рука 90053</t>
  </si>
  <si>
    <t>Стакан 200 мл. одноразовый</t>
  </si>
  <si>
    <t>Краскопульт дюза 1 мм</t>
  </si>
  <si>
    <t>Краскопульт LN-3 д=2.5 мм</t>
  </si>
  <si>
    <t>APECS Замок 7300-20-NIS</t>
  </si>
  <si>
    <t>Nadzor Сетка москитная 1*30м, черная, 4шт</t>
  </si>
  <si>
    <t>Мешки для мусора 30 литров, 20шт 50х60см, черные</t>
  </si>
  <si>
    <t>Мешки для мусора 240л 10шт</t>
  </si>
  <si>
    <t>ПРАКТИК Шкаф для раздевалок LS 21-60</t>
  </si>
  <si>
    <t>ПРАКТИК Шкаф для раздевалок LS/LE-11-40D</t>
  </si>
  <si>
    <t>Разъем магнитный 7pin pogo pin (комплект)</t>
  </si>
  <si>
    <t>Воздушный винт UP1855 (2 шт)</t>
  </si>
  <si>
    <t>Stanley Лезвия 1992 5шт</t>
  </si>
  <si>
    <t>Stanley Лезвия 1996 5шт</t>
  </si>
  <si>
    <t>Квалитет Бумага шлифовальная БШВ-1500</t>
  </si>
  <si>
    <t>Квалитет Бумага шлифовальная БШВ-400</t>
  </si>
  <si>
    <t>ФЭСТ Аптечка для первой помощи 2313</t>
  </si>
  <si>
    <t>D.BOR Алмазный диск 200х1,8х30/25,4</t>
  </si>
  <si>
    <t>DeBever Штангенциркуль 0-150мм 0.01мм</t>
  </si>
  <si>
    <t>FORCE Набор шестигранни ков 2-19мм, 13предм.</t>
  </si>
  <si>
    <t>Gigant Цельнометаллическая линейка 500мм</t>
  </si>
  <si>
    <t>Groz Насос масляный 220В GR45520</t>
  </si>
  <si>
    <t>VIRA Линейка металлическая 1000мм</t>
  </si>
  <si>
    <t>YORK Рукоятка деревянная 120см</t>
  </si>
  <si>
    <t>Буревестник Штатив магнитный 350мм с шаровым шар.</t>
  </si>
  <si>
    <t>ЗУБР Профессионал Сверло по металлу 14х160мм</t>
  </si>
  <si>
    <t>Профикреп Шурупы б.Zn 3,0х16 500шт</t>
  </si>
  <si>
    <t>Туламаш Индикатор ИРБ 0-0.8 101440</t>
  </si>
  <si>
    <t>ФЭСТ Аптечка промышленных предприятий</t>
  </si>
  <si>
    <t>ER32AA-3 цанга прецизионная</t>
  </si>
  <si>
    <t>ER32AA-6 цанга прецизионная</t>
  </si>
  <si>
    <t>ER32AA-8 цанга прецизионная</t>
  </si>
  <si>
    <t>ER32-UM ключ</t>
  </si>
  <si>
    <t>Пластина твердосплавная CS308</t>
  </si>
  <si>
    <t>Пластина твердосплавная BP6225</t>
  </si>
  <si>
    <t>Комплект потолочных панелей из войлока 9мм</t>
  </si>
  <si>
    <t>Лаунж Кресло обивка внутренняя ткань Тедди, цвет 310 обивка вняшняя экокожа цвет 147</t>
  </si>
  <si>
    <t>Кресло рабочее корпус черный пластик сидение ткань серая</t>
  </si>
  <si>
    <t>Кресло для руководителя Обивка экокожа, цвет 147 База литой алюминий</t>
  </si>
  <si>
    <t>Кресло для посетителей на роликах обивка экокожа цвет147 база литой алюминий</t>
  </si>
  <si>
    <t>Верстак с драйвером и тумбой Gigant 1900х685х850</t>
  </si>
  <si>
    <t>Адаптер для бит GROSS 11342</t>
  </si>
  <si>
    <t>Рулетка GROSS 3м х 16мм 32570</t>
  </si>
  <si>
    <t>Верстак Inforce 1200х686х845 LW-1</t>
  </si>
  <si>
    <t>Бита Вставка Н2.5х30мм JTC</t>
  </si>
  <si>
    <t>Бита вставка Н2х30мм JTC</t>
  </si>
  <si>
    <t>Длинногубцы прямые 170мм</t>
  </si>
  <si>
    <t>Пинцет изогнутый 125мм</t>
  </si>
  <si>
    <t>Пинцет прямой 160мм</t>
  </si>
  <si>
    <t>Шнур microUSB 1.8м</t>
  </si>
  <si>
    <t>Кабель-концетратор USB3.1 Type-C DH311A</t>
  </si>
  <si>
    <t>Верстак Верстакофф 125315</t>
  </si>
  <si>
    <t>Напильник плоский Р120, 200мм</t>
  </si>
  <si>
    <t>Верёвка плетёная ЭБИС 12мм (20м)</t>
  </si>
  <si>
    <t>МФУ лазерный KYOCERA Color M8130cidn цветная печать, А3</t>
  </si>
  <si>
    <t>Картридж Kyocera TK-8128K, черный</t>
  </si>
  <si>
    <t>Картридж Kyocera TK-8128Y, желтый</t>
  </si>
  <si>
    <t>Картридж Kyocera TK-8128M, пурпурный</t>
  </si>
  <si>
    <t>Картридж Kyocera TK-8128C, голубой</t>
  </si>
  <si>
    <t>Бумага SVETOCOPY A3, белая, 500л</t>
  </si>
  <si>
    <t>Холодильник однокамерный NORDFROST NR 403B Белый</t>
  </si>
  <si>
    <t>Tech-Krep Заклепка 3,2х6 1000Шт</t>
  </si>
  <si>
    <t>Рандеву-02.А4 Стойка для информации формата А4</t>
  </si>
  <si>
    <t>Поддон стандарт 1с 1200*800 г/п 1500 б/у</t>
  </si>
  <si>
    <t>Расходный материал - пластик для 3D принтера REC EASY FLEX 1.75мм белый 500г</t>
  </si>
  <si>
    <t>Расходный материал - пластик для 3D принтера REC EASY FLEX 1.75мм черный 500г</t>
  </si>
  <si>
    <t>Труба Д16Т 60х2 дл. 3000мм</t>
  </si>
  <si>
    <t>пог.м</t>
  </si>
  <si>
    <t>Airline кабель USB Type C 2м черный</t>
  </si>
  <si>
    <t>Inforce Верстак 1200х686х845 LW 1 05-01-008</t>
  </si>
  <si>
    <t>JTC Вставка 1/4 DR 6 гранная Н2х30мм 1153002</t>
  </si>
  <si>
    <t>Metabo PowerMaxx BS BL Акк.др-шпв.бесщ 2х2.0Ач. 601721500</t>
  </si>
  <si>
    <t>NWS Дллиногубцы с резцом 205мм загнуты 45 град. 141-69-205</t>
  </si>
  <si>
    <t>UTFC Кресло Метро Гольф С11 черный МетроГольфЛ3</t>
  </si>
  <si>
    <t>Верстакофф Верстак PRF 181.57.2-1 125315</t>
  </si>
  <si>
    <t>Зубр напильник плоский Р 120 200мм 33390-200-120</t>
  </si>
  <si>
    <t>Цанга ER32 5.0мм ZITOM</t>
  </si>
  <si>
    <t>Смартфон Ulefone Power Armor 18 12/256 Black</t>
  </si>
  <si>
    <t>Гранатовый песок Р-Гарнет W80 ТУ3988-003-76245879, 25 кг</t>
  </si>
  <si>
    <t>Мотор GEPR GR2004-1750KV</t>
  </si>
  <si>
    <t xml:space="preserve">Мотор Fooxer Datura 2306.5-1850KV </t>
  </si>
  <si>
    <t>Столбик ограждения Alt с вытяжной лентой 3м. сталь окрашенная красный</t>
  </si>
  <si>
    <t>Сейф Aiko Т-28EL мебельный, электрон.замок</t>
  </si>
  <si>
    <t>Картотека ПРАКТИК A-43 шкаф 3 секцион. А4, ц.замок, 408х485х995</t>
  </si>
  <si>
    <t>Цилиндровый механизм AJAX 39831</t>
  </si>
  <si>
    <t>Замки APECS 11651</t>
  </si>
  <si>
    <t>Батарейки SONNEN 451091</t>
  </si>
  <si>
    <t>Дверной страж Нажимной гарнитур ДС42284</t>
  </si>
  <si>
    <t>Замок ЗУБР тросовый 37262-95_z01</t>
  </si>
  <si>
    <t>Набор цанг ER11 SOVIS</t>
  </si>
  <si>
    <t>Масло гидравлическое Роснефть, бочка 180кг</t>
  </si>
  <si>
    <t>Масло для направляющих скольжения Metalway Роснефть</t>
  </si>
  <si>
    <t>Пылесос Энкор Корвет-64</t>
  </si>
  <si>
    <t>Ракель пластиковы DIZAYN 209</t>
  </si>
  <si>
    <t>Вафельное полотно 80см х 50м</t>
  </si>
  <si>
    <t>Очки закрытые защитные Delta Plus</t>
  </si>
  <si>
    <t>Edding Маркер для глянц.поверх. синий 0,3мм</t>
  </si>
  <si>
    <t>Edding Маркер меловой белый 1-2мм</t>
  </si>
  <si>
    <t>Салфетки нетканые 32х36см Jeta PRO</t>
  </si>
  <si>
    <t>Jeta safety Комплект Полумаска 6500К-М</t>
  </si>
  <si>
    <t>Распылитель WIEDERKRAFT WDK-913</t>
  </si>
  <si>
    <t>REC PC 1.75мм 750г красный</t>
  </si>
  <si>
    <t>REC PC NT черный 1.75мм 750г</t>
  </si>
  <si>
    <t>Краска для окрашивания, черная, TextileCare</t>
  </si>
  <si>
    <t>Антенны из стекловолокна</t>
  </si>
  <si>
    <t>Антенный отражатель</t>
  </si>
  <si>
    <t>Штатив для антенн и отражателей из стали</t>
  </si>
  <si>
    <t>Валик 08х25мм</t>
  </si>
  <si>
    <t>Валик 10х50мм</t>
  </si>
  <si>
    <t>Валик 12х70мм</t>
  </si>
  <si>
    <t>Валик 12.5х150мм</t>
  </si>
  <si>
    <t>Валик 12.5х200мм</t>
  </si>
  <si>
    <t>PS-BT40-45 штревель без отверстия под СОЖ</t>
  </si>
  <si>
    <t>Торовочная пила DEKO 063-4218</t>
  </si>
  <si>
    <t>Гайка DIN439 A2 шестигранная M6(50шт)</t>
  </si>
  <si>
    <t>Продувочный пистолет PATRIOT GH60B</t>
  </si>
  <si>
    <t>Пневмотрубка полиуретановая бухта 100м 5*8мм PEGAS</t>
  </si>
  <si>
    <t>Фитинг цанговый 8мм Pegas 5202</t>
  </si>
  <si>
    <t>Гайка DIN985 самоконтр. М5 20шт</t>
  </si>
  <si>
    <t>Композитное пневм. быстр. соединение WDK-820SP</t>
  </si>
  <si>
    <t>Шайба DIN125 М4 55шт Госкреп</t>
  </si>
  <si>
    <t>Заклепки вытяжные 4,0х8мм Политех 50шт</t>
  </si>
  <si>
    <t>ЦКИ Винт DIN912 M5x50 12.9 150шт</t>
  </si>
  <si>
    <t>Комплект ЗИП Сибирь 1</t>
  </si>
  <si>
    <t>Винт ПСГЧ ISO7380 М 3х12 10,9 б.п.</t>
  </si>
  <si>
    <t>Винт ПГЧ DIN7991 М3х25</t>
  </si>
  <si>
    <t>Винт ЦГЧ DIN912 М 2,5х6 12,9 б.п.</t>
  </si>
  <si>
    <t>Винт ЦГЧ DIN912 М 2,5х8 12,9 б.п.</t>
  </si>
  <si>
    <t>Винт ЦГЧ DIN912 М3х20</t>
  </si>
  <si>
    <t>NP-F980 8700mAh camera battery</t>
  </si>
  <si>
    <t xml:space="preserve">Удлинитель с сервоприводом </t>
  </si>
  <si>
    <t>Карбоновая трубка 10*12*1000 матовая</t>
  </si>
  <si>
    <t>Зарядное устройство SkyRC PC1080</t>
  </si>
  <si>
    <t>Неодимовый магнит 10х5мм, 10шт Forceberg</t>
  </si>
  <si>
    <t>Неодимовый магнит 20х10мм, REXANT</t>
  </si>
  <si>
    <t>Стеллаж ПАКС МС-183</t>
  </si>
  <si>
    <t>Экшн видеокамера GoPro HERO 11 Black Edition</t>
  </si>
  <si>
    <t>Монопод-штатив GoPro 3-Way 2.0</t>
  </si>
  <si>
    <t>Карта памяти Samsing EVO Plus</t>
  </si>
  <si>
    <t>Зеркальная камера Canon EOS 250D Kit 18-55mm IS STM Black</t>
  </si>
  <si>
    <t>Benro T560+MH2N штатив с фоо-видео головой и держателем для смартфона</t>
  </si>
  <si>
    <t>Объектив Canon EF 75-300mm</t>
  </si>
  <si>
    <t>Проходной адаптер Vention</t>
  </si>
  <si>
    <t>Патч-корд Cablexpert</t>
  </si>
  <si>
    <t>Память USB Flash Netac U185</t>
  </si>
  <si>
    <t>Кабельные стяжки 3х60</t>
  </si>
  <si>
    <t>Автоматическая система отслеживания антенны XK-FT300</t>
  </si>
  <si>
    <t>Прозрачная маскирующая плёнка RoxelPro 5м х 200м</t>
  </si>
  <si>
    <t>Укрывная бумага 90см*300м</t>
  </si>
  <si>
    <t>Грунт-наполнитель серый DUXONE DX64G</t>
  </si>
  <si>
    <t>Активатор-отвердитель DUXONE DX20 0,5л</t>
  </si>
  <si>
    <t>Насос Sterwins 1100Вт</t>
  </si>
  <si>
    <t>Наконечник кабельный Duwi JG 18-8-16</t>
  </si>
  <si>
    <t>Труба Политэк 40мм 4м</t>
  </si>
  <si>
    <t>Корпус Гейзер ВВ20 для холодной воды</t>
  </si>
  <si>
    <t>Муфта 40мм х 1 1/4</t>
  </si>
  <si>
    <t>Футорка обжимная Valtex 2"х1 1/4</t>
  </si>
  <si>
    <t>Футорка Stout 1 1/4"x1"</t>
  </si>
  <si>
    <t>Муфта 20мм х 1/2</t>
  </si>
  <si>
    <t>Тройник Valtec 1/2</t>
  </si>
  <si>
    <t>Труба Политэк 32мм 4м</t>
  </si>
  <si>
    <t>Труба Политэк 25мм 4м</t>
  </si>
  <si>
    <t>Муфта 40х40мм</t>
  </si>
  <si>
    <t>Муфта 32мм</t>
  </si>
  <si>
    <t>Муфта 32х20мм</t>
  </si>
  <si>
    <t>Муфта 32х25мм</t>
  </si>
  <si>
    <t>Угол 90 25мм</t>
  </si>
  <si>
    <t>Угол 90 40мм</t>
  </si>
  <si>
    <t>Угол 90 32мм</t>
  </si>
  <si>
    <t>Угол 90 20мм</t>
  </si>
  <si>
    <t>Тройник 32х32х32мм</t>
  </si>
  <si>
    <t>Кран шаровой 32мм</t>
  </si>
  <si>
    <t>Лён сантехнический 200г</t>
  </si>
  <si>
    <t>Муфта 25мм х 3/4 BP</t>
  </si>
  <si>
    <t>Муфта 25мм х 3/4 HP</t>
  </si>
  <si>
    <t>Соль Барьер 25кг</t>
  </si>
  <si>
    <t>Муфта 32мм х1 HP</t>
  </si>
  <si>
    <t>Клапан обратный 1"</t>
  </si>
  <si>
    <t>Цилиндровый механизм APECS 2940</t>
  </si>
  <si>
    <t>Шпатель-скребок 50мм Armero</t>
  </si>
  <si>
    <t>Ключ трубный GROSS 15611</t>
  </si>
  <si>
    <t>Мультишпатель 15в1 HARDY</t>
  </si>
  <si>
    <t>Разводной ключ Inforce 155мм</t>
  </si>
  <si>
    <t>Паяльник СПЕЦ ПТП-1000</t>
  </si>
  <si>
    <t>Монитор Huawei MateViev SE SSN-24BZ</t>
  </si>
  <si>
    <t>Компьютер комплект МЦ-2100-21</t>
  </si>
  <si>
    <t>Монитор SunWind SUN-M24BA102</t>
  </si>
  <si>
    <t>МФУ Лазерный HP Color Laser Jet Pro M 283</t>
  </si>
  <si>
    <t>Монитор SunWind SUN-M24BF</t>
  </si>
  <si>
    <t>Ноутбук Dell 15.6 IPS AMD Artion Silver 3450U</t>
  </si>
  <si>
    <t>Ноутбук ASUS MS15DA-BQ438</t>
  </si>
  <si>
    <t>Модем HUAWEI E 8372h-320 3G/4G</t>
  </si>
  <si>
    <t>Настольная лампа SMARTBUY Тритон белый</t>
  </si>
  <si>
    <t>Сетевой фильтр PC PET 5м черный</t>
  </si>
  <si>
    <t>Мышь оптическая безпроводная USB</t>
  </si>
  <si>
    <t>Клавиатура SUNWIN SV-KB100</t>
  </si>
  <si>
    <t>Калькулятор настольный</t>
  </si>
  <si>
    <t>Сетевой удлинитель 5м</t>
  </si>
  <si>
    <t>Шлейф: RC-10 Color 24AWG Cu pitch 1.5 mm</t>
  </si>
  <si>
    <t>Разъем: Plug 3.0 M+F(Бананы)</t>
  </si>
  <si>
    <t>Баллон азотный 50л/200атм</t>
  </si>
  <si>
    <t>Азот ОСЧ 50л/200атм сжатый</t>
  </si>
  <si>
    <t>Мотор MN 601-S KV 170 (2 шт/комплект)</t>
  </si>
  <si>
    <t>пар</t>
  </si>
  <si>
    <t>Складной пропеллер FA20.2*6.6</t>
  </si>
  <si>
    <t>Электродвигатель Antigravity MN7005</t>
  </si>
  <si>
    <t>Воздушный винт NS24*7.2 10mm</t>
  </si>
  <si>
    <t>Электродвигатель MN701S(2 шт/комплект)</t>
  </si>
  <si>
    <t>Труба профильная 60х40х2мм прямоугольная 6м</t>
  </si>
  <si>
    <t>Bylectrica розетка 2-местн. IP54</t>
  </si>
  <si>
    <t>Стяжки КСС3150 100шт FORTISFLEX</t>
  </si>
  <si>
    <t>Розетка PSN22-032-5 IEK</t>
  </si>
  <si>
    <t>Розетка PSR12-032-5 IEK</t>
  </si>
  <si>
    <t>Вилка кабельная 025-6 PCE</t>
  </si>
  <si>
    <t>Розетка настенная 115-6 PCE</t>
  </si>
  <si>
    <t>Дюбель-гвоздь 6х40 Tech-Krep ведро</t>
  </si>
  <si>
    <t>Измеритель сопротивления изоляции UNI-T UT502A</t>
  </si>
  <si>
    <t>Аллегро с крышкой UNIVersal 1282</t>
  </si>
  <si>
    <t>Лампа светодиодная E27/76/1/20 Ресанта</t>
  </si>
  <si>
    <t>Хомуты 4,8х300мм 100шт Экопласт</t>
  </si>
  <si>
    <t>Винт М5х25мм DIN 912 цилиндр 20шт. KREPFIELD</t>
  </si>
  <si>
    <t>Быстроразъёмное соединение 8х5 NBPT</t>
  </si>
  <si>
    <t>Клещи приставка WHDZ</t>
  </si>
  <si>
    <t>Диск отрезной 115х1.0х22 ZIGGER</t>
  </si>
  <si>
    <t>Тележка 700х350х660мм BIST</t>
  </si>
  <si>
    <t>Кернер 1,3х130мм KING TONY</t>
  </si>
  <si>
    <t>Влагоотделитель Pegas AFRL802</t>
  </si>
  <si>
    <t>Тележка SOLARIS</t>
  </si>
  <si>
    <t>Ветошь 10кг Спецобъединение</t>
  </si>
  <si>
    <t>Бумага укрывная маскировочная ABRAFORM</t>
  </si>
  <si>
    <t>Войлок абразивный рулон 100мм*10м HOLEX</t>
  </si>
  <si>
    <t>Фильтр противогазовый 2шт UNIX</t>
  </si>
  <si>
    <t>Очки защитные РОСОМЗ</t>
  </si>
  <si>
    <t>Набор для шлифовки Русский Мастер 67*196мм</t>
  </si>
  <si>
    <t>Фартук резина СИРИУС</t>
  </si>
  <si>
    <t>Аккумулятор LION18650, выводные провода(КЕДР)</t>
  </si>
  <si>
    <t>Аккумулятор LION 3.7в, 2500мА*ч, 18650(Батарейки)</t>
  </si>
  <si>
    <t>Стойка для плат(пластик) М3х10+6мм(м+п)</t>
  </si>
  <si>
    <t>Стек Mamba F405 Mini MK4 F40_BLS</t>
  </si>
  <si>
    <t>Вентилятор промышленный Royal Clima</t>
  </si>
  <si>
    <t>Вентилятор напольный</t>
  </si>
  <si>
    <t>Удлинитель 5м у-302а UNIVersal</t>
  </si>
  <si>
    <t>Сетевой удлинитель Спутник S-303 3м</t>
  </si>
  <si>
    <t>Зенкер-бита D=10.4мм Bucovie Tools</t>
  </si>
  <si>
    <t>Ножницы OLFA OL-SCS-4</t>
  </si>
  <si>
    <t>Опрыскиватель 0,3л PERFECTO LINEA</t>
  </si>
  <si>
    <t>Штатив с лупой ProsKit SN-394</t>
  </si>
  <si>
    <t>Бита кровельная 5,5х65мм S.E.B.</t>
  </si>
  <si>
    <t>Разъем JST XH2.54 с проводами (8pin)</t>
  </si>
  <si>
    <t>Разъем JST XH2.54 с проводами (10pin)</t>
  </si>
  <si>
    <t>Разъем JST XH2.54 с проводами (9pin)</t>
  </si>
  <si>
    <t>Соединительный шлейф JST MX1.25 (3 pin)</t>
  </si>
  <si>
    <t>Соединительный шлейф JST MX1.25 (4 pin)</t>
  </si>
  <si>
    <t>Соединительный шлейф JST MX1.25 (5 pin)</t>
  </si>
  <si>
    <t>Соединительный шлейф JST MX1.25 (6 pin)</t>
  </si>
  <si>
    <t>Навигационные материалы, указатели</t>
  </si>
  <si>
    <t>Кабель силовой КГТП-ХЛ 4х16</t>
  </si>
  <si>
    <t>Подвесные акриловые полки</t>
  </si>
  <si>
    <t>Штифт DIN6325 3х28</t>
  </si>
  <si>
    <t>Винт ПСГЧ ISO7380 М 3х30</t>
  </si>
  <si>
    <t>Винт ЦГЧ DIN912 М3х25</t>
  </si>
  <si>
    <t>Винт ЦГЧ DIN912 М 2,5х20</t>
  </si>
  <si>
    <t>Винт ЦГЧ DIN912 М 2,5х4</t>
  </si>
  <si>
    <t>Винт ПГМ DIN965 М 2,5х5</t>
  </si>
  <si>
    <t>Ноутбук HP 255 G9 Ryzen5 5625U/8Gb/512Gb SSD/noODD/RGr/15.6 (5Y3X5EA)</t>
  </si>
  <si>
    <t>Стеллаж MS 195/100x50/4</t>
  </si>
  <si>
    <t>Монитор 27" Xiaomi Mi</t>
  </si>
  <si>
    <t>Хомут-стяжка кабельный 300х3.6мм 100шт</t>
  </si>
  <si>
    <t>Аккумулятор литийно-полимерный LP14082182 22000m</t>
  </si>
  <si>
    <t>Нижний обтекатель в.2</t>
  </si>
  <si>
    <t>Деталь ""Обтекатель в1" 2мм</t>
  </si>
  <si>
    <t>Видеошлем EV800</t>
  </si>
  <si>
    <t>Клавиатура+мышь Logitech MK220</t>
  </si>
  <si>
    <t>Зенкер d.12мм Bucovice Tools 741120</t>
  </si>
  <si>
    <t>Рулетка GRIFF 5м х 19мм</t>
  </si>
  <si>
    <t>Маскировочная лента HB BODY 25х50</t>
  </si>
  <si>
    <t>Набор напильников</t>
  </si>
  <si>
    <t>Тележка инструментальная Inforce 06-01-18</t>
  </si>
  <si>
    <t>Капро Угольник 305-40/60</t>
  </si>
  <si>
    <t>Маркер по металлу 170500</t>
  </si>
  <si>
    <t>Борфреза 6,3х5мм;хвостовик 3мм</t>
  </si>
  <si>
    <t>Борфреза 6,3х15,8мм;хвостовик 3мм</t>
  </si>
  <si>
    <t>Борфреза 3.0х13х3х38мм</t>
  </si>
  <si>
    <t>Малярная лента СДМ 25х50</t>
  </si>
  <si>
    <t>Линейка стальная 200мм SOLA</t>
  </si>
  <si>
    <t>кресло CH-695NLT черное</t>
  </si>
  <si>
    <t>Переходник НВ 1/2х1 1/4 Uni-Fitt</t>
  </si>
  <si>
    <t>Вилка кабельная 0153-6 PCE</t>
  </si>
  <si>
    <t>Светильник STD 36Вт 4000K Wolta5</t>
  </si>
  <si>
    <t>Хомуты кабельные 4,8х300мм 100шт Экопласт</t>
  </si>
  <si>
    <t>Комплект из 4 радиостанций Motorola T82</t>
  </si>
  <si>
    <t>Брюки "PREMIUM" т-синий, 44-46/170-176</t>
  </si>
  <si>
    <t>Брюки "PREMIUM" т-синий, 48-50/170-176</t>
  </si>
  <si>
    <t>Брюки "PREMIUM" т-синий, 60-62/182-188</t>
  </si>
  <si>
    <t>Халат LINDRED CAMILLA т.синий, 40-42/158-164</t>
  </si>
  <si>
    <t>Халат LINDRED CAMILLA т.синий, 48-50/170-176</t>
  </si>
  <si>
    <t>Тенниска-поло серый меланж, L(50)</t>
  </si>
  <si>
    <t>Тенниска-поло серый меланж, XL(52)</t>
  </si>
  <si>
    <t>Тенниска-поло серый меланж, 5XL(60)</t>
  </si>
  <si>
    <t>Полуботинки PEZZOL 821U FORMULA3 черно/синие, 40</t>
  </si>
  <si>
    <t>Полуботинки PEZZOL 821U FORMULA3 черно/синие, 44</t>
  </si>
  <si>
    <t>Полуботинки PEZZOL 821U FORMULA3 черно/синие, 45</t>
  </si>
  <si>
    <t>Полуботинки PEZZOL 821U FORMULA3 черно/синие, 46</t>
  </si>
  <si>
    <t>Полуботинки PEZZOL 821U FORMULA3 черно/синие, 47</t>
  </si>
  <si>
    <t>Полуботинки PEZZOL 978U TORO S3 черные, 43</t>
  </si>
  <si>
    <t>Брюки CLINPLEX Вита Лайт графит, 52-54/158-164</t>
  </si>
  <si>
    <t>Брюки CLINPLEX Вита Лайт графит, 56-58/158-164</t>
  </si>
  <si>
    <t>Смартфон Samsung Galaxy S21 FE256 гб Серый</t>
  </si>
  <si>
    <t>Шильды размером 83*70 мм из декоративного алюминия сереьро сатин</t>
  </si>
  <si>
    <t>Петля типа "пластины" (20х37мм, 10шт)</t>
  </si>
  <si>
    <t>СНК 110.010.01.00.01 Пластина боковая (левая)</t>
  </si>
  <si>
    <t>СНК 110.010.01.00.01-01 Пластина боковая (правая)</t>
  </si>
  <si>
    <t>СНК 110.010.01.00.02 Пластина шасси (левая)</t>
  </si>
  <si>
    <t>СНК 110.010.01.00.02-01 Пластина шасси (правая)</t>
  </si>
  <si>
    <t>СНК 110.010.01.00.03 Пластина опорная шасси</t>
  </si>
  <si>
    <t>СНК 110.010.01.00.04 Пластина замок (1,5К)</t>
  </si>
  <si>
    <t>СНК 110.010.01.00.05 Пластина направляющая (1,5К)</t>
  </si>
  <si>
    <t>Лобовая деталь 110.010.02.00.00 Лобовая деталь</t>
  </si>
  <si>
    <t>СНК 110.010.02.00.01 Пластина контакта</t>
  </si>
  <si>
    <t>СНК 110.070.01.00.04 Нижняя крышка</t>
  </si>
  <si>
    <t>СНК 110.070.01.00.03 Луч</t>
  </si>
  <si>
    <t>СНК 110.070.03.00.01 Дека рамы нижняя (СНК 110.010.03.00.00.01 Дека рамы нижняя)</t>
  </si>
  <si>
    <t>СНК 110.000.00.00.02 Бампер</t>
  </si>
  <si>
    <t>СНК 110.010.00.00.01 Пластина нижняя (Ранее 110.010.00.00.02 Пластина нижняя)</t>
  </si>
  <si>
    <t>СНК 110.010.00.00.02 Направляющая АКБ</t>
  </si>
  <si>
    <t>СНК 110.030.00.01.04 Стойка GPS</t>
  </si>
  <si>
    <t>СНК 110.030.00.01.01 Опора стойки GPS</t>
  </si>
  <si>
    <t>СНК 110.030.00.01.03 Кронштейн GPS(дубль)</t>
  </si>
  <si>
    <t>СНК 110.030.00.00.01 Верхний обтекатель</t>
  </si>
  <si>
    <t>СНК 110.050.00.00.01 Дека верхняя</t>
  </si>
  <si>
    <t>СНК 110.060.00.00.00 Передний обтекатель</t>
  </si>
  <si>
    <t>СНК 110.090.00.00.01 Передний Обтекатель V2 ( Ранее 110.060.00.00.01 Обтекатель)</t>
  </si>
  <si>
    <t>СНК 110.060.00.00.02 Проставка</t>
  </si>
  <si>
    <t>СНК 110.070.00.00.00 Быстросъемное соединение</t>
  </si>
  <si>
    <t>СНК 110.070.01.02.00 ESC доработанный</t>
  </si>
  <si>
    <t>Шнур спиральный 10мм красный 20м truEnergy</t>
  </si>
  <si>
    <t>Аккумуляторная отвертка Bosch GO 2</t>
  </si>
  <si>
    <t>Набор инструментов Gigant 131 предмет</t>
  </si>
  <si>
    <t>Набор ключей HEX 2-10мм, 8пред KRAFTOOL</t>
  </si>
  <si>
    <t>Углошлифмашина Ryobi ONE+</t>
  </si>
  <si>
    <t>Диск алмазный SPIN 125х8х22,23мм</t>
  </si>
  <si>
    <t>Круг лепестковый Totflex 125х22 Р40</t>
  </si>
  <si>
    <t>Джойстик Logitech Extreme 3D Pro</t>
  </si>
  <si>
    <t>Бур для перфоратора 12мм, L=160мм</t>
  </si>
  <si>
    <t>Рулетка 06-05, 5м*25мм WIPRO</t>
  </si>
  <si>
    <t>Аккумулятор Neovolt 4S 3500mah(КЕДР)</t>
  </si>
  <si>
    <t>Перчатки латекс 50шт, L CONNECT</t>
  </si>
  <si>
    <t>Бандаж наждачный и штифт, 7шт FIT IT</t>
  </si>
  <si>
    <t>Защитные очки Gigant GG-006</t>
  </si>
  <si>
    <t>Бормашина Proxxon</t>
  </si>
  <si>
    <t>Насадка для прямошлифмашины Ryobi RAR107</t>
  </si>
  <si>
    <t>Насадка для гравера 13,2мм 5шт WORTEX</t>
  </si>
  <si>
    <t>Аксесуары труб</t>
  </si>
  <si>
    <t>Втулочный анкер болт</t>
  </si>
  <si>
    <t>сверло плит/стекло</t>
  </si>
  <si>
    <t>бур 10*310м</t>
  </si>
  <si>
    <t>Набор надфилей 10предметов, L=180мм Forsage</t>
  </si>
  <si>
    <t>Муфта 1/2"М наруж.резьба Fubag</t>
  </si>
  <si>
    <t>Шланг спиральный Fubag 8х12мм_5м</t>
  </si>
  <si>
    <t>Набор сверл по металлу 25предметов Inforce</t>
  </si>
  <si>
    <t>Штангенциркуль 0-200мм/0-8*0,05мм Inforce</t>
  </si>
  <si>
    <t>Система для видеоконференций Logitech Group 10xZOOM</t>
  </si>
  <si>
    <t>Оптический потоковый сенсор HEX HereFlow</t>
  </si>
  <si>
    <t>GPS Приемник CUAV NEO V3</t>
  </si>
  <si>
    <t>Антифриз KATANA SHIMO G11 20L (зеленый)</t>
  </si>
  <si>
    <t>Масло KATANA CGLP-68 20л</t>
  </si>
  <si>
    <t>Смазка KATANA CS HD 2 (0,4кг)</t>
  </si>
  <si>
    <t>GPS Приемник CUAV NEO V3 PRO</t>
  </si>
  <si>
    <t>GPS Приемник HEX HERE GNSS V3+</t>
  </si>
  <si>
    <t>Пинцет прямой 140мм YATO YT-6916</t>
  </si>
  <si>
    <t xml:space="preserve">Регулятор ESC Flame 80A </t>
  </si>
  <si>
    <t>Воздушный винт G29*9.5</t>
  </si>
  <si>
    <t>Электродвигатель AT5230-A</t>
  </si>
  <si>
    <t>СНК 120.010.01.00.01-01 Пластина боковая правая</t>
  </si>
  <si>
    <t>СНК 120.010.01.00.01-01 Пластина боковая</t>
  </si>
  <si>
    <t>СНК 120.010.01.00.03 Пластина опорная шасси</t>
  </si>
  <si>
    <t>СНК 120.010.01.00.04 Пластина замок</t>
  </si>
  <si>
    <t>СНК 120.010.01.00.05 Пластина направляющая</t>
  </si>
  <si>
    <t>СНК 120.010.03.00.01 Дека няжняя рамы</t>
  </si>
  <si>
    <t>СНК 120.070.01.00.03 Луч</t>
  </si>
  <si>
    <t>СНК 110.080.00.00.01 Переходная пластина</t>
  </si>
  <si>
    <t>СНК 120.010.03.01.01.00-01 Луч</t>
  </si>
  <si>
    <t>СНК 120.070.01.00.02 Верхняя крышка</t>
  </si>
  <si>
    <t>СНК 120.010.03.01.00.02 Крышка мотормаунта нижняя</t>
  </si>
  <si>
    <t>СНК 120.010.00.00.04 Перегородка</t>
  </si>
  <si>
    <t>СНК 120.010.00.00.05 Язычек</t>
  </si>
  <si>
    <t>СНК 120.020.00.00.00 Опора шасси</t>
  </si>
  <si>
    <t>СНК 120.020.00.00.01 Стойка</t>
  </si>
  <si>
    <t>СНК 120.060.00.00.00 Передний обтекатель</t>
  </si>
  <si>
    <t>СНК 120.120.00.00.01 Передний обтекатель (Ранее СНК 120.060.00.00.00-01 Передний обтекатель</t>
  </si>
  <si>
    <t>СНК 220.07.00.01 Верхний обтекатель</t>
  </si>
  <si>
    <t>СНК 210.100.01.00 Сумка Сибирячек</t>
  </si>
  <si>
    <t>СНК 210.000.01 Обтекатель нижний</t>
  </si>
  <si>
    <t>СНК 210.000.02 Кронштейн луча</t>
  </si>
  <si>
    <t>СНК 210.000.02-01 Кронштейн луча</t>
  </si>
  <si>
    <t>СНК 210.000.03 Верхний обтекатель</t>
  </si>
  <si>
    <t>СНК 210.030.02 Лепесток</t>
  </si>
  <si>
    <t>СНК 210.040.02 Кронштейн</t>
  </si>
  <si>
    <t>Гайка DIN439 М 2,5</t>
  </si>
  <si>
    <t>Ящик 400х335х170мм 18л Econova</t>
  </si>
  <si>
    <t>Стержни клеевые 11*200мм, 12шт MATRIX</t>
  </si>
  <si>
    <t>Дымоуловитель</t>
  </si>
  <si>
    <t>Лидар Holybro VL53L1X</t>
  </si>
  <si>
    <t>Оптический модуль HolyBro PMW3901</t>
  </si>
  <si>
    <t>Саморез 3х12 SWFS 1000шт</t>
  </si>
  <si>
    <t>Клей APS-G610</t>
  </si>
  <si>
    <t>Клей эпоксидный Adhesol ET 236 HV 400мл</t>
  </si>
  <si>
    <t>Смесительная насадка для клея</t>
  </si>
  <si>
    <t>Смесительная насадка для двухкомпонентного клея, комплект</t>
  </si>
  <si>
    <t>Бор-фреза 3.0х14х3х38мм RUKO</t>
  </si>
  <si>
    <t>Набор ручных шлифков Uniq tool</t>
  </si>
  <si>
    <t>Размешиватель для напитков 500шт Viatto</t>
  </si>
  <si>
    <t>Набор Зубр 26054-Н31</t>
  </si>
  <si>
    <t>Линейка магнитная гибкая Станкоимпорт</t>
  </si>
  <si>
    <t>Шлифок ручной 117х67х10 Uniq tool</t>
  </si>
  <si>
    <t>Фильтр противоаэрозольный P2 2шт UNIX</t>
  </si>
  <si>
    <t>Дырокол черный Attache</t>
  </si>
  <si>
    <t>Набор настольный 14 предметов Attache</t>
  </si>
  <si>
    <t>Набор ручек Attache</t>
  </si>
  <si>
    <t>Скобы для степлера Attache</t>
  </si>
  <si>
    <t>Антистеплер BRAUBERG</t>
  </si>
  <si>
    <t>Настольный набор 6 предметов BRAUBERG</t>
  </si>
  <si>
    <t>Степлер BRAUBERG</t>
  </si>
  <si>
    <t>Коррект.ручка INFORMAT</t>
  </si>
  <si>
    <t>Набор карандашей 12шт Koh-I-Noor</t>
  </si>
  <si>
    <t>Биты РН1 50мм 10шт KRAFTOOL</t>
  </si>
  <si>
    <t>Биты WERA 2/50мм</t>
  </si>
  <si>
    <t>Саморез 3х16 500шт КрепСтройГрупп</t>
  </si>
  <si>
    <t>Писчая бумага А4 500л</t>
  </si>
  <si>
    <t>Набор прижимов М14 ТЕХНОРЕАЛ</t>
  </si>
  <si>
    <t>Нейлоновая вакуумная плёнка, розовая T=180°C, 50мкм*1,50(3,00)м*200м, рулон 600м²</t>
  </si>
  <si>
    <t>Герметизирующий жгут, желтый Т=210°С, 3мм*12мм*7,5м, 300м.п., 40 рул. в ящике</t>
  </si>
  <si>
    <t>Деревянный ящик Сибирь-2</t>
  </si>
  <si>
    <t>Bosch 3 БИТ 49мм</t>
  </si>
  <si>
    <t>Ударные битые РН2 Bosch</t>
  </si>
  <si>
    <t>Блок самокл. стикер 51х51, 400л BRAUBERG</t>
  </si>
  <si>
    <t>Биты ударные РН2,57мм, 2шт Dewalt</t>
  </si>
  <si>
    <t>Губка абразивная Р80 GEPARD</t>
  </si>
  <si>
    <t>Ключ трубный 15605 GROSS</t>
  </si>
  <si>
    <t>Набор бит  GROSS</t>
  </si>
  <si>
    <t>Гейзер РР 5-20ВВ механическая очистка 28013</t>
  </si>
  <si>
    <t>Невский Крепеж Саморез 3,0х16, 15шт</t>
  </si>
  <si>
    <t>Стриппер KING TONY 67A1-07</t>
  </si>
  <si>
    <t>GPS-модуль CUAV NEO 3 V3 with Ublox M9N</t>
  </si>
  <si>
    <t>Разъем Amass XT90E-M панельного монтажа (тубус)</t>
  </si>
  <si>
    <t>GPS модуль Matek M8Q-5883 (тубус)</t>
  </si>
  <si>
    <t>Адаптер для складных пропеллеров Mayatech (8мм) (тубус)</t>
  </si>
  <si>
    <t>Разъем Amass XT90s-F розетка (тубус)</t>
  </si>
  <si>
    <t>ESC регулятор мотора T-Motor 80A Flame v2 (тубус)</t>
  </si>
  <si>
    <t>Полетный контроллер Matek H743-WING V3 (тубус)</t>
  </si>
  <si>
    <t>Пропеллер Карбоновые лопасти Falcon 15х10 (пара) (тубус)</t>
  </si>
  <si>
    <t>Передатчик AKK FX2-ultimate mini 5.8Ghz (тубус)</t>
  </si>
  <si>
    <t>Приемник HappyModel ExpressLRS ELRS 2,4G RX EP1 (тубус)</t>
  </si>
  <si>
    <t>Антенна FOXEER Lollipop 4plus SMA (тубус) (2шт)</t>
  </si>
  <si>
    <t>Пистолет термоклеевой 11-12мм KRAFTOOL</t>
  </si>
  <si>
    <t>Стержни клеевые 11мм, L=300мм, 34шт MATRIX</t>
  </si>
  <si>
    <t>Очиститель жала 5шт. ProsKit</t>
  </si>
  <si>
    <t>Бокорезы 160мм KRAFTOOL</t>
  </si>
  <si>
    <t>Нож канцелярский</t>
  </si>
  <si>
    <t>Набор пинцетов 120мм ЗУБР</t>
  </si>
  <si>
    <t>Комплект жал 900M-T-1.2D-K  МЕГЕОН</t>
  </si>
  <si>
    <t>Комплект жал 900M-T-2C-K МЕГЕОН</t>
  </si>
  <si>
    <t>Комплект жал 900M-T-4C-K МЕГЕОН</t>
  </si>
  <si>
    <t>Пинцет прямой ST-12 BAKU</t>
  </si>
  <si>
    <t>Кисть щетина 18 BRAUBERG</t>
  </si>
  <si>
    <t>Пинцет загнутый 40гр 160мм NWS</t>
  </si>
  <si>
    <t>Сверло 8.00 OSAWA</t>
  </si>
  <si>
    <t>Сверло 8.50 OSAWA</t>
  </si>
  <si>
    <t>Сверло 3.5 OSAWA</t>
  </si>
  <si>
    <t>Сверло 5.2 OSAWA</t>
  </si>
  <si>
    <t>Сверло 5.5 OSAWA</t>
  </si>
  <si>
    <t>Сверло 6.00 OSAWA</t>
  </si>
  <si>
    <t>Пинцет 1PK-108T ProsKit</t>
  </si>
  <si>
    <t>Сверло 3.3 ИПК</t>
  </si>
  <si>
    <t>Зажим с фиксатором</t>
  </si>
  <si>
    <t>Стойка латунь М3x10 25шт ЦКИ</t>
  </si>
  <si>
    <t>Пломба номерная пластиковая 350мм 1000шт</t>
  </si>
  <si>
    <t>Гайка DIN934 M6 (40шт)</t>
  </si>
  <si>
    <t>Компьютер iRU GAME 510B6GMA</t>
  </si>
  <si>
    <t>пластик для 3D-принтера (TPU A95, черный) 1.75мм, 750 гр</t>
  </si>
  <si>
    <t>Сумка Сибирь1</t>
  </si>
  <si>
    <t>Пост управления BUTTON2K</t>
  </si>
  <si>
    <t>Направленная антенна к пульту SIYI mk15 (2шт.)</t>
  </si>
  <si>
    <t>СНК 110.030.00.01.03 Кронштейн GPS</t>
  </si>
  <si>
    <t>СНК 110.030.00.01.02 Держатель GPS</t>
  </si>
  <si>
    <t>СНК 110.010.03.01.00.02 Кольцо резиновое 22 25</t>
  </si>
  <si>
    <t>СНК 110.080.00.01.05 Пружина ( Ранее 110.070.00.00.05 Пружина)</t>
  </si>
  <si>
    <t>СНК 310.000.01 Крышка</t>
  </si>
  <si>
    <t>СНК 310.020.01 Корпус</t>
  </si>
  <si>
    <t>СНК 310.030.00 СБ Корпус</t>
  </si>
  <si>
    <t>СНК 310.030.02 Кожух</t>
  </si>
  <si>
    <t>СНК 310.030.04 Курок</t>
  </si>
  <si>
    <t>СНК 310.030.05 Кронштейн камеры</t>
  </si>
  <si>
    <t>СНК 310.040.02 Фиксатор</t>
  </si>
  <si>
    <t>СНК 310.040.03 Ограничитель</t>
  </si>
  <si>
    <t>6S 25000mAh 10C High Voltage Lipo Battery(АКБ ВТОЛ)</t>
  </si>
  <si>
    <t>Электродвигатель P80III Without Pin KV120</t>
  </si>
  <si>
    <t>Вилка штепсельная "банан"4мм папа мама</t>
  </si>
  <si>
    <t>GPS Holybro H-RTK F9P GNSS (H-RTK F9P Rover Lite)</t>
  </si>
  <si>
    <t>ST11281 Пружина сжатия STAMO</t>
  </si>
  <si>
    <t>Пружина ST11281_7,5</t>
  </si>
  <si>
    <t>Воздушный винт Gemfan L6026 6x2</t>
  </si>
  <si>
    <t>Пигтейл RP-SMA-female</t>
  </si>
  <si>
    <t>Jumper T-PRO OpenTX Transmitter JP4IN1 пульт управления</t>
  </si>
  <si>
    <t>Блок питания Li-ion Charger 16820</t>
  </si>
  <si>
    <t>Плата распределения питания PBD</t>
  </si>
  <si>
    <t>Инструмент обжимной: 02В</t>
  </si>
  <si>
    <t>Штатив для плат</t>
  </si>
  <si>
    <t>Шлейф: RCA-20 Color</t>
  </si>
  <si>
    <t>усл. кат</t>
  </si>
  <si>
    <t>МЕГЕОН Комплект жал 900М-Т-1.2D-K</t>
  </si>
  <si>
    <t>Твердотельный накопитель SSD M.2 2280 1Tb</t>
  </si>
  <si>
    <t>БП Cougar GX 800W</t>
  </si>
  <si>
    <t>Процессор AMD Ryzen 9 5900X</t>
  </si>
  <si>
    <t>Кулер Cougar Forza 85 Essential</t>
  </si>
  <si>
    <t>Корпус Deepcool CC560 WH</t>
  </si>
  <si>
    <t>Память DDR4 32768MB</t>
  </si>
  <si>
    <t>Плата GIGABYTE B550 AORUS</t>
  </si>
  <si>
    <t>Термопаста Arctic MX-4</t>
  </si>
  <si>
    <t xml:space="preserve">Гайка Заклепка стандартный борт М3 (0,5-3) с насечкой </t>
  </si>
  <si>
    <t>Ручка шариковая Glide</t>
  </si>
  <si>
    <t>Набор прижимов CNIC</t>
  </si>
  <si>
    <t>Салфетки 100шт</t>
  </si>
  <si>
    <t>Перчатки латекс зел.</t>
  </si>
  <si>
    <t>Перчатки латекс ultima</t>
  </si>
  <si>
    <t>Средство для прочистки труб</t>
  </si>
  <si>
    <t>Белизна-гель 1000г</t>
  </si>
  <si>
    <t>Шланг 5м 6*12мм Pegas</t>
  </si>
  <si>
    <t>Ручка-барашек М10х20</t>
  </si>
  <si>
    <t>Фильтр-ситечко 190мкм, 225шт</t>
  </si>
  <si>
    <t>Термоэтикетки 58х40 5шт</t>
  </si>
  <si>
    <t>Дальномер лазерный ADA</t>
  </si>
  <si>
    <t>Стремянка 4ст</t>
  </si>
  <si>
    <t>Силикон универсальный бесцветный 270мл</t>
  </si>
  <si>
    <t>Сверло по кафелю</t>
  </si>
  <si>
    <t>Нивелир лазерный 0,3мм/м</t>
  </si>
  <si>
    <t>Уголок мебельный 30*30*30*1,5</t>
  </si>
  <si>
    <t>Лента шлиф. Р60 20х520</t>
  </si>
  <si>
    <t>Лента шлиф. Р80 20х520</t>
  </si>
  <si>
    <t>Лента шлиф. Р120 20х520</t>
  </si>
  <si>
    <t>Лента шлиф. Р180 20х520</t>
  </si>
  <si>
    <t>Фреза N1LX652</t>
  </si>
  <si>
    <t>Фреза N1LX852</t>
  </si>
  <si>
    <t>Фреза IN10-08-14060-B2</t>
  </si>
  <si>
    <t>Фреза D=20x15 S=6,35</t>
  </si>
  <si>
    <t>Фреза N1LQX642</t>
  </si>
  <si>
    <t>Ложемент крышка под Сибирь-2</t>
  </si>
  <si>
    <t>Сетка 2,5м ПРО-СЕТ-200-3</t>
  </si>
  <si>
    <t>Ложемент Сибирячок</t>
  </si>
  <si>
    <t>Ламинатор FGK320</t>
  </si>
  <si>
    <t>Аккум.резьбовой заклепочник</t>
  </si>
  <si>
    <t>Уголок строительный 40см</t>
  </si>
  <si>
    <t>Сверло 3.3х65мм</t>
  </si>
  <si>
    <t>Губка абразивная 100х70х25мм Р120</t>
  </si>
  <si>
    <t>Адаптер под головку 1/4 6-гран.25мм</t>
  </si>
  <si>
    <t>Виброопора ОВ-31М</t>
  </si>
  <si>
    <t>Стремянка AS203</t>
  </si>
  <si>
    <t>Комбинезон малярный XXL/54-56</t>
  </si>
  <si>
    <t>Линейка 1500х38х1.5</t>
  </si>
  <si>
    <t>Защитное липкое покрытие 10л</t>
  </si>
  <si>
    <t>Регулируемый табурет</t>
  </si>
  <si>
    <t>Аптечка первой помощи</t>
  </si>
  <si>
    <t>Карандаш малярный 180мм 12шт</t>
  </si>
  <si>
    <t>Винт ЦГМ DIN912 М3х60</t>
  </si>
  <si>
    <t>Сумка-рюкзак (Сибирь-1)</t>
  </si>
  <si>
    <t>Шкаф для хранения моб.телефоном на 17ячеек</t>
  </si>
  <si>
    <t>Вода дистиллированная 5л</t>
  </si>
  <si>
    <t>Вакуумный насос VSV-300</t>
  </si>
  <si>
    <t>Фильтр на вход FBL 2.0</t>
  </si>
  <si>
    <t>Фильтрующий элемент для фильтра FBL 2.0</t>
  </si>
  <si>
    <t>Штуцер 2 нар. х50мм(латунь)</t>
  </si>
  <si>
    <t>Принтер PayTor TLP38 Термопечать</t>
  </si>
  <si>
    <t>Микроволновая печь</t>
  </si>
  <si>
    <t>Клей 99 280мл</t>
  </si>
  <si>
    <t>Набор колец для шторы в ванную 12шт</t>
  </si>
  <si>
    <t>Винт ПГЧ DIN965 М5х45</t>
  </si>
  <si>
    <t>Винт ПГЧ DIN965 М3х60</t>
  </si>
  <si>
    <t>Фреза GE4-D6.0-15x50</t>
  </si>
  <si>
    <t>Фреза GE4-D8.0-20x60</t>
  </si>
  <si>
    <t>Фреза GE-4-D6.0-30x100</t>
  </si>
  <si>
    <t>Фреза IA21-08-20100-ET4</t>
  </si>
  <si>
    <t>Ложемент камера под Сибирь-2</t>
  </si>
  <si>
    <t>Ложемент на Комплект-1 «Зубочистка»</t>
  </si>
  <si>
    <t>Штангенциркуль 200мм/0,01</t>
  </si>
  <si>
    <t>Оргстекло прозрачное 4*100*100мм</t>
  </si>
  <si>
    <t>Огнетушитель ОП - 5/з</t>
  </si>
  <si>
    <t>Набор губок для мытья посуды МИНИ 10 шт</t>
  </si>
  <si>
    <t>Салфетки КОМПЛЕКТ 6шт</t>
  </si>
  <si>
    <t>Мешки для мусора 120л 10шт</t>
  </si>
  <si>
    <t>Салфетка хозяйственная 5шт</t>
  </si>
  <si>
    <t>Бумага туалетная 170м</t>
  </si>
  <si>
    <t>Ноутбук HP 255 G9 Ryzen 5 5625U/8Gb/512Gb SSD/noODD/RGr/15.6 (5Y3X5EA)</t>
  </si>
  <si>
    <t>Шкаф 600х1000мм</t>
  </si>
  <si>
    <t>Газлифт 270/420(380) хром</t>
  </si>
  <si>
    <t>Гайка цилиндр. М6х12</t>
  </si>
  <si>
    <t>Шайба DIN9021 d6</t>
  </si>
  <si>
    <t>Гайка DIN6923 М6 самостопорящаяся</t>
  </si>
  <si>
    <t>Губка шлифовальная</t>
  </si>
  <si>
    <t>Смазка</t>
  </si>
  <si>
    <t>Молоток кованый</t>
  </si>
  <si>
    <t>Пылесос профессиональный/пылеводосос/3000W 100I Meran VC-3/100T R</t>
  </si>
  <si>
    <t>Штора для душа</t>
  </si>
  <si>
    <t>Линейка</t>
  </si>
  <si>
    <t>Сантехнический тросс</t>
  </si>
  <si>
    <t>Набор коронок</t>
  </si>
  <si>
    <t>Вантуз</t>
  </si>
  <si>
    <t>Трос для засоров</t>
  </si>
  <si>
    <t>Набор сверл</t>
  </si>
  <si>
    <t>Монтировка</t>
  </si>
  <si>
    <t>Ящик черный</t>
  </si>
  <si>
    <t>Держатель для бит</t>
  </si>
  <si>
    <t>Нить капроновая</t>
  </si>
  <si>
    <t>Совок+щетка</t>
  </si>
  <si>
    <t>Сверла по дереву 10шт</t>
  </si>
  <si>
    <t>Сверло по металлу 4,0х74мм</t>
  </si>
  <si>
    <t>Отвертка 6*75мм</t>
  </si>
  <si>
    <t>Набор отверток</t>
  </si>
  <si>
    <t>Сверло по металлу 2,0х49х24мм</t>
  </si>
  <si>
    <t>Сверло по металлу 7,0х109х69мм</t>
  </si>
  <si>
    <t>Перчатки 10 размер</t>
  </si>
  <si>
    <t>Перчатки 8 размер</t>
  </si>
  <si>
    <t>Перчатки 9 размер</t>
  </si>
  <si>
    <t>Сетевой кабель</t>
  </si>
  <si>
    <t>Коврик для душа</t>
  </si>
  <si>
    <t>Сверло по дереву 8х230мм</t>
  </si>
  <si>
    <t>Сверло по дереву 6х400мм</t>
  </si>
  <si>
    <t>Дверной фиксатор</t>
  </si>
  <si>
    <t>Крепежный уголок</t>
  </si>
  <si>
    <t>Болт 6х60 10шт</t>
  </si>
  <si>
    <t>Болт 6х40 16шт</t>
  </si>
  <si>
    <t>Порошковый форполимер</t>
  </si>
  <si>
    <t>Картридж SAKURA W2210A черный</t>
  </si>
  <si>
    <t>Картридж SAKURA W2211A голубой</t>
  </si>
  <si>
    <t>Картридж SAKURA W2212A желтый</t>
  </si>
  <si>
    <t>Картридж SAKURA W2213A пурпурный</t>
  </si>
  <si>
    <t>Саморез 4,2х16</t>
  </si>
  <si>
    <t>Бита Тх10х70мм</t>
  </si>
  <si>
    <t>Насадка МОП 40х13 см микрофибра ухо+карман зеленый MF2088</t>
  </si>
  <si>
    <t>Средство для мытья посуды Luscan Бальзам-Алоэ 1л с дозатором</t>
  </si>
  <si>
    <t>Знак безопасности Ведется видеонаблюдение (200х200, пленка)</t>
  </si>
  <si>
    <t>Тряпка для пола Luscan универсальная вискоза 120 г/м2, размер 50*60 см</t>
  </si>
  <si>
    <t>Знак безопасности F26 Кат-я помещения, 150x300 мм, пластик</t>
  </si>
  <si>
    <t>Комплект для уборки SYR Sorb быстрый старт зеленый до 500 м2 NU3G47K</t>
  </si>
  <si>
    <t>Насадка МОП д/флаунд УльтраСпидМини 34 см (к 213386) Vileda517278</t>
  </si>
  <si>
    <t>Знак безопасности А28 Электрощитовая, 150x300 мм, пластик</t>
  </si>
  <si>
    <t>Профхим д/стекл-зеркал поверхн д/керам.плитки Pro-Brite/WINDETA,5л</t>
  </si>
  <si>
    <t>Держатель МОПа универс пластик 50х13см серый синяя рукоятка NPK196-B</t>
  </si>
  <si>
    <t>Знак безопасности F21 Отв за пожарн безопасн100x200мм пластик 2мм 10шт/уп</t>
  </si>
  <si>
    <t>Насадка МОП 50 см (100%хлопок) пробивной(ТВ-11/12/1 )</t>
  </si>
  <si>
    <t>Средство для сантехники САНОКС гель 750 гр</t>
  </si>
  <si>
    <t>Знак безопасности Фотографировать запрещено (плёнка, D150)</t>
  </si>
  <si>
    <t>Знак безопасности V51 Запрещается курить! (пластик 200х150)</t>
  </si>
  <si>
    <t>Знак безопасности F04 Огнетушитель (плёнка,ф/люм,200х200) уп.10шт</t>
  </si>
  <si>
    <t>Знак безопасности V53  Лифт не работает, 150x300 мм, пластик</t>
  </si>
  <si>
    <t>Платформа Matrice 30T Combo</t>
  </si>
  <si>
    <t>DJI Mavic 3 Enterprise (c/y 1581F5FHB228Q0020242)</t>
  </si>
  <si>
    <t>Гайка DIN 934 М12</t>
  </si>
  <si>
    <t>Шайба d12</t>
  </si>
  <si>
    <t>TIDE Color 4,5кг</t>
  </si>
  <si>
    <t>Совок+сметка</t>
  </si>
  <si>
    <t>Растворитель канистра 10л</t>
  </si>
  <si>
    <t>Полотенца белые (20 пачек в уп.)</t>
  </si>
  <si>
    <t>Замок почтовый 16мм</t>
  </si>
  <si>
    <t>Средство для санитарной очистки 5л</t>
  </si>
  <si>
    <t>Сетка заградительная 6х16</t>
  </si>
  <si>
    <t>Сетка заградительная 6х9</t>
  </si>
  <si>
    <t>Сетка заградительная 6х13,5</t>
  </si>
  <si>
    <t>Трубка термоусадочная (Клеевая) 3/1 мм (1м) черная</t>
  </si>
  <si>
    <t>Сетка заградительная 6х15</t>
  </si>
  <si>
    <t>Карбоновая трубка 16х14х1000</t>
  </si>
  <si>
    <t>Карбоновая трубка 12х10х1000</t>
  </si>
  <si>
    <t>Мини шасси (сервопривод) Сибирь 1</t>
  </si>
  <si>
    <t>Плита алюминиевая (оснастка) Д16Т=50мм (1200х3000мм (резка 810х440мм))</t>
  </si>
  <si>
    <t xml:space="preserve">Арамидная ткань plain 1200-105 105 г/м2 </t>
  </si>
  <si>
    <t>Плата контроллера HEX Mini Carrier Board</t>
  </si>
  <si>
    <t>HEX CUBE ORANGE+ (для контроллеров и плат HEX)</t>
  </si>
  <si>
    <t>Ложемент Сибирь-2 (камера)</t>
  </si>
  <si>
    <t>Аккумулятор 12000МАН,15C,6S (тубус)</t>
  </si>
  <si>
    <t>PVL-4RC Камера (new version)</t>
  </si>
  <si>
    <t>PVL-10X Visible Light Gimbal Камера</t>
  </si>
  <si>
    <t>Полоска абразивная на сетчатой основе 70x420мм Р320</t>
  </si>
  <si>
    <t>Ключ трещоточный 8мм</t>
  </si>
  <si>
    <t>Пинцет прямой 200мм</t>
  </si>
  <si>
    <t>Разделительная смазка без силикона 500 мл</t>
  </si>
  <si>
    <t>Корзина офисная 14л пластик, черная Luscan 'КР510</t>
  </si>
  <si>
    <t>Калькулятор настольный ПОЛН/Р КОМУС EM444,12-раз,дв.пит, 205x155мм, черн</t>
  </si>
  <si>
    <t>Ручка шариковая неавтоматическая PILOT BPS-GP-EF рез.манж. син 0,18ммЯпония</t>
  </si>
  <si>
    <t>Ежедневник недатированный А5,142x210мм,176л,синий АТТАСНЕBizon</t>
  </si>
  <si>
    <t>Разделитель листов из сер.пласт. алфавит А-Я , А4, 20 разделов</t>
  </si>
  <si>
    <t>Папка-планшет Attache A4 черный</t>
  </si>
  <si>
    <t>Разделитель листов Разделительные полоски Attache, оранж., 100 шт./уп.</t>
  </si>
  <si>
    <t>Папка-регистратор BANTEX ECONOMY PLUS, 80мм, лайм, ПБП1, карм.кор.,мет.уг</t>
  </si>
  <si>
    <t>Папка-регистратор BANTEX ECONOMY PLUS, 80мм, голубой, ПБП1,карм.кор.,мет.уг</t>
  </si>
  <si>
    <t>Бирки для ключей 10 шт/уп, зеленая</t>
  </si>
  <si>
    <t>Стакан одноразовый бум 1-сл. d-80мм 250мл черный КОМУС 1500шт/кор</t>
  </si>
  <si>
    <t>Этикетки самоклеящиеся Promega label 210х297мм,70г белая (100 лис/уп.)</t>
  </si>
  <si>
    <t>Спрей для удаления этикеток Attache Selection 140 мл</t>
  </si>
  <si>
    <t>Стакан 200мл. ИНТЕКО п/прозрач. ПП (4000 шт/кор)</t>
  </si>
  <si>
    <t>коврик для душа 600x600x5мм</t>
  </si>
  <si>
    <t>Саморез 4,2х16 1000 шт</t>
  </si>
  <si>
    <t>Ложемент Сибирь-2 (тепловизор)</t>
  </si>
  <si>
    <t>Ложемент Самолет</t>
  </si>
  <si>
    <t>Память USB Flash 8 Gb</t>
  </si>
  <si>
    <t>Модуль питания Holybro PM02</t>
  </si>
  <si>
    <t>Dual Channels SemiSolib/Lipo Charger (ЗУ для ВТОЛ)</t>
  </si>
  <si>
    <t>Легковой автомобиль GREAT WALL POER VIN: LGWDAE193PJ635377</t>
  </si>
  <si>
    <t>B-DGTR1212J-2D24 державка "М"</t>
  </si>
  <si>
    <t>DCMT070204-MV VP15TF пластина твердосплавная</t>
  </si>
  <si>
    <t>DGN2002C ZP152 пластина твердосплавная</t>
  </si>
  <si>
    <t>Сверло Р6М5 1.6х4х35.5</t>
  </si>
  <si>
    <t>Метчик М5х0.8</t>
  </si>
  <si>
    <t>DCGT070202-LHC BU810 пластина твердосплавная</t>
  </si>
  <si>
    <t>Перчатки трикотажные 10 пар</t>
  </si>
  <si>
    <t>Ультразвуковая ванна с цифровым управлением и подогревом, 28л</t>
  </si>
  <si>
    <t>Грунт универсальный (серый) 520 мл</t>
  </si>
  <si>
    <t>Клей для MDF быстрозастывающий 100гр.+400мл. Активатор для клея</t>
  </si>
  <si>
    <t>Тележка сервисная двух ярусная (600x900)</t>
  </si>
  <si>
    <t>Резак RS5, А4, 5 л., 4 в 1</t>
  </si>
  <si>
    <t>Сгон для пола, 55 см, бензостойкий</t>
  </si>
  <si>
    <t>Левша Колесо d50 н/ штыре для офисных кресел ( 5шт. ) , черн.</t>
  </si>
  <si>
    <t>Универсальное моющее средство 900, 1 л</t>
  </si>
  <si>
    <t>Пятновыводитель для мебельных тканей 5л</t>
  </si>
  <si>
    <t>Салфетка Микрофибра для стекол и зеркал 35x35 см 280 г/квм</t>
  </si>
  <si>
    <t>Набор салфеток для уборки 5шт 30*30 см</t>
  </si>
  <si>
    <t>Удлинитель балансирного разъёма JST-XH 6S</t>
  </si>
  <si>
    <t>ФЕЛИКС Стол офисный рабочий 160x80x75.3 дуб альпийский ПК-ЛОГ-СТ160x80Д/25-В1-30</t>
  </si>
  <si>
    <t>Gembird Сетевой адаптер Ethernet USB 2.0 - Fast Ethernet adapter, NIC-U4</t>
  </si>
  <si>
    <t>Плита алюминиевая (оснастка) Д16Т=30мм (1200х3000мм)</t>
  </si>
  <si>
    <t>Принтер этикеток XP365B</t>
  </si>
  <si>
    <t>Болт DIN933 М6х70</t>
  </si>
  <si>
    <t>Шайба DIN127 d6</t>
  </si>
  <si>
    <t>Саморез 3х12</t>
  </si>
  <si>
    <t>Саморез 4,0х60</t>
  </si>
  <si>
    <t>Гайка для цангового патрона ER11-A</t>
  </si>
  <si>
    <t>Шлиф мат на сетч синт основе 70х420мм Р320</t>
  </si>
  <si>
    <t>Универсальный концентрат для мытья полов 5л</t>
  </si>
  <si>
    <t>Губка металлическая оцинкованная 40г</t>
  </si>
  <si>
    <t>Мусорный контейнер100л. на колёсах цв. серый</t>
  </si>
  <si>
    <t>Средство для удаления ржавчины и известкового налета 750г</t>
  </si>
  <si>
    <t>Сменная насадка micro duo</t>
  </si>
  <si>
    <t>3D принтер Anycubic Photon M3 Max</t>
  </si>
  <si>
    <t>Полимеризационная камера и мойка anycubic wash and cure 2.0</t>
  </si>
  <si>
    <t>Кронштейн для ТВ DEXP AM-27TS-2</t>
  </si>
  <si>
    <t>Замок-защелка натяжной L=51</t>
  </si>
  <si>
    <t>ИБП DEXP CEE-E 1200VA (линейно-интерактивный, 1200 ВА, 4 роз CEE 7)</t>
  </si>
  <si>
    <t>Клавиатура+мышь проводная Logitech Desktop MK120 (920-002589) - CN</t>
  </si>
  <si>
    <t>Монитор MSI 27" PRO MP273A [100Hz, IPS, 1920x1080, 1ms MPRT/4msGtG, 300cd/㎡, VGA, HDMI, DP]</t>
  </si>
  <si>
    <t>Плата GIGABYTE AM4 B550 B550 AORUS ELITE V2 4xDDR4 3xPCI-Ex16 HDMI/DP SATA3 2xM2 USB3.2 ATX</t>
  </si>
  <si>
    <t>Видеокарта PCI-E KFA2 GeForce GTX 1650  X Black  4096MB 128bit GDDR6 [65SQL8DS93EK] DVI HDMI DP</t>
  </si>
  <si>
    <t>Корпус Deepcool CC560 WH, MidTower, White, TG, USB 3.0, 0.6 mm без БП [R-CC560-WHGAA4-G-1]</t>
  </si>
  <si>
    <t>Кулер COUGAR FORZA 85 Essential (6 трубки, TDP 230w, 600-2000RPM, 31,68 max dBA, универсальн.)</t>
  </si>
  <si>
    <t>БП Cougar GX 800W (80+ Gold, ATX 2.3, EPS, 140mm Fan, APFC, CM, 24+4+4+8, 10xSATA, 4xPCI-E) [CGR GX-</t>
  </si>
  <si>
    <t>Твердотельный накопитель SSD M.2 2280 1Tb Samsung 980 PRO NVMe Gen4x4 [MZ-V8P1T0BW] TLC 3D NAND (R70</t>
  </si>
  <si>
    <t>Антенна WL0019 1.4G2dBi</t>
  </si>
  <si>
    <t>Кабель сетевой UTP, cat.5E, 4 пары, 0.50мм</t>
  </si>
  <si>
    <t>F722 полетный контроллер(FPV)</t>
  </si>
  <si>
    <t>E55 4-IN-1 2-6S 55A Регулятор (FPV)</t>
  </si>
  <si>
    <t>Рама  420mm(FPV)</t>
  </si>
  <si>
    <t>3110/3314 900KV электродвигатель(FPV)</t>
  </si>
  <si>
    <t>10X4.5X3 Винты(FPV)</t>
  </si>
  <si>
    <t>FPV Камера Caddx Ant Nano</t>
  </si>
  <si>
    <t xml:space="preserve">Электродвигатель GEPRC GR2004 Motors KV: 1750KV </t>
  </si>
  <si>
    <t>Microservo MG90</t>
  </si>
  <si>
    <t>Фитинг для пластиковых трубок 8мм с наружной резьбой 1/2 Rockforce</t>
  </si>
  <si>
    <t>Пульт  управления iFlight Commando 8</t>
  </si>
  <si>
    <t>СНК 120.010.01.00.02-01 Пластина шасси правая</t>
  </si>
  <si>
    <t>СНК 120.010.01.00.02 Пластина шасси левая</t>
  </si>
  <si>
    <t>СНК 120.010.01.00.01 Пластина боковая левая</t>
  </si>
  <si>
    <t>Амфибия Vtol</t>
  </si>
  <si>
    <t>1</t>
  </si>
  <si>
    <t>Преобразователь термоэлектрический ДТПК011-0,3/5</t>
  </si>
  <si>
    <t>Термопреобразователь сопротивления ДТС014-РТ100.В3.25/5</t>
  </si>
  <si>
    <t>Салфетки липкие</t>
  </si>
  <si>
    <t>Стакан одноразовый бумажный 200 мл коричневый 50шт</t>
  </si>
  <si>
    <t>Салфетки обезжиривающие безворсовые 35x30см (70шт/упак)</t>
  </si>
  <si>
    <t>Микрокомпьютер Raspberry PI 4 Model B 8Gb</t>
  </si>
  <si>
    <t>Металлический корпус для raspberry pi 4 / охлаждение / кейс / (чехол-радиатор-кейс)</t>
  </si>
  <si>
    <t>Винт ПГМ DIN7991 M 3x25 10,9 б.п.</t>
  </si>
  <si>
    <t>Винт ПСГМ ISO7380 М 3х25 10,9 б.п.</t>
  </si>
  <si>
    <t>Винт ПСГМ ISO7380 М 3х30 10,9 б.п.</t>
  </si>
  <si>
    <t>Винт ПСГМ ISO7380 М 3х45 10,9 б.п.</t>
  </si>
  <si>
    <t>Винт ПСГМ ISO7380 М 3х55 10,9 б.п.</t>
  </si>
  <si>
    <t>Винт ЦГМ DIN912 М 3x4 12.9</t>
  </si>
  <si>
    <t>Винт ЦГЧ DIN912 М3х30</t>
  </si>
  <si>
    <t>3D принтер Designer X PRO series 2 (1)</t>
  </si>
  <si>
    <t>3D принтер Designer X PRO series 2 (2)</t>
  </si>
  <si>
    <t>3D принтер Designer X PRO series 2 (3)</t>
  </si>
  <si>
    <t>3D принтер Designer X series 2 (1)</t>
  </si>
  <si>
    <t>3D принтер Designer X series 2 (2)</t>
  </si>
  <si>
    <t>3D принтер Designer X series 2 (3)</t>
  </si>
  <si>
    <t>3D принтер Designer X series 2 (4)</t>
  </si>
  <si>
    <t>3D принтер Designer X series 2 (5)</t>
  </si>
  <si>
    <t>3D принтер Designer X series 2 (6)</t>
  </si>
  <si>
    <t>3D принтер Designer X series 2 (7)</t>
  </si>
  <si>
    <t>3D принтер Designer X series 2 (8)</t>
  </si>
  <si>
    <t>3D принтер Designer XL series 2 (1)</t>
  </si>
  <si>
    <t>3D принтер Designer XL series 2 (2)</t>
  </si>
  <si>
    <t>3D принтер Designer XL series 2 (3)</t>
  </si>
  <si>
    <t>3D принтер Designer XL series 2 (4)</t>
  </si>
  <si>
    <t>GRD Сварочный стол 24.12 К 10ХСНД ТУ 173510,001-2022(высота стола 750мм) 1</t>
  </si>
  <si>
    <t>GRD Сварочный стол 24.12 К 10ХСНД ТУ 173510,001-2022(высота стола 750мм) 2</t>
  </si>
  <si>
    <t>Белмаш Станок круглопильный с подвижным столом TS-250-ST1300 S194A</t>
  </si>
  <si>
    <t>Вакуум формовочная машина VF2010</t>
  </si>
  <si>
    <t>Вакуумная камера МT-V900-FR</t>
  </si>
  <si>
    <t>Вертикально-фрезерный станок мод. МС955</t>
  </si>
  <si>
    <t>Компрессор DV-132-10 стационарный электрический винтовой</t>
  </si>
  <si>
    <t xml:space="preserve">Лазерный станок Wattsan 1610 LТ </t>
  </si>
  <si>
    <t>Лазерный станок Wattsan 6090 ST</t>
  </si>
  <si>
    <t>Лазерный станок по металлу Wattsan W-LP 1530RD</t>
  </si>
  <si>
    <t>Окрасочно-сушильный комплекс</t>
  </si>
  <si>
    <t>Профессиональный SLS 3D принтер ONSINT SM200</t>
  </si>
  <si>
    <t>Пылеуловитель рукавный Рэ=5,5 квт, V=4000 куб.м./час 1</t>
  </si>
  <si>
    <t>Пылеуловитель рукавный Рэ=5,5 квт, V=4000 куб.м./час 2</t>
  </si>
  <si>
    <t>Пылеуловитель рукавный Рэ=5,5 квт, V=4000 куб.м./час 3</t>
  </si>
  <si>
    <t>Пылеуловитель рукавный Рэ=5,5 квт, V=4000 куб.м./час 4</t>
  </si>
  <si>
    <t>Пылеуловитель рукавный Рэ=5,5 квт, V=4000 куб.м./час 5</t>
  </si>
  <si>
    <t>Пылеуловитель рукавный Рэ=5,5 квт, V=4000 куб.м./час 6</t>
  </si>
  <si>
    <t>Пылеуловитель рукавный Рэ=5,5 квт, V=4000 куб.м./час 7</t>
  </si>
  <si>
    <t>Пылеуловитель рукавный Рэ=5,5 квт, V=4000 куб.м./час 8</t>
  </si>
  <si>
    <t>СК-40-750 токарный станок с ЧПУ</t>
  </si>
  <si>
    <t>Станок гидрообразивный 5-х осевой HEAD 320 BA 5AC/HEAD42037Z</t>
  </si>
  <si>
    <t>Стол отрезной-шлифовальный с откачкой переменного уровня, размер 1000х2000мм, Н=600-1100мм 1</t>
  </si>
  <si>
    <t>Стол отрезной-шлифовальный с откачкой переменного уровня, размер 1000х2000мм, Н=600-1100мм 2</t>
  </si>
  <si>
    <t>Стол отрезной-шлифовальный с откачкой переменного уровня, размер 1000х2000мм, Н=600-1100мм 3</t>
  </si>
  <si>
    <t>Стол отрезной-шлифовальный с откачкой переменного уровня, размер 1000х2000мм, Н=600-1100мм 4</t>
  </si>
  <si>
    <t>Стол отрезной-шлифовальный с откачкой переменного уровня, размер 1000х2000мм, Н=600-1100мм 5</t>
  </si>
  <si>
    <t>Стол отрезной-шлифовальный с откачкой переменного уровня, размер 1000х2000мм, Н=600-1100мм 6</t>
  </si>
  <si>
    <t>Стол отрезной-шлифовальный с откачкой переменного уровня, размер 1000х2000мм, Н=600-1100мм 7</t>
  </si>
  <si>
    <t>Стол отрезной-шлифовальный с откачкой переменного уровня, размер 1000х2000мм, Н=600-1100мм 8</t>
  </si>
  <si>
    <t>Термопластавтомат ТПА ZHAFIR ZERES III ZE3000III1700h  со шнеком "В"</t>
  </si>
  <si>
    <t>Фрезерный станок Wattsan A1 1325</t>
  </si>
  <si>
    <t>Электрогидравлический листогибочный пресс Wattsan A1 10032 PB</t>
  </si>
  <si>
    <t>Винт ПГМ DIN7991 М3x16</t>
  </si>
  <si>
    <t>Gigant Стеллаж СТФР 2000x1000x500 мм, 4 полки, разборная стойка (grey) G-СТФР-1054-2,0</t>
  </si>
  <si>
    <t>Ярпожинвест Огнетушитель углекислотный ОУ-7 ВСЕ</t>
  </si>
  <si>
    <t>Меланти Огнетушитель ОП-10 з АВСЕ</t>
  </si>
  <si>
    <t>BBK Микроволновая печь 17MWS-783M/W белый 00-00000584</t>
  </si>
  <si>
    <t>Верстакофф Верстак PROFFI-E v.2 218 Т Д5 Э 116209</t>
  </si>
  <si>
    <t>Centek Холодильник (белый) 127л (40л/87л) 470x510x1190 мм (ДхШхВ), 43 дБ, класс А+ CT-1710</t>
  </si>
  <si>
    <t>Ведомая шестерня в сборе</t>
  </si>
  <si>
    <t>Зарядное устройство HOTA D6 PRO Charger EU Plug0 (FPV)</t>
  </si>
  <si>
    <t>BLITZ Whoop 1.6W VTX*1 (FPV)</t>
  </si>
  <si>
    <t>Albatross RHCP SMA Antanna 150mm*1 (FPV)</t>
  </si>
  <si>
    <t>ELRS 915 RX*1 (Плата питания) (FPV)</t>
  </si>
  <si>
    <t>Лампа КГТ 1000Вт</t>
  </si>
  <si>
    <t>Беспилотное воздушное судно FPV "Оса", ГП</t>
  </si>
  <si>
    <t>Резьбовой фиксатор средней прочности, 50мл</t>
  </si>
  <si>
    <t>Водостойкая шлиф.бумага Бумага нажд. Р800 230*280 50шт/уп</t>
  </si>
  <si>
    <t>Водостойкая шлиф.бумага Бумага нажд.Р 1000 230*280 50шт/уп</t>
  </si>
  <si>
    <t>Шлиф-лист водостойкий на бумажной основе Р1500 М14 230x280 мм 10шт/уп</t>
  </si>
  <si>
    <t>Шлиф-лист водостойкий на бумажной основе Р2000 М10 230x280 мм 10шт/уп</t>
  </si>
  <si>
    <t>Бумага шлифовальная водостойкая WPF 230x280 мм (P2500, 50шт)</t>
  </si>
  <si>
    <t>Борфреза твердосплавная тип A 3х13 мм хв-к 3 мм</t>
  </si>
  <si>
    <t>Набор кругов отрезных алмазных (3шт+держатель)</t>
  </si>
  <si>
    <t>Лента клейкая малярная 25 мм Х 40 м</t>
  </si>
  <si>
    <t>Набор патронов цанговых (3шт)</t>
  </si>
  <si>
    <t>Штангенциркуль ШЦР разметочный-250</t>
  </si>
  <si>
    <t>Настольная бестеневая лампа на струбцине</t>
  </si>
  <si>
    <t>Нож двухкомпонентный корпус, 18мм</t>
  </si>
  <si>
    <t>Набор шестигранников 10 предметов</t>
  </si>
  <si>
    <t>Наушники противошумные, коричневые, 29 дБ/1шт</t>
  </si>
  <si>
    <t>АКБ 8000mAh 65C (FPV) (Оса)</t>
  </si>
  <si>
    <t>Приемник GPS iflight m10 (FPV)</t>
  </si>
  <si>
    <t>Фотополимер Flex Natural Clear (1кг)</t>
  </si>
  <si>
    <t>Сетка распределительная вязаная 2,5м</t>
  </si>
  <si>
    <t>VETTA Губка для удаления пятен, меламин, 9x6х3см 441-049</t>
  </si>
  <si>
    <t>1-2-Pro Губки д/посуды МАКСИ 93х63х30 мм 5 шт ГПМ-5</t>
  </si>
  <si>
    <t>Svip Веник мини Классика индиго SV2927ИНД</t>
  </si>
  <si>
    <t>Gigant Садовая лейка 5л GL5</t>
  </si>
  <si>
    <t>Gigant Помповый опрыскиватель1л PS-05</t>
  </si>
  <si>
    <t>Inforce бита для шуруповерта PZ1 L=50мм 2шт в упаковке 11-01-389</t>
  </si>
  <si>
    <t>МирПак Мешки серии PREMIUM+ 30 литров, 50 штук, ПСД, 20 мкм, размер 50х60см, черные 4650056200594</t>
  </si>
  <si>
    <t>НЕВСКАЯ КОСМЕТИКА Мыло хозяйственное 72 Комплект 4 шт. х 100 г , в упаковке, 11421 600892</t>
  </si>
  <si>
    <t>Трубка термоусадочная 1/0,5 черн. (уп.200м)</t>
  </si>
  <si>
    <t>Тепловизор A10TR x10</t>
  </si>
  <si>
    <t>Медиаконвертер TP-Link TL-FC311B-2</t>
  </si>
  <si>
    <t>Жгут герметизирующий КОНТУР-205</t>
  </si>
  <si>
    <t>Переходники  полимерные теплостойкие 8мм, 8мм, 8мм</t>
  </si>
  <si>
    <t>Трубка ТС-120, 8х10х0,9</t>
  </si>
  <si>
    <t>Трубка ТП-90, 8х10</t>
  </si>
  <si>
    <t>Фильтр влагоотделитель с редуктором и лубрикатор 1/2", 16 бар</t>
  </si>
  <si>
    <t>Шредер с автоподачей</t>
  </si>
  <si>
    <t>Полетный контроллер F405 MK2 V2 (FPV2)</t>
  </si>
  <si>
    <t>Регулятор ESC KN 60A 6s (FPV2)</t>
  </si>
  <si>
    <t>Рама 440mm (FPV2)</t>
  </si>
  <si>
    <t>3115 730KV Электродвигатель (FPV2)</t>
  </si>
  <si>
    <t>Воздушный винт 10x50x3 (FPV2)</t>
  </si>
  <si>
    <t>FPV Камера KN h1 (FPV2)</t>
  </si>
  <si>
    <t>Сервопривод S002P. 2g FH-2502</t>
  </si>
  <si>
    <t>Переход внутренний ВК ПП 110/50</t>
  </si>
  <si>
    <t>ГРУНТ-ЭМАЛЬ ПО РЖАВЧИНЕ 3 В 1 ЧЕРНАЯ</t>
  </si>
  <si>
    <t>Валик малярный с рукояткой Велюр , ось 6мм, D48мм, 150мм</t>
  </si>
  <si>
    <t>ГРУНТ- ЭМАЛЬ ПО РЖАВЧИНЕ 3 В 1 ЖЕЛТАЯ</t>
  </si>
  <si>
    <t>Кисть плоская 75 мм натуральная щетина, деревянная ручка</t>
  </si>
  <si>
    <t>Перчатки монтажника С-31 /L/</t>
  </si>
  <si>
    <t>Нож для разделки кабеля</t>
  </si>
  <si>
    <t>Флюс для пайки 30мл</t>
  </si>
  <si>
    <t>Термоусаживаемая трубка 4,2 ТУТ набор:7 цветов по 3шт. 100мм. уп.21шт</t>
  </si>
  <si>
    <t>Шарнирно-поворотные тиски 75 мм</t>
  </si>
  <si>
    <t>Тубус для чертежей телескопический, длина 64-100 см, формат а0, диаметр 8,5 см, с ремнем</t>
  </si>
  <si>
    <t>Медный провод 28AWG 0, 08 мм2 (красный, UL3135)</t>
  </si>
  <si>
    <t>Держатель шланга аспирации фрезерного станка</t>
  </si>
  <si>
    <t>Информационный стенд</t>
  </si>
  <si>
    <t>Фильтр влагоотделитель с редуктором 3/4", 16 бар</t>
  </si>
  <si>
    <t>Пульт MK32</t>
  </si>
  <si>
    <t>Лидар CUAV TF-lune</t>
  </si>
  <si>
    <t>Модуль GNSS CUAV C-RTK 9Ps</t>
  </si>
  <si>
    <t>Компас IST 8310</t>
  </si>
  <si>
    <t>Автопилот полетный контроллер N7</t>
  </si>
  <si>
    <t>GPS модуль M9N</t>
  </si>
  <si>
    <t>Наземная антенна CUAV GNSS TX02005</t>
  </si>
  <si>
    <t>МФУ Pantum M6502W</t>
  </si>
  <si>
    <t>Картридж Pantum PC-212EV Black</t>
  </si>
  <si>
    <t>Аэрозольный полупродукт 520мл.</t>
  </si>
  <si>
    <t>Грунт-спрей по пластику 520мл.</t>
  </si>
  <si>
    <t>DOBB&amp;MOPP "ФЛЭТ ШЕНИЛЬ" Швабра ТМ серия "Земля", телескопический черенок 3.1.06.667</t>
  </si>
  <si>
    <t>Зажим мешка для PM-1500/2200</t>
  </si>
  <si>
    <t>Фильтр-мешок FB 500х850</t>
  </si>
  <si>
    <t>Печатная плата rc_10inch_rk3399_ver1.0_gerber</t>
  </si>
  <si>
    <t>Выключатель авт. для защиты электродвигателя, типоразмер S0, класс расцепления 10</t>
  </si>
  <si>
    <t>Боковой блок-контакт 1HO+1H3</t>
  </si>
  <si>
    <t>Пульт H16</t>
  </si>
  <si>
    <t>Пульт SkyDroid H12</t>
  </si>
  <si>
    <t>Мастер модель верхний обтикатель Сибирь 1-2</t>
  </si>
  <si>
    <t>Воздушный винт карбон 18*5,5</t>
  </si>
  <si>
    <t>Воздушный винт CW &amp; CCW 16</t>
  </si>
  <si>
    <t>Трубка термоусадочная (Клеевая) 50/17 мм (1м) черная</t>
  </si>
  <si>
    <t>расходный материал - пластик для 3D принтера X-Line Formax 1.75мм черный 2кг</t>
  </si>
  <si>
    <t>Квазимачта</t>
  </si>
  <si>
    <t>DSP контроллер A11E комплект</t>
  </si>
  <si>
    <t>Трубка термоусадочная (Неклеевая) ТУТнг-3/1,5мм (200м) черная</t>
  </si>
  <si>
    <t>Набор пластиковых воронок 4 шт. 50, 75, 100, 120 мм</t>
  </si>
  <si>
    <t>Фильтр бумажный для ЛКМ 190 микрон</t>
  </si>
  <si>
    <t>ШАБАШКА Шпатель Для Клея Трапеция 250 Мм S4 Зуб 10x5 Мм 0021-025 227617</t>
  </si>
  <si>
    <t>KRAFTOOL Kayman Переставные клещи 250 мм 22353-25</t>
  </si>
  <si>
    <t>ECO Переходник наружная резьба G1/2 елочка 10 мм латунь AB-MT12/E10</t>
  </si>
  <si>
    <t xml:space="preserve">Сервопривод GDw RS0708 </t>
  </si>
  <si>
    <t>Доска магнитно-маркерная На Стенде 120x180 см, 2-сторонняя</t>
  </si>
  <si>
    <t>Ryobi ONE+ Аккумулятор RB18L50 5133002433</t>
  </si>
  <si>
    <t>Ryobi Перфоратор SDS ONE+ R18SDS-0  без аккумулятора в комплекте 5133002305</t>
  </si>
  <si>
    <t>Stayer Ножовка по дереву пила "Cobra 5" 400 мм, 5 TPI, прямой крупный зуб, быстрый рез поперек волоо</t>
  </si>
  <si>
    <t>Dr. IRON DR1004 Сумка для инструмента с ремнем 360x150x230 мм</t>
  </si>
  <si>
    <t>КОБАЛЬТ Полотна ножовочные по металлу КОБАЛЬТ 300 мм 248-283</t>
  </si>
  <si>
    <t>Ryobi Зарядное устройство ONE+ RC18120 5133002891</t>
  </si>
  <si>
    <t>Stayer MS-100 ножовка по металлу, 60 кгс, 1576_z02</t>
  </si>
  <si>
    <t xml:space="preserve">Unicorn Сифон для умыв.1.1/2"х40 нерж.вып., винт 80 мм с унив. г.т. 40x40/50 Юникорн A220 ИС.110309 </t>
  </si>
  <si>
    <t>Alca Plast  Гофра д/унитаза 110мм 230-530мм чуг+пласт/труб  A97SN 025-1188</t>
  </si>
  <si>
    <t>D.BOR Бур SDS-plus 4C PLUS 10*100/160, 4-cutting D-4PD10L0160</t>
  </si>
  <si>
    <t>OUTE Дивертор для смесителя картриджный: 1 вход -3/4", 2 выхода -1/2" и 3/4", корпус силумин TP20-2</t>
  </si>
  <si>
    <t>КОСМОС Элемент питания R20 278063 KOCR202BL</t>
  </si>
  <si>
    <t>Bosch Бур по бетону SDS plus-1 8x200x260 2608680272</t>
  </si>
  <si>
    <t>Bosch Сверло SDS plus-5x10x150x210 2608833799</t>
  </si>
  <si>
    <t>КОБАЛЬТ Кордщетка ручная КОБАЛЬТ металлическая 240 мм, 248-726</t>
  </si>
  <si>
    <t>Gigant Усиленный бур SDS-plus 8x160 GRD 11004</t>
  </si>
  <si>
    <t>vertextools НАБОР ЗЕНКЕРОВ ПО ДЕРЕВУ 3шт. 12мм, 16мм, 19мм 0987-12-16-19</t>
  </si>
  <si>
    <t>Dulux BINDO 3 краска для потолка и стен, матовая, белая, Баз BW 1л 5309019</t>
  </si>
  <si>
    <t>БОЛАРС Гипс строительный (Алебастр) , 5 кг 00000003074</t>
  </si>
  <si>
    <t>DANOGIPS SUPER FINISH шпаклевка универсальная 3л 606395</t>
  </si>
  <si>
    <t>НОРА-МРучка на планке ПП-02-72 мм (нейлон) черный для противопожарных дверей (шт.)18556</t>
  </si>
  <si>
    <t>СИБРТЕХ Шпательная лопатка из нержавеющей стали,80 мм,пластмассовая ручка// 85433</t>
  </si>
  <si>
    <t>Госкреп Винт DIN7985 М5х1010 шт 6-0054880</t>
  </si>
  <si>
    <t>Вихрь Шпатель нерж.cталь пластиковая рукоятка 60мм 73/3/2/16</t>
  </si>
  <si>
    <t>Вихрь Шпатель нерж.cталь пластиковая рукоятка 40мм 73/3/2/28</t>
  </si>
  <si>
    <t>APECS Цилиндровый механизм SM-70-G 2932</t>
  </si>
  <si>
    <t>Nemef NEMEF Корпус огнестойкого замка 1739/03/65mm PZ ZN front 24x235, DIN, симметричный 69166</t>
  </si>
  <si>
    <t>Tech-Krep Винт DIN7985 с полукруглой головкой оцинк. М4x10 10 шт - пакет 103009</t>
  </si>
  <si>
    <t>PUNTO Цилиндровый механизм с вертушкой Z402/60 mm 25+10+25 CP хром 5 кл. 35263</t>
  </si>
  <si>
    <t>ЕВРОПАРТНЕР DIN603 Болт с п.кр. гол. и кв.подголовком с гайкой Zn M 6 х 60 10 шт. 6 0525 6</t>
  </si>
  <si>
    <t>Tech-Krep Болт DIN933 с шестигранной головкой оцинк. М8x120 2 шт - пакет 126506</t>
  </si>
  <si>
    <t>Стройметиз Шайба 8 плоская, DIN 125А, цинк уп. 20 шт 3060051</t>
  </si>
  <si>
    <t>Gigant Подводка гибкая для воды с оплеткой из нержавеющей стали 1/2"х80 см г/ш P-80-GW</t>
  </si>
  <si>
    <t>ГОСКРЕП Крепежный уголок равносторонний 60х60х200х2 , 13-0020700</t>
  </si>
  <si>
    <t>A-VM МОП плоский, 40х13 см, микрофибра MF2082</t>
  </si>
  <si>
    <t>A-VM МОП плоский, 40х13 см, микрофибра MF2081</t>
  </si>
  <si>
    <t>НОРА-М Мебельный замок 6136 хром 8524</t>
  </si>
  <si>
    <t>OILRIGHT Солидол жир. 250г в тубе 6056</t>
  </si>
  <si>
    <t>Flextron Заглушка канализационная 110 SVK-K11160</t>
  </si>
  <si>
    <t>MPF Сантехническая манжета для канализации 50х32, белая, уплотнительная, переходная ИС.131687</t>
  </si>
  <si>
    <t>In'Loran Насадка д/плоской швабры микроф. 44*13,5*1,5см серый, арт. BN-509GR</t>
  </si>
  <si>
    <t>Профитт манжета переходная d 25x50 сантехническая, канализационная, трехлепестковая, белая 2227466</t>
  </si>
  <si>
    <t>Pro Legend Подводка для воды 60 см нержавеющая сталь 12мм 1/2 гайка-гайка PL7706</t>
  </si>
  <si>
    <t>Pro Legend Подводка для воды 100 см нержавеющая сталь 12мм 1/2 гайка-гайка PL7710</t>
  </si>
  <si>
    <t>Левша Ограничитель оконный  д/ ПВХ металлический белый У1-5659.Б</t>
  </si>
  <si>
    <t>RIDDER Штанга современный дизайн 90x90 см хром 52000</t>
  </si>
  <si>
    <t>РемоКолор Кувалда кованая, деревянная рукоятка, 5000г, 38-5-075</t>
  </si>
  <si>
    <t>mixline Зеркало Модерн 495*685 б/полки с фацетом 525417</t>
  </si>
  <si>
    <t>Wess Занавеска для ванной комнаты тканевая 180х200 см Oxford T573-2</t>
  </si>
  <si>
    <t>Титан Мета Вешалка "Класс-ТМЗ" черный 4607078080901</t>
  </si>
  <si>
    <t>MasterProf Набор лейка, шланг и держатель 1/2, 1.5 м, d-65 ИС.200292</t>
  </si>
  <si>
    <t>Luscan Professional Дозатор для мыла-пены prof etalon 800мл черный 151053, 1653731</t>
  </si>
  <si>
    <t>FT300 FLAT Antenna WITHOUT tracking system (Дальнобойная антенна)</t>
  </si>
  <si>
    <t>Шприц 20 мл до 22 мл (игла 0,8Х40)- 50 шт</t>
  </si>
  <si>
    <t>TDM Кабель ВВГ-П нгА-LS 3х2,5 окN, PE-0,66 ГОСТ 100м SQ0117-0076</t>
  </si>
  <si>
    <t>ООО Лидер Светильник линейный подвесной 1200x50x50 4000K 36W Черный М0000037860</t>
  </si>
  <si>
    <t>Ключ-отвёртка Т-образный торцевой 5.5x135мм, длина 185 мм</t>
  </si>
  <si>
    <t>Ключ-отвёртка Т-образный торцевой 8x135мм, длина 185 мм</t>
  </si>
  <si>
    <t>Нож 9 мм</t>
  </si>
  <si>
    <t>Мат для резки, 3-слойный</t>
  </si>
  <si>
    <t>Бита-ставка H1.5x30мм</t>
  </si>
  <si>
    <t>Пассатижи удлиненные изогнутые 160мм</t>
  </si>
  <si>
    <t>Пинцет изогнутый, узкий 155мм</t>
  </si>
  <si>
    <t>Набор спиральных сверл из быстрорежущей стали</t>
  </si>
  <si>
    <t>ЗУБР Зенкер конусный, кобальтовое покрытие, d 12.4x56мм, для раззенковки М6 29732-6</t>
  </si>
  <si>
    <t>Jonnesway M61122 Зубило слесарное 22x200 мм 48930</t>
  </si>
  <si>
    <t>FORTISFLEX Стяжки нейлоновые разъемные КСР 7,5*200 б уп.100шт 56183</t>
  </si>
  <si>
    <t>Gigant Цельнометаллическая линейка 1000 мм GMR 1000</t>
  </si>
  <si>
    <t>Inforce Набор отверток диэлектрических 7шт 06-09-84</t>
  </si>
  <si>
    <t>Gigant Цельнометаллическая линейка 150 мм GMR 150</t>
  </si>
  <si>
    <t>Milwaukee Нарукавники с уровнем сопротивления порезам E, 40 см 4932479936</t>
  </si>
  <si>
    <t>Прецизионные бокорезы 130 мм</t>
  </si>
  <si>
    <t>SANTOOL Шлиф-лист водостойкий на бумажной основе Р600 М28 230x280 мм 10шт/уп 060212-060</t>
  </si>
  <si>
    <t>ПК DEXP Atlas H389</t>
  </si>
  <si>
    <t>Стяжки 3*150 Nord (100шт)</t>
  </si>
  <si>
    <t>Блок питания GINZZU GA-1045, 12в 2А</t>
  </si>
  <si>
    <t>Струйный картридж T2 IC-HF6V19A для принтеров HP, черный</t>
  </si>
  <si>
    <t>Монитор Digma 23.8" DM-MONB2403 темно-серый</t>
  </si>
  <si>
    <t>Сетевой переходник плоский "Тефаль" черный</t>
  </si>
  <si>
    <t>Сетевой фильтр Pilot S-Max 6 розеток 1.8м серый</t>
  </si>
  <si>
    <t>EURO Clean EUROCLEAN professional Мешок синтетический для стружкоотсоса, нижний EUR-SPA-2312</t>
  </si>
  <si>
    <t>Линейка металлическая 100 см</t>
  </si>
  <si>
    <t>Термоусадка черная 15.0 / 7.5 мм</t>
  </si>
  <si>
    <t>Корзина для бумаг квадратная 14 литров, Germanium, металл, серебро</t>
  </si>
  <si>
    <t>Гибкий кабель-канал 25х57мм</t>
  </si>
  <si>
    <t>MS-900 Паяльная станция</t>
  </si>
  <si>
    <t>PS-900 Паяльная станция индукционная</t>
  </si>
  <si>
    <t>Жало со встроенным нагревателем Т130-С/Atten</t>
  </si>
  <si>
    <t>Крышка для деревянного ящика</t>
  </si>
  <si>
    <t>Коммутатор MikroTik CRS326-24G-2S+RM</t>
  </si>
  <si>
    <t>Полетный контроллер CUAV X7+ PRO</t>
  </si>
  <si>
    <t>Бита вставка PH.0х50мм</t>
  </si>
  <si>
    <t>Дренажно-разделительный пакет: жёлтая сетка/синяя РО-плёнка перф.</t>
  </si>
  <si>
    <t>Фреза конц.тв.спл. DFE 4030-050-N100S06</t>
  </si>
  <si>
    <t>Коммутатор TP-LINK TL-SG2428P</t>
  </si>
  <si>
    <t>ИБП DEXP CEE-E 1500VA (линейно-интерактивный, 1500 ВА, 4 роз CEE 7, USB )</t>
  </si>
  <si>
    <t xml:space="preserve">ИБП DEXP HOME PRO 1000VA </t>
  </si>
  <si>
    <t>Аккумуляторная отвертка MILWAUKKE M4</t>
  </si>
  <si>
    <t>GPS модуль Nano M8 5883</t>
  </si>
  <si>
    <t>Полетный контроллер Kakute H7 V1.3</t>
  </si>
  <si>
    <t>Колодка розеточная 4 гнезда 2П+3 16А 250В белая TDM</t>
  </si>
  <si>
    <t>Кабель-канал 40х25 ECOLINE (24м) IEK</t>
  </si>
  <si>
    <t>Розетка четырехместная 2P+PE 16A 250B IP44 TDM</t>
  </si>
  <si>
    <t>Светильник светодиодный</t>
  </si>
  <si>
    <t>Винт ПЦГЧ DIN7985 М3х55</t>
  </si>
  <si>
    <t>Крышка для емкости 0,385л Русский Мастер</t>
  </si>
  <si>
    <t>Бумага абразивная для работы по сухому 230*280мм Р120 RED LINE HOLEX</t>
  </si>
  <si>
    <t>Ноутбук игровой ASUS ROG Strix G15 G513QY-HF001,15.6"</t>
  </si>
  <si>
    <t>Ноутбук Lenovo IdeaPad 3 15IAU7, 15.6"</t>
  </si>
  <si>
    <t>МФУ лазерный Xerox Work Centre WC3025NI</t>
  </si>
  <si>
    <t>Wi-Fi роутер KEENETIC Peak, AC2600, серый [kn-2710]</t>
  </si>
  <si>
    <t>Коммутатор D-Link Switch DES-1008C/B1A</t>
  </si>
  <si>
    <t>Шкаф настенный Hyperline TWB-FC-1866-GP-RAL9004 18U 19" 908x600х600мм, стеклянная дверь, черный</t>
  </si>
  <si>
    <t>Видеокамера IP HiWatch DS-I200 (D) (2.8 mm)</t>
  </si>
  <si>
    <t>Гелькоут G70UV (смола)</t>
  </si>
  <si>
    <t>Стол письменный V-16 дуб Кобург</t>
  </si>
  <si>
    <t>Шкаф низкий закрытый V-691 дуб Кобург</t>
  </si>
  <si>
    <t>Компьютер GIGABYTE Game AORUS MODEL СORE I9 11900K DDR4 32 ГБ, 2ТБ №196565</t>
  </si>
  <si>
    <t>Монитор Huawei MateView GT ZQE-CAA 34</t>
  </si>
  <si>
    <t>Tech-Krep Анкерный болт с гайкой 10x125 1 шт - пакет 108048</t>
  </si>
  <si>
    <t>Силиконовый компаунд "Юнисил 9560" (Фасова 1 кг)</t>
  </si>
  <si>
    <t>Силиконовый компаунд "Юнисил 9728" (Комплект 1 кг)</t>
  </si>
  <si>
    <t>Силиконовый компаунд "Юнисил 9641" (Комплект 1 кг)</t>
  </si>
  <si>
    <t>Однокомпонентный клей-герметик "ПентЭласт 1143" марка Б (прозрачный) 310мл</t>
  </si>
  <si>
    <t>Смазка антиадгезионная Вс-М в аэрозольной упаковке</t>
  </si>
  <si>
    <t>Смазка антиадгезионная серии "Пента-100", марка "Пента-119-11"(комплект (4,03 л))</t>
  </si>
  <si>
    <t>Трубка силиконовая 2,5 х 1</t>
  </si>
  <si>
    <t>Arcus Style Душевая кабина 100х100 стекло матовое профиль белый (S-43)</t>
  </si>
  <si>
    <t>Клеевой компаунд "Дельта Эласт"</t>
  </si>
  <si>
    <t>Клеевой компаунд "Дельта Эласт ВВ"</t>
  </si>
  <si>
    <t>Коллектор VALTEC 3/4", 4 вых. х 1/2"вн</t>
  </si>
  <si>
    <t>Коллектор VALTEC 3/4", 4 вых. х 1/2" нар</t>
  </si>
  <si>
    <t>Ниппель переходной VALTEC 3/4"х1/2" нар-нар</t>
  </si>
  <si>
    <t>Заглушка VALTEC 3/4" вн</t>
  </si>
  <si>
    <t>Лента-ФУМ VALTEC, 19мм х 0,12мм х 15м</t>
  </si>
  <si>
    <t>Винт ЦГЧ DIN912 М5х25</t>
  </si>
  <si>
    <t>Шайба DIN125 d4</t>
  </si>
  <si>
    <t>Гайка DIN 934 М5</t>
  </si>
  <si>
    <t>Заклепка вытяжная 4.0х8</t>
  </si>
  <si>
    <t>Фреза спиральная Z2 конусная сферическая R=0.5 D=1x15x50 S=3</t>
  </si>
  <si>
    <t>Фреза спиральная Z2 конусная сферическая R=1.5 D=3x30.5x75mm S=6</t>
  </si>
  <si>
    <t>Ключ гаечный комбинированный 8мм</t>
  </si>
  <si>
    <t>Аккумуляторная дрель-шуруповерт Milwaukee M12</t>
  </si>
  <si>
    <t>Аккум. дрель-шуруповерт M12 FDD-202X</t>
  </si>
  <si>
    <t>Аккум. импульсный винтоверт Milwaukee M12</t>
  </si>
  <si>
    <t>Веник синтетический веерный 29х26 см, деревянный черенок 40 см</t>
  </si>
  <si>
    <t>Диспенсер для полотенец LAIMA PROFESSIONAL BASIC</t>
  </si>
  <si>
    <t>Журнал регистрации инструктажа на рабочем месте BRAUBERG</t>
  </si>
  <si>
    <t>Журнал учета товарно-материальных ценностей BRAUBERG</t>
  </si>
  <si>
    <t>Лезвия для ножей 18 мм</t>
  </si>
  <si>
    <t>Метла синтетическая круглая 32х11 см LAIMA EXPERT</t>
  </si>
  <si>
    <t>Ножницы BRAUBERG "Special" 216 мм</t>
  </si>
  <si>
    <t>Поднос универсальный большой, 33х49 см IDEA</t>
  </si>
  <si>
    <t>Полотенца бумажные 200 шт.,LAIMA (H2) PREMIUM</t>
  </si>
  <si>
    <t>Стиратель для магнитно-маркерной доски (55х160 мм), BRAUBERG</t>
  </si>
  <si>
    <t>Переходник питания с вилки EU,US в RU</t>
  </si>
  <si>
    <t>Треноги Tripod для Антенн</t>
  </si>
  <si>
    <t>Foxtech Supreme C/F Propeller (17x5.8) V2</t>
  </si>
  <si>
    <t>RC0402FR-077K5L</t>
  </si>
  <si>
    <t>Аквапрофи набор картриджей для пурифайера с UF мембраной 12 дюймов</t>
  </si>
  <si>
    <t>Мешки для мусора ПНД 30л 10мкм 30 шт/рул зеленые 50x60см Luscan</t>
  </si>
  <si>
    <t>Перчатки резиновые Vileda Profes латекс/неопр хлопк.напыл зел/жел L 120269</t>
  </si>
  <si>
    <t>Отвердитель Тranslack 2К Т15, 2,5л</t>
  </si>
  <si>
    <t xml:space="preserve">Пульт управления RadioMaster TX12 </t>
  </si>
  <si>
    <t>Пропеллер карбоновый TAROT 20х5,5</t>
  </si>
  <si>
    <t xml:space="preserve">МДФ 280х2070х30мм (F) Кастамону </t>
  </si>
  <si>
    <t>Считыватель внешн. Transcend TS-RDF5K SDXC/SDHC/microSDXC/microSDHC USB 3.0 black</t>
  </si>
  <si>
    <t>Карта Памяти micro SDXC 64Gb Transcend 300S UHS-I U1 A1 + ADP (100/20 Mb/s)</t>
  </si>
  <si>
    <t>ML16P Перфопанель</t>
  </si>
  <si>
    <t>ML12P Перфопанель</t>
  </si>
  <si>
    <t>Кронштейный для крепления к верстаку</t>
  </si>
  <si>
    <t>Комплект освещения</t>
  </si>
  <si>
    <t>Комплект навесок №2</t>
  </si>
  <si>
    <t>Комплект навесок №1</t>
  </si>
  <si>
    <t>Медная проволока для восстановления дорожек сечение 0,02мм катушка, Флюс\VNB</t>
  </si>
  <si>
    <t>Преобразователь уровней USB на TTL UART/STC-smd (PL2303HX)\Китай</t>
  </si>
  <si>
    <t>09-3682, Флюс-гель для пайки Алюминия 12мл (шприц) \Rexant</t>
  </si>
  <si>
    <t>Гель-флюс среднеактивный для BGA,SMD UV-223 10г ( + 2 иголки дозирующие)\AB retail</t>
  </si>
  <si>
    <t>Медная проволока для восстановления дорожек BAKU BK-Advanced Enameled Wire (Jumper Wire), Флюс</t>
  </si>
  <si>
    <t>Кисть, скребок для удаления остатков флюса и излишков припоя 6BE11-07\KING TONY</t>
  </si>
  <si>
    <t>FLUID 101/200, Химия, Средство водоотталкивающее (защитное покрытие)\CRC</t>
  </si>
  <si>
    <t>Полиимидный скотч (термоскотч) 16 мм 33 метра\AB retail</t>
  </si>
  <si>
    <t>Пинцет керамический SC-15s малый изгиб, Инструмент\AB retail</t>
  </si>
  <si>
    <t>RG25M10m0.15, Термоскотч\RUICHI</t>
  </si>
  <si>
    <t>09-3601, Кисточка стекловолоконная для нанесения флюсов 3мм\Rexant</t>
  </si>
  <si>
    <t>Полиимидный скотч (термоскотч) 10мм х 33м односторонний\Китай</t>
  </si>
  <si>
    <t>PLASTIK 70/200, Химия, Лак акриловый изоляционный\CRC</t>
  </si>
  <si>
    <t>Sn60Pb39Cu1(Sn60Pb38Cu2 )  Тр ISO-Core "RA" (0.75мм),
Припой олово-свинец-медь с флюсом ROM1, катуш</t>
  </si>
  <si>
    <t>PL4204, Подложка, Термопрокладка  70x35x1,0мм 6wmk 25 shore OO\Pro Legend</t>
  </si>
  <si>
    <t>EMI 35/200, Химия, Средство экранирующее электромагнитные поля ( на основе меди)\CRC</t>
  </si>
  <si>
    <t>EFD 6-412-A Flux Plus, Флюс-гель безотмывочный, 10г\EFD</t>
  </si>
  <si>
    <t>Sn60/Pb40 (Sn63/Pb37) (СF10 флюс ) трубка d=1.0мм 250г (OBSOLETE), Припой\Asahi</t>
  </si>
  <si>
    <t>Filum Кабель удлинитель USB 3.0, 1.8 м., синий, разъемы: USB A male-USB A female, пакет. [FL-C-U3-AM</t>
  </si>
  <si>
    <t>CLEANER аэрозоль, 400 мл, Химия, Очиститель спиртовой для электронного оборудования\Solins</t>
  </si>
  <si>
    <t>MS8911, Измерительный прибор, Измеритель- пинцет (мультиметр)  RLC для SMD-компонентов\Mastech</t>
  </si>
  <si>
    <t>1PK-3178, Инструмент, Набор захватов BGA элементов 4шт\ProsKit</t>
  </si>
  <si>
    <t>5-053-13 SMD, Инструмент, Пинцет антистатический, изогнутый, заостренный,110мм\Bernstein</t>
  </si>
  <si>
    <t>Инструмент монтажный №1\ММИЗ</t>
  </si>
  <si>
    <t>33-ММИЗ (3-107), Инструмент, Шило монтажное серповидное 152мм\ММИЗ</t>
  </si>
  <si>
    <t>FLUX OFF аэрозоль, 400 мл, Химия, Очиститель от флюса\Solins</t>
  </si>
  <si>
    <t>Салфетки для поверхностей CLN 30300 Optima 100 шт,туба DEFENDER, Химия\Defender</t>
  </si>
  <si>
    <t>ER-700 Pro (10мл), Флюс-гель безотмывочный (R0L1)
\Rusflux</t>
  </si>
  <si>
    <t>HARPER HUB-04MB Black USB-концентратор, Интерфейс: 4 х USB 3.2, 1 х Micro USB  Переходник: USB 3.0 /</t>
  </si>
  <si>
    <t>Коммутатор D-Link DGS-1005D/J2A 5G неуправляемый\D- Link</t>
  </si>
  <si>
    <t>Алюминиевая лента 50ММх40М</t>
  </si>
  <si>
    <t>Алюминиевая самоклеющая лента  25мм</t>
  </si>
  <si>
    <t xml:space="preserve">Фанера ФК 4 мм, размер 1525х1525 мм,сорт 3/4 </t>
  </si>
  <si>
    <t xml:space="preserve"> Углеродная ткань твилл 245 г/м2 , ширина 127 см</t>
  </si>
  <si>
    <t>Соединитель двух труб Т-образный цвет хром</t>
  </si>
  <si>
    <t>Модуль питания для Pixhawk и APM 28V 90A (ЗА ВЕС)</t>
  </si>
  <si>
    <t>Костюм CLINPLEX модель ВИТА Лайт графит с оранжевым, 44-46/158-164</t>
  </si>
  <si>
    <t>Костюм CLINPLEX модель ВИТА Лайт графит с оранжевым, 48-50/170-176</t>
  </si>
  <si>
    <t>Костюм NEXT (НЭКСТ) т.синий/горчичный, 56-58/170-176</t>
  </si>
  <si>
    <t>Тенниска-поло серый меланж, M(48)</t>
  </si>
  <si>
    <t>Тенниска-поло серый меланж, XXL(54)</t>
  </si>
  <si>
    <t>Тенниска Люкс(рубашка с воротником поло) т.синяя, 6XL(62)</t>
  </si>
  <si>
    <t>Полуботинки PEZZOL 171BB ARCO S1P черно/синие, 41</t>
  </si>
  <si>
    <t>Цанга высокоточная ER20-3 Rotis</t>
  </si>
  <si>
    <t>Цанга высокоточная ER20-6 Rotis</t>
  </si>
  <si>
    <t>Двигатель T-MOTOR MN501-S KV300</t>
  </si>
  <si>
    <t>Бита для шуруповертов 10/50мм 1/4"</t>
  </si>
  <si>
    <t>Контроллер доступа Sigur E510</t>
  </si>
  <si>
    <t>Фрезерный станок с ЧПУ LM1325</t>
  </si>
  <si>
    <t>Клейкая лента сверх двухсторонняя</t>
  </si>
  <si>
    <t>Клейкая лента двусторонняя GPT-020F универсальная, прозрачная 9мм х5 м</t>
  </si>
  <si>
    <t>Сетевая карта 5bites UA3-45-04BK 10/100/1000 MBps USB + USB3.0 HUB 3-port</t>
  </si>
  <si>
    <t>Тестер витой пары 5bites LY-CT003 [RJ45, RJ11/12]</t>
  </si>
  <si>
    <t>Кард-ридер Transcend RDF5 [Type-A, 3.0, micro SD, SD, пластик, черный]</t>
  </si>
  <si>
    <t>Монитор Mi 27" Desktop Monitor Black [75 Hz, 1920×1080 (16:9), IPS, 6 ms, 300 cd/m², 178°/178°, VGA,</t>
  </si>
  <si>
    <t>Сетевая карта 5bites UA3C-45-09BK 10/100 MBps TYPE-C + USB2.0 HUB 3-port</t>
  </si>
  <si>
    <t>Пропеллер карбоновый Falcon 20x6</t>
  </si>
  <si>
    <t>Inforce Инструмент для снятия изоляции 0,5 – 10 мм? 06-19-14</t>
  </si>
  <si>
    <t>ErichKrause Ножницы Megapolis, 16.5см, серо-зелёный (в блистере 1 шт.) 44887</t>
  </si>
  <si>
    <t>GROSS Ключ-трещотка 1/4", 72 зуба, Comfort, с быстрым сбросом, CrV, 2-х комп. рукоятка // 14086</t>
  </si>
  <si>
    <t>Зубр Ножницы "МАСТЕР" малярные, 290мм 40481-29</t>
  </si>
  <si>
    <t>Markal Маркер для мокрых поверхностей Pro-Line WP, 3 мм, белый 96930</t>
  </si>
  <si>
    <t>REXANT Пинцет прямой, узкий, рифленый 145 мм ПРОФИ 12-0346</t>
  </si>
  <si>
    <t>SHTOK Съемник изоляции автоматический СИ-6А 06012</t>
  </si>
  <si>
    <t>ProsKit Пинцет 1PK-117T 00152589</t>
  </si>
  <si>
    <t>FIT HQ Бокорезы мини, черно-желтая мягкая ручка, никел.антикор.покрытие 51631</t>
  </si>
  <si>
    <t>FIT IT Молоток-киянка резина/пластик, деревянная ручка 35 мм 45535</t>
  </si>
  <si>
    <t>KING TONY Пинцет прецизионный, 165 мм 6AF21-165</t>
  </si>
  <si>
    <t>Gigant Маркер белый разметочный 3 мм WPM-3</t>
  </si>
  <si>
    <t>Metabo PowerMaxx BS Аккумуляторный винтоверт 12В 2х2.0,LC12,патр,кейс 600984500</t>
  </si>
  <si>
    <t>Утконосы 200 мм</t>
  </si>
  <si>
    <t>РОКОТ Набор надфилей алмазных 6шт,размер 5x180мм, блистер 645-035</t>
  </si>
  <si>
    <t>MESSER Наконечник М3 для резьбового аккумуляторного заклепочника LW20LM LW20LM-3</t>
  </si>
  <si>
    <t>Gigant Маркер черный разметочный 3 мм BPM-3</t>
  </si>
  <si>
    <t>WERA ОТВЁРТКА (шт) 354     SW  2,0 MM WE-023105</t>
  </si>
  <si>
    <t>EKF Карман для документации пластиковый А4 Basic mb-kar-a4</t>
  </si>
  <si>
    <t>Edding Маркер глянцевый лаковый, круглый наконечник, 0,8 мм Белый, E-780#49</t>
  </si>
  <si>
    <t>Attache Карман настенный А4 225x305x5 гор д/инф на скотче скош.угол 10шт уп 1549919</t>
  </si>
  <si>
    <t>Solins Спрей-очиститель Flux Off от флюса, 400 мл 0L-00028460</t>
  </si>
  <si>
    <t>Connector Флюс ЛТИ-120 Lux 500 мл. LTI-120LUX-500</t>
  </si>
  <si>
    <t>Cablexpert Отвертка с набором бит, 49 предметов TK-SD-08R</t>
  </si>
  <si>
    <t>ProsKit Лента-поглот.олова DP-033E/термостойкий корпус/ 00356580</t>
  </si>
  <si>
    <t>АВТОЭЛЕКТРИКА ASM 36 -390 Органайзер с выдвижными ящиками 4000</t>
  </si>
  <si>
    <t>REXANT Спуджер металлический /Лопатка двухсторонняя/ ЛП-04 180мм 12-4334-8</t>
  </si>
  <si>
    <t>ЗУБР  Органайзер "ДОН-80" двухсторонний, 38036-80</t>
  </si>
  <si>
    <t>ПРАКТИК TC Шкаф инструментальный TC-1995-100804 К30599512846</t>
  </si>
  <si>
    <t>Канистра стальная AUTOPROFI, 20 л ,1 4 KAN-500</t>
  </si>
  <si>
    <t>Автомобильный портативный компрессор R17,BERKUT</t>
  </si>
  <si>
    <t>Генератор бензиновый инверторный GDA 1400i, DAEWOO</t>
  </si>
  <si>
    <t>Cтяжка для крепления груза DSV, 38мм*4.6м, 2,0т, 4 R88031</t>
  </si>
  <si>
    <t>Фонарь прожекторный Gauss модель GFL602 11W 400Im Li-ion 4800mAh LED 1/10/30 GF602</t>
  </si>
  <si>
    <t>Буксир автомобильный 9Т СТ-9/5, Gigant</t>
  </si>
  <si>
    <t>Знак авар. остановки с усил. корп.в пластик. пенале КТ 830006, KRAFT</t>
  </si>
  <si>
    <t>Набор инструмента ROCKFORCE, 1/2&amp;1/4&amp;3/8DR с 6-гранными головками 216 предметов RF-38841</t>
  </si>
  <si>
    <t>Игла для жгутов метал. Rossvik (разборная) TRT75NR-1</t>
  </si>
  <si>
    <t>Шило спиральное 6 мм Rossvik (гладкое) с пистолетной ручкой TRT77SP-T</t>
  </si>
  <si>
    <t>Мачете двухстороннее 450 мм, Truper, с чехлом MACH-18X 13098</t>
  </si>
  <si>
    <t>Расходный материал-пластик для 3D-принтера REC HIPS 1.75мм, 750г</t>
  </si>
  <si>
    <t>Расходный материал-пластик для 3D-принтера REC ETERNAL 1.75мм, 750г</t>
  </si>
  <si>
    <t>Клещи переставные 250 мм  Дело Техники,на холдере"ДТ"/60/10 415250</t>
  </si>
  <si>
    <t>Расходный материал-пластик для 3D-принтера REC Relax 1.75мм, прозрачный 750г</t>
  </si>
  <si>
    <t>Молоток слесарный, Дело Техники, цельнокованый 800 г.</t>
  </si>
  <si>
    <t>Фонарь КОСМОС,3Вт XPE, 3Вт COB, сменный акк. 1200mAh КосH3WDLith</t>
  </si>
  <si>
    <t>Меланти Огнетушитель порошковый закачной ОП-2, порошок ВСЕ</t>
  </si>
  <si>
    <t>ЦЕНТРОИНСТРУМЕНТ FINLAND Лопата сварная автомобильная совковая</t>
  </si>
  <si>
    <t>Порошок ONSINT PA11 black 3кг</t>
  </si>
  <si>
    <t>Порошок ONSINT TPU 88A 3кг</t>
  </si>
  <si>
    <t>Сетевое хранилище NAS Zyxel NaS542-EU0101F 4-bay настольный</t>
  </si>
  <si>
    <t xml:space="preserve">Компьютер iRU office 310H6SM, Intel Core i5 12400, DDR4, 8Гб Intel Core UHD GRAPHICS 730, </t>
  </si>
  <si>
    <t>Монитор Digma 23.8" DM-MONB2403 черный</t>
  </si>
  <si>
    <t>Вал крана пара CIMBALI  6*8мм</t>
  </si>
  <si>
    <t>Вибрационная помпа ULKA  EX5 GW 48W</t>
  </si>
  <si>
    <t>Вилка рычага крана пар правая FAEMA</t>
  </si>
  <si>
    <t>U0000133260 датчика температуры</t>
  </si>
  <si>
    <t>Крышка расходометра (флоуметра латунь)</t>
  </si>
  <si>
    <t>Крышка расходометра (флоуметра)</t>
  </si>
  <si>
    <t>Манометр ELEKTRA</t>
  </si>
  <si>
    <t>Манометр холдера</t>
  </si>
  <si>
    <t>Мотор миксера</t>
  </si>
  <si>
    <t>Мотор-Редуктор</t>
  </si>
  <si>
    <t>Мотор-редуктор группы экпрессо</t>
  </si>
  <si>
    <t>Мультиклапан F11</t>
  </si>
  <si>
    <t>Мультиклапан в сборе DR COFFEe</t>
  </si>
  <si>
    <t>13.3 inch i5 rugged tough book 8GB 256 GB</t>
  </si>
  <si>
    <t>I5-8265U 6*RJ45 industrial Embedded mini Computer</t>
  </si>
  <si>
    <t>I5-8200Y 16GB/1000GB</t>
  </si>
  <si>
    <t>keyboard 10 inch windows rugged tablet</t>
  </si>
  <si>
    <t>Картридер Transcend TS-RDF9K2</t>
  </si>
  <si>
    <t>Карта памяти micro SDHC 32Gb Kingston</t>
  </si>
  <si>
    <t>Машина поломоечная КлинВилл XD70</t>
  </si>
  <si>
    <t>Пурифайер-проточный кулер для воды</t>
  </si>
  <si>
    <t>Экран LCD для 3D принтера Anycubic Photon M3 MAX</t>
  </si>
  <si>
    <t>Авиационная Фанера берёзовая 1550х1550х2мм.(АВ/В) Финляндия (аналог БС-1)</t>
  </si>
  <si>
    <t>Авиационная Фанера БС-1 1525х1525х4мм ( ГОСТ 102-75 )</t>
  </si>
  <si>
    <t xml:space="preserve">Фанера ФК сорт 1/2 Е1 Ш2 1525х1525х4 мм </t>
  </si>
  <si>
    <t>Печатная плата External_board</t>
  </si>
  <si>
    <t>Полотенца бумажные д/держ.Tork Н3 Advanced ZZ 2сл.200л20шт/уп 290184Singlef</t>
  </si>
  <si>
    <t>Журнал учета проверки знан,норм,правил работы в электроустан 2шт/уп КЖ-610</t>
  </si>
  <si>
    <t>Журнал учёта присвоения гр. 1 по электробез неэлетротехническ персон КЖ 134</t>
  </si>
  <si>
    <t>Блок для унитаза Бреф Сила-Актив Океанский Бриз (шары)</t>
  </si>
  <si>
    <t>Хлорные таблетки Алмадез-Хлор 1,0 кг</t>
  </si>
  <si>
    <t>Стакан одноразовый 200мл прозр., для хол/гор., бюджет, КОМУС ПП3000шт/кор</t>
  </si>
  <si>
    <t>Ложка ЭкоБагет чайная нерж.сталь 2 мм Pinti 12шт/уп., 69698</t>
  </si>
  <si>
    <t>Перчатки резиновые Vileda Profes латекс/неопр хлопк.напыл зел/жел M 120268</t>
  </si>
  <si>
    <t>RUSKLAD Тележка платформенная с сетчатыми бортами ТС 7 (800x1400) d200мм ТС 7 200</t>
  </si>
  <si>
    <t>AVERS Цилиндровый механизм JM-120-CR 27310</t>
  </si>
  <si>
    <t>AVERS Цилиндровый механизм ZM-120-C-CR 28275</t>
  </si>
  <si>
    <t>MasterProf Трубка пластиковая для системы тонкой очистки 1/4 15 м ИС.230125</t>
  </si>
  <si>
    <t>Штангенциркуль ШЦ-1 150 мм 0,1 мм ЧИЗ 53372</t>
  </si>
  <si>
    <t>Пластина из листа Д16т 30х500х500</t>
  </si>
  <si>
    <t>ASTROhim Преобразователь ржавчины с активными ионами цинка 500мл AC-469</t>
  </si>
  <si>
    <t>Передатчик HappyModel 915MHZ</t>
  </si>
  <si>
    <t>FC-SC simplex SM розетка</t>
  </si>
  <si>
    <t>Концевой, путевой выключатель KZ-8166</t>
  </si>
  <si>
    <t>POXIPOL Холодная сварка прозрач. 14мл 00267</t>
  </si>
  <si>
    <t>Карбон 240 г/м твил 2/2 3К</t>
  </si>
  <si>
    <t>Вставка-бита 1/4 Н1.5 25мм</t>
  </si>
  <si>
    <t>Вставка-бита 1/4 8мм</t>
  </si>
  <si>
    <t>Шпатлевка жидкая BOLL 1.2кг</t>
  </si>
  <si>
    <t>Умная розетка Яндекс розетка</t>
  </si>
  <si>
    <t>Краска PUR 5500 G10</t>
  </si>
  <si>
    <t>Медный провод AWG 26, ЧЕРНЫЙ, 400м</t>
  </si>
  <si>
    <t>Труба АД31Т1 28x1.5 6000мм</t>
  </si>
  <si>
    <t>Ружье антидроновое</t>
  </si>
  <si>
    <t>Шкаф для одежды металлический Стандарт LS-21-60 (LS-21-600)</t>
  </si>
  <si>
    <t>Шприц 2-комп. однораз. 20мл игла имп. 21G (0,8х40) СТЕРИН 300 шт/уп</t>
  </si>
  <si>
    <t>Ручка гелевая неавтоматическая Attache City 0,5мм черный Россия</t>
  </si>
  <si>
    <t>Ложка столовая   Pintinox Бостон 19,5 см (12 шт/уп.) 12600001</t>
  </si>
  <si>
    <t>Кнопки канцелярские Комус металлич. шляпка 10 мм, цветные 50 шт.карт.уп</t>
  </si>
  <si>
    <t>Файл-вкладыш А4 60 мкм  Attache 100 шт, рифленные</t>
  </si>
  <si>
    <t>Батарейка DURACELL BASIC ААA/LR03-18BL</t>
  </si>
  <si>
    <t>Батарейка DURACELL BASIC АА/LR6 бл/18шт</t>
  </si>
  <si>
    <t>Салфетки влажные</t>
  </si>
  <si>
    <t>Папка уголок , 150 мкм, синий 10шт/уп Россия</t>
  </si>
  <si>
    <t>Ручка шариковая неавтоматическая My Tech игольчат након 0,7мм,лин 0,35мм</t>
  </si>
  <si>
    <t>Ручка шариковая на подставке на липучке для стола Attache Enigma, син.ст</t>
  </si>
  <si>
    <t>Бизнес-тетрадь Flakes pink обложка УФ лак, спираль, А5, 48л, клетка</t>
  </si>
  <si>
    <t>Ручка шариковая автоматическая PILOTSuperGrip BPGG-8R-F-Rрез.манж.крас 0.22</t>
  </si>
  <si>
    <t>Салфетки Attache Selection For Screen д/экранов, туба, 100 шт, 130х170</t>
  </si>
  <si>
    <t>Ручка шариковая неавтоматическая Attache Corvet черная, 0,7мм</t>
  </si>
  <si>
    <t>Папка адресная бумвинил А4 (объемная) На подпись Госсимволика бордовая</t>
  </si>
  <si>
    <t>Карандаш чернографитный Attache Economy плаcтик,сласт,HB,черн.корп.,6шт/уп</t>
  </si>
  <si>
    <t>Лоток вертикальный Attache 95мм с окном маркировки черный</t>
  </si>
  <si>
    <t>Блокнот А4 80л Attache гребень клетка пластик черн с тиснением</t>
  </si>
  <si>
    <t>Блокнот на спирали А4 60л. БИЗНЕС  ATTACHE 14с160 клет</t>
  </si>
  <si>
    <t>Ежедневник недатированный, черный, А5, 143х210 мм, 180 л, АТТАСНЕ</t>
  </si>
  <si>
    <t>Ежедневник недатированный оранжевый,А5,143х210мм,176л,ATTACHE Сиам</t>
  </si>
  <si>
    <t>Дырокол Attache Economy до 20 листов, с линейкой, цвет черный</t>
  </si>
  <si>
    <t>Калькулятор настольный ПОЛНОРАЗМ. Attache AF-777 16р,дв.пит,209x154мм, черн</t>
  </si>
  <si>
    <t>Степлер Attache Master до 20 листов, белый/синий, N24/6, 26/6</t>
  </si>
  <si>
    <t>Подставка-стакан для ручек Attache, черный</t>
  </si>
  <si>
    <t>Конверт белый E65 стрип OfficePost 110х220 100шт/уп/1782</t>
  </si>
  <si>
    <t>Часы настенные Troyka, диаметр 30см, кольцо пластик - белый 76771783</t>
  </si>
  <si>
    <t>Бокс для бумаги 9х9х5 прозрачный пластик</t>
  </si>
  <si>
    <t>Картотека для трудовых книжек 155х270х120 мм, гофрокарт.</t>
  </si>
  <si>
    <t>Набор шариковых ручек Attache Essay 0,5мм,масл,набор 10 цв</t>
  </si>
  <si>
    <t>Картотека ПРАКТИК AFC-06 шкаф 6 секцион. А5 и А6, 553х631х1327</t>
  </si>
  <si>
    <t>Аквафор Комплект модулей сменных фильтрующих РР20-В510-03-РР5 РР20-В510-03-РР5</t>
  </si>
  <si>
    <t>Foodatlas Торговые весы  40кг/2гр ВТ-40С УТ000007868</t>
  </si>
  <si>
    <t>TDM Весы электронные настольные "Юнит", деление 1 г, макс. 10 кг, серебро, SQ4005-0001</t>
  </si>
  <si>
    <t>Кабельная стяжка 10х500мм, черная, 100шт в упак.</t>
  </si>
  <si>
    <t>Портативный двухпортовый векторный анализатор цепей ARINST VNA-PR1</t>
  </si>
  <si>
    <t>T-Motor MN4110 KV400</t>
  </si>
  <si>
    <t>T-Motor MN4112 KV420</t>
  </si>
  <si>
    <t>Складной пропеллер тяги FA15.2*5 дюйма - 2 листа/пара</t>
  </si>
  <si>
    <t>Концевой выключатель/ выключатель путевой, "ус" на пружинном рычаге</t>
  </si>
  <si>
    <t>T-Motor MN4116 KV450</t>
  </si>
  <si>
    <t>Электронный свитч PWM 30A 1-6s</t>
  </si>
  <si>
    <t>пог. м</t>
  </si>
  <si>
    <t>Gigant Лента клеящая, прозрачная 48мм х 140м GIT-30</t>
  </si>
  <si>
    <t>Узкогубцы для электроники 150мм, IZELTAS</t>
  </si>
  <si>
    <t>Магнитопровод ОЛ 100/200</t>
  </si>
  <si>
    <t>ULTIMA Перчатки нейлоновые без покрытия, бел ULT620U/L</t>
  </si>
  <si>
    <t>Eagle Антистеплер № 10 комбинированный синий 1029/с</t>
  </si>
  <si>
    <t>Cablexpert Кабель удлинитель USB3.0 Pro AM/AF 1.8м экран синий пакет CCP-USB3-AMAF-6</t>
  </si>
  <si>
    <t>STAYER Лупа "PROFESSIONAL" с подсветкой на гибком штативе, 3-х/8-и кратная, питание от сети 220В 405</t>
  </si>
  <si>
    <t>МЕТАЛЛСЕРВИС Саморез ГКЛ по дереву 3.5x35 мм 1 кг/555 шт 1218108</t>
  </si>
  <si>
    <t>МЕТАЛЛСЕРВИС Саморез ГКЛ по дереву 3.5x41 мм 1 кг/480 шт 1218109</t>
  </si>
  <si>
    <t>Rusconnect CS 03550 Шуруп с/нарез. д/дерева, потай 3,5х50 200 шт. Желтый цинк 313550</t>
  </si>
  <si>
    <t>Стройметиз Саморез 4,2х75 металл-металл с прессшайбой, сверло, цинк уп. 100 шт. 2060175</t>
  </si>
  <si>
    <t>КОСМОС Фонарь, с зумом 3Вт ХРЕ, 3Вт СОВ, литий 1200mAh KocH103WLith</t>
  </si>
  <si>
    <t>АО Энергия Аккумулятор Li-ion 2600 мА•ч 3,7В ICR18650 ЛИЦ/2,6/18650</t>
  </si>
  <si>
    <t>Tech-Krep Саморез ШСММ 4,2x19 200 шт - коробка с ок. 102140</t>
  </si>
  <si>
    <t>Tech-Krep Саморез ШСММ 4,2x25 200 шт - коробка с ок. 102141</t>
  </si>
  <si>
    <t>Krause TREPPY Двусторонняя складная подставка, рабочая высота 2,44 м 130013</t>
  </si>
  <si>
    <t>Unicorn Гофра для унитаза армированная 350 мм T350 ИС.110331 536322</t>
  </si>
  <si>
    <t>Gigant Саморезы пот/г ч/р оксидир. 1 кг, 3,5x51 123616</t>
  </si>
  <si>
    <t>Gigant Саморезы п/сф сверло цинк 1 кг, 4,2x41 123578</t>
  </si>
  <si>
    <t>Gigant Саморезы пот/г ч/р оксидир. 1 кг, 3,5x25 123611</t>
  </si>
  <si>
    <t>Смола КДА ТУ</t>
  </si>
  <si>
    <t>Смола ЭД-20</t>
  </si>
  <si>
    <t>Отвердитель 620 ТУ</t>
  </si>
  <si>
    <t>Нагреватель 2 DPX</t>
  </si>
  <si>
    <t>Gigant Припой, ПОС 61, трубка с канифолью 200г, 1 мм SP-005</t>
  </si>
  <si>
    <t>Стекло XL 8мм</t>
  </si>
  <si>
    <t>Ноутбук Lenovo IdeaPad 3 16IAH7 16"</t>
  </si>
  <si>
    <t xml:space="preserve">Керамический держатель сопла </t>
  </si>
  <si>
    <t>Конденсатор керамический smd</t>
  </si>
  <si>
    <t>Чип резистор</t>
  </si>
  <si>
    <t>Индуктивность 3,3мкГн</t>
  </si>
  <si>
    <t>Устройство защиты CAN шины</t>
  </si>
  <si>
    <t>Разъем/JST</t>
  </si>
  <si>
    <t>Разъем, Штыри двухрядные</t>
  </si>
  <si>
    <t>Разъем/JST (N)</t>
  </si>
  <si>
    <t>Разъем Вилка штыревая 2.54мм</t>
  </si>
  <si>
    <t>Разъем, гнездо папа PIN 4</t>
  </si>
  <si>
    <t>Разъем, гнездо папа PIN 3</t>
  </si>
  <si>
    <t>Разъем/JST ВМ02В</t>
  </si>
  <si>
    <t>Разъем/JST SM04B</t>
  </si>
  <si>
    <t>Зубр Ножницы "МАСТЕР" изогнутые хозяйственные, двухкомпонентные ручки, 230мм 40442-24</t>
  </si>
  <si>
    <t>Рыжий кот Тряпка для пола из микрофибры M-02F-L цвет: синий размер: 50*60 см 310236</t>
  </si>
  <si>
    <t>REXANT Пинцет прямой, рифленый 125мм /блистер/ 12-0360</t>
  </si>
  <si>
    <t>Плата, Шлейф с разъемами папа-мама</t>
  </si>
  <si>
    <t>Зубр Набор Мини-насадки с гравировальными машинками, 219 предметов ЗГ-130ЭК H219</t>
  </si>
  <si>
    <t>Провод монтажный катушка 0.07кв.мм</t>
  </si>
  <si>
    <t>КВТ Инструмент для снятия изоляции WS-01D 55948</t>
  </si>
  <si>
    <t>YOZHIK Щётка для сметания крошек со стола, Y/С/160</t>
  </si>
  <si>
    <t>DUEL Диэлектрическая отвёртка 1000V отвертка-ключ торцевая 5.5x125мм, длина 225 мм, DE07-055-125</t>
  </si>
  <si>
    <t>Провод монтажный катушка 0,5 кв.мм</t>
  </si>
  <si>
    <t>Провод монтажный катушка 0.12 кв.мм</t>
  </si>
  <si>
    <t>ФЭСТ Аптечка для оказания первой помощи работникам (футляр 8М) (приказ 1331н) 2314</t>
  </si>
  <si>
    <t>TPU SOFT  Натуральный Bestfilament 0,5 кг(1,75 мм)</t>
  </si>
  <si>
    <t>Катушка eFlex-пластика ESUN 1,75 мм 1кг, натуральная</t>
  </si>
  <si>
    <t>Катушка пластика ePA ESUN натуральная 1,75 мм 1кг</t>
  </si>
  <si>
    <t>Катушка пластика eTPU-95A  ESUN , 1,75 мм 1кг,прозрачная желтая</t>
  </si>
  <si>
    <t>Картридж Kyocera ТК-8115К</t>
  </si>
  <si>
    <t>Картридж Kyocera ТК-8115М</t>
  </si>
  <si>
    <t>Картридж Kyocera ТК-8815С</t>
  </si>
  <si>
    <t>Щипцы для зачистки электропроводов, 0,05-8кв.мм, GROSS</t>
  </si>
  <si>
    <t>Inforce Штангенциркуль цифровой 0-150мм/0-6*0,01мм</t>
  </si>
  <si>
    <t>Jettools Органайзер д/хранения 510х325х60мм JT1602323</t>
  </si>
  <si>
    <t>Пинцет прямой155мм</t>
  </si>
  <si>
    <t>REXANT Пинцет прямой,блистер,160мм</t>
  </si>
  <si>
    <t>Атлант Удлинитель ПВС 3x2,5 50м на катушке</t>
  </si>
  <si>
    <t>КВТ Пассатижи изолированные 180 мм до 1000В 55985</t>
  </si>
  <si>
    <t>Коврик монтажный</t>
  </si>
  <si>
    <t>Отвертка шестигранная 2х75мм</t>
  </si>
  <si>
    <t>Отвертка шестигранная 2.5 х</t>
  </si>
  <si>
    <t>Отвертка шестигранная 3х75</t>
  </si>
  <si>
    <t>Отвертка торцевой ключ</t>
  </si>
  <si>
    <t>Отвертка торцевой ключ SW 7</t>
  </si>
  <si>
    <t>Костюм Next графит/лимонный 48-50/182-188</t>
  </si>
  <si>
    <t>Сумка 004 под очки и пульт</t>
  </si>
  <si>
    <t>Костюм Next графит/лимонный 52-54/170-176</t>
  </si>
  <si>
    <t>Лист х\к 1.5х1250х2500мм</t>
  </si>
  <si>
    <t>Шпилька DIN 975 М3х1000</t>
  </si>
  <si>
    <t>Печатная плата Gerber _button</t>
  </si>
  <si>
    <t>Лента спиральная SWB-06-08-12 D6мм d4мм;D8мм d6мм;D12мм d9мм (10м.) EKF</t>
  </si>
  <si>
    <t>Лента спиральная SWB-08 D8мм d6мм (10м.) EKF</t>
  </si>
  <si>
    <t>Лента спиральная SWB-12 D12мм d9мм (10м.) EKF</t>
  </si>
  <si>
    <t>Ноутбук HXY-7000-511X(replacement for iROBO-7000-N511)</t>
  </si>
  <si>
    <t>КАБЕЛИ РАДИОЧАСТОТНЫЕ РК 50-1-24</t>
  </si>
  <si>
    <t>BAT54A</t>
  </si>
  <si>
    <t>BLM15PD121SN1D</t>
  </si>
  <si>
    <t>CC0603JRNPO9BN472</t>
  </si>
  <si>
    <t>ESD8351XV2G</t>
  </si>
  <si>
    <t>TPT1051V-SO1R</t>
  </si>
  <si>
    <t>INA181A1IDBV</t>
  </si>
  <si>
    <t>TXS0102DCU</t>
  </si>
  <si>
    <t>TXS0104EPW</t>
  </si>
  <si>
    <t>Винт ПГМ DIN7991 М3х12</t>
  </si>
  <si>
    <t>Винт ПГМ DIN965 2,5х8</t>
  </si>
  <si>
    <t>Винт ПГМ DIN965 2,5x12</t>
  </si>
  <si>
    <t>Винт ЦГМ DIN912 2,5х20</t>
  </si>
  <si>
    <t>Harper USB Концентраторы HUB-04MB Black H00003293</t>
  </si>
  <si>
    <t>Фабрика Вега Спец Респиратор Vega R1 FFP1 20 шт 1671233</t>
  </si>
  <si>
    <t xml:space="preserve">Плата распределения питания Matek PBD-HEX </t>
  </si>
  <si>
    <t>Разряжающее устройство SkyRC</t>
  </si>
  <si>
    <t>Двигатель Tarot MT2205 (левый)</t>
  </si>
  <si>
    <t>Двигатель Tarot MT2205 (правый)</t>
  </si>
  <si>
    <t>Двигатель T-MN3510</t>
  </si>
  <si>
    <t>Гайка DIN6923 с фланцем М3</t>
  </si>
  <si>
    <t>Пропеллер трехлопастный TAROT 6x4.5</t>
  </si>
  <si>
    <t>Пропеллер АРС 12*6</t>
  </si>
  <si>
    <t xml:space="preserve">Пропеллер Gemfan 5030 </t>
  </si>
  <si>
    <t>Пропеллер АРС 13*6.5</t>
  </si>
  <si>
    <t>Балансир пропеллеров</t>
  </si>
  <si>
    <t>Аккумулятор GENS 5300мАч</t>
  </si>
  <si>
    <t>Пропеллер карбоновый Falcon 20х6(10мм)</t>
  </si>
  <si>
    <t>Клейкая лента термостойкая для кабеля черная 19мм х 20м х 0,18 мм (-25..105)</t>
  </si>
  <si>
    <t>Фреза Z3</t>
  </si>
  <si>
    <t xml:space="preserve">Нож твердосплавный </t>
  </si>
  <si>
    <t>Медный провод 30AWG 0,06 мм2 (черный, UL3135)</t>
  </si>
  <si>
    <t>Медный провод 30AWG 0,06 мм2 (красный, UL3135)</t>
  </si>
  <si>
    <t>PLA + пластиковая нить, 1.75мм, 1кг black</t>
  </si>
  <si>
    <t>Пластиковая нить eTPU-95A, 1.75мм gray, 1кг</t>
  </si>
  <si>
    <t>Кримпер для обжима F и BNC разъемов</t>
  </si>
  <si>
    <t>ПМЛ-2220 УХЛ4 Б, 380В/50гц, пускатель электромагнитный, с реле в корпусе, нереверсивный</t>
  </si>
  <si>
    <t>LФреза спиральная Z2 S4</t>
  </si>
  <si>
    <t>LФреза спиральная Z2 S6</t>
  </si>
  <si>
    <t>LФреза спиральная Z2 S8</t>
  </si>
  <si>
    <t>SL Фреза спиральная D6</t>
  </si>
  <si>
    <t>SL Фреза спиральная D8</t>
  </si>
  <si>
    <t>Сверло по металлу HSS</t>
  </si>
  <si>
    <t>Сверло по металлу HSS 8</t>
  </si>
  <si>
    <t>Винт ЦГЧ DIN912 М2,5х25</t>
  </si>
  <si>
    <t>MMCX-01, Вилка, ммCX, "папа", угловой 90°, 50Ом</t>
  </si>
  <si>
    <t>Промышленный джойстик СНС</t>
  </si>
  <si>
    <t>Кабель-канал напольный 70x16 серый ЭЛЕКОР</t>
  </si>
  <si>
    <t>Переключатели рычажные</t>
  </si>
  <si>
    <t>Углообразный распылительный наконечник многоразового использования Angled Spray Tip</t>
  </si>
  <si>
    <t>Транзистор 40В</t>
  </si>
  <si>
    <t>Транзистор 30В</t>
  </si>
  <si>
    <t>mircoSD Разъем</t>
  </si>
  <si>
    <t>Сплав Розе 50г</t>
  </si>
  <si>
    <t>Провод монтажный катушка 10м</t>
  </si>
  <si>
    <t>Печатная плата Encorder_Right_30112023</t>
  </si>
  <si>
    <t xml:space="preserve">Вакуумная нейлоновая пленка SL-500 </t>
  </si>
  <si>
    <t>Плата STM32</t>
  </si>
  <si>
    <t>Мотор AT5230-A 25-30CC</t>
  </si>
  <si>
    <t>AT7215 KV220</t>
  </si>
  <si>
    <t>Пропеллер 19*12 CW</t>
  </si>
  <si>
    <t>Пропеллер 19*12 CCW</t>
  </si>
  <si>
    <t>МЕГЕОН Комплект жал 900M-T-1C-K к0000036459</t>
  </si>
  <si>
    <t>АвтоDело метчикодержатель М1-М12 40912</t>
  </si>
  <si>
    <t>ЛАЙМА Салфетка для стекол и зеркал, гладкая микрофибра, 30х30 см, фиолетовая 601248</t>
  </si>
  <si>
    <t>Полуботинки АЛМИ ДЖЕССИКА черные 38</t>
  </si>
  <si>
    <t>Полуботинки АЛМИ ДЖЕССИКА черные 39</t>
  </si>
  <si>
    <t>Момент СУПЕР ПВА в банке 250г 12 1568047</t>
  </si>
  <si>
    <t>Тексоник Универсальный шланг из прозрачного ПВХ 10 м, 100 мм, стенка 0,5 мм PVC-100-10</t>
  </si>
  <si>
    <t>YORK Губки 5 шт. профил. 031020</t>
  </si>
  <si>
    <t>Полуботинки АЛМИ ДЖЕССИКА черные 40</t>
  </si>
  <si>
    <t>Перчатки трикотажные</t>
  </si>
  <si>
    <t>VCOM Инструмент, кусачки-бокорезы для резки кабеля D1922 D1922</t>
  </si>
  <si>
    <t>эпокс.гелькоут матрич. "Этал-01447" зел. (5,65кг)</t>
  </si>
  <si>
    <t>Картридж Kyocera TK-8115Y Yellow</t>
  </si>
  <si>
    <t>Сверло KORLOY ф 3.30</t>
  </si>
  <si>
    <t>Сверло Formic</t>
  </si>
  <si>
    <t>Сверло KORLOY ф 3.50</t>
  </si>
  <si>
    <t>Сверло KORLOY ф 6.00</t>
  </si>
  <si>
    <t>Сверло Formic ф 6.00</t>
  </si>
  <si>
    <t>STOUT Угольник НВ 1/2 SFT-0011-000012 RG008Q0PDL71BE</t>
  </si>
  <si>
    <t>VALTEC г/п для воды 1/2 100см вн.-нар. Гайка-Н.сталь/ниппель-Н.сталь VTf.002.IS.0404100</t>
  </si>
  <si>
    <t>Grass Жидкое крем-мыло MILANA жемчужное 126205</t>
  </si>
  <si>
    <t>PERFECTO LINEA Ершик для унитаза снежно- белый Klinko 43-643802</t>
  </si>
  <si>
    <t>ERA Люк пластиковый 150x150 мм Л1515 210-106</t>
  </si>
  <si>
    <t>AQUALINK Кран шаровой водоразборный под шланг 1/2 Wh ручка ECO 3965</t>
  </si>
  <si>
    <t>AEG Сверла HSS-G 2шт.3mm AAKHSSG03 4932479306</t>
  </si>
  <si>
    <t>Самолёт двухмоторный Reptile Dragon-2 1200 EPP KIT</t>
  </si>
  <si>
    <t xml:space="preserve"> Аккумулятор CNHL 2000mah 4S 100C</t>
  </si>
  <si>
    <t xml:space="preserve"> Аккумулятор GNB 1850mah 3S 100C</t>
  </si>
  <si>
    <t>Воздушный винт 2065</t>
  </si>
  <si>
    <t>Респиратор РПГ-67</t>
  </si>
  <si>
    <t>Патрон к респиратору РПГ-67</t>
  </si>
  <si>
    <t>Ножницы портновские, 250 мм</t>
  </si>
  <si>
    <t>Ножницы закройные255 мм</t>
  </si>
  <si>
    <t>Утконосы загнутые мини 125мм</t>
  </si>
  <si>
    <t>Отвертки для точных работ</t>
  </si>
  <si>
    <t>МФУ Pantum M6552NW Принтер</t>
  </si>
  <si>
    <t>Патрон HSK63F ER40RH</t>
  </si>
  <si>
    <t>Цанга ER40 D20</t>
  </si>
  <si>
    <t>Цанга ER40 D18</t>
  </si>
  <si>
    <t>Цанга ER40 D16</t>
  </si>
  <si>
    <t>Цанга ER40 D14</t>
  </si>
  <si>
    <t>Цанга ER40 D12</t>
  </si>
  <si>
    <t>Цанга ER40 D10</t>
  </si>
  <si>
    <t>Цанга ER40 D8</t>
  </si>
  <si>
    <t>Цанга ER40 D6</t>
  </si>
  <si>
    <t>Цанга ER40 D5</t>
  </si>
  <si>
    <t>Цанга ER40 D4</t>
  </si>
  <si>
    <t>Цанга ER40 D3</t>
  </si>
  <si>
    <t>Патрон HSK63F EOC25RH</t>
  </si>
  <si>
    <t>Цанга EOC25 D8</t>
  </si>
  <si>
    <t>Цанга EOC25 D10</t>
  </si>
  <si>
    <t>Цанга EOC25 D12</t>
  </si>
  <si>
    <t>Цанга EOC25 D25</t>
  </si>
  <si>
    <t>Фреза гравировальная R1.5 6x35 S6x75 R</t>
  </si>
  <si>
    <t>Фреза гравировальная R1.0 6x35 S6x75 R</t>
  </si>
  <si>
    <t>Фреза гравировальная R0.75 6x35 S6x75 R</t>
  </si>
  <si>
    <t>Фреза спиральная 12х42</t>
  </si>
  <si>
    <t>Фреза спиральная HM: Z3 RR 20x105</t>
  </si>
  <si>
    <t>Фреза спиральная HM 3x12 S3x50 Z2 RR R1.5</t>
  </si>
  <si>
    <t>Фреза спиральная HM 4x15 S4x50 Z2 RR R2</t>
  </si>
  <si>
    <t>Фреза спиральная HM 6x25 S6x60 Z2 RR R3</t>
  </si>
  <si>
    <t>Фреза спиральная сферетическая 6x32/42 S6x90 R3 Z2 R</t>
  </si>
  <si>
    <t>Фреза спиральная HM 8x32 S8x80 Z2 RR R4</t>
  </si>
  <si>
    <t>Фреза спиральная HM 10x42 S10x90 Z2 RR R5</t>
  </si>
  <si>
    <t>Фреза спиральная HM 12x12.7 S12x100 R6 Z2 R</t>
  </si>
  <si>
    <t>Фреза спиральная HM 12x32 S12x200 R6 Z2 R</t>
  </si>
  <si>
    <t>Фреза спиральная HM 12x52 S12x100 R6 Z2 RR</t>
  </si>
  <si>
    <t>Фреза спиральная 16x52 S16x100 R8 Z2 R</t>
  </si>
  <si>
    <t>Камера C-EP28LD305</t>
  </si>
  <si>
    <t>16_MMCX-50-2-4/111_OE</t>
  </si>
  <si>
    <t>2N7002</t>
  </si>
  <si>
    <t>KLS7-TS6601-9.5-180</t>
  </si>
  <si>
    <t>RC0603FR-074K7L</t>
  </si>
  <si>
    <t>Шина соединительная типа PIN 12</t>
  </si>
  <si>
    <t>Выключатель с подсветкой</t>
  </si>
  <si>
    <t>TDM Провод 100м, белый</t>
  </si>
  <si>
    <t>Авт. выкл. 25A 6кА</t>
  </si>
  <si>
    <t>Карта памяти Kingston 256GB</t>
  </si>
  <si>
    <t>Флешка USB NETAC 4ГБ</t>
  </si>
  <si>
    <t>Блок питания DC12V</t>
  </si>
  <si>
    <t>Картридж Sakura</t>
  </si>
  <si>
    <t>Клавиатура Defender</t>
  </si>
  <si>
    <t>Набор инструмента универсальный</t>
  </si>
  <si>
    <t>Ключ трубный 300мм</t>
  </si>
  <si>
    <t>Штангенциркуль ШЦЦСЦ-2</t>
  </si>
  <si>
    <t>Микрометр МК 50</t>
  </si>
  <si>
    <t>Микроиетр МК 75</t>
  </si>
  <si>
    <t>Муфта быстросъемная F 10мм</t>
  </si>
  <si>
    <t xml:space="preserve">Штуцер быстросъемный </t>
  </si>
  <si>
    <t>Муфта быстросъемная F 1\2</t>
  </si>
  <si>
    <t xml:space="preserve">Сетевой фильтр Pilot S </t>
  </si>
  <si>
    <t>Память DDR3</t>
  </si>
  <si>
    <t>Переходник DVI - HDMI черный</t>
  </si>
  <si>
    <t>Твердотельный накопитель SSD 2.5 SATA-3 256GB</t>
  </si>
  <si>
    <t>Смола эпоксидная 520</t>
  </si>
  <si>
    <t>Пресс гидравлический 10т</t>
  </si>
  <si>
    <t>Фреза N2QX6</t>
  </si>
  <si>
    <t>Стеклотекстолит СТЭФ 6мм</t>
  </si>
  <si>
    <t>Стеклотекстолит СТЭФ 8мм</t>
  </si>
  <si>
    <t>Фреза GE4-D8.0-50x150</t>
  </si>
  <si>
    <t>Рама квадрокоптера Tarot X4</t>
  </si>
  <si>
    <t>Рама квадрокоптера Tarot 300</t>
  </si>
  <si>
    <t>Рама квадрокоптера Tarot XS690</t>
  </si>
  <si>
    <t xml:space="preserve">Рама квадрокоптера DAYA 680 </t>
  </si>
  <si>
    <t>Саморез М2х6мм фосфат</t>
  </si>
  <si>
    <t>Саморез ART.9091 3x8 A2 Ph</t>
  </si>
  <si>
    <t>Тонометр</t>
  </si>
  <si>
    <t>Журнал учета первичных средств пожаротушения  КЖ 443</t>
  </si>
  <si>
    <t>Журнал технического обслуживания огнетушителей КЖ 497</t>
  </si>
  <si>
    <t>Беспроводная мышь Mi Wirelesss Mouse Lite (BHR6099GL)</t>
  </si>
  <si>
    <t>Видеокарта GeForce 1630</t>
  </si>
  <si>
    <t>Клавиатура беспроводная UGEEN</t>
  </si>
  <si>
    <t>Стяжка Cablexpert 2.5x200мм 100шт</t>
  </si>
  <si>
    <t>Память USB Flash 16GB</t>
  </si>
  <si>
    <t>Разъем VCOM</t>
  </si>
  <si>
    <t>Эмаль универсальная полиуретановая ONLAK</t>
  </si>
  <si>
    <t>Патч-антенна Maple Wireless 5.8G 11dB SMA rhcp</t>
  </si>
  <si>
    <t>foxtech supreme воздушные винты 17x5.8</t>
  </si>
  <si>
    <t>Шпатлевка FINE 1кг</t>
  </si>
  <si>
    <t>Алкалиновые батарейки  24А ААA - 4 шт.</t>
  </si>
  <si>
    <t>Разделительная смазка для полимерных изделий</t>
  </si>
  <si>
    <t>Loctite Frekote</t>
  </si>
  <si>
    <t>Печатная плата Gerber Current</t>
  </si>
  <si>
    <t>Картридж SAKURA W2210Х черный</t>
  </si>
  <si>
    <t>Монитор Classic Solution VG2791SEF</t>
  </si>
  <si>
    <t>Тонер-картридж  black  Kyocera</t>
  </si>
  <si>
    <t>Тонер-картридж для Kyocera</t>
  </si>
  <si>
    <t>Тонер-картридж yellow для Kyocera</t>
  </si>
  <si>
    <t>Ацетон чистый 10л</t>
  </si>
  <si>
    <t>Фильтр напольный</t>
  </si>
  <si>
    <t>Автопилот CUAV X7+PRO в комплекте с GPS приемником  CUAV NEO3</t>
  </si>
  <si>
    <t>Рециркулятор Армстронг 1</t>
  </si>
  <si>
    <t>Фреза NST3.208</t>
  </si>
  <si>
    <t>DAEWOO Фен технический DAF 2000</t>
  </si>
  <si>
    <t>Lachista Мешки для мусора 240 л./5 шт.PREMIUM LА CHISTA 870667</t>
  </si>
  <si>
    <t>Lachista Мешки для мусора 20л./30шт. чёрные прочные LА CHISTA 870100</t>
  </si>
  <si>
    <t>Шайба DIN 6799 стопорная быстросьёмная d2.3</t>
  </si>
  <si>
    <t>Саморез универсальный Pz желтый цинк 3x20</t>
  </si>
  <si>
    <t>Установка вытяжная циклон BELMASH CTDC-1.2</t>
  </si>
  <si>
    <t>FPV Монитор LCD RX-LCD5802 Screen Monitor</t>
  </si>
  <si>
    <t>ТВ25 Тумба подкатная 3 ящика 45*44*60 Дуб Молочный</t>
  </si>
  <si>
    <t>ВЧ-разъём MMCX(male) угловой обжимной под кабель антенны</t>
  </si>
  <si>
    <t>АКБ Gens Ace TATTU 17000mAh 22.8V HV 15С 6S1P Lipo Battery Pack High Voltage</t>
  </si>
  <si>
    <t>Аккумулятор Tattu 16000мАч 6S 15С 22,8В LiPo HV (высокого напряжения)</t>
  </si>
  <si>
    <t>SIYI MK15 Enterprise HDMI Combo</t>
  </si>
  <si>
    <t>Аккумулятор Black Magic LiPo 11.1V 3S 30C 4000 mAh - BM-A30-4003TR</t>
  </si>
  <si>
    <t>PX4FLOW</t>
  </si>
  <si>
    <t>Кримпер REXANT HT-301 G для обжима F и BNC разъемов RG-59,RG-58, RG-62, RG-174, Fiber Optic</t>
  </si>
  <si>
    <t>разъем высокочастотный серии SMA female</t>
  </si>
  <si>
    <t>40KLS08, Акустика, Динамик(180-12.5кГц,2Вт)\Veco Vansonic</t>
  </si>
  <si>
    <t>WPC-04, Колпачок влагозащитный для тумблеров MTS... (М6x0.75)\Jietong Switch</t>
  </si>
  <si>
    <t>Термоусаживаемая трубка TDM клеевая ТТкНГ(3:1)-1,6/0,5-С SQ0548-1301</t>
  </si>
  <si>
    <t>Блок питания ARPV-24100-B1 (24V, 4,2A, 100W) (ARL, IP67 Металл</t>
  </si>
  <si>
    <t>Блок питания ARPV-12060-B (12V, 5.0A, 60W) (ARL, IP67 Металл</t>
  </si>
  <si>
    <t>Картридж Kyocera TK-8115M</t>
  </si>
  <si>
    <t>фреза конц. ц/х ф 3.0 z2 (WAE302030-15)</t>
  </si>
  <si>
    <t>фреза конц. ц/х ф 8.0 z2 (WAE302080-31)</t>
  </si>
  <si>
    <t>фреза конц. ц/х ф 12.0 z2 (20128012)</t>
  </si>
  <si>
    <t>фреза конц. ц/х ф 1.0 z3 (WAE303010-06)</t>
  </si>
  <si>
    <t>фреза конц. ц/х ф 2.0 z2 (WAE302020S4)</t>
  </si>
  <si>
    <t>фреза конц. ц/х ф 6.0 z2 (2012606)</t>
  </si>
  <si>
    <t>патрон цанговый BT40-ER32-100</t>
  </si>
  <si>
    <t>патрон цанговый ER40 BT40 AD</t>
  </si>
  <si>
    <t>штревель BT40CO-45</t>
  </si>
  <si>
    <t>цанга  GERC32-3.0</t>
  </si>
  <si>
    <t>цанга  GERC32-4.0</t>
  </si>
  <si>
    <t>цанга  GERC32-5.0</t>
  </si>
  <si>
    <t>цанга  GERC32-6.0</t>
  </si>
  <si>
    <t>цанга  GERC32-8.0</t>
  </si>
  <si>
    <t>цанга  GERC32-10.0</t>
  </si>
  <si>
    <t>цанга  GERC32-12.0</t>
  </si>
  <si>
    <t>Набор цанг ER20 AA</t>
  </si>
  <si>
    <t>Набор цанг ER16 AA</t>
  </si>
  <si>
    <t>Цанга ER40-20 мм</t>
  </si>
  <si>
    <t>Ключ для гаек цангового патрона ER16</t>
  </si>
  <si>
    <t>Ключ для гаек цангового патрона ER20</t>
  </si>
  <si>
    <t>Цанговый патрон C20-ER20M-150L</t>
  </si>
  <si>
    <t>Цанговый патрон C20-ER16M-200L</t>
  </si>
  <si>
    <t>Фреза твердосплавная по алюминию 3мм Z3</t>
  </si>
  <si>
    <t>Фреза твердосплавная по алюминию 6мм Z3</t>
  </si>
  <si>
    <t>Фреза твердосплавная по алюминию 10мм Z3</t>
  </si>
  <si>
    <t>Фреза твердосплавная радиусная 6R3</t>
  </si>
  <si>
    <t>Фреза твердосплавная радиусная 1.5R0.75</t>
  </si>
  <si>
    <t>Фреза твердосплавная радиусная 3R1.5</t>
  </si>
  <si>
    <t>Кабель для антенны 100м в сборе</t>
  </si>
  <si>
    <t>JET Опора колесная 310 D40 мм без тормоза с площ. для крепл. FR310A.040BL99</t>
  </si>
  <si>
    <t>COSMO COSMOFEN цианоакрилатный клей 20гр CA-500.200 (20)</t>
  </si>
  <si>
    <t>ООО Комус Замок почтовый HIGH SECURITY 20x180 718447</t>
  </si>
  <si>
    <t>Клейкая лента, 50 мкм, 48 мм х 66 м,</t>
  </si>
  <si>
    <t>Джойстик потенциометра</t>
  </si>
  <si>
    <t>ВЧ переходник c SMA на RP-SMA</t>
  </si>
  <si>
    <t>Полотенца бумажные LUSCAN 2-сл.,с тиснением, 2рул./уп.</t>
  </si>
  <si>
    <t>Средство для мытья пола HELP концентрат Морской бриз, 5л</t>
  </si>
  <si>
    <t>Перчатки латексные HQ Profiline арт.73586 зеленые р.L</t>
  </si>
  <si>
    <t>Губки -мочалка металлическая для мытья посуды Спираль 2шт/уп 56540</t>
  </si>
  <si>
    <t>Палочки ватные Luscan zip-пакет 200шт/уп</t>
  </si>
  <si>
    <t>Профхим дезинфек табл ХЛОР д/поверхн-оборуд Ника/Ника-Хлор, 300шт/уп, 1кг</t>
  </si>
  <si>
    <t>Ершик для унитаза без подставки Рио В1031</t>
  </si>
  <si>
    <t>Средство для сантехники Domestos Professional Свежесть Атлантики дез уни 1л</t>
  </si>
  <si>
    <t>Универсальное чистящее средство ПЕМОЛЮКС порошок 480г Лимон</t>
  </si>
  <si>
    <t>Мыло жидкое Synergetic для рук и тела Луговые травы 5л</t>
  </si>
  <si>
    <t>Рукоятка Vileda УльтраСпид Мини телескопическая 80-140см 526693</t>
  </si>
  <si>
    <t>Средство для прочистки труб Bagi Classic ПОТХАН от засоров 600гр</t>
  </si>
  <si>
    <t>Ведро YORK 10 литров</t>
  </si>
  <si>
    <t>Средство для удаления жира и нагара HG чистящее средство 0,5л</t>
  </si>
  <si>
    <t>Универсальное чистящее средство Прогресс МТ Антижир 5л канистра</t>
  </si>
  <si>
    <t>Мыло хозяйственное 72% Luscan в обертке 200г</t>
  </si>
  <si>
    <t>Тележка уборочная с отж. прессом Luscan Prof 2х17л 118,5x40x100,5см</t>
  </si>
  <si>
    <t>Полотно техническое ХПП светлое 2,5мм, рулон 0,8х50м пл. 180 г/м2</t>
  </si>
  <si>
    <t>Баллон сменный для автоосвежителя Air Wick Pure Цветущая сакура, 250мл</t>
  </si>
  <si>
    <t>Баллон сменный для автоосвежителя Air Wick Life Scents:Океанск бриз, 250мл</t>
  </si>
  <si>
    <t>Профхим д/стекл-зеркал поверхн, универсал Grass/Clean Glass, 0,6л_т/р</t>
  </si>
  <si>
    <t>Средство для стекол и зеркал МИСТЕР МУСКУЛ с нашат.спиртом(зеленый)500мл 12</t>
  </si>
  <si>
    <t>Профхим д/нержав.стали , хром, никель, эмаль Grass/Steel Polish, 0,6л_т/р</t>
  </si>
  <si>
    <t>Средство для сантехники SANFOR Белизна гель 3в1, 1000гр</t>
  </si>
  <si>
    <t>Мешки для мусора ПВД 240л, 50 мкм 10шт/рул.,черные 90х130см</t>
  </si>
  <si>
    <t>Мешки для мусора ПНД 30л 10мкм 30шт/рул черные 48х58см Комус</t>
  </si>
  <si>
    <t>Салфетки хозяйственные Vileda р-МикронКвик 40х38 см синие 170635 5шт/уп</t>
  </si>
  <si>
    <t>Щетка для мытья посуды YORK</t>
  </si>
  <si>
    <t>Тряпка для пола из микрофибры универсальная 220г/м2 50х80см желтая</t>
  </si>
  <si>
    <t>Салфетки хозяйственные из микрофибры универс  220г/м2 30х30см 3шт/уп</t>
  </si>
  <si>
    <t>Сгон (склиз) A-VM 45 см металл РСЕ523</t>
  </si>
  <si>
    <t>Насадка МОП плоский 40х13 см микроф+жестк абр т-обр бел с черн полос MF2120</t>
  </si>
  <si>
    <t>Насадка МОП д/флаундера Vileda Трио УльтраСпид Про 40 см 167276</t>
  </si>
  <si>
    <t>Средство для мытья посуды Fairy Сочный лимон 450мл</t>
  </si>
  <si>
    <t>Салфетки хозяйственные Luscan Professional виск 90г/м2 30х38 5шт/уп розовые</t>
  </si>
  <si>
    <t>Полуспостоянный порозаполнитель</t>
  </si>
  <si>
    <t>Картридж NV Print TK-5230 Black для Kyocera</t>
  </si>
  <si>
    <t>Картридж NV Print TK-5230 Cyan для Kyocera</t>
  </si>
  <si>
    <t>Картридж NV Print TK-5230 Magenta для Kyocera</t>
  </si>
  <si>
    <t>Картридж NV Print TK-5230 Yellow для Kyocera</t>
  </si>
  <si>
    <t>Медный провод 30AWG  (желтый, UL3135)</t>
  </si>
  <si>
    <t>Медный провод 30AWG (белый, UL3135)</t>
  </si>
  <si>
    <t>Медный провод  30AWG  (зеленый, UL3135)</t>
  </si>
  <si>
    <t>Медный провод 30AWG  (синий, UL3135)</t>
  </si>
  <si>
    <t>Лупа 10х</t>
  </si>
  <si>
    <t>Линейка проверочная 1500мм</t>
  </si>
  <si>
    <t>Кабель, Шлейф пленочный 40 pin, 110мм</t>
  </si>
  <si>
    <t>Колесный диск 8 (дюймов) передний для квадроцикла</t>
  </si>
  <si>
    <t>Антенна GepRC Triple Feed Patch-1 5.8GHz SMA</t>
  </si>
  <si>
    <t>Плата PDB Matek</t>
  </si>
  <si>
    <t>Халат Професионал мужской т-серый/св. серый 52-54/182-188</t>
  </si>
  <si>
    <t>Стойка ПВХ на М3х50мм</t>
  </si>
  <si>
    <t>Калибр-кольцо М9х0 ПР</t>
  </si>
  <si>
    <t>Калибр-кольцо М9х0 НЕ</t>
  </si>
  <si>
    <t>Калибр-пробка М9х0 ПР-НЕ</t>
  </si>
  <si>
    <t>Clotho PA GF40 - 1.75мм 2кг черный</t>
  </si>
  <si>
    <t>Регулятор скорости RuiBet 30x30</t>
  </si>
  <si>
    <t>разъем mmc female</t>
  </si>
  <si>
    <t>АКБ тяговая LiFePO4 24V 60Ah</t>
  </si>
  <si>
    <t>Зарядное устройство Aspil Energy 24V 40A</t>
  </si>
  <si>
    <t>Logitech Гарнитура H110 серая jack 3.5 кабель 1.8м</t>
  </si>
  <si>
    <t>Блок питания для монитора</t>
  </si>
  <si>
    <t>Inforce Клещи переставные</t>
  </si>
  <si>
    <t>Отвертка для точных работ HEX1.5</t>
  </si>
  <si>
    <t>Отвертка для точных работ HEX2.0</t>
  </si>
  <si>
    <t>Биты магнитные Hex1,5x25мм, 2 шт</t>
  </si>
  <si>
    <t>Головки торцевые 1/4 6-гранные</t>
  </si>
  <si>
    <t>Клещи зачистка и обрезка витой пары</t>
  </si>
  <si>
    <t>Калибр Набор гравировальный</t>
  </si>
  <si>
    <t>Инструмент EX-T2008R для обжима</t>
  </si>
  <si>
    <t>Ящик для хранения 20л</t>
  </si>
  <si>
    <t>Термофен</t>
  </si>
  <si>
    <t>Разъемное соединение рапид муфта _пружинка для шланга</t>
  </si>
  <si>
    <t>Cверло-бур по бетону SDS+ 6x160мм</t>
  </si>
  <si>
    <t>Gigant Лента армированная 48мм х 50м</t>
  </si>
  <si>
    <t>Замок под цилиндр</t>
  </si>
  <si>
    <t>Цилиндр никелированный, 35x35мм</t>
  </si>
  <si>
    <t>Цилиндр замка ключ</t>
  </si>
  <si>
    <t>Кольцо уплотнительное DN 110</t>
  </si>
  <si>
    <t>Ершик для унитаза Софтэль / WC Ballet белый/бирюзо</t>
  </si>
  <si>
    <t>Деревянные винты 1712</t>
  </si>
  <si>
    <t xml:space="preserve">Воздушный винт 2060-A </t>
  </si>
  <si>
    <t>Воздушный винт 2060-F</t>
  </si>
  <si>
    <t>Краска PUR 5400 G90 9003</t>
  </si>
  <si>
    <t>Разбавитель 2K Brulex 200 Стандарт 5л</t>
  </si>
  <si>
    <t>Термоусаживаемая трубка двухстенная клеевая 25,4/12,7 мм черная 5 шт по 1м</t>
  </si>
  <si>
    <t>Отвертка-индикатор 6877-18</t>
  </si>
  <si>
    <t>Пресс-клещи ПК-16м</t>
  </si>
  <si>
    <t>Гильза медная луженая ГМЛ 6-4 20шт</t>
  </si>
  <si>
    <t>Безконтактный детектор напряжения 79134</t>
  </si>
  <si>
    <t>Стяжки нейлоновые КСС 5x300 б уп.100шт</t>
  </si>
  <si>
    <t>Стяжки нейлоновые КСС 4*250 ч уп.100шт</t>
  </si>
  <si>
    <t>Воздушный винт 2060-X</t>
  </si>
  <si>
    <t>Воздушный винт 2060-H</t>
  </si>
  <si>
    <t>Диски литые Сандал 175</t>
  </si>
  <si>
    <t>Автошина 265/60R18</t>
  </si>
  <si>
    <t>гайка 12*5 конус хром</t>
  </si>
  <si>
    <t>Контроллер давления с вентилем</t>
  </si>
  <si>
    <t>Стеклоткань Aeroglas E110</t>
  </si>
  <si>
    <t>Стеклоткань Aeroglas E200</t>
  </si>
  <si>
    <t>Жертвенная разделительная ткань Р-ТЕКС</t>
  </si>
  <si>
    <t>Ведро пластиковое круглое с крышкой JET 23</t>
  </si>
  <si>
    <t>Площадка самоклеющаяся 20*20 под хомутыбел. (уп. 100 шт) IEK UHP30-20-100</t>
  </si>
  <si>
    <t>Трубка PU 8*6-100M - ЦВЕТ СИНИЙ</t>
  </si>
  <si>
    <t>Смазка силиконовая</t>
  </si>
  <si>
    <t>Топор универсальный</t>
  </si>
  <si>
    <t>Совок+швабра</t>
  </si>
  <si>
    <t>Gepard Шлифлист круглый самосцепляющийся 125 мм Р120 5 штук GP5001-120</t>
  </si>
  <si>
    <t>АРИКОН Уайт-спирит ТУ 0251-001-72021999-2006 Канистра 5л WHI5</t>
  </si>
  <si>
    <t>GROSS Ключ разводной, 250 мм,CrV, двухкомпонентная ручка //GROSS 15562</t>
  </si>
  <si>
    <t>REDVERG Шлифлист для эксцентриковых шлифмашин 8 отверстий 125мм Р80 5шт920461 6624182</t>
  </si>
  <si>
    <t>TOOLBERG 2001050 Лента клеящая на креп.бумаге 50мм х 40м Лк-00002691</t>
  </si>
  <si>
    <t>ДИОЛД Лист шлифовальный с липучкой d-125 мм Р150 10 шт 90045012</t>
  </si>
  <si>
    <t>R2R Ветошь цветной трикотаж х/б, мешок 10 кг. 7030-00000000013-1</t>
  </si>
  <si>
    <t>Четырехветвевой круглопрядный строп</t>
  </si>
  <si>
    <t>Шлифовальный круг SUN NET Р180</t>
  </si>
  <si>
    <t>Шлифовальный круг SUN NET Р80</t>
  </si>
  <si>
    <t>Шлифовальный круг SUN NET P240</t>
  </si>
  <si>
    <t>Шлифовальный круг SUN NET P400</t>
  </si>
  <si>
    <t>Шлифовальная полоска Р80</t>
  </si>
  <si>
    <t>Шлифовальная полоска Р180</t>
  </si>
  <si>
    <t>Шлифовальная полоска Р400</t>
  </si>
  <si>
    <t>Нетканный абразивный материал красный</t>
  </si>
  <si>
    <t>Нетканный абразивный материал серый</t>
  </si>
  <si>
    <t>Мягкая прокладка на липучке 150мм</t>
  </si>
  <si>
    <t>Защитная прокладка</t>
  </si>
  <si>
    <t>BZT52B36</t>
  </si>
  <si>
    <t>MBR0540L</t>
  </si>
  <si>
    <t>VLS5045EX-470M</t>
  </si>
  <si>
    <t>ACS758ECB-200B-PFF-T</t>
  </si>
  <si>
    <t>TRN2501-TR</t>
  </si>
  <si>
    <t>Partex Респиратор газопылезащитный РУ-60М НФ-00000958</t>
  </si>
  <si>
    <t>VTX: Mamaba KN1.2G 1.5W (Effective distance 20 km) (FPV2)</t>
  </si>
  <si>
    <t>Receiver: ELRS915 receiver (FPV)</t>
  </si>
  <si>
    <t>Лента шлифовальная 150x1220 P80, 5 шт.</t>
  </si>
  <si>
    <t>Кабель удлинительный  USB2.0 &lt;Am--&gt;Af&gt; 1,5 м черный</t>
  </si>
  <si>
    <t>Мини-защелка для ящиков и кейсов</t>
  </si>
  <si>
    <t>Мини-защелка</t>
  </si>
  <si>
    <t>Печатная плата Ext_brd</t>
  </si>
  <si>
    <t>Рукав с нит.усил. 8х15,5 мм (14,7 атм) ГОСТ 10362-2017</t>
  </si>
  <si>
    <t>WPC-05, Тумблер, Колпачок влагозащитный\Китай</t>
  </si>
  <si>
    <t>Лист АБС черный Z01 1х1000х3000мм</t>
  </si>
  <si>
    <t>Охладители(радиаторы охлаждения)</t>
  </si>
  <si>
    <t>Фреза N1LX3.52</t>
  </si>
  <si>
    <t>Сверло по металлу DIN338 HSS-Co 2,5х57/30мм</t>
  </si>
  <si>
    <t>Винт DIN 7985 полуцилиндрическая головка щлиц М2х12</t>
  </si>
  <si>
    <t>Болт полная резьба М8х25</t>
  </si>
  <si>
    <t>Cверло по металлу DIN338N 2,0x49/24мм</t>
  </si>
  <si>
    <t>Радиатор для M.2 SSD Espada ESP-R7Cu</t>
  </si>
  <si>
    <t>Профитт Штуцер для шлангов НР 1/4" х 10 мм 9278120</t>
  </si>
  <si>
    <t>FORTISFLEX Хомут червячный PL-9 /16-25 //W2 68962</t>
  </si>
  <si>
    <t>Jeta Safety J-SET КОМПЛЕКТ для защиты дыхания полумаска из термопласта размер М 5500PК-M</t>
  </si>
  <si>
    <t>РОСТОК Полумаска фильтрующая модель "2Т" FFP 2 NR D, в индивидуальной упаковке 1 шт. 00-00000697 00-</t>
  </si>
  <si>
    <t>Принтер этикеток TSC TE200</t>
  </si>
  <si>
    <t>Сканер штрих-кода беспроводной MERTECH CL - 2210 BLE Dongle P2D USB черный</t>
  </si>
  <si>
    <t>Пенополистирол ЭППС 2500х600х1 мм голубой</t>
  </si>
  <si>
    <t>Пенополистирол ЭППС 2500х600х2 мм голубой</t>
  </si>
  <si>
    <t>Пневмофитинг цанговый прямой с наружной резьбой PC 8-М22х1.5</t>
  </si>
  <si>
    <t>Кран писсуарный ВАРИОН</t>
  </si>
  <si>
    <t>BBJ 40pin MM 20cm</t>
  </si>
  <si>
    <t>BBJ 40pin MF 20cm</t>
  </si>
  <si>
    <t>BBJ 40pin FF 20cm</t>
  </si>
  <si>
    <t>SDCS2/32gb Флешка Kingston Class 10 Canvas A1</t>
  </si>
  <si>
    <t>Сетевой адаптер bluetooth Asus USB BT500</t>
  </si>
  <si>
    <t>Адаптер Gigabit Ethernet USB 3.0</t>
  </si>
  <si>
    <t>Рукоятка Росмоп из анодированного алюминия AL-140</t>
  </si>
  <si>
    <t>Держатель МОПа универс. пластик 40х11см т.серый/синий NPK195</t>
  </si>
  <si>
    <t>Krause SOLIDY Свободностоящая стремянка, 8 ступеньки, раб. высота 3,71 м 126269</t>
  </si>
  <si>
    <t>SрeedyВеe 50А BLНеli_S 4-в-1 ЕSС</t>
  </si>
  <si>
    <t>Мешки для мусора ПСД 240л 10шт/рул черный</t>
  </si>
  <si>
    <t>Термопрокладка 35x35x1,0мм</t>
  </si>
  <si>
    <t>Шлейф ffc 50-pin шаг 0.5mm длина 10cm обратный A-B awm 20624 80c 60v vw-1</t>
  </si>
  <si>
    <t>Биметаллическое полотно по металлу, 24 TPI: универсальный рез, 300 мм, 15855-24-1</t>
  </si>
  <si>
    <t>Сверло по металлу 3 мм 118 DIN 338, 1шт. - упак.</t>
  </si>
  <si>
    <t>СПИРАЛЬНОЕ СВЕРЛО 1.0mm 2шт</t>
  </si>
  <si>
    <t>Сверло фреза "Кукуруза" HEX 6 мм</t>
  </si>
  <si>
    <t>l Удлинитель Е-203 ПВС 2*1 3гн. 10м</t>
  </si>
  <si>
    <t>Диск шлифовальный 228 мм Р120 упак. 5 шт.</t>
  </si>
  <si>
    <t>Сверло по металлу 2мм 2шт в уп</t>
  </si>
  <si>
    <t>РАСТВОРИТЕЛЬ  5Л</t>
  </si>
  <si>
    <t>Сетевая карта D-Link DUB-1312/B2A</t>
  </si>
  <si>
    <t>74LVC2G240DP</t>
  </si>
  <si>
    <t>LD1117S33</t>
  </si>
  <si>
    <t>MS561101BA03-50</t>
  </si>
  <si>
    <t>Предфильтр P2 JETA</t>
  </si>
  <si>
    <t>Выносная антенна связи (тип 1)</t>
  </si>
  <si>
    <t>Микроволновая печь  BBK 20MWS-711M</t>
  </si>
  <si>
    <t>Чайник электрический KITFORT KT-625-6</t>
  </si>
  <si>
    <t>Satechi 70MAI Dash Cam Pro Plus Видиорегистратор с камерой заднего вида A500S-1</t>
  </si>
  <si>
    <t>Зарядное устройство для ноутбука Lenovo SA10M42792</t>
  </si>
  <si>
    <t>Кабель VGA Pro ExeGate EX-CC-PVGA-15M15M-1.8</t>
  </si>
  <si>
    <t>AБC-пластик HI 121 9001 (черный)</t>
  </si>
  <si>
    <t>Defender Удлинитель с заземлением</t>
  </si>
  <si>
    <t>Джойстик пульта LiteRadio Nano</t>
  </si>
  <si>
    <t>Потенциометрический промышленный джойстик CHC-104B-M4</t>
  </si>
  <si>
    <t>Джойстик потенциометрический 2х-осевой JS45-0002A</t>
  </si>
  <si>
    <t>Джойстик 2х-осевой на датчиках Холла CHC-104B-D1</t>
  </si>
  <si>
    <t>Штифт цилиндрический DIN 7 d3.0x24</t>
  </si>
  <si>
    <t>Винт ISO 7380 М2х4</t>
  </si>
  <si>
    <t>Винт ПГЧ DIN 963 М2х6</t>
  </si>
  <si>
    <t>Огнетушитель порошковый ОП-25(з)-6А 233В С Е Риф без перекрывного ствола</t>
  </si>
  <si>
    <t>Огнетушитель углекислый ОУ-10ВСЕ (55В С У Ярпожинвест)</t>
  </si>
  <si>
    <t>АКБ 22000mAh 25C.6S1P.22.2V (Наклейка TATTU)</t>
  </si>
  <si>
    <t>АКБ 25000mAh 10C.6S1P.22.8V (Наклейка TATTU)</t>
  </si>
  <si>
    <t>Ноутбук Honor MagicBook 14NMH-WFP9HN 14 IPS AMD Ryzen 7 5700U 1.8 ГГц, 8-ядерный 16ГБ DDR4, 512ГБ</t>
  </si>
  <si>
    <t>repair 2008 1400kv (2008 1400kv CW CCW бесщеточный двигатель для DJI Mavic Pro)</t>
  </si>
  <si>
    <t>8330 Пропеллер для DJI Mavic Pro Drone складной быстросъемный - аналог</t>
  </si>
  <si>
    <t>Tekko32 F4 4in1 Mini 50A ESC</t>
  </si>
  <si>
    <t>Gepu Triple Feed Patch-1 Приемная антенна для передачи изображения 5.8G разъем SMA</t>
  </si>
  <si>
    <t>Бита 2.5/50мм</t>
  </si>
  <si>
    <t>Длинногубцы с резцом 170 мм, загнуты</t>
  </si>
  <si>
    <t>Бормашина REVTOOL</t>
  </si>
  <si>
    <t>Ножовка по металлу</t>
  </si>
  <si>
    <t>Пильный диск</t>
  </si>
  <si>
    <t>Перфоратор</t>
  </si>
  <si>
    <t>Нобор буров</t>
  </si>
  <si>
    <t>Сверло по металлу 1,0х34/12мм</t>
  </si>
  <si>
    <t>Муфта мебельная</t>
  </si>
  <si>
    <t>Болт DIN 933 полная резьба 8.8 М8х50</t>
  </si>
  <si>
    <t>Колесо для кресла 50 мм штырь</t>
  </si>
  <si>
    <t>Фреза конц по алюмин.</t>
  </si>
  <si>
    <t>SDCS2/32GB, Флешки, Карта памяти MicroSDHC 32ГБ Kingston</t>
  </si>
  <si>
    <t>Мышь беспроводная A4Tech FStyler FG10 Black/Grey USB</t>
  </si>
  <si>
    <t>Набор шпателей 5 шт</t>
  </si>
  <si>
    <t>Пропеллер пластиковый трехлопастный 6х4.5</t>
  </si>
  <si>
    <t>Модуль питания Holybro PM06</t>
  </si>
  <si>
    <t>IEK ARMAT Авт. выкл. M10N 1P C 20А AR-M10N-1-C020</t>
  </si>
  <si>
    <t>СИБИН Вилка электрическая ударопрочная, с заземлением, 16А/220В, черная 55115-B</t>
  </si>
  <si>
    <t>IN HOME Вилка угловая с з/к 16А черная 4210 4690612009049</t>
  </si>
  <si>
    <t>Nord-Yada Трубка термоусадочная 9,0 мм/4,5 мм длина 1м черная 5 шт 905434</t>
  </si>
  <si>
    <t>PRTR5V0U2X.215</t>
  </si>
  <si>
    <t>TCC1206X5R106K500HT</t>
  </si>
  <si>
    <t>GRM155R71C104KA88D</t>
  </si>
  <si>
    <t>CC1206KKX5R9BB106</t>
  </si>
  <si>
    <t>CL05B103KB5NNNC</t>
  </si>
  <si>
    <t>CC0603KRX7R9BB103</t>
  </si>
  <si>
    <t>CL05B104KO5NNNC</t>
  </si>
  <si>
    <t>RC0402JR-07510RL</t>
  </si>
  <si>
    <t>RC0402FR-0749R9L</t>
  </si>
  <si>
    <t>RC0402FR-0712KL</t>
  </si>
  <si>
    <t>RC0402FR-07120KL</t>
  </si>
  <si>
    <t>TDM Набор пинцетов для электроники, 9 предметов, нерж., антистатич. покр., тканевый чехол, Рубин</t>
  </si>
  <si>
    <t>KWB ЩЕТКА ТРУБНАЯ 20ММ 5993-00</t>
  </si>
  <si>
    <t>RUSKLAD Тележка платформенная с резиновым покрытием ТПР 10 (800x1800) d200мм ТПР 10 200</t>
  </si>
  <si>
    <t>ELEMENT Паяльная станцияпрофессиональная 702 15668</t>
  </si>
  <si>
    <t>Стеклоткань Э2-30П-76</t>
  </si>
  <si>
    <t>АКБ Mamba 6000-70c-6s (FPV Оса 1-1)</t>
  </si>
  <si>
    <t>Ботинки СОЮЗ ПЛЮС утепленные с композитным подноском черные, 43</t>
  </si>
  <si>
    <t>Ботинки СОЮЗ ПЛЮС утепленные с композитным подноском черные, 44</t>
  </si>
  <si>
    <t>Ботинки СОЮЗ ПЛЮС утепленные с композитным подноском черные, 45</t>
  </si>
  <si>
    <t>Костюм NEXT (НЭКСТ) т.синий/горчичный, 60-62/170-176</t>
  </si>
  <si>
    <t>Куртка ЭКСПЕРТ-К НЬЮ утепленная т.синяя, 52-54/170-176</t>
  </si>
  <si>
    <t>Куртка ЭКСПЕРТ-К НЬЮ утепленная т.синяя, 60-62/170-176</t>
  </si>
  <si>
    <t>Лист х/к 1.5х1250х2500мм</t>
  </si>
  <si>
    <t>Пластиковая нить eTPU-95A, 1.75мм black, 1кг</t>
  </si>
  <si>
    <t>Беспилотное воздушное судно FPV "Оса 1-1"</t>
  </si>
  <si>
    <t>Модуль SFP SNR SNR-SFP-T</t>
  </si>
  <si>
    <t>Картридж SAKURA W2211A (HP 207A) для HP LaserJet Pro M255, голубой, 1250 к.</t>
  </si>
  <si>
    <t>Картридж SAKURA W2212A (HP 207A) желтый</t>
  </si>
  <si>
    <t>Картридж SAKURA W2213A (HP 207A) пурпурный</t>
  </si>
  <si>
    <t>Точка доступа Wi-Fi MIKROTIK RBCAPGI-5ACD2ND</t>
  </si>
  <si>
    <t>Шнур силиконовый ф 2 мм</t>
  </si>
  <si>
    <t>ШКАФ 19 ДЮЙМОВ ТЕЛЕКОММУНИКАЦИОННЫЙ 6U СЕРВЕРНЫЙ 600Х600ММ НАСТЕННЫЙ ЧЕРНЫЙ</t>
  </si>
  <si>
    <t>Оптический кросс 19", 1U, до 24 SC портов или 48 LC портов, серый,</t>
  </si>
  <si>
    <t>Джек вилка RJ-45 8P8C 100 шт</t>
  </si>
  <si>
    <t>ИБП PowerCom Raptor RPT-1000A</t>
  </si>
  <si>
    <t>Ноутбук Huawei MateBook D 16 16",  IPS, Intel  Core i7  12700H 2.3ГГц, 16ГБ, 512ГБ SSD</t>
  </si>
  <si>
    <t>Камера Reeper T10X-Pro (FPV Камера Т-10Х-Pro)</t>
  </si>
  <si>
    <t>Вакуумметр ДВ8008-ВУф</t>
  </si>
  <si>
    <t>Мотор BF 16</t>
  </si>
  <si>
    <t>Лист риф. чечевица 4.0х1500х3000</t>
  </si>
  <si>
    <t>Краска PUR 5400 G10</t>
  </si>
  <si>
    <t>Герметизирирующий жгут АТ120В 120С-2.5мм-12мм</t>
  </si>
  <si>
    <t>Рукав с нит.усил. 8х15,5 мм ГОСТ 10362-2017</t>
  </si>
  <si>
    <t>жутовый канат ТПК МДС 8 мм, 20 м</t>
  </si>
  <si>
    <t>FS-1000H Ручной импульсный запайщик</t>
  </si>
  <si>
    <t>206A-SEAN-R03</t>
  </si>
  <si>
    <t>GRM155R62A104KE14D</t>
  </si>
  <si>
    <t>CC0603KRX5R7BB475</t>
  </si>
  <si>
    <t>Квадрокоптер Autel Evo Max 4T (Tепловизор/Zoom 10x)</t>
  </si>
  <si>
    <t>Халат CLINPLEX  черный графит 40-42/158-164</t>
  </si>
  <si>
    <t>Полуботинки PEZZOL 821U FORMULA3 черно/синие, 37</t>
  </si>
  <si>
    <t>Сетевой фильтр Pilot S 3м</t>
  </si>
  <si>
    <t>Сетевой фильтр Pilot S 1.8м</t>
  </si>
  <si>
    <t>Рулетка ADA RubTape 5</t>
  </si>
  <si>
    <t>REXANT Трубка термоусаживаемая 10,0/5,0 мм черная, ролик 2,44 м 29-0056</t>
  </si>
  <si>
    <t>Оперативная память Crucial CT16G4SFRA32A DDR4 16гб 3200Мгц</t>
  </si>
  <si>
    <t>Кабель аудио-видео Buro HDMI (m) - HDMI (m) 3м</t>
  </si>
  <si>
    <t>Огнеупорная сумка для аккумуляторов (iFlight)</t>
  </si>
  <si>
    <t>REXANT Подставка под паяльник c держателем припоя на катушке /ZD-10S/ 12-0316</t>
  </si>
  <si>
    <t>KENDO Набор отверток 8 шт 85115</t>
  </si>
  <si>
    <t>Connector Жидкая канифоль 1 л. ZHKA-1000</t>
  </si>
  <si>
    <t>Портативный фильтр для пайки с пониженным уровнем шума LF-300</t>
  </si>
  <si>
    <t>Настольное вытяжное устройство DELI-100-15S</t>
  </si>
  <si>
    <t>Гибкий шланг d=100 ГПВ-100 (длина 5)</t>
  </si>
  <si>
    <t>Хомут 90-110/9 W2 DIN 3017</t>
  </si>
  <si>
    <t>CC0603KRX7R7BB104</t>
  </si>
  <si>
    <t>LM2594HVM-5.0</t>
  </si>
  <si>
    <t>RC0603FR-07100RL</t>
  </si>
  <si>
    <t>RC0603FR-0713KL</t>
  </si>
  <si>
    <t>RC0603FR-0724KL</t>
  </si>
  <si>
    <t>RC0603FR-07620RL</t>
  </si>
  <si>
    <t>RC0603FR-0775KL</t>
  </si>
  <si>
    <t>RC0603FR-0791KL</t>
  </si>
  <si>
    <t>FC-135 32.768000kHz 9.0</t>
  </si>
  <si>
    <t xml:space="preserve">CC0402JRNPO9BN101   </t>
  </si>
  <si>
    <t xml:space="preserve">CC0402KRNPO9BN470   </t>
  </si>
  <si>
    <t>PAM8403</t>
  </si>
  <si>
    <t>XC6206P332MR</t>
  </si>
  <si>
    <t>FOLSEN Алюминиевая лента 50мм x 50м</t>
  </si>
  <si>
    <t xml:space="preserve">SPM5020T-3R3M-LR    </t>
  </si>
  <si>
    <t xml:space="preserve">SPM3015T-2R2M-LR    </t>
  </si>
  <si>
    <t xml:space="preserve">YSPI0420-R22M   </t>
  </si>
  <si>
    <t>Кабель-адаптер USB3.1 / RJ45 1G / BLACK</t>
  </si>
  <si>
    <t>Адаптер FSP065-REC c кабелем питания</t>
  </si>
  <si>
    <t xml:space="preserve">CFN0805-FX-R010ELF  </t>
  </si>
  <si>
    <t>Блок питания (зарядное устройство) универсальный LP-118 16,8V/2A</t>
  </si>
  <si>
    <t>RC0402FR-071RL</t>
  </si>
  <si>
    <t>Память Netac 16Gb DDR4 2666MHz C19</t>
  </si>
  <si>
    <t xml:space="preserve">PUSB3AB4    </t>
  </si>
  <si>
    <t>Клавиатура проводная Defender Element HB-520</t>
  </si>
  <si>
    <t>TP-Link LS1005G, 5-портовый гигабитный неуправляемый коммутатор</t>
  </si>
  <si>
    <t>Батарейки Smartbuy SBBA-2A40S, Size"AA", 1.5V (alkaline)  уп. 40 шт</t>
  </si>
  <si>
    <t>KS-440 Кабель-адаптер HDMI (M) VGA (15M) 1.8м</t>
  </si>
  <si>
    <t>Термопаста ARCTIC MX-4 4г</t>
  </si>
  <si>
    <t xml:space="preserve">AO4485  </t>
  </si>
  <si>
    <t xml:space="preserve">PZ254-1-05-Z-8.5    </t>
  </si>
  <si>
    <t xml:space="preserve">AFC01-S45FCC-00 </t>
  </si>
  <si>
    <t xml:space="preserve">430450601   </t>
  </si>
  <si>
    <t xml:space="preserve">TF-15x15    </t>
  </si>
  <si>
    <t xml:space="preserve">HR911130C   </t>
  </si>
  <si>
    <t xml:space="preserve">TSX-3225 24.000MF15X-AC3    </t>
  </si>
  <si>
    <t>E3SB37E0X0004E</t>
  </si>
  <si>
    <t>DS1066-6MVW6X</t>
  </si>
  <si>
    <t>Клей В7000 110 мл. (FPV)</t>
  </si>
  <si>
    <t>GRM155R71C224KA12D</t>
  </si>
  <si>
    <t>CC0402KRX7R7BB103</t>
  </si>
  <si>
    <t>RC0402JR-070RL</t>
  </si>
  <si>
    <t>STM32H743IIK6</t>
  </si>
  <si>
    <t>LD1117S33TR</t>
  </si>
  <si>
    <t>BMI270</t>
  </si>
  <si>
    <t>LPS25HBTR</t>
  </si>
  <si>
    <t>LIS3MDLTR</t>
  </si>
  <si>
    <t>TXB0108PWR</t>
  </si>
  <si>
    <t>CRCW251210R0JNEG</t>
  </si>
  <si>
    <t>RC0402FR-0768RL</t>
  </si>
  <si>
    <t>DS1069-6-FCW</t>
  </si>
  <si>
    <t>DS1071-1X30-FCB</t>
  </si>
  <si>
    <t>GHR-02V-S</t>
  </si>
  <si>
    <t>T-DS1069-SC600</t>
  </si>
  <si>
    <t>PESD2CANFD36VT-QR</t>
  </si>
  <si>
    <t>SS14</t>
  </si>
  <si>
    <t>AFC01-S15FCA-00</t>
  </si>
  <si>
    <t>SM04B-GHS-TB</t>
  </si>
  <si>
    <t>SM06B-GHS-TB</t>
  </si>
  <si>
    <t>SM10B-GHS-TB</t>
  </si>
  <si>
    <t>SM02B-GHS-TB</t>
  </si>
  <si>
    <t>DS1069-6MRW6SA</t>
  </si>
  <si>
    <t>X322524MSB4SI</t>
  </si>
  <si>
    <t>I-DS1071-SCB01x3</t>
  </si>
  <si>
    <t>DS1069-16 MVW6</t>
  </si>
  <si>
    <t>KLS1-207-1-04-S (PLS-4)</t>
  </si>
  <si>
    <t>SN74LVC1G07DCKR</t>
  </si>
  <si>
    <t>Маяк для поиска БПЛА tBeacon Lime</t>
  </si>
  <si>
    <t>Резонатор 24000\SMD03225C4\8\10\30\-40-85C\SMD3225\1Г</t>
  </si>
  <si>
    <t>Печатная плата fc_imu_vibro_isolated_27112023</t>
  </si>
  <si>
    <t>Печатная плата Encorder_Left_30112023</t>
  </si>
  <si>
    <t>Печатная плата FC_FMU_STM32H7_27112023</t>
  </si>
  <si>
    <t>Внешний DVD-привод с интерфейсом USB 3.0 Gembird DVD-USB-03 пластик, черный</t>
  </si>
  <si>
    <t>Набор клупп V-Cut 2.00013</t>
  </si>
  <si>
    <t>Экстракторы/свер./извлеч. облом. болтов YT-0591</t>
  </si>
  <si>
    <t>Шнур плетеный ПЭ 6 мм белый, 20 м</t>
  </si>
  <si>
    <t>Шнур плетеный ПП 4 мм цветной, 20 м</t>
  </si>
  <si>
    <t>Шнур вязаный ПП 12 мм 10 м</t>
  </si>
  <si>
    <t>Шнур плетеный ПЭ 6 мм черный 20 м</t>
  </si>
  <si>
    <t>Радиатор масляный Turbo 7 секций</t>
  </si>
  <si>
    <t>Анкерный болт 10x100 1 шт - пакет</t>
  </si>
  <si>
    <t>ББП-50 исп.1 Блок бесперебойного питания, 13,6В, 5А, max-7А.</t>
  </si>
  <si>
    <t>Бур по бетону с двойной резьбой 10х310 мм</t>
  </si>
  <si>
    <t>Замок электромагнитный, 300кг, 12В пост. тока, 500мА</t>
  </si>
  <si>
    <t>Бур по бетону  с двойной резьбой 6х310 мм</t>
  </si>
  <si>
    <t>Накладная кнопка выхода</t>
  </si>
  <si>
    <t>Сверло по металлу 2.5мм HSS+Co 10шт</t>
  </si>
  <si>
    <t>Сверло по кафелю,керамограниту и стеклу, перо 10 мм</t>
  </si>
  <si>
    <t>стойка трубчатая D=3,7мм; d=2,2мм; нейлон-66, А=11.0мм</t>
  </si>
  <si>
    <t>стойка трубчатая D=4,5мм; d=2,6мм; нейлон-66, А=11.0мм</t>
  </si>
  <si>
    <t>BLSC-02020N-C (PA2x20N) винт-саморез GB/T 845; 2х20мм</t>
  </si>
  <si>
    <t>BLSC-026200N-C (PA2.6x20N) GB/T 845 2,6х20мм</t>
  </si>
  <si>
    <t>BLSC-023200B-C (PA2.3x20B) GB/T 845 2,3x20мм</t>
  </si>
  <si>
    <t>FXL0630-3R3-M</t>
  </si>
  <si>
    <t>AXK5F80537YG</t>
  </si>
  <si>
    <t>BM02B-GHS-TBT(LF)(SN)(N)</t>
  </si>
  <si>
    <t>BM03B-GHS-TBT(LF)(SN)(N)</t>
  </si>
  <si>
    <t>BM04B-GHS-TBT</t>
  </si>
  <si>
    <t>BM06B-GHS-TBT</t>
  </si>
  <si>
    <t>BM08B-GHS-TBT</t>
  </si>
  <si>
    <t>BMI088</t>
  </si>
  <si>
    <t>QMC5883L</t>
  </si>
  <si>
    <t>Трубки термоусаживаемые (Неклеевая) 2,0/1,0 мм, пять цветов по 1 м</t>
  </si>
  <si>
    <t>Трубка термоусадочная (Неклеевая) ТУТнг-1.5/0.75мм черная</t>
  </si>
  <si>
    <t>Кабель TYPE-C - TYPE-C, 1м\Zipower</t>
  </si>
  <si>
    <t>Пластик для 3D-принтера (Termax GF-40 чёрный) 1.75мм 750гр</t>
  </si>
  <si>
    <t>Регулятор давления, соединение F 1/4 M 1/4 с манометром, осевое крепление M 1/8 0-10 бар</t>
  </si>
  <si>
    <t>Штекер наружной резьбы M 1/4 (стандарт D)</t>
  </si>
  <si>
    <t>CARFIT мерная емкость для смешивание красок 0.750л</t>
  </si>
  <si>
    <t>CARFIT мерная емкость для смешивание красок 2.3л</t>
  </si>
  <si>
    <t>CARFIT крышка для емкости 0.750л</t>
  </si>
  <si>
    <t>CARFIT крышка для емкости 2.3л</t>
  </si>
  <si>
    <t>ЗМ фильтр для защиты от органических газов и паров, класс А1</t>
  </si>
  <si>
    <t>Протирочные, обезжиривающие салфетки из нетканного материала 320х360мм рул.500шт</t>
  </si>
  <si>
    <t>VENWELL Бумага протирочная WIPE2 330х350мм 2 слоя</t>
  </si>
  <si>
    <t>RoxelPro Абразивная полированная паста ROXTOP FAST CUT (зеленый колпачок)</t>
  </si>
  <si>
    <t>RoxelPro Абразивная полированная паста ROXTOP S20 ONE STEP (оранжевый колпачок)</t>
  </si>
  <si>
    <t>Пластиковый многоразовый стакан 650мл Schtaer-Premium</t>
  </si>
  <si>
    <t>ЗМ фильтр противоаэрозольный 5911 класс защиты 1Р R</t>
  </si>
  <si>
    <t>ЗМ Держатель предфильтров 5911</t>
  </si>
  <si>
    <t>Фильтр-воронка для краски 190мкм</t>
  </si>
  <si>
    <t>RexelPro Переходник к окрасочным пистолетам Anest Iwata W400WB LPH400, LPH94, VX929, VXL949</t>
  </si>
  <si>
    <t>Набор для чистки краскопультов, 16 предметов</t>
  </si>
  <si>
    <t>Контейнер пластиковый с крышкой с разделителями 277х178х45 B280</t>
  </si>
  <si>
    <t>Контейнер пластиковый с крышкой с разделителями 345х218х48 B278</t>
  </si>
  <si>
    <t>Коробка пластиковая 180х105х88 B144</t>
  </si>
  <si>
    <t>Контейнер для мелочей 290х180мм (серый)</t>
  </si>
  <si>
    <t>AIKO Сейф T-170 EL S10399210614</t>
  </si>
  <si>
    <t>Ресанта Масляный радиатор ОМ-12Н 67/3/9</t>
  </si>
  <si>
    <t>ICM-42688-P</t>
  </si>
  <si>
    <t>RS0104YQ</t>
  </si>
  <si>
    <t>ICM20948</t>
  </si>
  <si>
    <t>EPX 3305 Эпоксидная грунтовка ЭП 3305 5кг</t>
  </si>
  <si>
    <t>Сумка-рюкзак 022 Сибирь2</t>
  </si>
  <si>
    <t>Бита усиленная 1/4" H3 25 мм</t>
  </si>
  <si>
    <t>Ручка для валиков 19 см, бюгель 6 мм</t>
  </si>
  <si>
    <t>Комплект жал 900M-T-LB-K</t>
  </si>
  <si>
    <t>PBS26С (зеленая), Кнопка ON-(OFF) (2A 250VAC)\Jietong Switch</t>
  </si>
  <si>
    <t>ВРПИ-М 1,5-(6,3) (ВРПИ-М 1.5-7-0.8), Клемма, Разъем виброустойчивый плоский 0,5 - 1,5мм?\КВТ</t>
  </si>
  <si>
    <t>SCZ Угл. б/роз   1.8м. 3х0.75, Шнур</t>
  </si>
  <si>
    <t>Кабель (провод) Parlan U/UTR 4x2x0.52</t>
  </si>
  <si>
    <t>TXS0102DCTR</t>
  </si>
  <si>
    <t>STM32F103T8U6</t>
  </si>
  <si>
    <t>TXS0104EPWR</t>
  </si>
  <si>
    <t>XC6206P182MR</t>
  </si>
  <si>
    <t>Трубка углепластиковая 16х17,9х2500мм</t>
  </si>
  <si>
    <t>Трубка углепластиковая 18х19,4х2500мм</t>
  </si>
  <si>
    <t>Трубка углепластиковая 8х9,8х1600мм</t>
  </si>
  <si>
    <t>Трубка углепластиковая 10х11,4х1600мм</t>
  </si>
  <si>
    <t>Стеклотекстолит 0,5х1000х1000мм</t>
  </si>
  <si>
    <t>Стеклотекстолит 3х1000х1000мм</t>
  </si>
  <si>
    <t>Стеклотекстолит 1х1000х1000мм</t>
  </si>
  <si>
    <t>КВТ Трубка ТТК2:1 4.8/2.4 черная  74300</t>
  </si>
  <si>
    <t>Очки закрытые для защиты от мех. воздействий UNIVET 601 зеленые</t>
  </si>
  <si>
    <t>ABRAFORM Набор водостойкой наждачной бумаги " HANDSIZE Первый Модельный. COARSE Набор № 1 AF-PM-COAR</t>
  </si>
  <si>
    <t>ABRAFORM Набор водостойкой наждачной бумаги " HANDSIZE Первый Модельный. FINE № 3 AF-PM-FINE</t>
  </si>
  <si>
    <t>ABRAFORM Набор водостойкой наждачной бумаги " HANDSIZE Первый Модельный. MEDIUM № 2. AF-PM-MEDIUM</t>
  </si>
  <si>
    <t>ABRAFORM Набор водостойкой наждачной бумаги " HANDSIZE Первый Модельный. MIKROFINE № 6. AF-PM-MIKROF</t>
  </si>
  <si>
    <t>ABRAFORM Набор водостойкой наждачной бумаги " HANDSIZE Первый Модельный. SUPERFINE № 4 AF-PM-SUPERFI</t>
  </si>
  <si>
    <t>ABRAFORM Набор водостойкой наждачной бумаги " HANDSIZE Первый Модельный. ULTRAFINE № 5.AF-PM- ULTRAF</t>
  </si>
  <si>
    <t>ABRO Очиститель электронных контактов 210 мл MASTERS EC-533-210-AM-RW</t>
  </si>
  <si>
    <t>AVIORA Изолента ХБ 15мм 20м вес 180г.</t>
  </si>
  <si>
    <t>DEKO Коврик для пайки SI28, 3045см</t>
  </si>
  <si>
    <t>FASTER TOOLS Ключи рожково-накидные с трещеткой 8 мм</t>
  </si>
  <si>
    <t>Folsen Универсальная тканевая влагоустойчивая лента, 48 мм х 25м, серая, 240 мк</t>
  </si>
  <si>
    <t>JTC Кернер автоматический/1/20/200</t>
  </si>
  <si>
    <t>KRAFTOOL Precision прецизионные бокорезы чистый рез 155 мм</t>
  </si>
  <si>
    <t>MATRIX Струбцина универсальная F-образная,200х315х45 мм, пластмассовый корпус</t>
  </si>
  <si>
    <t>ProsKit Очиститель жала паяльн. 5 шт. SH-1025- B</t>
  </si>
  <si>
    <t>ProsKit Узкогубцы PM-746</t>
  </si>
  <si>
    <t>REXANT Держатель "третья рука" с лупой х2.5 /HT-390/ZD-10R</t>
  </si>
  <si>
    <t>REXANT Пинцет изогнутый, узкий, фиксатор, рифленый 155мм ПРОФИ</t>
  </si>
  <si>
    <t>Safeline Изолента 19/25 красный</t>
  </si>
  <si>
    <t>Safeline Изолента 19/25 синий</t>
  </si>
  <si>
    <t>SKRAB Ключ галочка 250мм CR-V</t>
  </si>
  <si>
    <t>STAYER Бор-фрезы абразивные для дрели, в наборе 5 шт.</t>
  </si>
  <si>
    <t xml:space="preserve">Tech-Krep Анкерный болт 10х100, 1шт-пакет </t>
  </si>
  <si>
    <t>Жидкость стеклоомывающая низкозамерзающая 5л -30</t>
  </si>
  <si>
    <t>АвтоDело миска метал. магнитная для крепежа круглая D-150 мм</t>
  </si>
  <si>
    <t>Вихрь Лезвия для ножа 18 мм, 10шт.</t>
  </si>
  <si>
    <t>Вихрь Нож с выдвижным лезвием 18 мм, двухкомпонентный корпус, автоматический фиксатор</t>
  </si>
  <si>
    <t>Дело Техники Бокорезы 127 мм на блистере</t>
  </si>
  <si>
    <t>ЗУБР Колибри черный, 0,7-1мм перманентный маркер для отверстий</t>
  </si>
  <si>
    <t>ЗУБР Профессионал ОТР-4 Н20 отвертка аккумуляторная 4 Vmax для точных работ с набором 20 бит</t>
  </si>
  <si>
    <t>Кедр Шило 90 мм</t>
  </si>
  <si>
    <t>РемоКолор Органайзер пластиковый, 19,0х16,0х4,5 см, 15 ячеек</t>
  </si>
  <si>
    <t>Ресанта Мультиметр М 830В DT</t>
  </si>
  <si>
    <t>DEKO Углошлифовальная машина DKAG20-125, 2х4.0</t>
  </si>
  <si>
    <t>Power Cube Фильтр-удлинитель 5.0 м 6 розеток (белый) 16А/3,5кВт (3х1,5), SPG6-A2</t>
  </si>
  <si>
    <t>Tplus Динамическая стропа рывковая 14 т 10м серия Стандарт</t>
  </si>
  <si>
    <t>ZINLER Лопата автомоб. с деревянным черенком и ручкой Z1.9H5G</t>
  </si>
  <si>
    <t>Пленка п/э 1500мм рукав мкн</t>
  </si>
  <si>
    <t>Ткань мультиаксиальная АРМАТОН</t>
  </si>
  <si>
    <t>Углеродная ткань твил 2/2 ЗК-1250/200/245/600</t>
  </si>
  <si>
    <t>Углеродная лента однонаправленная 100г/м (50см) (в рулоне 200 пог.м 100м2)</t>
  </si>
  <si>
    <t>Пенопласт конструкционный PMI R30 лист 25.0-2500-1250мм</t>
  </si>
  <si>
    <t>Стеклоткань Aeroglas E50</t>
  </si>
  <si>
    <t>Смолопроводящая сетка FM140</t>
  </si>
  <si>
    <t>Сетевой фильтр Buro BU-SP5_USB_2A-B 5м (6 розеток) черный (коробка)</t>
  </si>
  <si>
    <t>Носитель информации Netac USB Drive 32GB U278</t>
  </si>
  <si>
    <t>Расходные материалы XEROX 106R02773 Тонер-картридж черный Phaser 3020/WC3025 (1.5k)</t>
  </si>
  <si>
    <t>Принтер лазерный XEROX Phaser 3020BI</t>
  </si>
  <si>
    <t>ЗУБР Захват, размер L-XL, перчатки с нитриловым обливом</t>
  </si>
  <si>
    <t>Спец Маркер перманентный черный</t>
  </si>
  <si>
    <t>Гайка Заклепка цилиндрическая М3 (0,5/2,0)</t>
  </si>
  <si>
    <t>Винт ЦГЧ DIN912 М8х100</t>
  </si>
  <si>
    <t>Гайка DIN934 шестигранная фосф М8</t>
  </si>
  <si>
    <t>Шайба DIN 125 плоская оксид d8</t>
  </si>
  <si>
    <t>MFD Link 433 Rx(FPV)</t>
  </si>
  <si>
    <t>11*6*4mm induction iron core ferrite core 44-52(FPV)</t>
  </si>
  <si>
    <t>Очки Кобра Х V4</t>
  </si>
  <si>
    <t>Видеопередатчик 1.2G 1.6W VTX</t>
  </si>
  <si>
    <t>Видеопередатчик 1.2G 800mW VTX</t>
  </si>
  <si>
    <t>CL05A225KO5NQNC</t>
  </si>
  <si>
    <t>RC0201DR-074K02L</t>
  </si>
  <si>
    <t>RC0201DR-071K62L</t>
  </si>
  <si>
    <t>Контейнер для хранения Rambai 12 л</t>
  </si>
  <si>
    <t>СНК 220.09.00.01 Стенка</t>
  </si>
  <si>
    <t>СНК 110.020.00.00.01 Стойка ( Ранее СНК 110.030.00.01.00 стойка )</t>
  </si>
  <si>
    <t>Приемник ELRS915Mhz RX ES900-TX</t>
  </si>
  <si>
    <t>Дюбель с шурупом  6х 60 потайной бортик - 100 шт</t>
  </si>
  <si>
    <t>Угол внутр. изм. кан. для каб.-кан. 100x60</t>
  </si>
  <si>
    <t>Лента малярная, 48 мм х 50 м</t>
  </si>
  <si>
    <t>Mastech MS8911 цифровой RLC мультиметр для SMD компонентов</t>
  </si>
  <si>
    <t>Перчатки ЦЕТРА, /L-F-04/, латекс 0.75 мм 10-10.5/XL</t>
  </si>
  <si>
    <t>Шпатель 50мм с деревянной ручкой</t>
  </si>
  <si>
    <t>Кисть плоская 20x15</t>
  </si>
  <si>
    <t>Полка удлиненная</t>
  </si>
  <si>
    <t>Генератор бензиновый GL 6500</t>
  </si>
  <si>
    <t>Провод ПВС 3х2,5 20м</t>
  </si>
  <si>
    <t>Розетка 1-м  16А бел</t>
  </si>
  <si>
    <t>Поликарбонат сотовый 6мм 2.1х3 м</t>
  </si>
  <si>
    <t xml:space="preserve">Сумка для Корта с внутренними габаритами 330х310х160 мм </t>
  </si>
  <si>
    <t>PZ254-1-12-W-8.5</t>
  </si>
  <si>
    <t>SPM3012T-2R2M-LR</t>
  </si>
  <si>
    <t>T55A107M6R3C0045</t>
  </si>
  <si>
    <t>SPM3012T-3R3M-LR</t>
  </si>
  <si>
    <t>YSPI0530-100M</t>
  </si>
  <si>
    <t>GRM0335C1E102JA01D</t>
  </si>
  <si>
    <t>GRM1555C1E180JA01D</t>
  </si>
  <si>
    <t>Тейбл тент "Менюхолдер" А4 вертикальный с прозрачным основанием</t>
  </si>
  <si>
    <t>Тейбл тент "Менюхолдер" А5 вертикальный с прозрачным основанием</t>
  </si>
  <si>
    <t>MMC34160PJ</t>
  </si>
  <si>
    <t>Самолет "ЕНИСЕЙ" для испытаний 3 шт (разбились при испытаниях)</t>
  </si>
  <si>
    <t>Проушина 103х92 (3 мм Д16Т)</t>
  </si>
  <si>
    <t>Кабанчики для рулей 3 мм (карбон) 50ммХ25мм</t>
  </si>
  <si>
    <t>Затирка Церезит CE 33- № 43 ( Багама, бежевый / 2 кг)</t>
  </si>
  <si>
    <t>Пистолет для пены</t>
  </si>
  <si>
    <t>Пена монтажная профессиональная Титан</t>
  </si>
  <si>
    <t>Анкер рамный М 8х152 мм</t>
  </si>
  <si>
    <t>Дюбель рамный металлический М 8х112 мм</t>
  </si>
  <si>
    <t>Анкер клин 10х100 мм</t>
  </si>
  <si>
    <t>Очиститель монтажной пены</t>
  </si>
  <si>
    <t>Оптический трансивер TRMF85-0.3-10gLC-3c</t>
  </si>
  <si>
    <t>Автопилот F722 V2 30X30 FLIGHT CONTROLLER FOR ANALOG(FPV)</t>
  </si>
  <si>
    <t>LM2596 DC-DC Module, Источник питания, стабилизатор напряжения</t>
  </si>
  <si>
    <t>Стеклотекстолит 1-сторонний</t>
  </si>
  <si>
    <t>Вафельное полотно, 40 см х 50 м</t>
  </si>
  <si>
    <t>Крышка для сплайс кассеты</t>
  </si>
  <si>
    <t>Сплайс кассета универсальная</t>
  </si>
  <si>
    <t>MC7812CD2TR4G</t>
  </si>
  <si>
    <t>Печатная плата Regulator_16V_to_12V_rev1</t>
  </si>
  <si>
    <t xml:space="preserve">Монитор Hawkeye Little Pilot 4 version4 V4 5,8 ГГц 48CH </t>
  </si>
  <si>
    <t>Клейкая лента акриловая 3М прозрачная 20мм/5м</t>
  </si>
  <si>
    <t>Жесткий диск 8ТБ</t>
  </si>
  <si>
    <t>Пента 120, марка 126 П (3кг)</t>
  </si>
  <si>
    <t>Диван-кровать Парма темно-серый</t>
  </si>
  <si>
    <t>Сетевой адаптер DUB-1312/В2А</t>
  </si>
  <si>
    <t>Заклепочник пневматический 2.4-4.8 мм</t>
  </si>
  <si>
    <t>Жало 900M-T-K</t>
  </si>
  <si>
    <t>Kyocera ECOSYS P3145dn Принтер</t>
  </si>
  <si>
    <t>Картридж NV Print TK-3160 для KYOCERA</t>
  </si>
  <si>
    <t>Ящик 70678 IP 65</t>
  </si>
  <si>
    <t>Ультразвуковая ванна YUMENG YM-080S</t>
  </si>
  <si>
    <t>Диком ВЛ-К-200-08 Верстак с двумя тумбами и с экраном с навесными аксессуарами</t>
  </si>
  <si>
    <t>Трубка силиконовая 12 х 1,5</t>
  </si>
  <si>
    <t>ZeepDeep клей герметик для проклейки тачскринов В-7000, прозрачный, 110 мл</t>
  </si>
  <si>
    <t>ООО Комус Термотрансферные этикетки, полипроп, 30х20мм, 2000 этикеток в рулоне</t>
  </si>
  <si>
    <t>Воздушные винты, (пропеллеры) HQPROPP 10X5X3(FPV)</t>
  </si>
  <si>
    <t>Набор ELRS ES900TX Micro + ES900RX(868 МГц)</t>
  </si>
  <si>
    <t>Конденсатор 680 МКФ 63V NICHICON PW Серия 16x25мм(FPV)</t>
  </si>
  <si>
    <t>Стойка нейлоновая M3 30мм черная(FPV)</t>
  </si>
  <si>
    <t>Видеопередатчик RUSH MAX Solo Tank 5,8G VTX мощность 2500 мВт (34 дБм) (FPV)</t>
  </si>
  <si>
    <t>Измерительная антенна KM6-600/6000</t>
  </si>
  <si>
    <t>Конвертер протокола: Модуль преобразования сигнала PWM PPM SBUS(FPV)</t>
  </si>
  <si>
    <t>Нарукавник многоразовый Рукас полиуретановый 46x22, цвет синий</t>
  </si>
  <si>
    <t>SDINBDG4-64G-XA</t>
  </si>
  <si>
    <t>Винт DIN 84 M 3x50 A2</t>
  </si>
  <si>
    <t>Саморез DIN 7981 2,9x6,5</t>
  </si>
  <si>
    <t>JET IBG-10 Шлифовальный станок по металлу ,230 В 578010-RU</t>
  </si>
  <si>
    <t>Внешний SSD HP P700 512GB</t>
  </si>
  <si>
    <t>Гидрав. тележка CW 20 2000кг (весы)</t>
  </si>
  <si>
    <t>Гидрав. тележка АС 25 2500кг красный</t>
  </si>
  <si>
    <t>Кардридер Transcend TS-RDF9K2 Black</t>
  </si>
  <si>
    <t>Адаптер, сетевое зарядное устройство для зарядки аккумуляторов USBx2 36Вт (FPV)</t>
  </si>
  <si>
    <t xml:space="preserve">Crucial® MX500 2000GB SATA 2.5” 7mm (with 9.5mm adapter) SSD, EAN: 649528785077 </t>
  </si>
  <si>
    <t>Этикетка для принтера NIIMBOT D11/D110/D101 R12х40-160</t>
  </si>
  <si>
    <t>Очки закрытые из поликарбоната с непрямой вентиляцией, цвет линзпрозрачный</t>
  </si>
  <si>
    <t>Набор щеток, 3 шт., металлические с пластмассовой ручкой</t>
  </si>
  <si>
    <t>Хомут червячный с мостиком 110-130 мм</t>
  </si>
  <si>
    <t>Салфетки влажные CS-ASC100 универсальные антибактериальные (100лист.) спиртовые</t>
  </si>
  <si>
    <t>Алюминиевый строительный уровень с разметкой 1200мм</t>
  </si>
  <si>
    <t>Заточная машинка настольная Aurora A 007</t>
  </si>
  <si>
    <t>Мышь компьютерная A4Tech V-Track Padless (N-708X)</t>
  </si>
  <si>
    <t>Сетевой фильтр Power Cube B 3.0 м 5 розеток</t>
  </si>
  <si>
    <t>Регулятор двигателя Foxeer Reaper F4 128K 65A(FPV)</t>
  </si>
  <si>
    <t>MATRIX Болторез, 300 мм</t>
  </si>
  <si>
    <t>STAYER 200мм, болторез компактный Hercules Forge 2333</t>
  </si>
  <si>
    <t>SN74LVC2G240DCU</t>
  </si>
  <si>
    <t>W25X20CLSNIG</t>
  </si>
  <si>
    <t>Перчатки одноразовые Hongray нитр неопудр.текстурир. фиолет р.L 100шт/уп,ПС</t>
  </si>
  <si>
    <t>Сгон для мытья окон нерж сталь резина 45см AF06101</t>
  </si>
  <si>
    <t>Средство для мытья посуды Fairy Зеленое яблоко, 900мл</t>
  </si>
  <si>
    <t>Средство для прочистки труб Bagi ШУМАНИТ гель от засоров 450 мл</t>
  </si>
  <si>
    <t>Порошок стиральный БИОСТАР автомат, 9кг</t>
  </si>
  <si>
    <t>Средство для чистки плит Azelit Антижир 500мл гель СВЧ,грили,коптильни</t>
  </si>
  <si>
    <t>Баллон сменный для автоосвежителя DISCOVER Ocean(Океан) 320 мл. спрей</t>
  </si>
  <si>
    <t>Баллон сменный для автоосвежителя DISCOVER Cashmere(Кашемир) 320 мл. спрей</t>
  </si>
  <si>
    <t>Средство для стекол и зеркал Мистер Мускул после дождя триггер 500мл</t>
  </si>
  <si>
    <t>Держатель МОПа универс. пластик 40х11см т.серый/красный NPK195</t>
  </si>
  <si>
    <t>Губка хозяйственная Профи(1шт/уп) Мск</t>
  </si>
  <si>
    <t>Салфетки хозяйственные из микрофибры 40х50см 220г/м2 зеленый с крас 50шт/уп</t>
  </si>
  <si>
    <t>Перчатки резиновые Vileda Profes латекс/неопр хлопк.напыл зел/жел XL 120270</t>
  </si>
  <si>
    <t>Батарейка Duracell LR6-2BL BASIC AA (20шт в упак)Б0051815</t>
  </si>
  <si>
    <t>Тряпка для пола из микрофибры универсальная 280г/м2 70х80см цвет в асс</t>
  </si>
  <si>
    <t>Салфетки хозяйственные Bagi Чудо-тряпка Анти Ворсинка 20х30 70 л рулон</t>
  </si>
  <si>
    <t>1.2G Diversitty Receiver (Skyzone) (FPV)</t>
  </si>
  <si>
    <t>Очки оператора Skyzone 04X(FPV)</t>
  </si>
  <si>
    <t>Антенна 5,8ГГц(FPV)</t>
  </si>
  <si>
    <t>Приемник с антенной 2,4ГГц(FPV)</t>
  </si>
  <si>
    <t>Комплект разнесенных антенн Lumenier AXII(FPV)</t>
  </si>
  <si>
    <t>Вентилятор(FPV)</t>
  </si>
  <si>
    <t>Индикатор уровня заряда(FPV)</t>
  </si>
  <si>
    <t>Плата питания и заряда АКБ с корпусом(FPV)</t>
  </si>
  <si>
    <t>Черный кнопочный мини-переключатель 6A-10A 110 в 250 В(FPV)</t>
  </si>
  <si>
    <t>Контактная колодка для подключения(FPV)</t>
  </si>
  <si>
    <t>Модуль передатчика 2,4ГГц(FPV)</t>
  </si>
  <si>
    <t>Кабель USB A - Type C(FPV)</t>
  </si>
  <si>
    <t>Ремень пульта на шею(FPV)</t>
  </si>
  <si>
    <t>ОРЕОЛ Провод ПуГВ нг А LS 1х6,0 ж-зелен 100м 00-00003432</t>
  </si>
  <si>
    <t>IEK ARMAT ВДТ R10N 2P 25А 30мА тип A AR-R10N-2-025A030</t>
  </si>
  <si>
    <t>FRSKY ZIPP 9 915 MHz/868MHZ high-performance Moxon antenna(FPV)</t>
  </si>
  <si>
    <t>Конкорд Силовой кабель ВВГ нг-Ls 3х2,5 100 метров 00001247</t>
  </si>
  <si>
    <t>U-Клипса серая для гофры d20</t>
  </si>
  <si>
    <t>PCE Розетка настенная 16А 400V 3P+N+E IP44 115-6</t>
  </si>
  <si>
    <t>duwi Таймер механический, суточный на DIN-рейку, 30мин, 16А/3680Вт 25805 6</t>
  </si>
  <si>
    <t>UNIVersal Колодка 4-х местная однофазная с заглушками каучук 1029</t>
  </si>
  <si>
    <t>Экопласт Труба ПП гофрир. легкая, с зондом диам. 32 мм цвет серый 60132</t>
  </si>
  <si>
    <t>TDM Труба гофр.ПВХ d 25 с зондом 75 м легкая TDM SQ0401-0003</t>
  </si>
  <si>
    <t>AEG Перфоратор ВН 24 IE 4935451558</t>
  </si>
  <si>
    <t>Sturm  Бокорезы 180мм, CrV,+30% к силе реза, тефлоновое покрытие, TPE рукоятки,  1020-13-2-180</t>
  </si>
  <si>
    <t>TDM Кабель ВВГ-П нгА-LS 3х1,5 окN, PE-0,66 ГОСТ 100м SQ0117-0075</t>
  </si>
  <si>
    <t>Luga-Abrasiv 115х1.4х22 A 40 S BF 80 14А БУ мет.+нерж. круг отр. 4603347328088</t>
  </si>
  <si>
    <t>КВТ Нак-к кольцевой НКИ 6,0-6 20шт.  75336</t>
  </si>
  <si>
    <t>Кабель-Арсенал Провод ПВС 3х2,5 ГОСТ - 100 м</t>
  </si>
  <si>
    <t>UNIVersal Аллегро Роз. с/з, з/ш, с крышкой IP-54, сер. 1282</t>
  </si>
  <si>
    <t>WAGO Клемма221-413 20 шт. 2546</t>
  </si>
  <si>
    <t>WAGO Соединительная клемма 5-ти проводная 2273-205 6 шт. в блистере 2568</t>
  </si>
  <si>
    <t>Ресанта Лампа светодиодная LL-R-A65-15W-230-4K-E27 /груша, 15Вт, нейтр., Е27/ 76/1/20</t>
  </si>
  <si>
    <t>Нож OLFA "AUTOLOCK", двухкомпонентный корпус, 18мм OL-L5-AL</t>
  </si>
  <si>
    <t>Pentel Грифели для карандашей автоматических Ain Stein 0.5 мм 12 грифелей в тубе C275S-HB HB 586229</t>
  </si>
  <si>
    <t>Pentel Карандаш автоматич. профессиональный Graphgear 520 0.5 мм PG525-AX черный корпус, 0.5 мм 6984</t>
  </si>
  <si>
    <t>Камкабель Провод ПВС 5x6 мм 50 м ГОСТ 231Я954P00000Г00050М</t>
  </si>
  <si>
    <t>EKF Крепеж-клипса d32 мм (50 шт) серая (50шт.) derj-z-32n</t>
  </si>
  <si>
    <t>Mastech Тестер розеток, детектор автоматов ms5902rtd 13-1262</t>
  </si>
  <si>
    <t>Sigma Elektrik Выключатели дифференциального тока ВДТ (УЗО) AC 2P 30mA 6kA 80A SHM2080030</t>
  </si>
  <si>
    <t>Mamba T Antenna(FPV)</t>
  </si>
  <si>
    <t>Мотор-редуктор, сервопривод 9g MG90S</t>
  </si>
  <si>
    <t>Преобразователь напряжения iFlight Micro 2-8S BEC 5V/12V (FPV)</t>
  </si>
  <si>
    <t>Отвертка торцевой ключ SW 4</t>
  </si>
  <si>
    <t>Отвертка торцевой ключ SW 5,5</t>
  </si>
  <si>
    <t>Бита 7012 3-1/4</t>
  </si>
  <si>
    <t>Бита 7040 3-1\4</t>
  </si>
  <si>
    <t>Бита для шуруповертов 3-1\4</t>
  </si>
  <si>
    <t>Шкаф для раздевалок</t>
  </si>
  <si>
    <t>Печатная плата fc_imu_vibro_isolated_rev1.2</t>
  </si>
  <si>
    <t>ААА Батарейка GP Alkaline 24ARS</t>
  </si>
  <si>
    <t>Очиститель щелочный для керамогранита 10л</t>
  </si>
  <si>
    <t>FD6015S12H@FANOVER</t>
  </si>
  <si>
    <t>Быстроразъёмное соединение 8х12мм</t>
  </si>
  <si>
    <t>МАКРОФЛЕКС TA145 герметик красный</t>
  </si>
  <si>
    <t>Кабель круглый ACEFAST USB Type-C - USB Type-C черный 2 м</t>
  </si>
  <si>
    <t>Фанера авиационная (Россия), 2 мм, 1220*1220 мм</t>
  </si>
  <si>
    <t>Комплект приемник передатчик 1,2 Ггц 1500mw 8 канальный</t>
  </si>
  <si>
    <t>Стеклотекстолит фольгированный односторонний  1000x1200x1.5 мм (35мкм)</t>
  </si>
  <si>
    <t xml:space="preserve">Intel RealSense D450 Depth Module + Vision Processor D4 Board </t>
  </si>
  <si>
    <t>Антистатический стул тканевый MB-02 (компл.)</t>
  </si>
  <si>
    <t>Композитная плита КМ1-КМТу-2-450.1,5 1000х1000мм</t>
  </si>
  <si>
    <t>Композитная плита КМ1-КМТу-2-450.3 450х1300мм</t>
  </si>
  <si>
    <t>Щит открытый</t>
  </si>
  <si>
    <t>Лом пожарный легкий (труба) ЛПЛТ</t>
  </si>
  <si>
    <t>Лопата совковая</t>
  </si>
  <si>
    <t>Багор пожарный</t>
  </si>
  <si>
    <t xml:space="preserve"> Ведро конусное (пожарное). 7л</t>
  </si>
  <si>
    <t>Противопожарное полотно ПП-300 (1,5х2) 430 гр/кв.м</t>
  </si>
  <si>
    <t>Ящик для песка ЯП-0,5 разборной 800х900х700</t>
  </si>
  <si>
    <t xml:space="preserve">Огнетушитель ОП-5 (з) АВСЕ </t>
  </si>
  <si>
    <t>Огнетушитель ОП-35 (з) АВСЕ</t>
  </si>
  <si>
    <t>Двухсторонний акриловый скотч 3М 6008f 20мм*5м прозрачный</t>
  </si>
  <si>
    <t>Фанера 1525х1525х4мм 4/4</t>
  </si>
  <si>
    <t>VSV 300 Масляный фильтр</t>
  </si>
  <si>
    <t>Противообледенительная жидкость "АРКТИКА-ДГ"</t>
  </si>
  <si>
    <t>Кабель Standart FTP indoor 4x2x0,48</t>
  </si>
  <si>
    <t>Универсальное моющее средство 900, 5 л</t>
  </si>
  <si>
    <t>Термометр медицинский БЕЗ РТУТИ  в пластиковом футляре ИМПЭКС-МЕД 1шт/уп, J</t>
  </si>
  <si>
    <t>Фанера 1525х1525х3мм 2/2 Ш2</t>
  </si>
  <si>
    <t>Средство для чистки плит Azelit  Антижир 600мл (СВЧ, грили,коптильни)</t>
  </si>
  <si>
    <t>Насадка МОП д/флаунд синель 42х14см 100% полиэстер 85гр HD1027A-R</t>
  </si>
  <si>
    <t>Профхим д/стекл-зеркал поверхн,мытьё Dolphin/Crystal (D019), 5л</t>
  </si>
  <si>
    <t>Комплект для уборки полипропилен полиэтилен 32х12х111см AF01215</t>
  </si>
  <si>
    <t>Полотно техническое ВАФЕЛЬНОЕ отбеленное, рулон 0,45х60м, пл. 145 г/м2</t>
  </si>
  <si>
    <t>Держатель МОПа Vileda УльтраСпид Мини голубой 34см 517556</t>
  </si>
  <si>
    <t>Мешки для мусора ПВД 240л 50мкм 10шт/рул черные 85х130см Luscan</t>
  </si>
  <si>
    <t>Тряпка для пола из микрофибры универсальная 220г/м2 50х80см синяя</t>
  </si>
  <si>
    <t>Салфетки хозяйственные Vileda р-МикронКвик 40х38 см красные 170636 5шт/уп</t>
  </si>
  <si>
    <t>Перчатки резиновые Vileda Profes латекс хлопк.напыл зеленый р-р M 100756,ПС</t>
  </si>
  <si>
    <t>Перчатки резиновые Vileda Profes латекс хлопк.напыл зеленый р-р L 100757,ПС</t>
  </si>
  <si>
    <t>AEG бур SDS+ 10 x 310 AAKSDS10310 4932478690</t>
  </si>
  <si>
    <t>Duracell Батарейки щелочные Basic ААA/LR03 6 шт. блистер Б0014858</t>
  </si>
  <si>
    <t>Duracell Батарейки щелочные Basic АА/LR6 18 шт. блистер Б0014448</t>
  </si>
  <si>
    <t>Gigant Алюминиевый строительный уровень 400мм GW400</t>
  </si>
  <si>
    <t>CHINT Авт. выкл. NB1-63 1P 25A 6кА х-ка C 179619</t>
  </si>
  <si>
    <t>CHINT Авт. выкл. NXB-63 3P 20A 6кА х-ка C 814171</t>
  </si>
  <si>
    <t>Vira Нож сегм. мет. Auto lock 18 мм RAGE 831311</t>
  </si>
  <si>
    <t>U-Клипса серая для гофры d16</t>
  </si>
  <si>
    <t>CHINT Авт. выкл. NB1-63 3P 40A 6кА х-ка C 179707</t>
  </si>
  <si>
    <t>Gigant Каучуковая колодка однофазная 3 гнезда RBG-1</t>
  </si>
  <si>
    <t>CHINT Авт. выкл. NB1-63 3P 63A 6кА х-ка C 179710</t>
  </si>
  <si>
    <t>Kraftool Лезвия сегментированные SG-18, ширина 18 мм, 15 сегментов, пластиковый бокс, 5 шт, 09606-18</t>
  </si>
  <si>
    <t>FORTISFLEX Стяжки нейлоновые КСС 3150 б уп.100шт 49393</t>
  </si>
  <si>
    <t>AEG Биты 2шт.РН2x50mm ASDPH2502 4932479505</t>
  </si>
  <si>
    <t>CHINT Авт. выкл. NXB-63 3P 50A 6кА х-ка C 814175</t>
  </si>
  <si>
    <t>Gigant Сверло ступенчатое 4-32мм HSS-TIN GT-158</t>
  </si>
  <si>
    <t>CHINT Авт. выкл. NB1-63 1P 16A 6кА х-ка C 179616</t>
  </si>
  <si>
    <t>Inforce набор сверл по металлу 19 предметов 1-10  HSS-G 11-01-704</t>
  </si>
  <si>
    <t>КРЕП-КОМП Анкер болт болтом м8 10x100 40шт аб10100</t>
  </si>
  <si>
    <t>CHINT Авт. выкл. NXB-63 3P 32A 6кА х-ка C 814173</t>
  </si>
  <si>
    <t>Tech-Krep Саморезы универсальные 25x3,5 мм 200 шт оцинкованные - коробка с ок. Tech-Kr 102170</t>
  </si>
  <si>
    <t>Росдюбель Бирка кабельная №153М.квадрат 250шт. 24-2030</t>
  </si>
  <si>
    <t>Дело Техники Набор ключей шестигр. 10 шт длинных 1.5,2,2.5,3,4,5,6,7,8,10 мм "ДТ"/40 561102</t>
  </si>
  <si>
    <t>AEG Биты 2шт.РН1x50mm ASDPH1502 4932479524</t>
  </si>
  <si>
    <t>Gigant Бур SDS+ 12*400 gnt-803</t>
  </si>
  <si>
    <t>BEFAST Дюбель ДРИВА пластиковый со сверлом 12x32, тип 4, 500 шт. DRPS1322S</t>
  </si>
  <si>
    <t>ADA тепловизор tempro vision 120 А00685</t>
  </si>
  <si>
    <t>МПП УДЛИНИТЕЛЬ Удлинитель на катушке У1С-4-50 4 роз с\з ПВС 3х2,5 50 м + IP-44 EC-50-011 99900000000</t>
  </si>
  <si>
    <t>EKF Наклейка "220В" (20х40мм.) (100 шт.) PROxima an-2-18</t>
  </si>
  <si>
    <t>Alcadrain Гофра с гайкой 1 1/2x40/50 L=390-840мм A770 00051499</t>
  </si>
  <si>
    <t>IDDIS Полка угловая, нержавеющая сталь, черная, SHE11SBi44</t>
  </si>
  <si>
    <t>Bath Plus Кольца для штор 12 шт. белые AK-06</t>
  </si>
  <si>
    <t>ABRAFORM Абразивный рулон ", 115x2500, P80, БУМ afr115-2500-080</t>
  </si>
  <si>
    <t>ABRAFORM Абразивный рулон ", 115x2500, P150, БУМ afr115-2500-150</t>
  </si>
  <si>
    <t>Сканер штрих-кода беспроводной MERTECH CL-2210 BLE Dongle P2D USB, черный</t>
  </si>
  <si>
    <t>Тахометр UNI-T UT372</t>
  </si>
  <si>
    <t>LAMMIN Заглушка резьбовая PPR 1/2" с O-Ring Lm31036150000</t>
  </si>
  <si>
    <t>RTP Заглушка внутренняя резьба G 3 4 34866</t>
  </si>
  <si>
    <t>RTP Заглушка наружная резьба G 1 2 34865</t>
  </si>
  <si>
    <t>Компьютер C812812Ц-AMD Ryzen 7 5700G</t>
  </si>
  <si>
    <t>Клейкая лента 15мм*20мм</t>
  </si>
  <si>
    <t>Комплект штурмовика классзащиты бр5 (бронежелеты)</t>
  </si>
  <si>
    <t>Микроскоп СМ0745</t>
  </si>
  <si>
    <t>Штатив У1 без держателя</t>
  </si>
  <si>
    <t>Держатель с грубой фокусировкой для СМ</t>
  </si>
  <si>
    <t>Светодиодный двухжгутовый осветитель с креплением</t>
  </si>
  <si>
    <t xml:space="preserve">Холодильник DEXP TF050D </t>
  </si>
  <si>
    <t>Т-образное ответвление диаметр 100мм</t>
  </si>
  <si>
    <t>Карбон листовой 400х500х20мм</t>
  </si>
  <si>
    <t>Фильтр TBS 1.2Ghz VRX Notch Filter 868/915 Mhz FPV</t>
  </si>
  <si>
    <t>Аккумулятор LiitoKala 18350 3.7V (Li-Ion,900мАч) (ICR18350)</t>
  </si>
  <si>
    <t>Модуль BETAFPV Nano RF TX ELRS/915 MHz</t>
  </si>
  <si>
    <t>Навесной экран из металла 2600х800х200</t>
  </si>
  <si>
    <t xml:space="preserve">ВЧ модуль радио передатчик BETAFPV expressLRS Micro RF TX ELRS 915MHz для FPV </t>
  </si>
  <si>
    <t>Навесной экран из металла 2500х800х200</t>
  </si>
  <si>
    <t>Навесной экран из металла 2600х750х200</t>
  </si>
  <si>
    <t>SOFMIX Этикетка ТТ Бумага ПЛГ, 58x40мм, 700 в рул, вт40, 3116 TТ-12-3116-0.7-2-0</t>
  </si>
  <si>
    <t>Бита кровельная с торцовой головкой 5,5х65 мм (5шт)</t>
  </si>
  <si>
    <t>Комбинированный ключ 8мм</t>
  </si>
  <si>
    <t>Гайка Эриксона цилиндрическая головка оц. М6х12</t>
  </si>
  <si>
    <t>Гайка DIN 985 шестигранная самоконтрящаяся нейлон_вставка А2 M6</t>
  </si>
  <si>
    <t>Шайба DIN 9021 плоская  увеличенная (кузовная) оц d6</t>
  </si>
  <si>
    <t>Гайка DIN 6923 шестигранная с фланцем самостопорящаяся  8.0 оц М6</t>
  </si>
  <si>
    <t>АККУМУЛЯТОРНЫЙ КРОМОЧНЫЙ ФРЕЗЕР MILWAUKEE M18 FUEL FTR8-0X</t>
  </si>
  <si>
    <t>НАБОР ФРЕЗ MILWAUKEE ХВОСТОВИК 8ММ (12ШТ)</t>
  </si>
  <si>
    <t>ЭНЕРГОКОМПЛЕКТ MILWAUKEE M18 HNRG-802</t>
  </si>
  <si>
    <t>СУБКОМПАКТНАЯ МНОГОФУНКЦИОНАЛЬНАЯ ОТРЕЗНАЯ МАШИНА MILWAUKEE M12 FUEL FCOT-422X</t>
  </si>
  <si>
    <t>АККУМУЛЯТОРНАЯ ПОГРУЖНАЯ ЦИРКУЛЯРНАЯ ПИЛА MILWAUKEE M18 FUEL FPS55-0P</t>
  </si>
  <si>
    <t>ШИНА НАПРАВЛЯЮЩАЯ MILWAUKEE GR800</t>
  </si>
  <si>
    <t>ШИНА НАПРАВЛЯЮЩАЯ MILWAUKEE GR2700</t>
  </si>
  <si>
    <t>КОМПЛЕКТ НАПРАВЛЯЮЩИХ ШИН GR-KIT MILWAUKEE 2ШТ.</t>
  </si>
  <si>
    <t>Припой с канифолью 500 гр. 3.0мм</t>
  </si>
  <si>
    <t>Шпилька DIN 975 резьбовая А2 M3х1000</t>
  </si>
  <si>
    <t>Маркер для промышл. графики 2-4мм, белый</t>
  </si>
  <si>
    <t>ROS 125 E Шлифмашина эксцентриковая 125мм 300Вт Milwaukee 4933433180</t>
  </si>
  <si>
    <t>Велко-диск White Velour 510 D125мм_8 отв AlOx 180 /100/ Smirdex 510428180</t>
  </si>
  <si>
    <t>ЦИРКУЛЯРНАЯ ПИЛА MILWAUKEE SCS 65 Q 638051</t>
  </si>
  <si>
    <t>ДИСК HINDUSTRIAL HARD LASER 190 ММ 190x30/20x64</t>
  </si>
  <si>
    <t>Втулка SO M3x6 оц</t>
  </si>
  <si>
    <t>Зарядные устройства UM4 18650/21700 на 4АКБ Intellicharge</t>
  </si>
  <si>
    <t>СТАНИНА ДЛЯ ТОРЦОВОЧНОЙ ПИЛЫ MILWAUKEE MSUV 280</t>
  </si>
  <si>
    <t>Цанга ER20-6мм</t>
  </si>
  <si>
    <t>Цанга ER20-8мм</t>
  </si>
  <si>
    <t>Цанга ER20-10мм</t>
  </si>
  <si>
    <t>Цанга ER20-12мм</t>
  </si>
  <si>
    <t>Гайка для цангового патрона ER20-A</t>
  </si>
  <si>
    <t>Гайка для цангового патрона ER20-M</t>
  </si>
  <si>
    <t>SLФреза спиральная Z4 D=2x6x50 S=4 IP</t>
  </si>
  <si>
    <t>SLФреза спиральная Z4 D=10x25x75 S=10 IP</t>
  </si>
  <si>
    <t>Саморез ART.9091 2х10 А2 Ph</t>
  </si>
  <si>
    <t>Сверло по металлу DIN 338N 1,0х34/12мм</t>
  </si>
  <si>
    <t>Сверло по металлу DIN 338N 1,5х40/18мм</t>
  </si>
  <si>
    <t>Сверло по металлу DIN 338N  2,0х49/24мм</t>
  </si>
  <si>
    <t>Сверло по металлу DIN 338N  2,5х57/30мм</t>
  </si>
  <si>
    <t>Сверло по металлу DIN 338N  3,0х61/33мм</t>
  </si>
  <si>
    <t>Сверло по металлу DIN 338N 3,2х65/36мм</t>
  </si>
  <si>
    <t>Сверло по металлу DIN 338N  3,5х70/39мм</t>
  </si>
  <si>
    <t>Шайба DIN 9021 плоская  увеличенная (кузовная) оц d4</t>
  </si>
  <si>
    <t>Саморез полукр.голова M2x6мм фосфат.</t>
  </si>
  <si>
    <t>Саморез (Chipbort) пот/ Pz ж/цинк 3х25 IndustrialProf</t>
  </si>
  <si>
    <t>Саморез п/ш острый PH2 оц 4,2х16 IndustrialProf</t>
  </si>
  <si>
    <t>Винт DIN 7985 А2 М1,6х20 Industrial Prof</t>
  </si>
  <si>
    <t>Бита Phillips Professional 7041 Z C6,3-1/4" (5) Wiha Ph00/90 мм</t>
  </si>
  <si>
    <t>Саморез  (Chipbort) потайная головка Pz белый цинк 3х16 IP</t>
  </si>
  <si>
    <t>Винт ISO7380 10.9 б/п М3х8 IndustrialProf</t>
  </si>
  <si>
    <t>Винт ISO 7380 A2 М3х6 IndustrialProf</t>
  </si>
  <si>
    <t>Винт с цл_головкой и шг_углублением под ключ DIN 912 12.9 фосф/хим. окс. М2х6</t>
  </si>
  <si>
    <t>Шайба DIN 9021 плоская увеличенная А2 d3</t>
  </si>
  <si>
    <t>Самоклеящаяся лента многоразового использования 25мм(FPV)</t>
  </si>
  <si>
    <t>Медный провод AWG 26, белый</t>
  </si>
  <si>
    <t>Медный Провод AWG 26, синий</t>
  </si>
  <si>
    <t>Медный провод AWG 26, зеленый</t>
  </si>
  <si>
    <t>Провод AWG 20, синий</t>
  </si>
  <si>
    <t>Кофемашина Thomson CF20M01</t>
  </si>
  <si>
    <t>RC0805FR-0759RL</t>
  </si>
  <si>
    <t>Мешки для мусора ПВД 240л 90х140см 80мкм прозрачные 10шт/рул ЭЛ</t>
  </si>
  <si>
    <t>Стакан одноразовый бум. d-80мм 1-сл 250мл белый 1000шт/кор</t>
  </si>
  <si>
    <t>AXK6F80547YG</t>
  </si>
  <si>
    <t>GHR-10V-S</t>
  </si>
  <si>
    <t>MC7812CD2G</t>
  </si>
  <si>
    <t>Радиопоисковый маяк tBeacon Onyx</t>
  </si>
  <si>
    <t>СН12-Штуцер для тех.остнастки СН12-9-10</t>
  </si>
  <si>
    <t>СН01-Штуцер для тех.остнастки</t>
  </si>
  <si>
    <t>Развертка ручная цилиндрическая Ф 3.0x31x62</t>
  </si>
  <si>
    <t>TBS CROSSFIRE NANO RX PRO (Bulk) TBS Crossfire Immortal T Antenna (Bulk)(FPV)</t>
  </si>
  <si>
    <t>TBS CROSSFIRE TX LITE 915 MHZ(FPV)</t>
  </si>
  <si>
    <t>Палочки ватные Luscan zip-пакет 400шт/уп</t>
  </si>
  <si>
    <t>60120-T ESD</t>
  </si>
  <si>
    <t>СНК 220.01.00.01 Верхняя дека</t>
  </si>
  <si>
    <t>СНК 220.01.00.02 Нижняя дека</t>
  </si>
  <si>
    <t>СНК 220.01.00.03 Передняя стенка</t>
  </si>
  <si>
    <t>СНК 220.01.01.01 Стенка правая</t>
  </si>
  <si>
    <t>СНК 220.01.01.01-01 Стенка левая</t>
  </si>
  <si>
    <t>СНК 220.02.00.01 Рамка полетного контроллера</t>
  </si>
  <si>
    <t>СНК 220.05.00.04 Пластина мотормаунта</t>
  </si>
  <si>
    <t>СНК 220.07.00.01 Верхний обтекатель, ПФ Формовочный цех</t>
  </si>
  <si>
    <t>СНК 220.07.00.02 Вставка</t>
  </si>
  <si>
    <t>СНК 220.07.00.02-01 Вставка</t>
  </si>
  <si>
    <t>СНК 220.08.00.01 Нижний обтекатель, ПФ Формовочный цех</t>
  </si>
  <si>
    <t>СНК 220.09.00.01 Стенка, ПФ Формовочный цех</t>
  </si>
  <si>
    <t>Akfix набор для склеивания 400мл</t>
  </si>
  <si>
    <t>TJA1051T</t>
  </si>
  <si>
    <t>Пульт радиоуправления lflight COMMANDO8 ELRS</t>
  </si>
  <si>
    <t>NORGAU Молоток медный 2000 гр</t>
  </si>
  <si>
    <t>FORCE Набор шестигранников</t>
  </si>
  <si>
    <t>Диэлектрические пассатижи Inforce 180 мм</t>
  </si>
  <si>
    <t>Зубр Набор: Отвертки слесарные "МАСТЕР" 6 предметов</t>
  </si>
  <si>
    <t>Top Tools Плоскогубцы удлиненные прямые, 160 мм</t>
  </si>
  <si>
    <t>Дело Техники Набор ключей рожковых - 11 шт</t>
  </si>
  <si>
    <t>KNIPEX Клещи переставные - гаечный ключ, 52 мм 2, L-250 мм</t>
  </si>
  <si>
    <t>Rox Box Ящик 500х390х390 мм</t>
  </si>
  <si>
    <t>BRAUBERG Маркер перманентный нестираемый , ЧЕРНЫЙ</t>
  </si>
  <si>
    <t>Картотека ПРАКТИК разделитель продольный AFC-06 (6шт/упак).</t>
  </si>
  <si>
    <t>Бумага упаковочная (пленка) metallic, 0,7 х 2м, SD003</t>
  </si>
  <si>
    <t>Шоколад горький с натур. Апел. и какао крупкой, т.м. 'Libertad', НГ 80 гр</t>
  </si>
  <si>
    <t>Новогодний сладкий подарок Конфетка Дракончик, 200г КА-31</t>
  </si>
  <si>
    <t>Корзина офисная 19л пластик, черная</t>
  </si>
  <si>
    <t>Блокнот 100х140мм 120л.клетка,спираль,Be Smart Notes черн,N3731</t>
  </si>
  <si>
    <t>Печенье подарочное с предсказанием удачи 35 гр, стандартные</t>
  </si>
  <si>
    <t>Набор карнавальный Настоящий Дед Мороз колпак, мешок НГ, 5113343</t>
  </si>
  <si>
    <t>Набор д/ маскарада Magic Time, волшебная палочка,ободок 2x25x38см НГ.89598</t>
  </si>
  <si>
    <t>Бумага упаковочная (пленка) фольг.Счастливого Нового года!,70x50 НГ,4275569</t>
  </si>
  <si>
    <t>Кружка керамическая арт. HD-SD-001</t>
  </si>
  <si>
    <t>Фотоальбом на 100 фото 10х15 см, пластик. листы flora art арт. ФА 100.007</t>
  </si>
  <si>
    <t>Бумага упаковочная (пленка) фольгированная С Новым годом,70x50см НГ,4275566</t>
  </si>
  <si>
    <t>Кружка керамическая арт. HD-SD-008</t>
  </si>
  <si>
    <t>Чай коллекция SebaSTea New Year Joy АССОРТИ. НГ 20 пакетиков 35г</t>
  </si>
  <si>
    <t>Кружка керамическая арт. HD-SD-005</t>
  </si>
  <si>
    <t>Бутылка для воды 500 мл My bottle черная, 6.5х21,5 см 2463605</t>
  </si>
  <si>
    <t>Кружка керамическая арт. HD-SD-003</t>
  </si>
  <si>
    <t>Печенье Milka с молочной начинкой и с молочным шоколадом, 150г</t>
  </si>
  <si>
    <t>Кружка керамическая арт. HD-SD-010</t>
  </si>
  <si>
    <t>Шоколад Milka Bubbles молочный пористый c кокосовой начинкой, 92г</t>
  </si>
  <si>
    <t>Термометр комнатный Модерн в блистере (ПТ000001557)</t>
  </si>
  <si>
    <t>Конфеты New Year Mix шоколадные, подарочный наб., новогодние сладости, 105г</t>
  </si>
  <si>
    <t>Чай черный  Идеальный гость  НГ в к/к 50гр, 1ЧАЧЕРПЛ-202412-00</t>
  </si>
  <si>
    <t>Чай черный неаром. Искристое чудо в корт.коробке 50г,НГ, 1ЧАЧЕРПЛ-202402-00</t>
  </si>
  <si>
    <t>Шоколад С Новым годом. Дракон 45г арт.КЭТ275 НГ</t>
  </si>
  <si>
    <t>Шоколад ШОКО фигурка Символ Года, 100г  арт.156 НГ</t>
  </si>
  <si>
    <t>Свеча чайная арома Лаванда 10шт. В упаковке PETALI арт.ALT101013SE</t>
  </si>
  <si>
    <t>Чай черный  аром. Зимние забавы НГ в к/к, 1ЧАЧЕРАР-202325-00</t>
  </si>
  <si>
    <t>Лента бутилкаучуковая  4 мм х 13 мм</t>
  </si>
  <si>
    <t>Пленка п/э 200 мкр (3x100) рул</t>
  </si>
  <si>
    <t>Фреза DPE2-06</t>
  </si>
  <si>
    <t>Фреза AST3.12</t>
  </si>
  <si>
    <t>Шпатлевка FINE 1,8 кг</t>
  </si>
  <si>
    <t>ЗУБР  Болт /DIN933/ в комплекте с гайкой /DIN934/,7 шт, 303436-06-050</t>
  </si>
  <si>
    <t>Невский Крепеж Гайка DIN985 самоконтрящаяся М6 нерж.сталь 10шт 923052</t>
  </si>
  <si>
    <t>Ручка для валика, 150 мм, бюгель 6 мм</t>
  </si>
  <si>
    <t>Калибр  Набор гравировальный  00000074878</t>
  </si>
  <si>
    <t>Makita Дрель 6413</t>
  </si>
  <si>
    <t>Круги абразивные на ворсовой основе под "липучку", 8 отверстий, 125мм, 5 шт., P180 558010</t>
  </si>
  <si>
    <t>Продувочный пистолет с удлиненным соплом GH 60B</t>
  </si>
  <si>
    <t>Салфетки безворсовые, сухие, 100 шт.</t>
  </si>
  <si>
    <t>Круг лепестковый 125x22,2 P120 11-01-041</t>
  </si>
  <si>
    <t>Inforce быстрозажимная струбцина 60х300мм 06-03-34</t>
  </si>
  <si>
    <t>Губка шлифовальная двухсторонняя SM Р180</t>
  </si>
  <si>
    <t>Шланг спиральный SPE 20</t>
  </si>
  <si>
    <t>Пылесос строительный ПС 300 791-431</t>
  </si>
  <si>
    <t>Ящик п/э 400x300x280 Фин-Пак цв. чёрный 22382</t>
  </si>
  <si>
    <t>Luga-Abrasiv 230х2,0х22 A 36 S BF 80 14А БУ круг отр. мет. 4603347221310</t>
  </si>
  <si>
    <t>Selkor спирт изопропиловый абсолютированный 1 л 36077</t>
  </si>
  <si>
    <t>Сетка № 008х0,055 12Х18Н9</t>
  </si>
  <si>
    <t>Рация Quansheng UV-K5</t>
  </si>
  <si>
    <t>NORDBERG Фен с комплектом насадок, 50-600С, 2000Вт</t>
  </si>
  <si>
    <t>ADA Лазерный уровень Cube MINI Basic Edition</t>
  </si>
  <si>
    <t>Inforce Штангенциркуль цифровой 0-200мм/0-8</t>
  </si>
  <si>
    <t>ADA Пирометр инфракрасный ADA TemPro 700</t>
  </si>
  <si>
    <t>Gigant Хомут червячный 12-22 мм/9 W2,25 шт</t>
  </si>
  <si>
    <t>DELI рулетка "Home Series Black" HT8519 5мх19мм</t>
  </si>
  <si>
    <t xml:space="preserve">Камера ночного видения RunCam Night Eagle 3 Starlight 1500TVL </t>
  </si>
  <si>
    <t>sologood Приемник ELRS 915mhz ExpressLRS 915mhz RX</t>
  </si>
  <si>
    <t>ПВХ для разметки зеленый 55мм</t>
  </si>
  <si>
    <t>ПВХ для разметки синий 55мм</t>
  </si>
  <si>
    <t>ПВХ для разметки желтый 55мм</t>
  </si>
  <si>
    <t>ПВХ для разметки красный 55мм</t>
  </si>
  <si>
    <t>ПВХ для разметки оранжевый 55мм</t>
  </si>
  <si>
    <t>Кабельная стяжка 3х150мм, черная, 100шт в упак.</t>
  </si>
  <si>
    <t>Кабельная стяжка 3х100мм, черная, 100шт в упак</t>
  </si>
  <si>
    <t xml:space="preserve">Кабельная стяжка 3х200мм, черная, 100шт в упак </t>
  </si>
  <si>
    <t>Кабельная стяжка 3х100мм, белая, 100шт в упак</t>
  </si>
  <si>
    <t>Кабельная стяжка 3х150мм, белая, 100шт в упак</t>
  </si>
  <si>
    <t>Кабельная стяжка 3х200мм, белая, 100шт в упак</t>
  </si>
  <si>
    <t>Бумага туалетная бытовая,спайка 24 шт,2-х слойная, (24х18,5 м), LAIMA, белая</t>
  </si>
  <si>
    <t>Ведро 12 л,без крышки,пластиковое,пищевое,с узором,цвет синий,мерная шкала,LAIMA</t>
  </si>
  <si>
    <t>Грифели запасные 0,5 мм,НВ,BRAUBERG,КОМПЛЕКТ 20 шт.," Black Jack"</t>
  </si>
  <si>
    <t>Диспенсер для клейкой ленты BRAUBERG настольный,утяжеленный,средний</t>
  </si>
  <si>
    <t>Дырокол BRAUBERG "Original", до 10 листов, синий</t>
  </si>
  <si>
    <t>Зажимы для бумаг STAFF ''EVERYDAY",КОМПЛЕКТ 12 шт,15 мм, на 45 листов, черные, картонная коробка</t>
  </si>
  <si>
    <t>Зажимы для бумаг STAFF ''EVERYDAY",КОМПЛЕКТ 12 шт,25 мм, на 100 листов, черные, картонная коробка</t>
  </si>
  <si>
    <t>Зажимы для бумаг STAFF ''EVERYDAY",КОМПЛЕКТ 12 шт,32 мм, на 140 листов, черные, картонная коробка</t>
  </si>
  <si>
    <t>Зажимы для бумаг STAFF ''EVERYDAY",КОМПЛЕКТ 12 шт,19 мм, на 60 листов, цветные, картонная коробка</t>
  </si>
  <si>
    <t>Зажимы для бумаг STAFF ''EVERYDAY",КОМПЛЕКТ 12 шт,41 мм, 200 листов, черные, картонная коробка</t>
  </si>
  <si>
    <t>Карандаш механический 0,5 мм,BRAUBERG ''Modern'',ластик,резиновый грип,корпус черный</t>
  </si>
  <si>
    <t>Карандаш чернографитный BRAUBERG ''ORIGINAL'', 1 шт.,НВ, с ластиком,некрашеный корпус</t>
  </si>
  <si>
    <t>Картридж лазерный NV PRINT (NV-106R02773) для XEROX Phaser 3020/Work Centre 3025,ресурс1500 стр.</t>
  </si>
  <si>
    <t>Клей ПВА BRAUBERG (бумага,картон,дерево),150 г</t>
  </si>
  <si>
    <t>Клей карандаш BRAUBERG,25 г</t>
  </si>
  <si>
    <t>Клейкая армированная лента 48 мм х 25 м,тканевая основа,BRAUBERG</t>
  </si>
  <si>
    <t>Клейкая двухсторонняя лента 38 мм х 10 м,тканевая основа,BRAUBERG</t>
  </si>
  <si>
    <t>Клейкая лента малярная креппированная 50 мм х 50 м, профессиональная,UNIBOB</t>
  </si>
  <si>
    <t>Клейкие ленты 19 мм х 33 м,Кристальные,BRAUBERG? комплект 2 шт., европодвес</t>
  </si>
  <si>
    <t>Конверты Е65 (110х220 мм)отрывная лента,80 г/м2,комплект 25 шт.,внутренняя запечатка,BRAUBERG</t>
  </si>
  <si>
    <t>Конверты С4 (229х324 мм) отрывная лента, Куда-Кому,100 г/м2,комплект 50 шт,BRAUBERG</t>
  </si>
  <si>
    <t>Корректирующая жидкость BRAUBERG ''Agua'' на водной основе 20 мл,с кисточкой</t>
  </si>
  <si>
    <t>Ластик BRAUBERG ''Classic'',26х17х7 мм,белый,прямоугольный</t>
  </si>
  <si>
    <t>Лезвия для макетных ножей (скальпелей) 8 мм BRAUBERG, комплект 5 шт.,блистер</t>
  </si>
  <si>
    <t>Линейка металлическая 100 см,BRAUBERG,европодвес</t>
  </si>
  <si>
    <t>Линейка металлическая 50 см,BRAUBERG,европодвес</t>
  </si>
  <si>
    <t>Линейка пластиковая 15 см,BRAUBERG "FRESH ZONE",прозрачная,с салатовой шкалой</t>
  </si>
  <si>
    <t>Линейка пластиковая 30 см,BRAUBERG "Crystal",прозрачная</t>
  </si>
  <si>
    <t>Линейка пластиковая 50 см,прозрачная,ЛН95</t>
  </si>
  <si>
    <t>Маркер для промышленной маркировки STAFF ПМ-100 твердый,белый,-20 до +40С</t>
  </si>
  <si>
    <t>Маркер для промышленной маркировки STAFF ПМ-100 твердый,красный,-20 до +40С</t>
  </si>
  <si>
    <t>Маркер перманентный белый 1 мм, MUNHWA,WPM-05</t>
  </si>
  <si>
    <t>Маркер перманентный белый CENTROPEN,круглый наконечник, 2,5 мм</t>
  </si>
  <si>
    <t>Мыло жидкое 5 л, ЛАЙМА PROFESSIONAL, "Грейпфрут и Лайм"</t>
  </si>
  <si>
    <t>Ножницы BRAUBERG "Classic" 185 мм,черные,классической формы, 2-х сторонняя заточка</t>
  </si>
  <si>
    <t>Папка на 2 кольцах BRAUBERG "Contract",35 мм,черная, до 270 листов, 0,9 мм</t>
  </si>
  <si>
    <t>Папка- планшет STAFF, А4(310х230 мм),с прижимом и крышкой,пластик,черная,0,5 мм</t>
  </si>
  <si>
    <t>Папки-файлы перфорированные, А4,STAFF "Basic",комплект 100 шт,гладкие, "Яблоко",30 мкм</t>
  </si>
  <si>
    <t>Подставка-органайзер BRAUBERG MAXI DESK,10 отделений, вращ.,157х140х175 мм,черная</t>
  </si>
  <si>
    <t>Резинки банковские универсальные диаметром 60 мм, BRAUBERG 200 г, цветные,натуральный каучук</t>
  </si>
  <si>
    <t>Скобы для степлера медное покрытие №24/6,1000 шт., BRAUBERG "EXTRA",до 30 листов</t>
  </si>
  <si>
    <t>Скобы для степлера цинковые покрытие №10,1000 шт., BRAUBERG "EXTRA",до 20 листов</t>
  </si>
  <si>
    <t>Скоросшиватель пластиковый BRAUBERG,А4,130/180 мкм,черный</t>
  </si>
  <si>
    <t>Степлер №10 BRAUBERG "Extra",до 20 листов,антистеплер,черно-серый</t>
  </si>
  <si>
    <t>Тетрадь А5,96 л.,BRAUBERG,гребень,клетка,обложка картон,"INDAY"</t>
  </si>
  <si>
    <t>Точилка BRAUBERG BELL с контейнером,пластиковая,конусообразная</t>
  </si>
  <si>
    <t>Треугольник пластиковый, угол 45,13 см,BRAUBERG "Crystal",с транспортиром, прозрачный</t>
  </si>
  <si>
    <t>Швабра-рамка 90 см,стальной черенок 125 см,цельный держатель</t>
  </si>
  <si>
    <t>Паспорт БВС Оса</t>
  </si>
  <si>
    <t>Руководство по эксплуатации БВС Оса</t>
  </si>
  <si>
    <t>Руководство по эксплуатации БВС Корт</t>
  </si>
  <si>
    <t>Цифровой датчик скорости воздушного потока MATEK Airspeed ASPD-4525</t>
  </si>
  <si>
    <t>Табличка для раздевалки А4</t>
  </si>
  <si>
    <t>Печатная плата train_fc_vibro_isolated_to_fc_f_mu</t>
  </si>
  <si>
    <t>Программатор IPS v2.0</t>
  </si>
  <si>
    <t>Оперативная память Micron DDR4 SODIMM 8GB</t>
  </si>
  <si>
    <t>Тонер картридж PC-212EV черный</t>
  </si>
  <si>
    <t>Клеящий карандаш 15гр Хамелеон</t>
  </si>
  <si>
    <t>СНК 710.000.00.00.02-01 Пластина верхняя</t>
  </si>
  <si>
    <t>СНК 710.000.00.00.03-01 Пластина cредняя</t>
  </si>
  <si>
    <t>СНК 710.000.00.00.01 Пластина нижняя</t>
  </si>
  <si>
    <t>СНК 710.000.00.00.06 Луч</t>
  </si>
  <si>
    <t>СНК 710.000.00.00.04 Проставка</t>
  </si>
  <si>
    <t>СНК 710.000.00.00.13 Проставка платы (Площадка крепления FPV Корт)</t>
  </si>
  <si>
    <t>СНК 110.000.00.00.04 Бампер</t>
  </si>
  <si>
    <t>СНК 110.020.00.00.03 Перекладина</t>
  </si>
  <si>
    <t>СНК 110.070.01.02.00-01 ESC доработанный</t>
  </si>
  <si>
    <t>СНК 220.08.00.01 Нижний обтекатель</t>
  </si>
  <si>
    <t>СНК 110.070.08.00.00 Плата распределения питания доработанная</t>
  </si>
  <si>
    <t xml:space="preserve">Лист карбон 3*1250*650 мм </t>
  </si>
  <si>
    <t>СНК Луч алюминиевый Корт</t>
  </si>
  <si>
    <t>Радиочастотный измеритель мощности Imersion RC v2.1w</t>
  </si>
  <si>
    <t>Винт невыпадающий М4Х17 (для СКС)</t>
  </si>
  <si>
    <t>Стеклотекстолит стэф 1мм ПРС</t>
  </si>
  <si>
    <t xml:space="preserve">ПФ 410.002.02.00.01 - 01 - Матрица ответная </t>
  </si>
  <si>
    <t>Руководство по эксплуатации Зубочистка</t>
  </si>
  <si>
    <t>Лист карбон 3*500*500 матовая твилл Казань</t>
  </si>
  <si>
    <t>Ввод начальных остатков №10 от 01.01.2024</t>
  </si>
  <si>
    <t>4.2.</t>
  </si>
  <si>
    <t>Wattsan 1325A1</t>
  </si>
  <si>
    <t>Станок</t>
  </si>
  <si>
    <t xml:space="preserve">Закупочная стоимость </t>
  </si>
  <si>
    <t xml:space="preserve">Амортизация 02 счет </t>
  </si>
  <si>
    <t>за час</t>
  </si>
  <si>
    <t>3D принтер Bambu lab X1</t>
  </si>
  <si>
    <t>3D принтер Designer X PRO series 2 (1) (инв.номер БП-000014)</t>
  </si>
  <si>
    <t>3D принтер Designer X PRO series 2 (2) (инв.номер БП-000013)</t>
  </si>
  <si>
    <t>3D принтер Designer X PRO series 2 (3) (инв.номер БП-000015)</t>
  </si>
  <si>
    <t>3D принтер Designer X series 2 (1) (инв.номер БП-000020)</t>
  </si>
  <si>
    <t>3D принтер Designer XL series 2 (1) (инв.номер БП-000016)</t>
  </si>
  <si>
    <t>3D принтер Designer XL series 2 (2) (инв.номер БП-000017)</t>
  </si>
  <si>
    <t xml:space="preserve">3D принтер Designer XL series 2 (3) (инв.номер БП-000018) </t>
  </si>
  <si>
    <t>3D принтер Designer XL series 2 (4) (инв.номер БП-000019)</t>
  </si>
  <si>
    <t>3D принтер Designer Х series 2 (2) (инв.номер БП-000021)</t>
  </si>
  <si>
    <t>3D принтер Designer Х series 2 (3) (инв.номер БП-000022)</t>
  </si>
  <si>
    <t>3D принтер Designer Х series 2 (4) (инв.номер БП-000023)</t>
  </si>
  <si>
    <t>3D принтер Designer Х series 2 (5) (инв.номер БП-000027)</t>
  </si>
  <si>
    <t>3D принтер Designer Х series 2 (6) (инв.номер БП-000028)</t>
  </si>
  <si>
    <t>3D принтер Designer Х series 2 (7) (инв.номер БП-000029)</t>
  </si>
  <si>
    <t>3D принтер Designer Х series 2 (8) (инв.номер БП-000030)</t>
  </si>
  <si>
    <t>3D принтер PICASO 3D Designer XL S2</t>
  </si>
  <si>
    <t>3D сканер Shining FreeScan UE Pro</t>
  </si>
  <si>
    <t>GRD Сварочный стол 24.12 К 10ХСНД ТУ 173510,001-2022(высота стола 750мм) 1 (инв.номер БП-000034)</t>
  </si>
  <si>
    <t>GRD Сварочный стол 24.12 К 10ХСНД ТУ 173510,001-2022(высота стола 750мм) 2 (инв.номер БП-000035)</t>
  </si>
  <si>
    <t>M18 FMS305-121 Акк. торцовочная пила 1</t>
  </si>
  <si>
    <t>M18 FMS305-121 Акк. торцовочная пила 2</t>
  </si>
  <si>
    <t>Автомобиль GREAT WALL POER VIN:LGWDAE199PJ651096</t>
  </si>
  <si>
    <t>Автомобиль LADA 21214  VIN XTA21240R2501424</t>
  </si>
  <si>
    <t>Аппарат аргонодуговой сварки Сварог "Инвертор сварочный TIG 315P AC/DC MULTIWAVE PRO E202</t>
  </si>
  <si>
    <t>Белмаш Станок круглопильный с подвижным столом TS-250-ST1300 S194A (инв.номер БП-000024)</t>
  </si>
  <si>
    <t>Вакуум формовочная машина VF2010 (инв.номер БП-000043)</t>
  </si>
  <si>
    <t>Вакуумная камера МT-V900-FR (инв.номер БП-000048)</t>
  </si>
  <si>
    <t>Вауумный насос VSV-300</t>
  </si>
  <si>
    <t>Вертикально-фрезерный станок мод. МС955 (инв.номер БП-000049)</t>
  </si>
  <si>
    <t>Волоконный лазерный маркер Zareff Fiber 20W</t>
  </si>
  <si>
    <t xml:space="preserve">Игровой ноутбук Hiper G16 16/1 IPS FHD i7-11700/32Gb/SSD 1Tb/RTX3070 8Gb </t>
  </si>
  <si>
    <t>Инверторный сварочный полуавтомат Aurora PRO OVERMAN 200 Mosfet (1)</t>
  </si>
  <si>
    <t>Инверторный сварочный полуавтомат Aurora PRO OVERMAN 200 Mosfet (2)</t>
  </si>
  <si>
    <t>Камера напыления обитаемая. Камера полимеризации проходного типа. Верхняя транспортная система (инв.</t>
  </si>
  <si>
    <t>Камера полимеризации Рэ=60кВт рабочий объем (ДхШхВ) 3500х2000х2000мм (инв. номер БП-000077)</t>
  </si>
  <si>
    <t>Карманная метеостанция Kestrel 5700 Elite LiNK</t>
  </si>
  <si>
    <t>Коммутатор MikroTik CRS326-24G-2S+RM 1</t>
  </si>
  <si>
    <t>Коммутатор MikroTik CRS326-24G-2S+RM 2</t>
  </si>
  <si>
    <t>Коммутатор MikroTik CRS326-24G-2S+RM 3</t>
  </si>
  <si>
    <t>Коммутатор MikroTik CRS326-24G-2S+RM 4</t>
  </si>
  <si>
    <t>Коммутатор MikroTik CRS326-24G-2S+RM 5</t>
  </si>
  <si>
    <t>Коммутатор MikroTik CRS326-24G-2S+RM 6</t>
  </si>
  <si>
    <t>Коммутатор MikroTik CRS326-24G-2S+RM 7</t>
  </si>
  <si>
    <t>Коммутатор MikroTik CRS326-24G-2S+RM 8</t>
  </si>
  <si>
    <t>Комплект мебели 1. Стол с опорной тумбой (1800х900х1800)2.Брифинг (1800х800h750)</t>
  </si>
  <si>
    <t xml:space="preserve">Комплект разработчика радиоканала, Microhard pMDDL2350              </t>
  </si>
  <si>
    <t>Компрессор DV-132-10 стационарный электрический винтовой (инв.номер БП-000052)</t>
  </si>
  <si>
    <t>Компрессор Remeza ВК 20E-15-500Д 36509</t>
  </si>
  <si>
    <t>Компьютер HYPERPC Cyber Max N1 Intel Core i9 13900KF DDR5 64ГБ 3ТБ(SSD) NVIDIA  GEFORCE RTX 4090-24</t>
  </si>
  <si>
    <t>Компьютер iRU GAME 510B6GMA 1</t>
  </si>
  <si>
    <t>Компьютер iRU GAME 510B6GMA 2</t>
  </si>
  <si>
    <t>Кухня (корпус, столешница, фартук) Материал исполнения ЛДСП Н-3331 Дуб Небраска, верхние шкафы и фар</t>
  </si>
  <si>
    <t>Лазерный станок Wattsan 1610 LТ (инв.номер БП-000033)</t>
  </si>
  <si>
    <t>Лазерный станок Wattsan 6090 ST (инв.номер БП-000011)</t>
  </si>
  <si>
    <t>Лазерный станок по металлу Wattsan W-LP 1530RD  (инв.номер БП-000032)</t>
  </si>
  <si>
    <t>Легковой автомобиль GREAT WALL POER VIN:LGWDAE193PJ635377</t>
  </si>
  <si>
    <t>Легковой автомобиль GREAT WALL POER VIN:LGWDAE197PJ645118</t>
  </si>
  <si>
    <t>Монитор Samsung Odyssey Ark LS55BG970NIXCI 55 черный</t>
  </si>
  <si>
    <t xml:space="preserve">Ноутбук Lenovo IdeaPad 3 16IAH7 16 i5-12450H/16Gb/SSD512Gb/RTX3060 </t>
  </si>
  <si>
    <t>Окрасочно-сушильный комплекс (инв.номер БП-000051)</t>
  </si>
  <si>
    <t>Осциллограф цифровой, 2 канала х 300МГц + Логический анализатор+Генератор сигналов/Rigol MSO2302A-S</t>
  </si>
  <si>
    <t>Плита алюминиевая (оснастка) Д16Т=30мм (1200х3000мм) 1</t>
  </si>
  <si>
    <t>Плита алюминиевая (оснастка) Д16Т=30мм (1200х3000мм) 2</t>
  </si>
  <si>
    <t>Пожарный щит закрытого типа с ящиком для песка 0,5 м3 №1</t>
  </si>
  <si>
    <t>Пожарный щит закрытого типа с ящиком для песка 0,5 м3 №2</t>
  </si>
  <si>
    <t>Пожарный щит закрытого типа с ящиком для песка 0,5 м3 №3</t>
  </si>
  <si>
    <t>Пожарный щит закрытого типа с ящиком для песка 0,5 м3 №4</t>
  </si>
  <si>
    <t>Помещения по адресу: ул. Пехорская, д.1Д, стр. 1 (12 352,1 кв.м.)</t>
  </si>
  <si>
    <t>Профессиональный SLS 3D принтер ONSINT SM200 (инв.номер БП-000044)</t>
  </si>
  <si>
    <t>Пылеуловитель рукавный Рэ=5,5 квт, V=4000 куб.м./час 1 (инв.номер БП-000064)</t>
  </si>
  <si>
    <t>Пылеуловитель рукавный Рэ=5,5 квт, V=4000 куб.м./час 2 (инв.номер БП-000065)</t>
  </si>
  <si>
    <t>Пылеуловитель рукавный Рэ=5,5 квт, V=4000 куб.м./час 3 (инв.номер БП-000066)</t>
  </si>
  <si>
    <t>Пылеуловитель рукавный Рэ=5,5 квт, V=4000 куб.м./час 4 (инв.номер БП-000067)</t>
  </si>
  <si>
    <t>Пылеуловитель рукавный Рэ=5,5 квт, V=4000 куб.м./час 5 (инв.номер БП-000068)</t>
  </si>
  <si>
    <t>Пылеуловитель рукавный Рэ=5,5 квт, V=4000 куб.м./час 6 (инв.номер БП-000069)</t>
  </si>
  <si>
    <t>Пылеуловитель рукавный Рэ=5,5 квт, V=4000 куб.м./час 7 (инв.номер БП-000070)</t>
  </si>
  <si>
    <t>Пылеуловитель рукавный Рэ=5,5 квт, V=4000 куб.м./час 8 (инв.номер БП-000074)</t>
  </si>
  <si>
    <t>Сверлильно-фрезерный станок настольный JET JMD-1L</t>
  </si>
  <si>
    <t>Сверлильно-фрезерный станок настольный Proma FP-25XAC 1</t>
  </si>
  <si>
    <t>Сверлильный станок JDP-17F</t>
  </si>
  <si>
    <t>Сервер Intel Xeon Gold 5218R</t>
  </si>
  <si>
    <t>Сервер PE R640 Silver 4210R 4x16GB, 2*480GB, 6*900GB,Ent,H750,2*750w, 57413,I350</t>
  </si>
  <si>
    <t>Сетевой RAID-накопитель  QNAP TS-832PXU-RP-4G</t>
  </si>
  <si>
    <t>СК-40х750 токарный станок с ЧПУ (инв.номер БП-000047)</t>
  </si>
  <si>
    <t>Станок гидрообразивный 5-х осевой HEAD3020BA-5AC/HEAD42037Z (инв.номер БП-000053)</t>
  </si>
  <si>
    <t>Стенд зарядно-разрядный</t>
  </si>
  <si>
    <t>Стереомикроскоп Saike Digital 1</t>
  </si>
  <si>
    <t>Стереомикроскоп Saike Digital 2</t>
  </si>
  <si>
    <t>Стереомикроскоп Saike Digital 3</t>
  </si>
  <si>
    <t>Стол отр-шлиф. с откачкой переменного уровня, 1000х2000мм, Н=600-1100мм 1 (инв.номер БП-000059)</t>
  </si>
  <si>
    <t>Стол отр-шлиф. с откачкой переменного уровня, 1000х2000мм, Н=600-1100мм 2 (инв.номер БП-000060)</t>
  </si>
  <si>
    <t>Стол отр-шлиф. с откачкой переменного уровня, 1000х2000мм, Н=600-1100мм 3 (инв.номер БП-000061)</t>
  </si>
  <si>
    <t>Стол отр-шлиф. с откачкой переменного уровня, 1000х2000мм, Н=600-1100мм 4 (инв.номер БП-000062)</t>
  </si>
  <si>
    <t>Стол отр-шлиф. с откачкой переменного уровня, 1000х2000мм, Н=600-1100мм 5 (инв.номер БП-000063)</t>
  </si>
  <si>
    <t>Стол отр-шлиф. с откачкой переменного уровня, 1000х2000мм, Н=600-1100мм 6 (инв.номер БП-000071)</t>
  </si>
  <si>
    <t>Стол отр-шлиф. с откачкой переменного уровня, 1000х2000мм, Н=600-1100мм 7 (инв.номер БП-000072)</t>
  </si>
  <si>
    <t>Стол отр-шлиф. с откачкой переменного уровня, 1000х2000мм, Н=600-1100мм 8 (инв.номер БП-000073)</t>
  </si>
  <si>
    <t>Телевизор Hisense 85F6BG</t>
  </si>
  <si>
    <t>Термопластавтомат ТПА ZE1200III/430 (инв.номер БП-000080)</t>
  </si>
  <si>
    <t>Термопластавтомат ТПА ZHAFIR ZERES III ZE1200III/430H (инв.номер БП-000079)</t>
  </si>
  <si>
    <t>Термопластавтомат ТПА ZHAFIR ZERES III ZE3000III1700h  со шнеком "В" (инв.номер БП-000054)</t>
  </si>
  <si>
    <t>Фрезерный станок Wattsan A1 1325  1</t>
  </si>
  <si>
    <t>Фрезерный станок Wattsan A1 1325  2</t>
  </si>
  <si>
    <t>Фрезерный станок Wattsan A1 1325 (инв.номер БП-000010)</t>
  </si>
  <si>
    <t>Фрезерный станок Wattsan A1 6090 1</t>
  </si>
  <si>
    <t>Фрезерный станок Wattsan A1 6090 2</t>
  </si>
  <si>
    <t>Фрезерный станок Wattsan A1 6090 3</t>
  </si>
  <si>
    <t>Фрезерный станок с ЧПУ LM1325 1</t>
  </si>
  <si>
    <t>Фрезерный станок с ЧПУ LM1325 2</t>
  </si>
  <si>
    <t>Фрезерный станок с ЧПУ LM1325 3</t>
  </si>
  <si>
    <t>Фрезерный станок с ЧПУ LM1325 4</t>
  </si>
  <si>
    <t>Фрезерный станок с ЧПУ LM1325 5</t>
  </si>
  <si>
    <t>Фрезерный станок с ЧПУ LM1325 6</t>
  </si>
  <si>
    <t>Фрезерный станок с ЧПУ LM1325 7</t>
  </si>
  <si>
    <t>Фрезерный станок с ЧПУ LM1325 8</t>
  </si>
  <si>
    <t>Шкаф-Купе Модус графит, наполнение ЛДСП серый уголь/зеркало</t>
  </si>
  <si>
    <t>Электрогидравлический листогибочный пресс Wattsan A1 10032 PB (инв.номер БП-000046)</t>
  </si>
  <si>
    <t>Наименование оборудования</t>
  </si>
  <si>
    <t>Количество часов работы станка/Оборудования</t>
  </si>
  <si>
    <t>Амортизация в час ( Кф=ОСост.ст./Мес.исп./242 часов в месяц</t>
  </si>
  <si>
    <t xml:space="preserve">Комментарий. </t>
  </si>
  <si>
    <t>Ресурс матрицы/ жертвенного стола, часов</t>
  </si>
  <si>
    <t>Ресурс матрицы</t>
  </si>
  <si>
    <t>Ресурс жертвенного стола</t>
  </si>
  <si>
    <t>Picaso Desinger X Series 2</t>
  </si>
  <si>
    <t>АВS GF12 (Titan)</t>
  </si>
  <si>
    <t>ВМСН.713264.002 - Гайка</t>
  </si>
  <si>
    <t>1 ч 13 м</t>
  </si>
  <si>
    <t>Запрос данных для расчета себестоимости СНК (прямые производственные расходы)</t>
  </si>
  <si>
    <t>оборудование</t>
  </si>
  <si>
    <t>мощность</t>
  </si>
  <si>
    <t>Лазерный станок Wattsan 1610 LT</t>
  </si>
  <si>
    <t>Фрезерный станок Wattsan 1325 А1</t>
  </si>
  <si>
    <t>3-х осевой центр</t>
  </si>
  <si>
    <t>5-ти осевой центр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</si>
</sst>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#,##0.00\ &quot;₽&quot;;\-#,##0.00\ &quot;₽&quot;"/>
    <numFmt numFmtId="43" formatCode="_-* #,##0.00_-;\-* #,##0.00_-;_-* &quot;-&quot;??_-;_-@_-"/>
    <numFmt numFmtId="164" formatCode="#,##0.0&quot; часов&quot;;[Red]\-#,##0.0&quot;часов&quot;"/>
    <numFmt numFmtId="165" formatCode="0.000"/>
    <numFmt numFmtId="166" formatCode="#,##0&quot; чел.&quot;;[Red]\-#,##0&quot;чел.&quot;"/>
    <numFmt numFmtId="167" formatCode="#,##0.00&quot; час.&quot;;[Red]\-#,##0.00&quot;час.&quot;"/>
    <numFmt numFmtId="168" formatCode="#,##0.00&quot; кВ*ч&quot;;[Red]\-#,##0.00&quot;кВ*ч&quot;"/>
    <numFmt numFmtId="169" formatCode="#,##0.000"/>
  </numFmts>
  <fonts count="2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0"/>
      <name val="Arial"/>
      <family val="2"/>
      <charset val="204"/>
    </font>
    <font>
      <i/>
      <sz val="8"/>
      <name val="Arial"/>
      <family val="2"/>
      <charset val="204"/>
    </font>
    <font>
      <sz val="10"/>
      <color theme="1"/>
      <name val="Calibri"/>
      <family val="2"/>
      <scheme val="minor"/>
    </font>
    <font>
      <sz val="8"/>
      <color indexed="63"/>
      <name val="Arial"/>
      <family val="2"/>
    </font>
    <font>
      <sz val="8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8"/>
      <color theme="0"/>
      <name val="Arial"/>
      <family val="2"/>
      <charset val="204"/>
    </font>
    <font>
      <sz val="8"/>
      <color theme="1"/>
      <name val="Calibri"/>
      <family val="2"/>
      <scheme val="minor"/>
    </font>
    <font>
      <b/>
      <sz val="8"/>
      <color theme="1" tint="0.34998626667073579"/>
      <name val="Arial"/>
      <family val="2"/>
      <charset val="204"/>
    </font>
    <font>
      <sz val="8"/>
      <color theme="2" tint="-0.249977111117893"/>
      <name val="Arial"/>
      <family val="2"/>
    </font>
    <font>
      <sz val="8"/>
      <color theme="2" tint="-0.249977111117893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sz val="11"/>
      <color theme="7" tint="0.3999755851924192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4ECC5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</cellStyleXfs>
  <cellXfs count="178">
    <xf numFmtId="0" fontId="0" fillId="0" borderId="0" xfId="0"/>
    <xf numFmtId="4" fontId="0" fillId="0" borderId="0" xfId="0" applyNumberFormat="1"/>
    <xf numFmtId="0" fontId="1" fillId="0" borderId="1" xfId="1" applyBorder="1" applyAlignment="1">
      <alignment vertical="top" wrapText="1" indent="6"/>
    </xf>
    <xf numFmtId="4" fontId="1" fillId="0" borderId="2" xfId="1" applyNumberFormat="1" applyBorder="1" applyAlignment="1">
      <alignment vertical="top" wrapText="1"/>
    </xf>
    <xf numFmtId="4" fontId="2" fillId="2" borderId="7" xfId="1" applyNumberFormat="1" applyFont="1" applyFill="1" applyBorder="1" applyAlignment="1">
      <alignment vertical="top" wrapText="1"/>
    </xf>
    <xf numFmtId="4" fontId="2" fillId="2" borderId="8" xfId="1" applyNumberFormat="1" applyFont="1" applyFill="1" applyBorder="1" applyAlignment="1">
      <alignment vertical="top" wrapText="1"/>
    </xf>
    <xf numFmtId="4" fontId="2" fillId="2" borderId="10" xfId="1" applyNumberFormat="1" applyFont="1" applyFill="1" applyBorder="1" applyAlignment="1">
      <alignment vertical="top" wrapText="1"/>
    </xf>
    <xf numFmtId="0" fontId="6" fillId="0" borderId="4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3" borderId="13" xfId="0" applyFont="1" applyFill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2" fontId="0" fillId="0" borderId="13" xfId="0" applyNumberFormat="1" applyBorder="1" applyAlignment="1">
      <alignment horizontal="right" vertical="top" wrapText="1"/>
    </xf>
    <xf numFmtId="4" fontId="0" fillId="0" borderId="13" xfId="0" applyNumberFormat="1" applyBorder="1" applyAlignment="1">
      <alignment horizontal="right" vertical="top" wrapText="1"/>
    </xf>
    <xf numFmtId="4" fontId="2" fillId="2" borderId="8" xfId="1" applyNumberFormat="1" applyFont="1" applyFill="1" applyBorder="1" applyAlignment="1">
      <alignment horizontal="left" vertical="top" wrapText="1" indent="1"/>
    </xf>
    <xf numFmtId="4" fontId="2" fillId="2" borderId="10" xfId="1" applyNumberFormat="1" applyFont="1" applyFill="1" applyBorder="1" applyAlignment="1">
      <alignment horizontal="left" vertical="top" wrapText="1" indent="1"/>
    </xf>
    <xf numFmtId="43" fontId="1" fillId="0" borderId="1" xfId="1" applyNumberFormat="1" applyBorder="1" applyAlignment="1">
      <alignment vertical="top" wrapText="1" indent="6"/>
    </xf>
    <xf numFmtId="43" fontId="0" fillId="0" borderId="0" xfId="0" applyNumberFormat="1"/>
    <xf numFmtId="43" fontId="1" fillId="0" borderId="1" xfId="1" applyNumberFormat="1" applyBorder="1" applyAlignment="1">
      <alignment vertical="top" wrapText="1"/>
    </xf>
    <xf numFmtId="4" fontId="2" fillId="2" borderId="2" xfId="1" applyNumberFormat="1" applyFont="1" applyFill="1" applyBorder="1" applyAlignment="1">
      <alignment vertical="top" wrapText="1"/>
    </xf>
    <xf numFmtId="4" fontId="2" fillId="2" borderId="12" xfId="1" applyNumberFormat="1" applyFont="1" applyFill="1" applyBorder="1" applyAlignment="1">
      <alignment vertical="top" wrapText="1"/>
    </xf>
    <xf numFmtId="2" fontId="2" fillId="4" borderId="2" xfId="1" applyNumberFormat="1" applyFont="1" applyFill="1" applyBorder="1" applyAlignment="1">
      <alignment vertical="top" wrapText="1"/>
    </xf>
    <xf numFmtId="2" fontId="2" fillId="4" borderId="12" xfId="1" applyNumberFormat="1" applyFont="1" applyFill="1" applyBorder="1" applyAlignment="1">
      <alignment vertical="top" wrapText="1"/>
    </xf>
    <xf numFmtId="4" fontId="2" fillId="2" borderId="15" xfId="1" applyNumberFormat="1" applyFont="1" applyFill="1" applyBorder="1" applyAlignment="1">
      <alignment horizontal="left" vertical="top" wrapText="1" indent="1"/>
    </xf>
    <xf numFmtId="4" fontId="2" fillId="4" borderId="16" xfId="1" applyNumberFormat="1" applyFont="1" applyFill="1" applyBorder="1" applyAlignment="1">
      <alignment horizontal="left" vertical="top" wrapText="1" indent="1"/>
    </xf>
    <xf numFmtId="4" fontId="2" fillId="4" borderId="16" xfId="1" applyNumberFormat="1" applyFont="1" applyFill="1" applyBorder="1" applyAlignment="1">
      <alignment vertical="top" wrapText="1"/>
    </xf>
    <xf numFmtId="0" fontId="6" fillId="0" borderId="17" xfId="0" applyFont="1" applyBorder="1" applyAlignment="1">
      <alignment horizontal="left"/>
    </xf>
    <xf numFmtId="164" fontId="6" fillId="0" borderId="5" xfId="0" applyNumberFormat="1" applyFont="1" applyBorder="1" applyAlignment="1">
      <alignment horizontal="left"/>
    </xf>
    <xf numFmtId="0" fontId="7" fillId="5" borderId="18" xfId="3" applyFont="1" applyFill="1" applyBorder="1" applyAlignment="1">
      <alignment horizontal="left" vertical="top"/>
    </xf>
    <xf numFmtId="4" fontId="7" fillId="5" borderId="18" xfId="3" applyNumberFormat="1" applyFont="1" applyFill="1" applyBorder="1" applyAlignment="1">
      <alignment horizontal="right" vertical="top"/>
    </xf>
    <xf numFmtId="0" fontId="8" fillId="5" borderId="18" xfId="3" applyFont="1" applyFill="1" applyBorder="1" applyAlignment="1">
      <alignment horizontal="left" vertical="top"/>
    </xf>
    <xf numFmtId="0" fontId="9" fillId="0" borderId="0" xfId="0" applyFont="1"/>
    <xf numFmtId="4" fontId="8" fillId="5" borderId="18" xfId="3" applyNumberFormat="1" applyFont="1" applyFill="1" applyBorder="1" applyAlignment="1">
      <alignment horizontal="right" vertical="top"/>
    </xf>
    <xf numFmtId="0" fontId="4" fillId="3" borderId="0" xfId="0" applyFont="1" applyFill="1" applyAlignment="1">
      <alignment horizontal="left" vertical="top" wrapText="1"/>
    </xf>
    <xf numFmtId="0" fontId="0" fillId="4" borderId="0" xfId="0" applyFill="1"/>
    <xf numFmtId="4" fontId="4" fillId="3" borderId="0" xfId="0" applyNumberFormat="1" applyFont="1" applyFill="1" applyAlignment="1">
      <alignment horizontal="left" vertical="top" wrapText="1"/>
    </xf>
    <xf numFmtId="166" fontId="6" fillId="0" borderId="3" xfId="0" applyNumberFormat="1" applyFont="1" applyBorder="1" applyAlignment="1">
      <alignment horizontal="left"/>
    </xf>
    <xf numFmtId="167" fontId="6" fillId="0" borderId="3" xfId="0" applyNumberFormat="1" applyFont="1" applyBorder="1" applyAlignment="1">
      <alignment horizontal="left"/>
    </xf>
    <xf numFmtId="0" fontId="10" fillId="6" borderId="1" xfId="1" applyFont="1" applyFill="1" applyBorder="1" applyAlignment="1">
      <alignment vertical="top" wrapText="1"/>
    </xf>
    <xf numFmtId="0" fontId="3" fillId="2" borderId="1" xfId="1" applyFont="1" applyFill="1" applyBorder="1" applyAlignment="1">
      <alignment vertical="top" wrapText="1" indent="3"/>
    </xf>
    <xf numFmtId="0" fontId="2" fillId="3" borderId="13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4" fontId="11" fillId="0" borderId="13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/>
    </xf>
    <xf numFmtId="0" fontId="3" fillId="2" borderId="2" xfId="1" applyFont="1" applyFill="1" applyBorder="1" applyAlignment="1">
      <alignment vertical="top" wrapText="1" indent="3"/>
    </xf>
    <xf numFmtId="43" fontId="1" fillId="0" borderId="2" xfId="1" applyNumberFormat="1" applyBorder="1" applyAlignment="1">
      <alignment vertical="top" wrapText="1" indent="6"/>
    </xf>
    <xf numFmtId="0" fontId="1" fillId="0" borderId="2" xfId="1" applyBorder="1" applyAlignment="1">
      <alignment vertical="top" wrapText="1" indent="6"/>
    </xf>
    <xf numFmtId="4" fontId="10" fillId="7" borderId="1" xfId="1" applyNumberFormat="1" applyFont="1" applyFill="1" applyBorder="1" applyAlignment="1">
      <alignment vertical="top" wrapText="1"/>
    </xf>
    <xf numFmtId="4" fontId="10" fillId="6" borderId="1" xfId="1" applyNumberFormat="1" applyFont="1" applyFill="1" applyBorder="1" applyAlignment="1">
      <alignment vertical="top" wrapText="1"/>
    </xf>
    <xf numFmtId="49" fontId="10" fillId="7" borderId="1" xfId="1" applyNumberFormat="1" applyFont="1" applyFill="1" applyBorder="1" applyAlignment="1">
      <alignment vertical="top" wrapText="1"/>
    </xf>
    <xf numFmtId="49" fontId="10" fillId="6" borderId="1" xfId="1" applyNumberFormat="1" applyFont="1" applyFill="1" applyBorder="1" applyAlignment="1">
      <alignment vertical="top" wrapText="1"/>
    </xf>
    <xf numFmtId="4" fontId="2" fillId="2" borderId="1" xfId="1" applyNumberFormat="1" applyFont="1" applyFill="1" applyBorder="1" applyAlignment="1">
      <alignment vertical="top" wrapText="1"/>
    </xf>
    <xf numFmtId="4" fontId="1" fillId="0" borderId="1" xfId="1" applyNumberFormat="1" applyBorder="1" applyAlignment="1">
      <alignment vertical="top" wrapText="1"/>
    </xf>
    <xf numFmtId="2" fontId="2" fillId="4" borderId="0" xfId="1" applyNumberFormat="1" applyFont="1" applyFill="1" applyAlignment="1">
      <alignment vertical="top" wrapText="1"/>
    </xf>
    <xf numFmtId="4" fontId="2" fillId="2" borderId="0" xfId="1" applyNumberFormat="1" applyFont="1" applyFill="1" applyAlignment="1">
      <alignment vertical="top" wrapText="1"/>
    </xf>
    <xf numFmtId="0" fontId="3" fillId="2" borderId="19" xfId="1" applyFont="1" applyFill="1" applyBorder="1" applyAlignment="1">
      <alignment vertical="top" wrapText="1" indent="3"/>
    </xf>
    <xf numFmtId="0" fontId="3" fillId="2" borderId="20" xfId="1" applyFont="1" applyFill="1" applyBorder="1" applyAlignment="1">
      <alignment vertical="top" wrapText="1" indent="3"/>
    </xf>
    <xf numFmtId="0" fontId="3" fillId="2" borderId="22" xfId="1" applyFont="1" applyFill="1" applyBorder="1" applyAlignment="1">
      <alignment vertical="top" wrapText="1" indent="3"/>
    </xf>
    <xf numFmtId="4" fontId="2" fillId="2" borderId="14" xfId="1" applyNumberFormat="1" applyFont="1" applyFill="1" applyBorder="1" applyAlignment="1">
      <alignment vertical="top" wrapText="1"/>
    </xf>
    <xf numFmtId="43" fontId="1" fillId="0" borderId="19" xfId="1" applyNumberFormat="1" applyBorder="1" applyAlignment="1">
      <alignment vertical="top" wrapText="1"/>
    </xf>
    <xf numFmtId="43" fontId="1" fillId="0" borderId="28" xfId="1" applyNumberFormat="1" applyBorder="1" applyAlignment="1">
      <alignment vertical="top" wrapText="1"/>
    </xf>
    <xf numFmtId="43" fontId="1" fillId="0" borderId="21" xfId="1" applyNumberFormat="1" applyBorder="1" applyAlignment="1">
      <alignment vertical="top" wrapText="1"/>
    </xf>
    <xf numFmtId="4" fontId="2" fillId="2" borderId="28" xfId="1" applyNumberFormat="1" applyFont="1" applyFill="1" applyBorder="1" applyAlignment="1">
      <alignment vertical="top" wrapText="1"/>
    </xf>
    <xf numFmtId="4" fontId="1" fillId="0" borderId="28" xfId="1" applyNumberFormat="1" applyBorder="1" applyAlignment="1">
      <alignment vertical="top" wrapText="1"/>
    </xf>
    <xf numFmtId="4" fontId="2" fillId="2" borderId="21" xfId="1" applyNumberFormat="1" applyFont="1" applyFill="1" applyBorder="1" applyAlignment="1">
      <alignment vertical="top" wrapText="1"/>
    </xf>
    <xf numFmtId="4" fontId="2" fillId="2" borderId="29" xfId="1" applyNumberFormat="1" applyFont="1" applyFill="1" applyBorder="1" applyAlignment="1">
      <alignment vertical="top" wrapText="1"/>
    </xf>
    <xf numFmtId="4" fontId="0" fillId="0" borderId="20" xfId="0" applyNumberFormat="1" applyBorder="1"/>
    <xf numFmtId="4" fontId="0" fillId="0" borderId="23" xfId="0" applyNumberFormat="1" applyBorder="1"/>
    <xf numFmtId="4" fontId="0" fillId="0" borderId="24" xfId="0" applyNumberFormat="1" applyBorder="1"/>
    <xf numFmtId="2" fontId="2" fillId="4" borderId="29" xfId="1" applyNumberFormat="1" applyFont="1" applyFill="1" applyBorder="1" applyAlignment="1">
      <alignment vertical="top" wrapText="1"/>
    </xf>
    <xf numFmtId="2" fontId="2" fillId="4" borderId="25" xfId="1" applyNumberFormat="1" applyFont="1" applyFill="1" applyBorder="1" applyAlignment="1">
      <alignment vertical="top" wrapText="1"/>
    </xf>
    <xf numFmtId="4" fontId="2" fillId="2" borderId="25" xfId="1" applyNumberFormat="1" applyFont="1" applyFill="1" applyBorder="1" applyAlignment="1">
      <alignment vertical="top" wrapText="1"/>
    </xf>
    <xf numFmtId="4" fontId="3" fillId="2" borderId="1" xfId="1" applyNumberFormat="1" applyFont="1" applyFill="1" applyBorder="1" applyAlignment="1">
      <alignment vertical="top" wrapText="1"/>
    </xf>
    <xf numFmtId="4" fontId="2" fillId="2" borderId="19" xfId="1" applyNumberFormat="1" applyFont="1" applyFill="1" applyBorder="1" applyAlignment="1">
      <alignment vertical="top" wrapText="1"/>
    </xf>
    <xf numFmtId="4" fontId="3" fillId="2" borderId="28" xfId="1" applyNumberFormat="1" applyFont="1" applyFill="1" applyBorder="1" applyAlignment="1">
      <alignment vertical="top" wrapText="1"/>
    </xf>
    <xf numFmtId="4" fontId="3" fillId="2" borderId="21" xfId="1" applyNumberFormat="1" applyFont="1" applyFill="1" applyBorder="1" applyAlignment="1">
      <alignment vertical="top" wrapText="1"/>
    </xf>
    <xf numFmtId="4" fontId="0" fillId="0" borderId="19" xfId="0" applyNumberFormat="1" applyBorder="1"/>
    <xf numFmtId="4" fontId="1" fillId="0" borderId="21" xfId="1" applyNumberFormat="1" applyBorder="1" applyAlignment="1">
      <alignment vertical="top" wrapText="1"/>
    </xf>
    <xf numFmtId="0" fontId="2" fillId="4" borderId="22" xfId="1" applyFont="1" applyFill="1" applyBorder="1" applyAlignment="1">
      <alignment vertical="top" wrapText="1"/>
    </xf>
    <xf numFmtId="4" fontId="3" fillId="4" borderId="21" xfId="1" applyNumberFormat="1" applyFont="1" applyFill="1" applyBorder="1" applyAlignment="1">
      <alignment vertical="top" wrapText="1"/>
    </xf>
    <xf numFmtId="2" fontId="2" fillId="4" borderId="28" xfId="1" applyNumberFormat="1" applyFont="1" applyFill="1" applyBorder="1" applyAlignment="1">
      <alignment vertical="top" wrapText="1"/>
    </xf>
    <xf numFmtId="4" fontId="12" fillId="6" borderId="1" xfId="1" applyNumberFormat="1" applyFont="1" applyFill="1" applyBorder="1" applyAlignment="1">
      <alignment vertical="top" wrapText="1"/>
    </xf>
    <xf numFmtId="43" fontId="13" fillId="0" borderId="29" xfId="1" applyNumberFormat="1" applyFont="1" applyBorder="1" applyAlignment="1">
      <alignment vertical="top" wrapText="1"/>
    </xf>
    <xf numFmtId="43" fontId="13" fillId="0" borderId="0" xfId="1" applyNumberFormat="1" applyFont="1" applyAlignment="1">
      <alignment vertical="top" wrapText="1"/>
    </xf>
    <xf numFmtId="43" fontId="13" fillId="0" borderId="25" xfId="1" applyNumberFormat="1" applyFont="1" applyBorder="1" applyAlignment="1">
      <alignment vertical="top" wrapText="1"/>
    </xf>
    <xf numFmtId="43" fontId="13" fillId="0" borderId="2" xfId="1" applyNumberFormat="1" applyFont="1" applyBorder="1" applyAlignment="1">
      <alignment vertical="top" wrapText="1"/>
    </xf>
    <xf numFmtId="43" fontId="13" fillId="0" borderId="12" xfId="1" applyNumberFormat="1" applyFont="1" applyBorder="1" applyAlignment="1">
      <alignment vertical="top" wrapText="1"/>
    </xf>
    <xf numFmtId="43" fontId="13" fillId="0" borderId="14" xfId="1" applyNumberFormat="1" applyFont="1" applyBorder="1" applyAlignment="1">
      <alignment vertical="top" wrapText="1"/>
    </xf>
    <xf numFmtId="43" fontId="13" fillId="0" borderId="20" xfId="1" applyNumberFormat="1" applyFont="1" applyBorder="1" applyAlignment="1">
      <alignment vertical="top" wrapText="1"/>
    </xf>
    <xf numFmtId="43" fontId="13" fillId="0" borderId="23" xfId="1" applyNumberFormat="1" applyFont="1" applyBorder="1" applyAlignment="1">
      <alignment vertical="top" wrapText="1"/>
    </xf>
    <xf numFmtId="43" fontId="13" fillId="0" borderId="24" xfId="1" applyNumberFormat="1" applyFont="1" applyBorder="1" applyAlignment="1">
      <alignment vertical="top" wrapText="1"/>
    </xf>
    <xf numFmtId="43" fontId="13" fillId="0" borderId="22" xfId="1" applyNumberFormat="1" applyFont="1" applyBorder="1" applyAlignment="1">
      <alignment vertical="top" wrapText="1"/>
    </xf>
    <xf numFmtId="43" fontId="13" fillId="0" borderId="26" xfId="1" applyNumberFormat="1" applyFont="1" applyBorder="1" applyAlignment="1">
      <alignment vertical="top" wrapText="1"/>
    </xf>
    <xf numFmtId="43" fontId="13" fillId="0" borderId="27" xfId="1" applyNumberFormat="1" applyFont="1" applyBorder="1" applyAlignment="1">
      <alignment vertical="top" wrapText="1"/>
    </xf>
    <xf numFmtId="4" fontId="13" fillId="0" borderId="29" xfId="1" applyNumberFormat="1" applyFont="1" applyBorder="1" applyAlignment="1">
      <alignment vertical="top" wrapText="1"/>
    </xf>
    <xf numFmtId="4" fontId="13" fillId="0" borderId="0" xfId="1" applyNumberFormat="1" applyFont="1" applyAlignment="1">
      <alignment vertical="top" wrapText="1"/>
    </xf>
    <xf numFmtId="4" fontId="13" fillId="0" borderId="25" xfId="1" applyNumberFormat="1" applyFont="1" applyBorder="1" applyAlignment="1">
      <alignment vertical="top" wrapText="1"/>
    </xf>
    <xf numFmtId="4" fontId="13" fillId="0" borderId="12" xfId="1" applyNumberFormat="1" applyFont="1" applyBorder="1" applyAlignment="1">
      <alignment vertical="top" wrapText="1"/>
    </xf>
    <xf numFmtId="4" fontId="13" fillId="0" borderId="14" xfId="1" applyNumberFormat="1" applyFont="1" applyBorder="1" applyAlignment="1">
      <alignment vertical="top" wrapText="1"/>
    </xf>
    <xf numFmtId="4" fontId="13" fillId="2" borderId="29" xfId="1" applyNumberFormat="1" applyFont="1" applyFill="1" applyBorder="1" applyAlignment="1">
      <alignment vertical="top" wrapText="1"/>
    </xf>
    <xf numFmtId="4" fontId="13" fillId="2" borderId="0" xfId="1" applyNumberFormat="1" applyFont="1" applyFill="1" applyAlignment="1">
      <alignment vertical="top" wrapText="1"/>
    </xf>
    <xf numFmtId="4" fontId="13" fillId="2" borderId="25" xfId="1" applyNumberFormat="1" applyFont="1" applyFill="1" applyBorder="1" applyAlignment="1">
      <alignment vertical="top" wrapText="1"/>
    </xf>
    <xf numFmtId="4" fontId="13" fillId="0" borderId="20" xfId="1" applyNumberFormat="1" applyFont="1" applyBorder="1" applyAlignment="1">
      <alignment vertical="top" wrapText="1"/>
    </xf>
    <xf numFmtId="4" fontId="13" fillId="0" borderId="23" xfId="1" applyNumberFormat="1" applyFont="1" applyBorder="1" applyAlignment="1">
      <alignment vertical="top" wrapText="1"/>
    </xf>
    <xf numFmtId="4" fontId="13" fillId="0" borderId="24" xfId="1" applyNumberFormat="1" applyFont="1" applyBorder="1" applyAlignment="1">
      <alignment vertical="top" wrapText="1"/>
    </xf>
    <xf numFmtId="4" fontId="13" fillId="0" borderId="22" xfId="1" applyNumberFormat="1" applyFont="1" applyBorder="1" applyAlignment="1">
      <alignment vertical="top" wrapText="1"/>
    </xf>
    <xf numFmtId="4" fontId="13" fillId="0" borderId="26" xfId="1" applyNumberFormat="1" applyFont="1" applyBorder="1" applyAlignment="1">
      <alignment vertical="top" wrapText="1"/>
    </xf>
    <xf numFmtId="4" fontId="13" fillId="0" borderId="27" xfId="1" applyNumberFormat="1" applyFont="1" applyBorder="1" applyAlignment="1">
      <alignment vertical="top" wrapText="1"/>
    </xf>
    <xf numFmtId="49" fontId="10" fillId="6" borderId="21" xfId="1" applyNumberFormat="1" applyFont="1" applyFill="1" applyBorder="1" applyAlignment="1">
      <alignment vertical="top" wrapText="1"/>
    </xf>
    <xf numFmtId="49" fontId="10" fillId="6" borderId="19" xfId="1" applyNumberFormat="1" applyFont="1" applyFill="1" applyBorder="1" applyAlignment="1">
      <alignment vertical="top" wrapText="1"/>
    </xf>
    <xf numFmtId="2" fontId="2" fillId="4" borderId="14" xfId="1" applyNumberFormat="1" applyFont="1" applyFill="1" applyBorder="1" applyAlignment="1">
      <alignment vertical="top" wrapText="1"/>
    </xf>
    <xf numFmtId="4" fontId="14" fillId="2" borderId="14" xfId="1" applyNumberFormat="1" applyFont="1" applyFill="1" applyBorder="1" applyAlignment="1">
      <alignment vertical="top" wrapText="1"/>
    </xf>
    <xf numFmtId="4" fontId="14" fillId="2" borderId="2" xfId="1" applyNumberFormat="1" applyFont="1" applyFill="1" applyBorder="1" applyAlignment="1">
      <alignment vertical="top" wrapText="1"/>
    </xf>
    <xf numFmtId="4" fontId="14" fillId="2" borderId="12" xfId="1" applyNumberFormat="1" applyFont="1" applyFill="1" applyBorder="1" applyAlignment="1">
      <alignment vertical="top" wrapText="1"/>
    </xf>
    <xf numFmtId="4" fontId="14" fillId="2" borderId="1" xfId="1" applyNumberFormat="1" applyFont="1" applyFill="1" applyBorder="1" applyAlignment="1">
      <alignment vertical="top" wrapText="1"/>
    </xf>
    <xf numFmtId="4" fontId="14" fillId="2" borderId="28" xfId="1" applyNumberFormat="1" applyFont="1" applyFill="1" applyBorder="1" applyAlignment="1">
      <alignment vertical="top" wrapText="1"/>
    </xf>
    <xf numFmtId="4" fontId="14" fillId="2" borderId="29" xfId="1" applyNumberFormat="1" applyFont="1" applyFill="1" applyBorder="1" applyAlignment="1">
      <alignment vertical="top" wrapText="1"/>
    </xf>
    <xf numFmtId="4" fontId="14" fillId="2" borderId="0" xfId="1" applyNumberFormat="1" applyFont="1" applyFill="1" applyAlignment="1">
      <alignment vertical="top" wrapText="1"/>
    </xf>
    <xf numFmtId="4" fontId="14" fillId="2" borderId="25" xfId="1" applyNumberFormat="1" applyFont="1" applyFill="1" applyBorder="1" applyAlignment="1">
      <alignment vertical="top" wrapText="1"/>
    </xf>
    <xf numFmtId="4" fontId="14" fillId="2" borderId="21" xfId="1" applyNumberFormat="1" applyFont="1" applyFill="1" applyBorder="1" applyAlignment="1">
      <alignment vertical="top" wrapText="1"/>
    </xf>
    <xf numFmtId="4" fontId="14" fillId="2" borderId="22" xfId="1" applyNumberFormat="1" applyFont="1" applyFill="1" applyBorder="1" applyAlignment="1">
      <alignment vertical="top" wrapText="1"/>
    </xf>
    <xf numFmtId="4" fontId="14" fillId="2" borderId="26" xfId="1" applyNumberFormat="1" applyFont="1" applyFill="1" applyBorder="1" applyAlignment="1">
      <alignment vertical="top" wrapText="1"/>
    </xf>
    <xf numFmtId="4" fontId="14" fillId="2" borderId="27" xfId="1" applyNumberFormat="1" applyFont="1" applyFill="1" applyBorder="1" applyAlignment="1">
      <alignment vertical="top" wrapText="1"/>
    </xf>
    <xf numFmtId="0" fontId="7" fillId="5" borderId="18" xfId="4" applyFont="1" applyFill="1" applyBorder="1" applyAlignment="1">
      <alignment horizontal="left" vertical="top"/>
    </xf>
    <xf numFmtId="0" fontId="7" fillId="5" borderId="18" xfId="4" applyFont="1" applyFill="1" applyBorder="1" applyAlignment="1">
      <alignment horizontal="right" vertical="top"/>
    </xf>
    <xf numFmtId="165" fontId="7" fillId="5" borderId="18" xfId="4" applyNumberFormat="1" applyFont="1" applyFill="1" applyBorder="1" applyAlignment="1">
      <alignment horizontal="right" vertical="top"/>
    </xf>
    <xf numFmtId="2" fontId="7" fillId="5" borderId="18" xfId="4" applyNumberFormat="1" applyFont="1" applyFill="1" applyBorder="1" applyAlignment="1">
      <alignment horizontal="right" vertical="top"/>
    </xf>
    <xf numFmtId="4" fontId="7" fillId="5" borderId="18" xfId="4" applyNumberFormat="1" applyFont="1" applyFill="1" applyBorder="1" applyAlignment="1">
      <alignment horizontal="right" vertical="top"/>
    </xf>
    <xf numFmtId="169" fontId="7" fillId="5" borderId="18" xfId="4" applyNumberFormat="1" applyFont="1" applyFill="1" applyBorder="1" applyAlignment="1">
      <alignment horizontal="right" vertical="top"/>
    </xf>
    <xf numFmtId="0" fontId="7" fillId="5" borderId="18" xfId="4" applyFont="1" applyFill="1" applyBorder="1" applyAlignment="1">
      <alignment horizontal="left" vertical="top" wrapText="1"/>
    </xf>
    <xf numFmtId="4" fontId="2" fillId="3" borderId="13" xfId="0" applyNumberFormat="1" applyFont="1" applyFill="1" applyBorder="1" applyAlignment="1">
      <alignment horizontal="left" vertical="top" wrapText="1"/>
    </xf>
    <xf numFmtId="4" fontId="7" fillId="5" borderId="18" xfId="4" applyNumberFormat="1" applyFont="1" applyFill="1" applyBorder="1" applyAlignment="1">
      <alignment horizontal="left" vertical="top"/>
    </xf>
    <xf numFmtId="4" fontId="11" fillId="0" borderId="0" xfId="0" applyNumberFormat="1" applyFont="1" applyAlignment="1">
      <alignment horizontal="left"/>
    </xf>
    <xf numFmtId="4" fontId="2" fillId="4" borderId="6" xfId="1" applyNumberFormat="1" applyFont="1" applyFill="1" applyBorder="1" applyAlignment="1">
      <alignment vertical="top" wrapText="1"/>
    </xf>
    <xf numFmtId="4" fontId="2" fillId="4" borderId="30" xfId="1" quotePrefix="1" applyNumberFormat="1" applyFont="1" applyFill="1" applyBorder="1" applyAlignment="1">
      <alignment vertical="top" wrapText="1"/>
    </xf>
    <xf numFmtId="0" fontId="15" fillId="0" borderId="4" xfId="0" applyFont="1" applyBorder="1"/>
    <xf numFmtId="0" fontId="16" fillId="0" borderId="0" xfId="0" applyFont="1"/>
    <xf numFmtId="4" fontId="17" fillId="0" borderId="31" xfId="4" applyNumberFormat="1" applyFont="1" applyBorder="1" applyAlignment="1">
      <alignment horizontal="right" vertical="top" wrapText="1"/>
    </xf>
    <xf numFmtId="0" fontId="17" fillId="0" borderId="31" xfId="4" applyFont="1" applyBorder="1" applyAlignment="1">
      <alignment vertical="top" wrapText="1" indent="1"/>
    </xf>
    <xf numFmtId="0" fontId="17" fillId="0" borderId="31" xfId="4" applyFont="1" applyBorder="1" applyAlignment="1">
      <alignment horizontal="right" vertical="top" wrapText="1"/>
    </xf>
    <xf numFmtId="0" fontId="18" fillId="4" borderId="21" xfId="1" applyFont="1" applyFill="1" applyBorder="1" applyAlignment="1">
      <alignment vertical="top" wrapText="1"/>
    </xf>
    <xf numFmtId="0" fontId="2" fillId="4" borderId="32" xfId="1" applyFont="1" applyFill="1" applyBorder="1" applyAlignment="1">
      <alignment vertical="top" wrapText="1"/>
    </xf>
    <xf numFmtId="4" fontId="2" fillId="2" borderId="2" xfId="1" applyNumberFormat="1" applyFont="1" applyFill="1" applyBorder="1" applyAlignment="1">
      <alignment horizontal="left" vertical="top" wrapText="1" indent="1"/>
    </xf>
    <xf numFmtId="4" fontId="2" fillId="2" borderId="20" xfId="1" applyNumberFormat="1" applyFont="1" applyFill="1" applyBorder="1" applyAlignment="1">
      <alignment horizontal="left" vertical="top" wrapText="1" indent="1"/>
    </xf>
    <xf numFmtId="4" fontId="2" fillId="4" borderId="33" xfId="1" applyNumberFormat="1" applyFont="1" applyFill="1" applyBorder="1" applyAlignment="1">
      <alignment vertical="top" wrapText="1"/>
    </xf>
    <xf numFmtId="4" fontId="2" fillId="2" borderId="34" xfId="1" applyNumberFormat="1" applyFont="1" applyFill="1" applyBorder="1" applyAlignment="1">
      <alignment vertical="top" wrapText="1"/>
    </xf>
    <xf numFmtId="4" fontId="2" fillId="2" borderId="35" xfId="1" applyNumberFormat="1" applyFont="1" applyFill="1" applyBorder="1" applyAlignment="1">
      <alignment horizontal="left" vertical="top" wrapText="1" indent="1"/>
    </xf>
    <xf numFmtId="4" fontId="2" fillId="2" borderId="36" xfId="1" applyNumberFormat="1" applyFont="1" applyFill="1" applyBorder="1" applyAlignment="1">
      <alignment horizontal="left" vertical="top" wrapText="1" indent="1"/>
    </xf>
    <xf numFmtId="7" fontId="2" fillId="2" borderId="36" xfId="1" applyNumberFormat="1" applyFont="1" applyFill="1" applyBorder="1" applyAlignment="1">
      <alignment horizontal="left" vertical="top" wrapText="1" indent="1"/>
    </xf>
    <xf numFmtId="4" fontId="2" fillId="4" borderId="37" xfId="1" applyNumberFormat="1" applyFont="1" applyFill="1" applyBorder="1" applyAlignment="1">
      <alignment horizontal="left" vertical="top" wrapText="1" indent="1"/>
    </xf>
    <xf numFmtId="4" fontId="2" fillId="2" borderId="38" xfId="1" applyNumberFormat="1" applyFont="1" applyFill="1" applyBorder="1" applyAlignment="1">
      <alignment horizontal="left" vertical="top" wrapText="1" indent="1"/>
    </xf>
    <xf numFmtId="4" fontId="2" fillId="4" borderId="37" xfId="1" applyNumberFormat="1" applyFont="1" applyFill="1" applyBorder="1" applyAlignment="1">
      <alignment vertical="top" wrapText="1"/>
    </xf>
    <xf numFmtId="4" fontId="2" fillId="2" borderId="36" xfId="1" applyNumberFormat="1" applyFont="1" applyFill="1" applyBorder="1" applyAlignment="1">
      <alignment vertical="top" wrapText="1"/>
    </xf>
    <xf numFmtId="4" fontId="2" fillId="2" borderId="35" xfId="1" applyNumberFormat="1" applyFont="1" applyFill="1" applyBorder="1" applyAlignment="1">
      <alignment vertical="top" wrapText="1"/>
    </xf>
    <xf numFmtId="4" fontId="2" fillId="4" borderId="39" xfId="1" quotePrefix="1" applyNumberFormat="1" applyFont="1" applyFill="1" applyBorder="1" applyAlignment="1">
      <alignment vertical="top" wrapText="1"/>
    </xf>
    <xf numFmtId="4" fontId="2" fillId="2" borderId="41" xfId="1" applyNumberFormat="1" applyFont="1" applyFill="1" applyBorder="1" applyAlignment="1">
      <alignment vertical="top" wrapText="1"/>
    </xf>
    <xf numFmtId="0" fontId="15" fillId="0" borderId="42" xfId="0" applyFont="1" applyBorder="1"/>
    <xf numFmtId="0" fontId="6" fillId="0" borderId="43" xfId="0" applyFont="1" applyBorder="1" applyAlignment="1">
      <alignment horizontal="left"/>
    </xf>
    <xf numFmtId="0" fontId="6" fillId="0" borderId="44" xfId="0" applyFont="1" applyBorder="1" applyAlignment="1">
      <alignment horizontal="left"/>
    </xf>
    <xf numFmtId="0" fontId="6" fillId="0" borderId="39" xfId="0" applyFont="1" applyBorder="1" applyAlignment="1">
      <alignment horizontal="left"/>
    </xf>
    <xf numFmtId="165" fontId="6" fillId="0" borderId="45" xfId="0" applyNumberFormat="1" applyFont="1" applyBorder="1" applyAlignment="1">
      <alignment horizontal="left"/>
    </xf>
    <xf numFmtId="4" fontId="2" fillId="2" borderId="38" xfId="1" applyNumberFormat="1" applyFont="1" applyFill="1" applyBorder="1" applyAlignment="1">
      <alignment vertical="top" wrapText="1"/>
    </xf>
    <xf numFmtId="0" fontId="6" fillId="0" borderId="17" xfId="0" applyFont="1" applyBorder="1" applyAlignment="1" applyProtection="1">
      <alignment horizontal="left"/>
      <protection locked="0"/>
    </xf>
    <xf numFmtId="0" fontId="21" fillId="0" borderId="40" xfId="1" applyFont="1" applyBorder="1" applyAlignment="1">
      <alignment horizontal="left" vertical="top" wrapText="1"/>
    </xf>
    <xf numFmtId="4" fontId="6" fillId="8" borderId="43" xfId="0" applyNumberFormat="1" applyFont="1" applyFill="1" applyBorder="1" applyAlignment="1">
      <alignment horizontal="left"/>
    </xf>
    <xf numFmtId="0" fontId="6" fillId="8" borderId="43" xfId="0" applyFont="1" applyFill="1" applyBorder="1" applyAlignment="1">
      <alignment horizontal="left"/>
    </xf>
    <xf numFmtId="0" fontId="19" fillId="8" borderId="43" xfId="0" applyFont="1" applyFill="1" applyBorder="1" applyAlignment="1">
      <alignment horizontal="left" vertical="center" wrapText="1"/>
    </xf>
    <xf numFmtId="168" fontId="6" fillId="8" borderId="3" xfId="0" applyNumberFormat="1" applyFont="1" applyFill="1" applyBorder="1" applyAlignment="1">
      <alignment horizontal="left"/>
    </xf>
    <xf numFmtId="0" fontId="6" fillId="8" borderId="45" xfId="0" applyFont="1" applyFill="1" applyBorder="1" applyAlignment="1">
      <alignment horizontal="left"/>
    </xf>
    <xf numFmtId="0" fontId="20" fillId="8" borderId="3" xfId="0" applyFont="1" applyFill="1" applyBorder="1" applyAlignment="1">
      <alignment horizontal="left"/>
    </xf>
    <xf numFmtId="0" fontId="6" fillId="8" borderId="44" xfId="0" applyFont="1" applyFill="1" applyBorder="1" applyAlignment="1">
      <alignment horizontal="left"/>
    </xf>
    <xf numFmtId="0" fontId="6" fillId="9" borderId="17" xfId="0" applyFont="1" applyFill="1" applyBorder="1" applyAlignment="1">
      <alignment horizontal="left"/>
    </xf>
    <xf numFmtId="166" fontId="6" fillId="10" borderId="3" xfId="0" applyNumberFormat="1" applyFont="1" applyFill="1" applyBorder="1" applyAlignment="1">
      <alignment horizontal="left"/>
    </xf>
    <xf numFmtId="0" fontId="6" fillId="10" borderId="45" xfId="0" applyFont="1" applyFill="1" applyBorder="1" applyAlignment="1">
      <alignment horizontal="left"/>
    </xf>
    <xf numFmtId="0" fontId="22" fillId="0" borderId="0" xfId="0" applyFont="1"/>
    <xf numFmtId="0" fontId="23" fillId="0" borderId="0" xfId="0" applyFont="1" applyAlignment="1">
      <alignment horizontal="center"/>
    </xf>
    <xf numFmtId="0" fontId="19" fillId="11" borderId="43" xfId="0" applyFont="1" applyFill="1" applyBorder="1" applyAlignment="1">
      <alignment horizontal="left" vertical="center" wrapText="1"/>
    </xf>
  </cellXfs>
  <cellStyles count="5">
    <cellStyle name="Обычный" xfId="0" builtinId="0"/>
    <cellStyle name="Обычный 2" xfId="2" xr:uid="{00000000-0005-0000-0000-000001000000}"/>
    <cellStyle name="Обычный_Лист1" xfId="1" xr:uid="{00000000-0005-0000-0000-000002000000}"/>
    <cellStyle name="Обычный_Лист2" xfId="3" xr:uid="{00000000-0005-0000-0000-000003000000}"/>
    <cellStyle name="Обычный_Справочник цен, ЗП" xfId="4" xr:uid="{00000000-0005-0000-0000-000004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  <color rgb="FFFFCC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8"/>
  <sheetViews>
    <sheetView topLeftCell="A9" workbookViewId="0">
      <selection activeCell="C23" sqref="C23"/>
    </sheetView>
  </sheetViews>
  <sheetFormatPr defaultRowHeight="15" x14ac:dyDescent="0.25"/>
  <cols>
    <col min="1" max="1" width="6.85546875" customWidth="1"/>
    <col min="2" max="2" width="87.140625" customWidth="1"/>
    <col min="3" max="3" width="75.42578125" style="10" customWidth="1"/>
    <col min="4" max="4" width="42.85546875" style="32" customWidth="1"/>
  </cols>
  <sheetData>
    <row r="1" spans="1:4" x14ac:dyDescent="0.25">
      <c r="B1" s="137" t="s">
        <v>11872</v>
      </c>
    </row>
    <row r="2" spans="1:4" ht="15.75" thickBot="1" x14ac:dyDescent="0.3">
      <c r="D2" s="175" t="s">
        <v>11864</v>
      </c>
    </row>
    <row r="3" spans="1:4" x14ac:dyDescent="0.25">
      <c r="A3" s="142" t="s">
        <v>29</v>
      </c>
      <c r="B3" s="142" t="s">
        <v>30</v>
      </c>
      <c r="C3" s="164" t="s">
        <v>11870</v>
      </c>
    </row>
    <row r="4" spans="1:4" x14ac:dyDescent="0.25">
      <c r="A4" s="20" t="s">
        <v>31</v>
      </c>
      <c r="B4" s="154" t="s">
        <v>32</v>
      </c>
      <c r="C4" s="165">
        <v>1</v>
      </c>
    </row>
    <row r="5" spans="1:4" x14ac:dyDescent="0.25">
      <c r="A5" s="20" t="s">
        <v>33</v>
      </c>
      <c r="B5" s="154" t="s">
        <v>34</v>
      </c>
      <c r="C5" s="166" t="s">
        <v>8344</v>
      </c>
    </row>
    <row r="6" spans="1:4" x14ac:dyDescent="0.25">
      <c r="A6" s="20" t="s">
        <v>35</v>
      </c>
      <c r="B6" s="154" t="s">
        <v>36</v>
      </c>
      <c r="C6" s="167" t="s">
        <v>11868</v>
      </c>
    </row>
    <row r="7" spans="1:4" x14ac:dyDescent="0.25">
      <c r="A7" s="143" t="s">
        <v>37</v>
      </c>
      <c r="B7" s="154" t="s">
        <v>8362</v>
      </c>
      <c r="C7" s="168">
        <v>0.7</v>
      </c>
    </row>
    <row r="8" spans="1:4" ht="15.75" thickBot="1" x14ac:dyDescent="0.3">
      <c r="A8" s="144" t="s">
        <v>11737</v>
      </c>
      <c r="B8" s="162" t="s">
        <v>38</v>
      </c>
      <c r="C8" s="169" t="s">
        <v>11871</v>
      </c>
    </row>
    <row r="9" spans="1:4" ht="15.75" thickBot="1" x14ac:dyDescent="0.3">
      <c r="A9" s="145" t="s">
        <v>39</v>
      </c>
      <c r="B9" s="134" t="s">
        <v>8259</v>
      </c>
      <c r="C9" s="135" t="s">
        <v>8270</v>
      </c>
    </row>
    <row r="10" spans="1:4" x14ac:dyDescent="0.25">
      <c r="A10" s="146" t="s">
        <v>41</v>
      </c>
      <c r="B10" s="156" t="s">
        <v>40</v>
      </c>
      <c r="C10" s="170" t="s">
        <v>11869</v>
      </c>
    </row>
    <row r="11" spans="1:4" x14ac:dyDescent="0.25">
      <c r="A11" s="147" t="s">
        <v>8261</v>
      </c>
      <c r="B11" s="147" t="s">
        <v>42</v>
      </c>
      <c r="C11" s="166" t="s">
        <v>8284</v>
      </c>
    </row>
    <row r="12" spans="1:4" ht="15.75" thickBot="1" x14ac:dyDescent="0.3">
      <c r="A12" s="148" t="s">
        <v>8262</v>
      </c>
      <c r="B12" s="148" t="s">
        <v>44</v>
      </c>
      <c r="C12" s="171">
        <v>1.9E-2</v>
      </c>
    </row>
    <row r="13" spans="1:4" x14ac:dyDescent="0.25">
      <c r="A13" s="146" t="s">
        <v>43</v>
      </c>
      <c r="B13" s="146" t="s">
        <v>8272</v>
      </c>
      <c r="C13" s="157"/>
    </row>
    <row r="14" spans="1:4" x14ac:dyDescent="0.25">
      <c r="A14" s="147" t="s">
        <v>8263</v>
      </c>
      <c r="B14" s="147" t="s">
        <v>8253</v>
      </c>
      <c r="C14" s="158"/>
    </row>
    <row r="15" spans="1:4" ht="15.75" thickBot="1" x14ac:dyDescent="0.3">
      <c r="A15" s="149" t="s">
        <v>8264</v>
      </c>
      <c r="B15" s="149" t="s">
        <v>8257</v>
      </c>
      <c r="C15" s="161"/>
    </row>
    <row r="16" spans="1:4" x14ac:dyDescent="0.25">
      <c r="A16" s="146" t="s">
        <v>8260</v>
      </c>
      <c r="B16" s="4" t="s">
        <v>8271</v>
      </c>
      <c r="C16" s="8"/>
    </row>
    <row r="17" spans="1:3" x14ac:dyDescent="0.25">
      <c r="A17" s="147" t="s">
        <v>8265</v>
      </c>
      <c r="B17" s="15" t="s">
        <v>8254</v>
      </c>
      <c r="C17" s="8"/>
    </row>
    <row r="18" spans="1:3" ht="15.75" thickBot="1" x14ac:dyDescent="0.3">
      <c r="A18" s="148" t="s">
        <v>8266</v>
      </c>
      <c r="B18" s="16" t="s">
        <v>8258</v>
      </c>
      <c r="C18" s="9"/>
    </row>
    <row r="19" spans="1:3" x14ac:dyDescent="0.25">
      <c r="A19" s="146" t="s">
        <v>8267</v>
      </c>
      <c r="B19" s="146" t="s">
        <v>40</v>
      </c>
      <c r="C19" s="157"/>
    </row>
    <row r="20" spans="1:3" x14ac:dyDescent="0.25">
      <c r="A20" s="147" t="s">
        <v>8268</v>
      </c>
      <c r="B20" s="147" t="s">
        <v>8255</v>
      </c>
      <c r="C20" s="160"/>
    </row>
    <row r="21" spans="1:3" ht="15.75" thickBot="1" x14ac:dyDescent="0.3">
      <c r="A21" s="148" t="s">
        <v>8269</v>
      </c>
      <c r="B21" s="148" t="s">
        <v>44</v>
      </c>
      <c r="C21" s="159"/>
    </row>
    <row r="22" spans="1:3" ht="15.75" thickBot="1" x14ac:dyDescent="0.3">
      <c r="A22" s="150" t="s">
        <v>45</v>
      </c>
      <c r="B22" s="25" t="s">
        <v>8273</v>
      </c>
      <c r="C22" s="155" t="s">
        <v>8270</v>
      </c>
    </row>
    <row r="23" spans="1:3" x14ac:dyDescent="0.25">
      <c r="A23" s="146" t="s">
        <v>47</v>
      </c>
      <c r="B23" s="4" t="s">
        <v>46</v>
      </c>
      <c r="C23" s="172" t="s">
        <v>8316</v>
      </c>
    </row>
    <row r="24" spans="1:3" ht="22.5" x14ac:dyDescent="0.25">
      <c r="A24" s="147" t="s">
        <v>8274</v>
      </c>
      <c r="B24" s="15" t="s">
        <v>8281</v>
      </c>
      <c r="C24" s="173">
        <v>1</v>
      </c>
    </row>
    <row r="25" spans="1:3" ht="57" thickBot="1" x14ac:dyDescent="0.3">
      <c r="A25" s="147" t="s">
        <v>8275</v>
      </c>
      <c r="B25" s="15" t="s">
        <v>8354</v>
      </c>
      <c r="C25" s="174" t="s">
        <v>11871</v>
      </c>
    </row>
    <row r="26" spans="1:3" ht="34.5" thickBot="1" x14ac:dyDescent="0.3">
      <c r="A26" s="151" t="s">
        <v>8276</v>
      </c>
      <c r="B26" s="24" t="s">
        <v>50</v>
      </c>
      <c r="C26" s="38"/>
    </row>
    <row r="27" spans="1:3" ht="13.5" customHeight="1" x14ac:dyDescent="0.25">
      <c r="A27" s="146" t="s">
        <v>49</v>
      </c>
      <c r="B27" s="4" t="s">
        <v>8300</v>
      </c>
      <c r="C27" s="163"/>
    </row>
    <row r="28" spans="1:3" ht="22.5" x14ac:dyDescent="0.25">
      <c r="A28" s="147" t="s">
        <v>8277</v>
      </c>
      <c r="B28" s="15" t="s">
        <v>8282</v>
      </c>
      <c r="C28" s="37"/>
    </row>
    <row r="29" spans="1:3" ht="22.5" x14ac:dyDescent="0.25">
      <c r="A29" s="147" t="s">
        <v>8278</v>
      </c>
      <c r="B29" s="15" t="s">
        <v>48</v>
      </c>
      <c r="C29" s="38"/>
    </row>
    <row r="30" spans="1:3" ht="34.5" thickBot="1" x14ac:dyDescent="0.3">
      <c r="A30" s="151" t="s">
        <v>8279</v>
      </c>
      <c r="B30" s="24" t="s">
        <v>50</v>
      </c>
      <c r="C30" s="38"/>
    </row>
    <row r="31" spans="1:3" ht="14.25" customHeight="1" x14ac:dyDescent="0.25">
      <c r="A31" s="146" t="s">
        <v>8280</v>
      </c>
      <c r="B31" s="4" t="s">
        <v>8300</v>
      </c>
      <c r="C31" s="27"/>
    </row>
    <row r="32" spans="1:3" ht="22.5" x14ac:dyDescent="0.25">
      <c r="A32" s="147" t="s">
        <v>8286</v>
      </c>
      <c r="B32" s="15" t="s">
        <v>8283</v>
      </c>
      <c r="C32" s="37"/>
    </row>
    <row r="33" spans="1:3" ht="22.5" x14ac:dyDescent="0.25">
      <c r="A33" s="147" t="s">
        <v>8287</v>
      </c>
      <c r="B33" s="15" t="s">
        <v>48</v>
      </c>
      <c r="C33" s="38"/>
    </row>
    <row r="34" spans="1:3" ht="66" customHeight="1" thickBot="1" x14ac:dyDescent="0.3">
      <c r="A34" s="148" t="s">
        <v>8288</v>
      </c>
      <c r="B34" s="16" t="s">
        <v>50</v>
      </c>
      <c r="C34" s="28"/>
    </row>
    <row r="35" spans="1:3" ht="15.75" thickBot="1" x14ac:dyDescent="0.3">
      <c r="A35" s="152" t="s">
        <v>51</v>
      </c>
      <c r="B35" s="26" t="s">
        <v>8290</v>
      </c>
      <c r="C35" s="155" t="s">
        <v>8270</v>
      </c>
    </row>
    <row r="36" spans="1:3" x14ac:dyDescent="0.25">
      <c r="A36" s="146" t="s">
        <v>53</v>
      </c>
      <c r="B36" s="4" t="s">
        <v>52</v>
      </c>
      <c r="C36" s="7"/>
    </row>
    <row r="37" spans="1:3" ht="15.75" thickBot="1" x14ac:dyDescent="0.3">
      <c r="A37" s="153" t="s">
        <v>8289</v>
      </c>
      <c r="B37" s="5" t="s">
        <v>19</v>
      </c>
      <c r="C37" s="8"/>
    </row>
    <row r="38" spans="1:3" ht="15.75" thickBot="1" x14ac:dyDescent="0.3">
      <c r="A38" s="153" t="s">
        <v>8289</v>
      </c>
      <c r="B38" s="6" t="s">
        <v>11865</v>
      </c>
      <c r="C38" s="9"/>
    </row>
    <row r="39" spans="1:3" ht="15.75" thickBot="1" x14ac:dyDescent="0.3">
      <c r="A39" s="152" t="s">
        <v>8291</v>
      </c>
      <c r="B39" s="26" t="s">
        <v>15</v>
      </c>
      <c r="C39" s="155" t="s">
        <v>8270</v>
      </c>
    </row>
    <row r="40" spans="1:3" x14ac:dyDescent="0.25">
      <c r="A40" s="146" t="s">
        <v>54</v>
      </c>
      <c r="B40" s="4" t="s">
        <v>8302</v>
      </c>
      <c r="C40" s="7"/>
    </row>
    <row r="41" spans="1:3" x14ac:dyDescent="0.25">
      <c r="A41" s="154" t="s">
        <v>8294</v>
      </c>
      <c r="B41" s="5" t="s">
        <v>56</v>
      </c>
      <c r="C41" s="8"/>
    </row>
    <row r="42" spans="1:3" ht="22.5" customHeight="1" thickBot="1" x14ac:dyDescent="0.3">
      <c r="A42" s="153" t="s">
        <v>8292</v>
      </c>
      <c r="B42" s="6" t="s">
        <v>8298</v>
      </c>
      <c r="C42" s="9"/>
    </row>
    <row r="43" spans="1:3" ht="12" customHeight="1" x14ac:dyDescent="0.25">
      <c r="A43" s="146" t="s">
        <v>55</v>
      </c>
      <c r="B43" s="4" t="s">
        <v>8301</v>
      </c>
      <c r="C43" s="7"/>
    </row>
    <row r="44" spans="1:3" x14ac:dyDescent="0.25">
      <c r="A44" s="154" t="s">
        <v>8293</v>
      </c>
      <c r="B44" s="5" t="s">
        <v>56</v>
      </c>
      <c r="C44" s="8"/>
    </row>
    <row r="45" spans="1:3" ht="15.75" thickBot="1" x14ac:dyDescent="0.3">
      <c r="A45" s="153" t="s">
        <v>8295</v>
      </c>
      <c r="B45" s="6" t="s">
        <v>8299</v>
      </c>
      <c r="C45" s="9"/>
    </row>
    <row r="46" spans="1:3" x14ac:dyDescent="0.25">
      <c r="A46" s="146" t="s">
        <v>57</v>
      </c>
      <c r="B46" s="4" t="s">
        <v>8301</v>
      </c>
      <c r="C46" s="7"/>
    </row>
    <row r="47" spans="1:3" x14ac:dyDescent="0.25">
      <c r="A47" s="154" t="s">
        <v>8296</v>
      </c>
      <c r="B47" s="5" t="s">
        <v>56</v>
      </c>
      <c r="C47" s="8"/>
    </row>
    <row r="48" spans="1:3" ht="15.75" thickBot="1" x14ac:dyDescent="0.3">
      <c r="A48" s="153" t="s">
        <v>8297</v>
      </c>
      <c r="B48" s="6" t="s">
        <v>8299</v>
      </c>
      <c r="C48" s="9"/>
    </row>
  </sheetData>
  <pageMargins left="0.7" right="0.7" top="0.75" bottom="0.75" header="0.3" footer="0.3"/>
  <pageSetup paperSize="9" scale="77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'Справочник для Запроса'!$B$2:$B$5</xm:f>
          </x14:formula1>
          <xm:sqref>C5</xm:sqref>
        </x14:dataValidation>
        <x14:dataValidation type="list" allowBlank="1" showInputMessage="1" showErrorMessage="1" xr:uid="{00000000-0002-0000-0000-000001000000}">
          <x14:formula1>
            <xm:f>'Справочник для Запроса'!$C:$C</xm:f>
          </x14:formula1>
          <xm:sqref>C23 C31 C27</xm:sqref>
        </x14:dataValidation>
        <x14:dataValidation type="list" allowBlank="1" showInputMessage="1" showErrorMessage="1" xr:uid="{00000000-0002-0000-0000-000002000000}">
          <x14:formula1>
            <xm:f>'Справочник для Запроса'!$A$2:$A$6</xm:f>
          </x14:formula1>
          <xm:sqref>C11 C14</xm:sqref>
        </x14:dataValidation>
        <x14:dataValidation type="list" allowBlank="1" showInputMessage="1" showErrorMessage="1" xr:uid="{00000000-0002-0000-0000-000003000000}">
          <x14:formula1>
            <xm:f>'Справочник для Запроса'!$D:$D</xm:f>
          </x14:formula1>
          <xm:sqref>C37</xm:sqref>
        </x14:dataValidation>
        <x14:dataValidation type="list" allowBlank="1" showInputMessage="1" showErrorMessage="1" xr:uid="{00000000-0002-0000-0000-000004000000}">
          <x14:formula1>
            <xm:f>'Справочник для Запроса'!$E:$E</xm:f>
          </x14:formula1>
          <xm:sqref>C38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AB1E3-D603-46DA-9B18-A43776239259}">
  <dimension ref="A1:B6"/>
  <sheetViews>
    <sheetView tabSelected="1" workbookViewId="0">
      <selection activeCell="C8" sqref="C8"/>
    </sheetView>
  </sheetViews>
  <sheetFormatPr defaultRowHeight="15" x14ac:dyDescent="0.25"/>
  <cols>
    <col min="1" max="1" width="31" customWidth="1"/>
    <col min="2" max="2" width="15.85546875" customWidth="1"/>
    <col min="3" max="3" width="16.28515625" customWidth="1"/>
  </cols>
  <sheetData>
    <row r="1" spans="1:2" x14ac:dyDescent="0.25">
      <c r="A1" s="176" t="s">
        <v>11873</v>
      </c>
      <c r="B1" s="176" t="s">
        <v>11874</v>
      </c>
    </row>
    <row r="2" spans="1:2" x14ac:dyDescent="0.25">
      <c r="A2" s="177" t="s">
        <v>11868</v>
      </c>
      <c r="B2">
        <v>0.7</v>
      </c>
    </row>
    <row r="3" spans="1:2" x14ac:dyDescent="0.25">
      <c r="A3" s="177" t="s">
        <v>11875</v>
      </c>
      <c r="B3">
        <v>4</v>
      </c>
    </row>
    <row r="4" spans="1:2" x14ac:dyDescent="0.25">
      <c r="A4" s="177" t="s">
        <v>11876</v>
      </c>
      <c r="B4">
        <v>3.5</v>
      </c>
    </row>
    <row r="5" spans="1:2" x14ac:dyDescent="0.25">
      <c r="A5" s="177" t="s">
        <v>11877</v>
      </c>
      <c r="B5">
        <v>8</v>
      </c>
    </row>
    <row r="6" spans="1:2" x14ac:dyDescent="0.25">
      <c r="A6" s="177" t="s">
        <v>11878</v>
      </c>
      <c r="B6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AD22"/>
  <sheetViews>
    <sheetView showGridLines="0" zoomScaleNormal="100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I32" sqref="I32"/>
    </sheetView>
  </sheetViews>
  <sheetFormatPr defaultRowHeight="15" outlineLevelRow="1" outlineLevelCol="1" x14ac:dyDescent="0.25"/>
  <cols>
    <col min="1" max="1" width="40.7109375" customWidth="1"/>
    <col min="2" max="2" width="34.42578125" customWidth="1"/>
    <col min="3" max="3" width="15.5703125" style="1" customWidth="1" collapsed="1"/>
    <col min="4" max="4" width="12" style="1" customWidth="1"/>
    <col min="5" max="5" width="32.42578125" style="1" hidden="1" customWidth="1" outlineLevel="1"/>
    <col min="6" max="6" width="8.28515625" style="1" hidden="1" customWidth="1" outlineLevel="1"/>
    <col min="7" max="8" width="10" style="1" hidden="1" customWidth="1" outlineLevel="1"/>
    <col min="9" max="9" width="12.7109375" style="1" customWidth="1" collapsed="1"/>
    <col min="10" max="10" width="34.5703125" style="1" hidden="1" customWidth="1" outlineLevel="1"/>
    <col min="11" max="11" width="16.7109375" style="1" hidden="1" customWidth="1" outlineLevel="1"/>
    <col min="12" max="12" width="15.42578125" style="1" hidden="1" customWidth="1" outlineLevel="1"/>
    <col min="13" max="13" width="17" style="1" hidden="1" customWidth="1" outlineLevel="1"/>
    <col min="14" max="14" width="15.42578125" style="1" customWidth="1" collapsed="1"/>
    <col min="15" max="15" width="11.85546875" style="1" hidden="1" customWidth="1" outlineLevel="1"/>
    <col min="16" max="16" width="12.5703125" style="1" hidden="1" customWidth="1" outlineLevel="1"/>
    <col min="17" max="17" width="10" style="1" bestFit="1" customWidth="1" collapsed="1"/>
    <col min="18" max="18" width="22.5703125" style="1" hidden="1" customWidth="1" outlineLevel="1"/>
    <col min="19" max="20" width="13.28515625" style="1" hidden="1" customWidth="1" outlineLevel="1"/>
    <col min="21" max="21" width="10" style="1" bestFit="1" customWidth="1" collapsed="1"/>
    <col min="22" max="24" width="10" style="1" hidden="1" customWidth="1" outlineLevel="1"/>
    <col min="25" max="25" width="10" style="1" bestFit="1" customWidth="1" collapsed="1"/>
    <col min="26" max="26" width="31.42578125" style="1" hidden="1" customWidth="1" outlineLevel="1"/>
    <col min="27" max="27" width="10" style="1" hidden="1" customWidth="1" outlineLevel="1"/>
    <col min="28" max="29" width="11.140625" style="1" hidden="1" customWidth="1" outlineLevel="1"/>
    <col min="30" max="30" width="10" style="1" bestFit="1" customWidth="1" collapsed="1"/>
  </cols>
  <sheetData>
    <row r="1" spans="1:30" x14ac:dyDescent="0.25">
      <c r="C1" s="77"/>
      <c r="D1" s="77"/>
      <c r="E1" s="67" t="s">
        <v>16</v>
      </c>
      <c r="F1" s="68"/>
      <c r="G1" s="68"/>
      <c r="H1" s="68"/>
      <c r="I1" s="69"/>
      <c r="J1" s="67" t="s">
        <v>17</v>
      </c>
      <c r="K1" s="68"/>
      <c r="L1" s="68"/>
      <c r="M1" s="68"/>
      <c r="N1" s="69"/>
      <c r="O1" s="67" t="s">
        <v>20</v>
      </c>
      <c r="P1" s="68"/>
      <c r="Q1" s="68"/>
      <c r="R1" s="67" t="s">
        <v>8365</v>
      </c>
      <c r="S1" s="67"/>
      <c r="T1" s="68"/>
      <c r="U1" s="69"/>
      <c r="V1" s="67" t="s">
        <v>21</v>
      </c>
      <c r="W1" s="68"/>
      <c r="X1" s="68"/>
      <c r="Y1" s="69"/>
      <c r="Z1" s="67" t="s">
        <v>23</v>
      </c>
      <c r="AA1" s="68"/>
      <c r="AB1" s="68"/>
      <c r="AC1" s="68"/>
      <c r="AD1" s="69"/>
    </row>
    <row r="2" spans="1:30" ht="83.25" customHeight="1" x14ac:dyDescent="0.25">
      <c r="A2" s="39" t="s">
        <v>30</v>
      </c>
      <c r="B2" s="39"/>
      <c r="C2" s="49" t="s">
        <v>28</v>
      </c>
      <c r="D2" s="49" t="s">
        <v>32</v>
      </c>
      <c r="E2" s="48" t="s">
        <v>40</v>
      </c>
      <c r="F2" s="48" t="s">
        <v>42</v>
      </c>
      <c r="G2" s="48" t="s">
        <v>44</v>
      </c>
      <c r="H2" s="48" t="s">
        <v>8256</v>
      </c>
      <c r="I2" s="49" t="s">
        <v>8356</v>
      </c>
      <c r="J2" s="48" t="s">
        <v>46</v>
      </c>
      <c r="K2" s="48" t="s">
        <v>8358</v>
      </c>
      <c r="L2" s="48" t="s">
        <v>8355</v>
      </c>
      <c r="M2" s="48" t="s">
        <v>8353</v>
      </c>
      <c r="N2" s="49" t="s">
        <v>8357</v>
      </c>
      <c r="O2" s="48" t="s">
        <v>11</v>
      </c>
      <c r="P2" s="48" t="s">
        <v>19</v>
      </c>
      <c r="Q2" s="49" t="s">
        <v>26</v>
      </c>
      <c r="R2" s="48" t="s">
        <v>11861</v>
      </c>
      <c r="S2" s="48" t="s">
        <v>11862</v>
      </c>
      <c r="T2" s="48" t="s">
        <v>11863</v>
      </c>
      <c r="U2" s="49" t="s">
        <v>10</v>
      </c>
      <c r="V2" s="52" t="s">
        <v>8360</v>
      </c>
      <c r="W2" s="52" t="s">
        <v>8361</v>
      </c>
      <c r="X2" s="52" t="s">
        <v>22</v>
      </c>
      <c r="Y2" s="49" t="s">
        <v>27</v>
      </c>
      <c r="Z2" s="52" t="s">
        <v>8301</v>
      </c>
      <c r="AA2" s="52" t="s">
        <v>56</v>
      </c>
      <c r="AB2" s="52" t="s">
        <v>8299</v>
      </c>
      <c r="AC2" s="52" t="s">
        <v>8364</v>
      </c>
      <c r="AD2" s="49" t="s">
        <v>8363</v>
      </c>
    </row>
    <row r="3" spans="1:30" ht="15" customHeight="1" x14ac:dyDescent="0.25">
      <c r="A3" s="39" t="s">
        <v>29</v>
      </c>
      <c r="B3" s="39"/>
      <c r="C3" s="49" t="s">
        <v>31</v>
      </c>
      <c r="D3" s="82" t="s">
        <v>31</v>
      </c>
      <c r="E3" s="50" t="s">
        <v>41</v>
      </c>
      <c r="F3" s="50" t="s">
        <v>41</v>
      </c>
      <c r="G3" s="50" t="s">
        <v>43</v>
      </c>
      <c r="H3" s="50"/>
      <c r="I3" s="51"/>
      <c r="J3" s="51" t="s">
        <v>47</v>
      </c>
      <c r="K3" s="51" t="s">
        <v>8274</v>
      </c>
      <c r="L3" s="51" t="s">
        <v>8275</v>
      </c>
      <c r="M3" s="51"/>
      <c r="N3" s="51"/>
      <c r="O3" s="51" t="s">
        <v>53</v>
      </c>
      <c r="P3" s="51" t="s">
        <v>8289</v>
      </c>
      <c r="Q3" s="51"/>
      <c r="R3" s="110" t="s">
        <v>35</v>
      </c>
      <c r="S3" s="110" t="s">
        <v>11737</v>
      </c>
      <c r="T3" s="110"/>
      <c r="U3" s="110"/>
      <c r="V3" s="51" t="s">
        <v>37</v>
      </c>
      <c r="W3" s="51" t="s">
        <v>11737</v>
      </c>
      <c r="X3" s="51"/>
      <c r="Y3" s="51"/>
      <c r="Z3" s="109" t="s">
        <v>54</v>
      </c>
      <c r="AA3" s="109" t="s">
        <v>8294</v>
      </c>
      <c r="AB3" s="109" t="s">
        <v>8292</v>
      </c>
      <c r="AC3" s="109"/>
      <c r="AD3" s="109"/>
    </row>
    <row r="4" spans="1:30" ht="27.75" customHeight="1" x14ac:dyDescent="0.25">
      <c r="A4" s="141" t="str">
        <f>VLOOKUP(A$3,'Запрос Данных для расчета'!$A:$C,3,FALSE)</f>
        <v>ВМСН.713264.002 - Гайка</v>
      </c>
      <c r="B4" s="79"/>
      <c r="C4" s="80" t="e">
        <f>SUMIF($B$5:$B$100,"",C$5:C$100)</f>
        <v>#DIV/0!</v>
      </c>
      <c r="D4" s="81">
        <f>VLOOKUP(D$3,'Запрос Данных для расчета'!$A:$C,3,FALSE)</f>
        <v>1</v>
      </c>
      <c r="E4" s="70"/>
      <c r="F4" s="54"/>
      <c r="G4" s="54"/>
      <c r="H4" s="54"/>
      <c r="I4" s="71">
        <f>SUMIF($B$5:$B$100,"",I$5:I$100)</f>
        <v>0</v>
      </c>
      <c r="J4" s="70"/>
      <c r="K4" s="54"/>
      <c r="L4" s="54"/>
      <c r="M4" s="54"/>
      <c r="N4" s="71">
        <f>SUMIF($B$5:$B$100,"",N$5:N$100)</f>
        <v>733.96010909090899</v>
      </c>
      <c r="O4" s="70"/>
      <c r="P4" s="54"/>
      <c r="Q4" s="71" t="e">
        <f>SUMIF($B$5:$B$100,"",Q$5:Q$100)</f>
        <v>#DIV/0!</v>
      </c>
      <c r="R4" s="22"/>
      <c r="S4" s="23"/>
      <c r="T4" s="23"/>
      <c r="U4" s="111" t="e">
        <f>SUMIF($B$5:$B$100,"",U$5:U$100)</f>
        <v>#N/A</v>
      </c>
      <c r="V4" s="70"/>
      <c r="W4" s="54"/>
      <c r="X4" s="54"/>
      <c r="Y4" s="71">
        <f>SUMIF($B$5:$B$100,"",Y$5:Y$100)</f>
        <v>5.25</v>
      </c>
      <c r="Z4" s="70"/>
      <c r="AA4" s="54"/>
      <c r="AB4" s="54"/>
      <c r="AC4" s="54"/>
      <c r="AD4" s="71">
        <f>SUMIF($B$5:$B$100,"",AD$5:AD$100)</f>
        <v>0</v>
      </c>
    </row>
    <row r="5" spans="1:30" collapsed="1" x14ac:dyDescent="0.25">
      <c r="A5" s="56" t="s">
        <v>40</v>
      </c>
      <c r="B5" s="57"/>
      <c r="C5" s="73">
        <f>SUMIF(B:B,A5,C:C)</f>
        <v>0</v>
      </c>
      <c r="D5" s="115" t="s">
        <v>8366</v>
      </c>
      <c r="E5" s="20"/>
      <c r="F5" s="21"/>
      <c r="G5" s="21"/>
      <c r="H5" s="21"/>
      <c r="I5" s="59">
        <f>SUM(I6:I9)</f>
        <v>0</v>
      </c>
      <c r="J5" s="113" t="s">
        <v>8366</v>
      </c>
      <c r="K5" s="114" t="s">
        <v>8366</v>
      </c>
      <c r="L5" s="114" t="s">
        <v>8366</v>
      </c>
      <c r="M5" s="114" t="s">
        <v>8366</v>
      </c>
      <c r="N5" s="112" t="s">
        <v>8366</v>
      </c>
      <c r="O5" s="113" t="s">
        <v>8366</v>
      </c>
      <c r="P5" s="114" t="s">
        <v>8366</v>
      </c>
      <c r="Q5" s="112" t="s">
        <v>8366</v>
      </c>
      <c r="R5" s="113" t="s">
        <v>8366</v>
      </c>
      <c r="S5" s="114" t="s">
        <v>8366</v>
      </c>
      <c r="T5" s="114"/>
      <c r="U5" s="112" t="s">
        <v>8366</v>
      </c>
      <c r="V5" s="113" t="s">
        <v>8366</v>
      </c>
      <c r="W5" s="114" t="s">
        <v>8366</v>
      </c>
      <c r="X5" s="114" t="s">
        <v>8366</v>
      </c>
      <c r="Y5" s="112" t="s">
        <v>8366</v>
      </c>
      <c r="Z5" s="113" t="s">
        <v>8366</v>
      </c>
      <c r="AA5" s="114" t="s">
        <v>8366</v>
      </c>
      <c r="AB5" s="114" t="s">
        <v>8366</v>
      </c>
      <c r="AC5" s="114" t="s">
        <v>8366</v>
      </c>
      <c r="AD5" s="112" t="s">
        <v>8366</v>
      </c>
    </row>
    <row r="6" spans="1:30" s="18" customFormat="1" ht="27.75" hidden="1" customHeight="1" outlineLevel="1" x14ac:dyDescent="0.25">
      <c r="A6" s="17" t="str">
        <f>E6</f>
        <v>АВS GF12 (Titan)</v>
      </c>
      <c r="B6" s="46" t="s">
        <v>40</v>
      </c>
      <c r="C6" s="74">
        <f>I6</f>
        <v>0</v>
      </c>
      <c r="D6" s="60"/>
      <c r="E6" s="19" t="str">
        <f>VLOOKUP(E$3,'Запрос Данных для расчета'!$A:$C,3,FALSE)</f>
        <v>АВS GF12 (Titan)</v>
      </c>
      <c r="F6" s="19" t="str">
        <f>VLOOKUP(F$2,'Запрос Данных для расчета'!$B:$C,2,FALSE)</f>
        <v>кг.</v>
      </c>
      <c r="G6" s="19">
        <f>VLOOKUP(G$2,'Запрос Данных для расчета'!$B:$C,2,FALSE)</f>
        <v>1.9E-2</v>
      </c>
      <c r="H6" s="19">
        <f>SUMIF('Справочник цен, ЗП '!$A:$A,E6,'Справочник цен, ЗП '!$C:$C)</f>
        <v>0</v>
      </c>
      <c r="I6" s="19">
        <f>G6*H6</f>
        <v>0</v>
      </c>
      <c r="J6" s="89" t="s">
        <v>8352</v>
      </c>
      <c r="K6" s="90" t="s">
        <v>8352</v>
      </c>
      <c r="L6" s="90" t="s">
        <v>8352</v>
      </c>
      <c r="M6" s="90" t="s">
        <v>8352</v>
      </c>
      <c r="N6" s="91" t="s">
        <v>8352</v>
      </c>
      <c r="O6" s="89"/>
      <c r="P6" s="90"/>
      <c r="Q6" s="91"/>
      <c r="R6" s="83"/>
      <c r="S6" s="84"/>
      <c r="T6" s="84"/>
      <c r="U6" s="85"/>
      <c r="V6" s="89" t="s">
        <v>8366</v>
      </c>
      <c r="W6" s="90" t="s">
        <v>8366</v>
      </c>
      <c r="X6" s="90" t="s">
        <v>8366</v>
      </c>
      <c r="Y6" s="91" t="s">
        <v>8366</v>
      </c>
      <c r="Z6" s="89" t="s">
        <v>8366</v>
      </c>
      <c r="AA6" s="90" t="s">
        <v>8366</v>
      </c>
      <c r="AB6" s="90" t="s">
        <v>8366</v>
      </c>
      <c r="AC6" s="90" t="s">
        <v>8366</v>
      </c>
      <c r="AD6" s="91" t="s">
        <v>8366</v>
      </c>
    </row>
    <row r="7" spans="1:30" s="18" customFormat="1" ht="25.5" hidden="1" customHeight="1" outlineLevel="1" x14ac:dyDescent="0.25">
      <c r="A7" s="17">
        <f>E7</f>
        <v>0</v>
      </c>
      <c r="B7" s="46" t="s">
        <v>40</v>
      </c>
      <c r="C7" s="63">
        <f t="shared" ref="C7:C8" si="0">I7</f>
        <v>0</v>
      </c>
      <c r="D7" s="61"/>
      <c r="E7" s="19">
        <f>VLOOKUP("5.2.",'Запрос Данных для расчета'!$A:$C,3,FALSE)</f>
        <v>0</v>
      </c>
      <c r="F7" s="19">
        <f>VLOOKUP("5.2.1.",'Запрос Данных для расчета'!$A:$C,3,FALSE)</f>
        <v>0</v>
      </c>
      <c r="G7" s="19">
        <f>VLOOKUP("5.2.2.",'Запрос Данных для расчета'!$A:$C,3,FALSE)</f>
        <v>0</v>
      </c>
      <c r="H7" s="19">
        <f>SUMIF('Справочник цен, ЗП '!A:A,E7,'Справочник цен, ЗП '!C:C)</f>
        <v>0</v>
      </c>
      <c r="I7" s="19">
        <f t="shared" ref="I7:I8" si="1">G7*H7</f>
        <v>0</v>
      </c>
      <c r="J7" s="83" t="s">
        <v>8352</v>
      </c>
      <c r="K7" s="84" t="s">
        <v>8352</v>
      </c>
      <c r="L7" s="84" t="s">
        <v>8352</v>
      </c>
      <c r="M7" s="84" t="s">
        <v>8352</v>
      </c>
      <c r="N7" s="85" t="s">
        <v>8352</v>
      </c>
      <c r="O7" s="83" t="s">
        <v>8352</v>
      </c>
      <c r="P7" s="84" t="s">
        <v>8352</v>
      </c>
      <c r="Q7" s="85" t="s">
        <v>8352</v>
      </c>
      <c r="R7" s="83" t="s">
        <v>8352</v>
      </c>
      <c r="S7" s="84" t="s">
        <v>8352</v>
      </c>
      <c r="T7" s="84"/>
      <c r="U7" s="85" t="s">
        <v>8352</v>
      </c>
      <c r="V7" s="83" t="s">
        <v>8352</v>
      </c>
      <c r="W7" s="84" t="s">
        <v>8352</v>
      </c>
      <c r="X7" s="84" t="s">
        <v>8352</v>
      </c>
      <c r="Y7" s="85" t="s">
        <v>8352</v>
      </c>
      <c r="Z7" s="83" t="s">
        <v>8352</v>
      </c>
      <c r="AA7" s="84" t="s">
        <v>8352</v>
      </c>
      <c r="AB7" s="84" t="s">
        <v>8352</v>
      </c>
      <c r="AC7" s="84" t="s">
        <v>8352</v>
      </c>
      <c r="AD7" s="85" t="s">
        <v>8352</v>
      </c>
    </row>
    <row r="8" spans="1:30" s="18" customFormat="1" ht="24.75" hidden="1" customHeight="1" outlineLevel="1" x14ac:dyDescent="0.25">
      <c r="A8" s="17">
        <f>E8</f>
        <v>0</v>
      </c>
      <c r="B8" s="46" t="s">
        <v>40</v>
      </c>
      <c r="C8" s="63">
        <f t="shared" si="0"/>
        <v>0</v>
      </c>
      <c r="D8" s="61"/>
      <c r="E8" s="19">
        <f>VLOOKUP("5.3.",'Запрос Данных для расчета'!$A:$C,3,FALSE)</f>
        <v>0</v>
      </c>
      <c r="F8" s="19">
        <f>VLOOKUP("5.3.1.",'Запрос Данных для расчета'!$A:$C,3,FALSE)</f>
        <v>0</v>
      </c>
      <c r="G8" s="19">
        <f>VLOOKUP("5.3.2.",'Запрос Данных для расчета'!$A:$C,3,FALSE)</f>
        <v>0</v>
      </c>
      <c r="H8" s="19">
        <f>SUMIF('Справочник цен, ЗП '!A:A,E8,'Справочник цен, ЗП '!C:C)</f>
        <v>0</v>
      </c>
      <c r="I8" s="19">
        <f t="shared" si="1"/>
        <v>0</v>
      </c>
      <c r="J8" s="83" t="s">
        <v>8352</v>
      </c>
      <c r="K8" s="84" t="s">
        <v>8352</v>
      </c>
      <c r="L8" s="84" t="s">
        <v>8352</v>
      </c>
      <c r="M8" s="84" t="s">
        <v>8352</v>
      </c>
      <c r="N8" s="85" t="s">
        <v>8352</v>
      </c>
      <c r="O8" s="83" t="s">
        <v>8352</v>
      </c>
      <c r="P8" s="84" t="s">
        <v>8352</v>
      </c>
      <c r="Q8" s="85" t="s">
        <v>8352</v>
      </c>
      <c r="R8" s="83" t="s">
        <v>8352</v>
      </c>
      <c r="S8" s="84" t="s">
        <v>8352</v>
      </c>
      <c r="T8" s="84"/>
      <c r="U8" s="85" t="s">
        <v>8352</v>
      </c>
      <c r="V8" s="83" t="s">
        <v>8352</v>
      </c>
      <c r="W8" s="84" t="s">
        <v>8352</v>
      </c>
      <c r="X8" s="84" t="s">
        <v>8352</v>
      </c>
      <c r="Y8" s="85" t="s">
        <v>8352</v>
      </c>
      <c r="Z8" s="83" t="s">
        <v>8352</v>
      </c>
      <c r="AA8" s="84" t="s">
        <v>8352</v>
      </c>
      <c r="AB8" s="84" t="s">
        <v>8352</v>
      </c>
      <c r="AC8" s="84" t="s">
        <v>8352</v>
      </c>
      <c r="AD8" s="85" t="s">
        <v>8352</v>
      </c>
    </row>
    <row r="9" spans="1:30" s="18" customFormat="1" ht="20.25" hidden="1" customHeight="1" outlineLevel="1" x14ac:dyDescent="0.25">
      <c r="A9" s="17">
        <f>E9</f>
        <v>0</v>
      </c>
      <c r="B9" s="46" t="s">
        <v>40</v>
      </c>
      <c r="C9" s="65">
        <f t="shared" ref="C9" si="2">I9</f>
        <v>0</v>
      </c>
      <c r="D9" s="62"/>
      <c r="E9" s="19">
        <f>VLOOKUP("5.4.",'Запрос Данных для расчета'!$A:$C,3,FALSE)</f>
        <v>0</v>
      </c>
      <c r="F9" s="19">
        <f>VLOOKUP("5.4.1.",'Запрос Данных для расчета'!$A:$C,3,FALSE)</f>
        <v>0</v>
      </c>
      <c r="G9" s="19">
        <f>VLOOKUP("5.4.2.",'Запрос Данных для расчета'!$A:$C,3,FALSE)</f>
        <v>0</v>
      </c>
      <c r="H9" s="19">
        <f>SUMIF('Справочник цен, ЗП '!A:A,E9,'Справочник цен, ЗП '!C:C)</f>
        <v>0</v>
      </c>
      <c r="I9" s="19">
        <f t="shared" ref="I9" si="3">G9*H9</f>
        <v>0</v>
      </c>
      <c r="J9" s="92" t="s">
        <v>8352</v>
      </c>
      <c r="K9" s="93" t="s">
        <v>8352</v>
      </c>
      <c r="L9" s="93" t="s">
        <v>8352</v>
      </c>
      <c r="M9" s="93" t="s">
        <v>8352</v>
      </c>
      <c r="N9" s="94" t="s">
        <v>8352</v>
      </c>
      <c r="O9" s="92" t="s">
        <v>8352</v>
      </c>
      <c r="P9" s="93" t="s">
        <v>8352</v>
      </c>
      <c r="Q9" s="94" t="s">
        <v>8352</v>
      </c>
      <c r="R9" s="92" t="s">
        <v>8352</v>
      </c>
      <c r="S9" s="93" t="s">
        <v>8352</v>
      </c>
      <c r="T9" s="93"/>
      <c r="U9" s="94" t="s">
        <v>8352</v>
      </c>
      <c r="V9" s="92" t="s">
        <v>8352</v>
      </c>
      <c r="W9" s="93" t="s">
        <v>8352</v>
      </c>
      <c r="X9" s="93" t="s">
        <v>8352</v>
      </c>
      <c r="Y9" s="94" t="s">
        <v>8352</v>
      </c>
      <c r="Z9" s="92" t="s">
        <v>8352</v>
      </c>
      <c r="AA9" s="93" t="s">
        <v>8352</v>
      </c>
      <c r="AB9" s="93" t="s">
        <v>8352</v>
      </c>
      <c r="AC9" s="93" t="s">
        <v>8352</v>
      </c>
      <c r="AD9" s="94" t="s">
        <v>8352</v>
      </c>
    </row>
    <row r="10" spans="1:30" collapsed="1" x14ac:dyDescent="0.25">
      <c r="A10" s="40" t="s">
        <v>2</v>
      </c>
      <c r="B10" s="58"/>
      <c r="C10" s="75">
        <f>SUMIF(B:B,A10,C:C)</f>
        <v>733.96010909090899</v>
      </c>
      <c r="D10" s="116" t="s">
        <v>8366</v>
      </c>
      <c r="E10" s="117"/>
      <c r="F10" s="118"/>
      <c r="G10" s="118"/>
      <c r="H10" s="118"/>
      <c r="I10" s="119" t="s">
        <v>8366</v>
      </c>
      <c r="J10" s="66"/>
      <c r="K10" s="55"/>
      <c r="L10" s="55"/>
      <c r="M10" s="55"/>
      <c r="N10" s="72">
        <f>SUM(N11:N13)</f>
        <v>733.96010909090899</v>
      </c>
      <c r="O10" s="100"/>
      <c r="P10" s="101"/>
      <c r="Q10" s="102" t="s">
        <v>8366</v>
      </c>
      <c r="R10" s="100"/>
      <c r="S10" s="101"/>
      <c r="T10" s="101"/>
      <c r="U10" s="102" t="s">
        <v>8366</v>
      </c>
      <c r="V10" s="100"/>
      <c r="W10" s="101"/>
      <c r="X10" s="101"/>
      <c r="Y10" s="102" t="s">
        <v>8366</v>
      </c>
      <c r="Z10" s="100"/>
      <c r="AA10" s="101"/>
      <c r="AB10" s="101"/>
      <c r="AC10" s="101"/>
      <c r="AD10" s="102" t="s">
        <v>8366</v>
      </c>
    </row>
    <row r="11" spans="1:30" s="18" customFormat="1" ht="24" hidden="1" customHeight="1" outlineLevel="1" x14ac:dyDescent="0.25">
      <c r="A11" s="17" t="str">
        <f>J11</f>
        <v>Оператор оборудования трехмерной печати /Участок производства изделий из пластмасс /</v>
      </c>
      <c r="B11" s="46" t="s">
        <v>2</v>
      </c>
      <c r="C11" s="63">
        <f>N11</f>
        <v>733.96010909090899</v>
      </c>
      <c r="D11" s="61"/>
      <c r="E11" s="83" t="s">
        <v>8352</v>
      </c>
      <c r="F11" s="84" t="s">
        <v>8352</v>
      </c>
      <c r="G11" s="84" t="s">
        <v>8352</v>
      </c>
      <c r="H11" s="84" t="s">
        <v>8352</v>
      </c>
      <c r="I11" s="85" t="s">
        <v>8352</v>
      </c>
      <c r="J11" s="19" t="str">
        <f>VLOOKUP(J$3,'Запрос Данных для расчета'!$A:$C,3,FALSE)</f>
        <v>Оператор оборудования трехмерной печати /Участок производства изделий из пластмасс /</v>
      </c>
      <c r="K11" s="19">
        <f>VLOOKUP(K$3,'Запрос Данных для расчета'!$A:$C,3,FALSE)</f>
        <v>1</v>
      </c>
      <c r="L11" s="19" t="str">
        <f>VLOOKUP(L$3,'Запрос Данных для расчета'!$A:$C,3,FALSE)</f>
        <v>1 ч 13 м</v>
      </c>
      <c r="M11" s="19">
        <f>VLOOKUP(J11,'Справочник цен, ЗП '!H:K,4,FALSE)</f>
        <v>733.96010909090899</v>
      </c>
      <c r="N11" s="19">
        <f>PRODUCT(K11:M11)/$D$4</f>
        <v>733.96010909090899</v>
      </c>
      <c r="O11" s="83" t="s">
        <v>8352</v>
      </c>
      <c r="P11" s="84" t="s">
        <v>8352</v>
      </c>
      <c r="Q11" s="85" t="s">
        <v>8352</v>
      </c>
      <c r="R11" s="83" t="s">
        <v>8352</v>
      </c>
      <c r="S11" s="84" t="s">
        <v>8352</v>
      </c>
      <c r="T11" s="84"/>
      <c r="U11" s="85" t="s">
        <v>8352</v>
      </c>
      <c r="V11" s="83" t="s">
        <v>8352</v>
      </c>
      <c r="W11" s="84" t="s">
        <v>8352</v>
      </c>
      <c r="X11" s="84" t="s">
        <v>8352</v>
      </c>
      <c r="Y11" s="85" t="s">
        <v>8352</v>
      </c>
      <c r="Z11" s="83" t="s">
        <v>8352</v>
      </c>
      <c r="AA11" s="84" t="s">
        <v>8352</v>
      </c>
      <c r="AB11" s="84" t="s">
        <v>8352</v>
      </c>
      <c r="AC11" s="84" t="s">
        <v>8352</v>
      </c>
      <c r="AD11" s="85" t="s">
        <v>8352</v>
      </c>
    </row>
    <row r="12" spans="1:30" s="18" customFormat="1" ht="24" hidden="1" customHeight="1" outlineLevel="1" x14ac:dyDescent="0.25">
      <c r="A12" s="17">
        <f t="shared" ref="A12:A13" si="4">J12</f>
        <v>0</v>
      </c>
      <c r="B12" s="46" t="s">
        <v>2</v>
      </c>
      <c r="C12" s="63">
        <f t="shared" ref="C12:C13" si="5">N12</f>
        <v>0</v>
      </c>
      <c r="D12" s="61"/>
      <c r="E12" s="83" t="s">
        <v>8352</v>
      </c>
      <c r="F12" s="84" t="s">
        <v>8352</v>
      </c>
      <c r="G12" s="84" t="s">
        <v>8352</v>
      </c>
      <c r="H12" s="84" t="s">
        <v>8352</v>
      </c>
      <c r="I12" s="85" t="s">
        <v>8352</v>
      </c>
      <c r="J12" s="19">
        <f>VLOOKUP("6.2.",'Запрос Данных для расчета'!$A:$C,3,FALSE)</f>
        <v>0</v>
      </c>
      <c r="K12" s="19">
        <f>VLOOKUP("6.2.1.",'Запрос Данных для расчета'!$A:$C,3,FALSE)</f>
        <v>0</v>
      </c>
      <c r="L12" s="19">
        <f>VLOOKUP("6.2.2.",'Запрос Данных для расчета'!$A:$C,3,FALSE)</f>
        <v>0</v>
      </c>
      <c r="M12" s="19">
        <f>SUMIF('Справочник цен, ЗП '!H:H,Расчет!J12,'Справочник цен, ЗП '!K:K)</f>
        <v>0</v>
      </c>
      <c r="N12" s="19">
        <f t="shared" ref="N12:N13" si="6">PRODUCT(K12:M12)/$D$4</f>
        <v>0</v>
      </c>
      <c r="O12" s="83" t="s">
        <v>8352</v>
      </c>
      <c r="P12" s="84" t="s">
        <v>8352</v>
      </c>
      <c r="Q12" s="85" t="s">
        <v>8352</v>
      </c>
      <c r="R12" s="83" t="s">
        <v>8352</v>
      </c>
      <c r="S12" s="84" t="s">
        <v>8352</v>
      </c>
      <c r="T12" s="84"/>
      <c r="U12" s="85" t="s">
        <v>8352</v>
      </c>
      <c r="V12" s="83" t="s">
        <v>8352</v>
      </c>
      <c r="W12" s="84" t="s">
        <v>8352</v>
      </c>
      <c r="X12" s="84" t="s">
        <v>8352</v>
      </c>
      <c r="Y12" s="85" t="s">
        <v>8352</v>
      </c>
      <c r="Z12" s="83" t="s">
        <v>8352</v>
      </c>
      <c r="AA12" s="84" t="s">
        <v>8352</v>
      </c>
      <c r="AB12" s="84" t="s">
        <v>8352</v>
      </c>
      <c r="AC12" s="84" t="s">
        <v>8352</v>
      </c>
      <c r="AD12" s="85" t="s">
        <v>8352</v>
      </c>
    </row>
    <row r="13" spans="1:30" s="18" customFormat="1" ht="24" hidden="1" customHeight="1" outlineLevel="1" x14ac:dyDescent="0.25">
      <c r="A13" s="17">
        <f t="shared" si="4"/>
        <v>0</v>
      </c>
      <c r="B13" s="46" t="s">
        <v>2</v>
      </c>
      <c r="C13" s="63">
        <f t="shared" si="5"/>
        <v>0</v>
      </c>
      <c r="D13" s="61"/>
      <c r="E13" s="83" t="s">
        <v>8352</v>
      </c>
      <c r="F13" s="84" t="s">
        <v>8352</v>
      </c>
      <c r="G13" s="84" t="s">
        <v>8352</v>
      </c>
      <c r="H13" s="84" t="s">
        <v>8352</v>
      </c>
      <c r="I13" s="85" t="s">
        <v>8352</v>
      </c>
      <c r="J13" s="60">
        <f>VLOOKUP("6.3.",'Запрос Данных для расчета'!$A:$C,3,FALSE)</f>
        <v>0</v>
      </c>
      <c r="K13" s="60">
        <f>VLOOKUP("6.3.1.",'Запрос Данных для расчета'!$A:$C,3,FALSE)</f>
        <v>0</v>
      </c>
      <c r="L13" s="60">
        <f>VLOOKUP("6.3.2.",'Запрос Данных для расчета'!$A:$C,3,FALSE)</f>
        <v>0</v>
      </c>
      <c r="M13" s="19">
        <f>SUMIF('Справочник цен, ЗП '!H:H,Расчет!J13,'Справочник цен, ЗП '!K:K)</f>
        <v>0</v>
      </c>
      <c r="N13" s="60">
        <f t="shared" si="6"/>
        <v>0</v>
      </c>
      <c r="O13" s="83" t="s">
        <v>8352</v>
      </c>
      <c r="P13" s="84" t="s">
        <v>8352</v>
      </c>
      <c r="Q13" s="85" t="s">
        <v>8352</v>
      </c>
      <c r="R13" s="83" t="s">
        <v>8352</v>
      </c>
      <c r="S13" s="84" t="s">
        <v>8352</v>
      </c>
      <c r="T13" s="84"/>
      <c r="U13" s="85" t="s">
        <v>8352</v>
      </c>
      <c r="V13" s="83" t="s">
        <v>8352</v>
      </c>
      <c r="W13" s="84" t="s">
        <v>8352</v>
      </c>
      <c r="X13" s="84" t="s">
        <v>8352</v>
      </c>
      <c r="Y13" s="85" t="s">
        <v>8352</v>
      </c>
      <c r="Z13" s="83" t="s">
        <v>8352</v>
      </c>
      <c r="AA13" s="84" t="s">
        <v>8352</v>
      </c>
      <c r="AB13" s="84" t="s">
        <v>8352</v>
      </c>
      <c r="AC13" s="84" t="s">
        <v>8352</v>
      </c>
      <c r="AD13" s="85" t="s">
        <v>8352</v>
      </c>
    </row>
    <row r="14" spans="1:30" ht="13.5" customHeight="1" collapsed="1" x14ac:dyDescent="0.25">
      <c r="A14" s="40" t="s">
        <v>13</v>
      </c>
      <c r="B14" s="45"/>
      <c r="C14" s="73" t="e">
        <f>SUMIF(B:B,A14,C:C)</f>
        <v>#DIV/0!</v>
      </c>
      <c r="D14" s="115" t="s">
        <v>8366</v>
      </c>
      <c r="E14" s="113"/>
      <c r="F14" s="114"/>
      <c r="G14" s="114"/>
      <c r="H14" s="114"/>
      <c r="I14" s="112" t="s">
        <v>8366</v>
      </c>
      <c r="J14" s="20"/>
      <c r="K14" s="21"/>
      <c r="L14" s="21"/>
      <c r="M14" s="21"/>
      <c r="N14" s="112" t="s">
        <v>8366</v>
      </c>
      <c r="O14" s="20"/>
      <c r="P14" s="21"/>
      <c r="Q14" s="59" t="e">
        <f>Q15</f>
        <v>#DIV/0!</v>
      </c>
      <c r="R14" s="20"/>
      <c r="S14" s="21"/>
      <c r="T14" s="21"/>
      <c r="U14" s="59" t="e">
        <f>U16</f>
        <v>#N/A</v>
      </c>
      <c r="V14" s="20"/>
      <c r="W14" s="21"/>
      <c r="X14" s="21"/>
      <c r="Y14" s="59">
        <f>SUM(Y15:Y18)</f>
        <v>5.25</v>
      </c>
      <c r="Z14" s="20"/>
      <c r="AA14" s="21"/>
      <c r="AB14" s="21"/>
      <c r="AC14" s="21"/>
      <c r="AD14" s="59">
        <f>SUM(AD15:AD18)</f>
        <v>0</v>
      </c>
    </row>
    <row r="15" spans="1:30" ht="15" hidden="1" customHeight="1" outlineLevel="1" x14ac:dyDescent="0.25">
      <c r="A15" s="2" t="s">
        <v>8290</v>
      </c>
      <c r="B15" s="47" t="s">
        <v>13</v>
      </c>
      <c r="C15" s="63" t="e">
        <f>Q15</f>
        <v>#DIV/0!</v>
      </c>
      <c r="D15" s="64"/>
      <c r="E15" s="83" t="s">
        <v>8352</v>
      </c>
      <c r="F15" s="84" t="s">
        <v>8352</v>
      </c>
      <c r="G15" s="84" t="s">
        <v>8352</v>
      </c>
      <c r="H15" s="84" t="s">
        <v>8352</v>
      </c>
      <c r="I15" s="85" t="s">
        <v>8352</v>
      </c>
      <c r="J15" s="103" t="s">
        <v>8352</v>
      </c>
      <c r="K15" s="104" t="s">
        <v>8352</v>
      </c>
      <c r="L15" s="104" t="s">
        <v>8352</v>
      </c>
      <c r="M15" s="104" t="s">
        <v>8352</v>
      </c>
      <c r="N15" s="105" t="s">
        <v>8352</v>
      </c>
      <c r="O15" s="64">
        <f>VLOOKUP(O$3,'Запрос Данных для расчета'!$A:$C,3,FALSE)</f>
        <v>0</v>
      </c>
      <c r="P15" s="64">
        <f>SUMIF('Запрос Данных для расчета'!A:A,Расчет!$P$3,'Запрос Данных для расчета'!C:C)</f>
        <v>0</v>
      </c>
      <c r="Q15" s="64" t="e">
        <f>IF(P15=100,O15/P15*(S16/D4),O15/P15)</f>
        <v>#DIV/0!</v>
      </c>
      <c r="R15" s="3"/>
      <c r="S15" s="98" t="s">
        <v>8352</v>
      </c>
      <c r="T15" s="98"/>
      <c r="U15" s="99" t="s">
        <v>8352</v>
      </c>
      <c r="V15" s="89" t="s">
        <v>8352</v>
      </c>
      <c r="W15" s="90" t="s">
        <v>8352</v>
      </c>
      <c r="X15" s="90" t="s">
        <v>8352</v>
      </c>
      <c r="Y15" s="91" t="s">
        <v>8352</v>
      </c>
      <c r="Z15" s="103" t="s">
        <v>8352</v>
      </c>
      <c r="AA15" s="104" t="s">
        <v>8352</v>
      </c>
      <c r="AB15" s="104" t="s">
        <v>8352</v>
      </c>
      <c r="AC15" s="104" t="s">
        <v>8352</v>
      </c>
      <c r="AD15" s="105" t="s">
        <v>8352</v>
      </c>
    </row>
    <row r="16" spans="1:30" ht="18.75" hidden="1" customHeight="1" outlineLevel="1" x14ac:dyDescent="0.25">
      <c r="A16" s="2" t="s">
        <v>8359</v>
      </c>
      <c r="B16" s="47" t="s">
        <v>13</v>
      </c>
      <c r="C16" s="52" t="e">
        <f>U16</f>
        <v>#N/A</v>
      </c>
      <c r="D16" s="53"/>
      <c r="E16" s="86" t="s">
        <v>8352</v>
      </c>
      <c r="F16" s="87" t="s">
        <v>8352</v>
      </c>
      <c r="G16" s="87" t="s">
        <v>8352</v>
      </c>
      <c r="H16" s="87" t="s">
        <v>8352</v>
      </c>
      <c r="I16" s="88" t="s">
        <v>8352</v>
      </c>
      <c r="J16" s="95" t="s">
        <v>8352</v>
      </c>
      <c r="K16" s="96" t="s">
        <v>8352</v>
      </c>
      <c r="L16" s="96" t="s">
        <v>8352</v>
      </c>
      <c r="M16" s="96" t="s">
        <v>8352</v>
      </c>
      <c r="N16" s="97" t="s">
        <v>8352</v>
      </c>
      <c r="O16" s="103" t="s">
        <v>8352</v>
      </c>
      <c r="P16" s="104" t="s">
        <v>8352</v>
      </c>
      <c r="Q16" s="105" t="s">
        <v>8352</v>
      </c>
      <c r="R16" s="78" t="str">
        <f>VLOOKUP(R$3,'Запрос Данных для расчета'!$A:$C,3,FALSE)</f>
        <v>Picaso Desinger X Series 2</v>
      </c>
      <c r="S16" s="78" t="str">
        <f>VLOOKUP(S$3,'Запрос Данных для расчета'!$A:$C,3,FALSE)</f>
        <v>1 ч 13 м</v>
      </c>
      <c r="T16" s="78" t="e">
        <f>VLOOKUP(Расчет!$R16,'Справочник цен, ЗП '!$N:$Q,4,FALSE)</f>
        <v>#N/A</v>
      </c>
      <c r="U16" s="78" t="e">
        <f>PRODUCT(S16:T16)/D4</f>
        <v>#N/A</v>
      </c>
      <c r="V16" s="92" t="s">
        <v>8352</v>
      </c>
      <c r="W16" s="93" t="s">
        <v>8352</v>
      </c>
      <c r="X16" s="93" t="s">
        <v>8352</v>
      </c>
      <c r="Y16" s="94" t="s">
        <v>8352</v>
      </c>
      <c r="Z16" s="95" t="s">
        <v>8352</v>
      </c>
      <c r="AA16" s="96" t="s">
        <v>8352</v>
      </c>
      <c r="AB16" s="96" t="s">
        <v>8352</v>
      </c>
      <c r="AC16" s="96" t="s">
        <v>8352</v>
      </c>
      <c r="AD16" s="97" t="s">
        <v>8352</v>
      </c>
    </row>
    <row r="17" spans="1:30" ht="23.25" hidden="1" customHeight="1" outlineLevel="1" x14ac:dyDescent="0.25">
      <c r="A17" s="2" t="s">
        <v>14</v>
      </c>
      <c r="B17" s="47" t="s">
        <v>13</v>
      </c>
      <c r="C17" s="52">
        <f>Y17</f>
        <v>5.25</v>
      </c>
      <c r="D17" s="53"/>
      <c r="E17" s="86" t="s">
        <v>8352</v>
      </c>
      <c r="F17" s="87" t="s">
        <v>8352</v>
      </c>
      <c r="G17" s="87" t="s">
        <v>8352</v>
      </c>
      <c r="H17" s="87" t="s">
        <v>8352</v>
      </c>
      <c r="I17" s="88" t="s">
        <v>8352</v>
      </c>
      <c r="J17" s="83" t="s">
        <v>8352</v>
      </c>
      <c r="K17" s="84" t="s">
        <v>8352</v>
      </c>
      <c r="L17" s="84" t="s">
        <v>8352</v>
      </c>
      <c r="M17" s="84" t="s">
        <v>8352</v>
      </c>
      <c r="N17" s="85" t="s">
        <v>8352</v>
      </c>
      <c r="O17" s="95" t="s">
        <v>8352</v>
      </c>
      <c r="P17" s="96" t="s">
        <v>8352</v>
      </c>
      <c r="Q17" s="97" t="s">
        <v>8352</v>
      </c>
      <c r="R17" s="103" t="s">
        <v>8352</v>
      </c>
      <c r="S17" s="104" t="s">
        <v>8352</v>
      </c>
      <c r="T17" s="104"/>
      <c r="U17" s="105" t="s">
        <v>8352</v>
      </c>
      <c r="V17" s="78">
        <f>VLOOKUP(V$3,'Запрос Данных для расчета'!$A:$C,3,FALSE)</f>
        <v>0.7</v>
      </c>
      <c r="W17" s="78" t="str">
        <f>VLOOKUP(W$3,'Запрос Данных для расчета'!$A:$C,3,FALSE)</f>
        <v>1 ч 13 м</v>
      </c>
      <c r="X17" s="78">
        <v>7.5</v>
      </c>
      <c r="Y17" s="78">
        <f>PRODUCT(V17:X17)/$D$4</f>
        <v>5.25</v>
      </c>
      <c r="Z17" s="106" t="s">
        <v>8352</v>
      </c>
      <c r="AA17" s="107" t="s">
        <v>8352</v>
      </c>
      <c r="AB17" s="107" t="s">
        <v>8352</v>
      </c>
      <c r="AC17" s="107" t="s">
        <v>8352</v>
      </c>
      <c r="AD17" s="108" t="s">
        <v>8352</v>
      </c>
    </row>
    <row r="18" spans="1:30" ht="13.5" hidden="1" customHeight="1" outlineLevel="1" x14ac:dyDescent="0.25">
      <c r="A18" s="2" t="s">
        <v>15</v>
      </c>
      <c r="B18" s="47" t="s">
        <v>13</v>
      </c>
      <c r="C18" s="52">
        <f>AD18</f>
        <v>0</v>
      </c>
      <c r="D18" s="53"/>
      <c r="E18" s="86" t="s">
        <v>8352</v>
      </c>
      <c r="F18" s="87" t="s">
        <v>8352</v>
      </c>
      <c r="G18" s="87" t="s">
        <v>8352</v>
      </c>
      <c r="H18" s="87" t="s">
        <v>8352</v>
      </c>
      <c r="I18" s="88" t="s">
        <v>8352</v>
      </c>
      <c r="J18" s="92" t="s">
        <v>8352</v>
      </c>
      <c r="K18" s="93" t="s">
        <v>8352</v>
      </c>
      <c r="L18" s="93" t="s">
        <v>8352</v>
      </c>
      <c r="M18" s="93" t="s">
        <v>8352</v>
      </c>
      <c r="N18" s="94" t="s">
        <v>8352</v>
      </c>
      <c r="O18" s="106" t="s">
        <v>8352</v>
      </c>
      <c r="P18" s="107" t="s">
        <v>8352</v>
      </c>
      <c r="Q18" s="108" t="s">
        <v>8352</v>
      </c>
      <c r="R18" s="106" t="s">
        <v>8352</v>
      </c>
      <c r="S18" s="107" t="s">
        <v>8352</v>
      </c>
      <c r="T18" s="107"/>
      <c r="U18" s="108" t="s">
        <v>8352</v>
      </c>
      <c r="V18" s="86" t="s">
        <v>8352</v>
      </c>
      <c r="W18" s="87" t="s">
        <v>8352</v>
      </c>
      <c r="X18" s="87" t="s">
        <v>8352</v>
      </c>
      <c r="Y18" s="88" t="s">
        <v>8352</v>
      </c>
      <c r="Z18" s="19">
        <f>VLOOKUP(Z$3,'Запрос Данных для расчета'!$A:$C,3,FALSE)</f>
        <v>0</v>
      </c>
      <c r="AA18" s="19">
        <f>VLOOKUP(AA$3,'Запрос Данных для расчета'!$A:$C,3,FALSE)</f>
        <v>0</v>
      </c>
      <c r="AB18" s="19">
        <f>VLOOKUP(AB$3,'Запрос Данных для расчета'!$A:$C,3,FALSE)</f>
        <v>0</v>
      </c>
      <c r="AC18" s="78">
        <f>SUMIF('Справочник цен, ЗП '!$A:$A,Z18,'Справочник цен, ЗП '!$C:$C)</f>
        <v>0</v>
      </c>
      <c r="AD18" s="78">
        <f>PRODUCT(AB18:AC18)</f>
        <v>0</v>
      </c>
    </row>
    <row r="19" spans="1:30" collapsed="1" x14ac:dyDescent="0.25">
      <c r="A19" s="40" t="s">
        <v>24</v>
      </c>
      <c r="B19" s="45"/>
      <c r="C19" s="75" t="e">
        <f>($C$6+$C$10+$C$14)*10%</f>
        <v>#DIV/0!</v>
      </c>
      <c r="D19" s="116" t="s">
        <v>8366</v>
      </c>
      <c r="E19" s="117"/>
      <c r="F19" s="118"/>
      <c r="G19" s="118"/>
      <c r="H19" s="118"/>
      <c r="I19" s="119" t="s">
        <v>8366</v>
      </c>
      <c r="J19" s="117"/>
      <c r="K19" s="118"/>
      <c r="L19" s="118"/>
      <c r="M19" s="118"/>
      <c r="N19" s="119" t="s">
        <v>8366</v>
      </c>
      <c r="O19" s="117"/>
      <c r="P19" s="118"/>
      <c r="Q19" s="119" t="s">
        <v>8366</v>
      </c>
      <c r="R19" s="117"/>
      <c r="S19" s="118"/>
      <c r="T19" s="118"/>
      <c r="U19" s="119" t="s">
        <v>8366</v>
      </c>
      <c r="V19" s="117"/>
      <c r="W19" s="118"/>
      <c r="X19" s="118"/>
      <c r="Y19" s="119" t="s">
        <v>8366</v>
      </c>
      <c r="Z19" s="117"/>
      <c r="AA19" s="118"/>
      <c r="AB19" s="118"/>
      <c r="AC19" s="118"/>
      <c r="AD19" s="119" t="s">
        <v>8366</v>
      </c>
    </row>
    <row r="20" spans="1:30" collapsed="1" x14ac:dyDescent="0.25">
      <c r="A20" s="40" t="s">
        <v>25</v>
      </c>
      <c r="B20" s="45"/>
      <c r="C20" s="75" t="e">
        <f>($C$6+$C$10+$C$14+$C$19)*10%</f>
        <v>#DIV/0!</v>
      </c>
      <c r="D20" s="116" t="s">
        <v>8352</v>
      </c>
      <c r="E20" s="117"/>
      <c r="F20" s="118"/>
      <c r="G20" s="118"/>
      <c r="H20" s="118"/>
      <c r="I20" s="119" t="s">
        <v>8366</v>
      </c>
      <c r="J20" s="117"/>
      <c r="K20" s="118"/>
      <c r="L20" s="118"/>
      <c r="M20" s="118"/>
      <c r="N20" s="119" t="s">
        <v>8366</v>
      </c>
      <c r="O20" s="117"/>
      <c r="P20" s="118"/>
      <c r="Q20" s="119" t="s">
        <v>8366</v>
      </c>
      <c r="R20" s="117"/>
      <c r="S20" s="118"/>
      <c r="T20" s="118"/>
      <c r="U20" s="119" t="s">
        <v>8366</v>
      </c>
      <c r="V20" s="117"/>
      <c r="W20" s="118"/>
      <c r="X20" s="118"/>
      <c r="Y20" s="119" t="s">
        <v>8366</v>
      </c>
      <c r="Z20" s="117"/>
      <c r="AA20" s="118"/>
      <c r="AB20" s="118"/>
      <c r="AC20" s="118"/>
      <c r="AD20" s="119" t="s">
        <v>8366</v>
      </c>
    </row>
    <row r="21" spans="1:30" collapsed="1" x14ac:dyDescent="0.25">
      <c r="A21" s="40" t="s">
        <v>18</v>
      </c>
      <c r="B21" s="45"/>
      <c r="C21" s="75" t="e">
        <f>(C6+C10+C14+C19+C20)*2%</f>
        <v>#DIV/0!</v>
      </c>
      <c r="D21" s="116" t="s">
        <v>8366</v>
      </c>
      <c r="E21" s="117"/>
      <c r="F21" s="118"/>
      <c r="G21" s="118"/>
      <c r="H21" s="118"/>
      <c r="I21" s="119" t="s">
        <v>8366</v>
      </c>
      <c r="J21" s="117"/>
      <c r="K21" s="118"/>
      <c r="L21" s="118"/>
      <c r="M21" s="118"/>
      <c r="N21" s="119" t="s">
        <v>8366</v>
      </c>
      <c r="O21" s="117"/>
      <c r="P21" s="118"/>
      <c r="Q21" s="119" t="s">
        <v>8366</v>
      </c>
      <c r="R21" s="117"/>
      <c r="S21" s="118"/>
      <c r="T21" s="118"/>
      <c r="U21" s="119" t="s">
        <v>8366</v>
      </c>
      <c r="V21" s="117"/>
      <c r="W21" s="118"/>
      <c r="X21" s="118"/>
      <c r="Y21" s="119" t="s">
        <v>8366</v>
      </c>
      <c r="Z21" s="117"/>
      <c r="AA21" s="118"/>
      <c r="AB21" s="118"/>
      <c r="AC21" s="118"/>
      <c r="AD21" s="119" t="s">
        <v>8366</v>
      </c>
    </row>
    <row r="22" spans="1:30" collapsed="1" x14ac:dyDescent="0.25">
      <c r="A22" s="40" t="s">
        <v>12</v>
      </c>
      <c r="B22" s="45"/>
      <c r="C22" s="76" t="e">
        <f>(C6+C10+C14+C19+C20+C21)*20%</f>
        <v>#DIV/0!</v>
      </c>
      <c r="D22" s="120" t="s">
        <v>8366</v>
      </c>
      <c r="E22" s="121"/>
      <c r="F22" s="122"/>
      <c r="G22" s="122"/>
      <c r="H22" s="122"/>
      <c r="I22" s="123" t="s">
        <v>8366</v>
      </c>
      <c r="J22" s="121"/>
      <c r="K22" s="122"/>
      <c r="L22" s="122"/>
      <c r="M22" s="122"/>
      <c r="N22" s="123" t="s">
        <v>8366</v>
      </c>
      <c r="O22" s="121"/>
      <c r="P22" s="122"/>
      <c r="Q22" s="123" t="s">
        <v>8366</v>
      </c>
      <c r="R22" s="121"/>
      <c r="S22" s="122"/>
      <c r="T22" s="122"/>
      <c r="U22" s="123" t="s">
        <v>8366</v>
      </c>
      <c r="V22" s="121"/>
      <c r="W22" s="122"/>
      <c r="X22" s="122"/>
      <c r="Y22" s="123" t="s">
        <v>8366</v>
      </c>
      <c r="Z22" s="121"/>
      <c r="AA22" s="122"/>
      <c r="AB22" s="122"/>
      <c r="AC22" s="122"/>
      <c r="AD22" s="123" t="s">
        <v>8366</v>
      </c>
    </row>
  </sheetData>
  <conditionalFormatting sqref="C6:C9 C11:C13 C15:C18">
    <cfRule type="cellIs" dxfId="2" priority="2" operator="equal">
      <formula>0</formula>
    </cfRule>
  </conditionalFormatting>
  <conditionalFormatting sqref="H6:I9">
    <cfRule type="cellIs" dxfId="1" priority="11" operator="equal">
      <formula>0</formula>
    </cfRule>
  </conditionalFormatting>
  <conditionalFormatting sqref="M11:N13">
    <cfRule type="cellIs" dxfId="0" priority="3" operator="equal">
      <formula>0</formula>
    </cfRule>
  </conditionalFormatting>
  <pageMargins left="0.7" right="0.7" top="0.75" bottom="0.75" header="0.3" footer="0.3"/>
  <pageSetup paperSize="9" scale="7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3"/>
  <sheetViews>
    <sheetView workbookViewId="0">
      <selection activeCell="C22" sqref="C22"/>
    </sheetView>
  </sheetViews>
  <sheetFormatPr defaultRowHeight="15" x14ac:dyDescent="0.25"/>
  <cols>
    <col min="2" max="2" width="35.28515625" customWidth="1"/>
    <col min="3" max="3" width="81" customWidth="1"/>
  </cols>
  <sheetData>
    <row r="1" spans="1:5" x14ac:dyDescent="0.25">
      <c r="A1" s="35" t="s">
        <v>56</v>
      </c>
      <c r="B1" s="35" t="s">
        <v>8342</v>
      </c>
      <c r="C1" s="35" t="s">
        <v>8349</v>
      </c>
      <c r="D1" s="35" t="s">
        <v>11866</v>
      </c>
      <c r="E1" s="35" t="s">
        <v>11867</v>
      </c>
    </row>
    <row r="2" spans="1:5" x14ac:dyDescent="0.25">
      <c r="A2" t="s">
        <v>4</v>
      </c>
      <c r="B2" s="29" t="s">
        <v>8344</v>
      </c>
      <c r="C2" s="29" t="s">
        <v>8303</v>
      </c>
      <c r="D2">
        <v>20000</v>
      </c>
      <c r="E2">
        <v>100</v>
      </c>
    </row>
    <row r="3" spans="1:5" x14ac:dyDescent="0.25">
      <c r="A3" t="s">
        <v>8285</v>
      </c>
      <c r="B3" s="29" t="s">
        <v>8346</v>
      </c>
      <c r="C3" s="29" t="s">
        <v>8316</v>
      </c>
    </row>
    <row r="4" spans="1:5" x14ac:dyDescent="0.25">
      <c r="A4" t="s">
        <v>8</v>
      </c>
      <c r="B4" s="29" t="s">
        <v>8343</v>
      </c>
      <c r="C4" s="29" t="s">
        <v>8317</v>
      </c>
    </row>
    <row r="5" spans="1:5" x14ac:dyDescent="0.25">
      <c r="A5" t="s">
        <v>8284</v>
      </c>
      <c r="B5" s="29" t="s">
        <v>8345</v>
      </c>
      <c r="C5" s="29" t="s">
        <v>8319</v>
      </c>
    </row>
    <row r="6" spans="1:5" x14ac:dyDescent="0.25">
      <c r="A6" t="s">
        <v>8341</v>
      </c>
      <c r="C6" s="29" t="s">
        <v>8319</v>
      </c>
    </row>
    <row r="7" spans="1:5" x14ac:dyDescent="0.25">
      <c r="C7" s="31" t="s">
        <v>8327</v>
      </c>
    </row>
    <row r="8" spans="1:5" x14ac:dyDescent="0.25">
      <c r="C8" s="31" t="s">
        <v>8333</v>
      </c>
    </row>
    <row r="9" spans="1:5" x14ac:dyDescent="0.25">
      <c r="C9" s="31" t="s">
        <v>8333</v>
      </c>
    </row>
    <row r="10" spans="1:5" x14ac:dyDescent="0.25">
      <c r="C10" s="31" t="s">
        <v>8337</v>
      </c>
    </row>
    <row r="11" spans="1:5" x14ac:dyDescent="0.25">
      <c r="C11" s="31" t="s">
        <v>8328</v>
      </c>
    </row>
    <row r="12" spans="1:5" x14ac:dyDescent="0.25">
      <c r="C12" s="29" t="s">
        <v>8310</v>
      </c>
    </row>
    <row r="13" spans="1:5" x14ac:dyDescent="0.25">
      <c r="C13" s="29" t="s">
        <v>5</v>
      </c>
    </row>
    <row r="14" spans="1:5" x14ac:dyDescent="0.25">
      <c r="C14" s="29" t="s">
        <v>8307</v>
      </c>
    </row>
    <row r="15" spans="1:5" x14ac:dyDescent="0.25">
      <c r="C15" s="29" t="s">
        <v>5</v>
      </c>
    </row>
    <row r="16" spans="1:5" x14ac:dyDescent="0.25">
      <c r="C16" s="29" t="s">
        <v>8318</v>
      </c>
    </row>
    <row r="17" spans="3:3" x14ac:dyDescent="0.25">
      <c r="C17" s="29" t="s">
        <v>8334</v>
      </c>
    </row>
    <row r="18" spans="3:3" x14ac:dyDescent="0.25">
      <c r="C18" s="31" t="s">
        <v>8324</v>
      </c>
    </row>
    <row r="19" spans="3:3" x14ac:dyDescent="0.25">
      <c r="C19" s="31" t="s">
        <v>8324</v>
      </c>
    </row>
    <row r="20" spans="3:3" x14ac:dyDescent="0.25">
      <c r="C20" s="31" t="s">
        <v>8332</v>
      </c>
    </row>
    <row r="21" spans="3:3" x14ac:dyDescent="0.25">
      <c r="C21" s="31" t="s">
        <v>8332</v>
      </c>
    </row>
    <row r="22" spans="3:3" x14ac:dyDescent="0.25">
      <c r="C22" s="31" t="s">
        <v>8339</v>
      </c>
    </row>
    <row r="23" spans="3:3" x14ac:dyDescent="0.25">
      <c r="C23" s="29" t="s">
        <v>8304</v>
      </c>
    </row>
    <row r="24" spans="3:3" x14ac:dyDescent="0.25">
      <c r="C24" s="29" t="s">
        <v>8309</v>
      </c>
    </row>
    <row r="25" spans="3:3" x14ac:dyDescent="0.25">
      <c r="C25" s="29" t="s">
        <v>8304</v>
      </c>
    </row>
    <row r="26" spans="3:3" x14ac:dyDescent="0.25">
      <c r="C26" s="29" t="s">
        <v>8312</v>
      </c>
    </row>
    <row r="27" spans="3:3" x14ac:dyDescent="0.25">
      <c r="C27" s="29" t="s">
        <v>8312</v>
      </c>
    </row>
    <row r="28" spans="3:3" x14ac:dyDescent="0.25">
      <c r="C28" s="29" t="s">
        <v>8308</v>
      </c>
    </row>
    <row r="29" spans="3:3" x14ac:dyDescent="0.25">
      <c r="C29" s="29" t="s">
        <v>8309</v>
      </c>
    </row>
    <row r="30" spans="3:3" x14ac:dyDescent="0.25">
      <c r="C30" s="29" t="s">
        <v>8308</v>
      </c>
    </row>
    <row r="31" spans="3:3" x14ac:dyDescent="0.25">
      <c r="C31" s="29" t="s">
        <v>8320</v>
      </c>
    </row>
    <row r="32" spans="3:3" x14ac:dyDescent="0.25">
      <c r="C32" s="29" t="s">
        <v>8322</v>
      </c>
    </row>
    <row r="33" spans="3:3" x14ac:dyDescent="0.25">
      <c r="C33" s="29" t="s">
        <v>8322</v>
      </c>
    </row>
    <row r="34" spans="3:3" x14ac:dyDescent="0.25">
      <c r="C34" s="29" t="s">
        <v>8323</v>
      </c>
    </row>
    <row r="35" spans="3:3" x14ac:dyDescent="0.25">
      <c r="C35" s="29" t="s">
        <v>8322</v>
      </c>
    </row>
    <row r="36" spans="3:3" x14ac:dyDescent="0.25">
      <c r="C36" s="31" t="s">
        <v>8325</v>
      </c>
    </row>
    <row r="37" spans="3:3" x14ac:dyDescent="0.25">
      <c r="C37" s="31" t="s">
        <v>8330</v>
      </c>
    </row>
    <row r="38" spans="3:3" x14ac:dyDescent="0.25">
      <c r="C38" s="31" t="s">
        <v>8338</v>
      </c>
    </row>
    <row r="39" spans="3:3" x14ac:dyDescent="0.25">
      <c r="C39" s="29" t="s">
        <v>8311</v>
      </c>
    </row>
    <row r="40" spans="3:3" x14ac:dyDescent="0.25">
      <c r="C40" s="29" t="s">
        <v>8311</v>
      </c>
    </row>
    <row r="41" spans="3:3" x14ac:dyDescent="0.25">
      <c r="C41" s="29" t="s">
        <v>8306</v>
      </c>
    </row>
    <row r="42" spans="3:3" x14ac:dyDescent="0.25">
      <c r="C42" s="29" t="s">
        <v>8306</v>
      </c>
    </row>
    <row r="43" spans="3:3" x14ac:dyDescent="0.25">
      <c r="C43" s="29" t="s">
        <v>8314</v>
      </c>
    </row>
    <row r="44" spans="3:3" x14ac:dyDescent="0.25">
      <c r="C44" s="29" t="s">
        <v>8313</v>
      </c>
    </row>
    <row r="45" spans="3:3" x14ac:dyDescent="0.25">
      <c r="C45" s="29" t="s">
        <v>8313</v>
      </c>
    </row>
    <row r="46" spans="3:3" x14ac:dyDescent="0.25">
      <c r="C46" s="29" t="s">
        <v>8315</v>
      </c>
    </row>
    <row r="47" spans="3:3" x14ac:dyDescent="0.25">
      <c r="C47" s="29" t="s">
        <v>8305</v>
      </c>
    </row>
    <row r="48" spans="3:3" x14ac:dyDescent="0.25">
      <c r="C48" s="29" t="s">
        <v>8321</v>
      </c>
    </row>
    <row r="49" spans="3:3" x14ac:dyDescent="0.25">
      <c r="C49" s="31" t="s">
        <v>8326</v>
      </c>
    </row>
    <row r="50" spans="3:3" x14ac:dyDescent="0.25">
      <c r="C50" s="31" t="s">
        <v>8329</v>
      </c>
    </row>
    <row r="51" spans="3:3" x14ac:dyDescent="0.25">
      <c r="C51" s="31" t="s">
        <v>8331</v>
      </c>
    </row>
    <row r="52" spans="3:3" x14ac:dyDescent="0.25">
      <c r="C52" s="31" t="s">
        <v>8331</v>
      </c>
    </row>
    <row r="53" spans="3:3" x14ac:dyDescent="0.25">
      <c r="C53" s="31" t="s">
        <v>8336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Q9771"/>
  <sheetViews>
    <sheetView workbookViewId="0">
      <selection activeCell="C3108" sqref="C3108"/>
    </sheetView>
  </sheetViews>
  <sheetFormatPr defaultColWidth="9" defaultRowHeight="15" x14ac:dyDescent="0.25"/>
  <cols>
    <col min="1" max="1" width="64" style="44" customWidth="1"/>
    <col min="2" max="2" width="53" style="44" customWidth="1"/>
    <col min="3" max="3" width="11.7109375" style="133" customWidth="1"/>
    <col min="4" max="5" width="2.85546875" style="10" customWidth="1"/>
    <col min="6" max="6" width="7.140625" customWidth="1"/>
    <col min="7" max="7" width="2.85546875" customWidth="1"/>
    <col min="8" max="8" width="72.7109375" customWidth="1"/>
    <col min="9" max="10" width="10" customWidth="1"/>
    <col min="11" max="12" width="13.7109375" style="1" customWidth="1"/>
    <col min="14" max="14" width="25.28515625" customWidth="1"/>
    <col min="15" max="15" width="5.7109375" style="1" hidden="1" customWidth="1"/>
    <col min="16" max="16" width="19.85546875" style="1" customWidth="1"/>
    <col min="17" max="17" width="10.28515625" style="1" bestFit="1" customWidth="1"/>
  </cols>
  <sheetData>
    <row r="1" spans="1:17" ht="49.5" customHeight="1" x14ac:dyDescent="0.25">
      <c r="A1" s="41" t="s">
        <v>58</v>
      </c>
      <c r="B1" s="41" t="s">
        <v>59</v>
      </c>
      <c r="C1" s="131" t="s">
        <v>60</v>
      </c>
      <c r="D1" s="11"/>
      <c r="E1" s="11"/>
      <c r="H1" s="34" t="s">
        <v>8348</v>
      </c>
      <c r="I1" s="34" t="s">
        <v>8347</v>
      </c>
      <c r="J1" s="34" t="s">
        <v>8350</v>
      </c>
      <c r="K1" s="36" t="s">
        <v>8351</v>
      </c>
      <c r="L1" s="36"/>
      <c r="N1" s="34" t="s">
        <v>11739</v>
      </c>
      <c r="O1" s="36" t="s">
        <v>11740</v>
      </c>
      <c r="P1" s="36" t="s">
        <v>11741</v>
      </c>
      <c r="Q1" s="36" t="s">
        <v>11742</v>
      </c>
    </row>
    <row r="2" spans="1:17" ht="11.1" hidden="1" customHeight="1" x14ac:dyDescent="0.25">
      <c r="A2" s="12" t="s">
        <v>61</v>
      </c>
      <c r="B2" s="12" t="s">
        <v>62</v>
      </c>
      <c r="C2" s="14">
        <v>97.5</v>
      </c>
      <c r="D2" s="12"/>
      <c r="E2" s="13"/>
      <c r="H2" s="29" t="s">
        <v>8303</v>
      </c>
      <c r="I2">
        <v>68966</v>
      </c>
      <c r="J2">
        <f>I2*1.317</f>
        <v>90828.221999999994</v>
      </c>
      <c r="K2" s="1">
        <f>J2/165</f>
        <v>550.47407272727264</v>
      </c>
      <c r="L2" s="1">
        <f>COUNTIF($H$1:H1,H2)</f>
        <v>0</v>
      </c>
      <c r="N2" s="136" t="s">
        <v>11738</v>
      </c>
      <c r="O2" s="1">
        <f>1057960.01/1.2-145210</f>
        <v>736423.34166666667</v>
      </c>
      <c r="P2" s="138">
        <v>10679.48</v>
      </c>
      <c r="Q2" s="1">
        <f>P2/(21*11)</f>
        <v>46.231515151515147</v>
      </c>
    </row>
    <row r="3" spans="1:17" ht="11.1" hidden="1" customHeight="1" x14ac:dyDescent="0.25">
      <c r="A3" s="12" t="s">
        <v>63</v>
      </c>
      <c r="B3" s="12" t="s">
        <v>64</v>
      </c>
      <c r="C3" s="14">
        <v>408.33</v>
      </c>
      <c r="D3" s="12"/>
      <c r="E3" s="13"/>
      <c r="H3" s="29" t="s">
        <v>8316</v>
      </c>
      <c r="I3">
        <v>91954</v>
      </c>
      <c r="J3">
        <f t="shared" ref="J3:J52" si="0">I3*1.317</f>
        <v>121103.41799999999</v>
      </c>
      <c r="K3" s="1">
        <f t="shared" ref="K3:K52" si="1">J3/165</f>
        <v>733.96010909090899</v>
      </c>
      <c r="L3" s="1">
        <f>COUNTIF($H$1:H2,H3)</f>
        <v>0</v>
      </c>
      <c r="N3" s="139" t="s">
        <v>11743</v>
      </c>
      <c r="O3" s="140"/>
      <c r="P3" s="138">
        <v>5712.57</v>
      </c>
      <c r="Q3" s="1">
        <f t="shared" ref="Q3:Q66" si="2">P3/(21*11)</f>
        <v>24.729740259740257</v>
      </c>
    </row>
    <row r="4" spans="1:17" ht="11.1" hidden="1" customHeight="1" x14ac:dyDescent="0.25">
      <c r="A4" s="12" t="s">
        <v>65</v>
      </c>
      <c r="B4" s="12" t="s">
        <v>66</v>
      </c>
      <c r="C4" s="14">
        <v>166.67</v>
      </c>
      <c r="D4" s="12"/>
      <c r="E4" s="13"/>
      <c r="H4" s="29" t="s">
        <v>8317</v>
      </c>
      <c r="I4">
        <v>91954</v>
      </c>
      <c r="J4">
        <f t="shared" si="0"/>
        <v>121103.41799999999</v>
      </c>
      <c r="K4" s="1">
        <f t="shared" si="1"/>
        <v>733.96010909090899</v>
      </c>
      <c r="L4" s="1">
        <f>COUNTIF($H$1:H3,H4)</f>
        <v>0</v>
      </c>
      <c r="N4" s="139" t="s">
        <v>11744</v>
      </c>
      <c r="O4" s="140"/>
      <c r="P4" s="138">
        <v>18500</v>
      </c>
      <c r="Q4" s="1">
        <f t="shared" si="2"/>
        <v>80.086580086580085</v>
      </c>
    </row>
    <row r="5" spans="1:17" ht="11.1" hidden="1" customHeight="1" x14ac:dyDescent="0.25">
      <c r="A5" s="12" t="s">
        <v>67</v>
      </c>
      <c r="B5" s="12" t="s">
        <v>68</v>
      </c>
      <c r="C5" s="14">
        <v>209416.67</v>
      </c>
      <c r="D5" s="12"/>
      <c r="E5" s="14"/>
      <c r="H5" s="29" t="s">
        <v>8319</v>
      </c>
      <c r="I5">
        <v>103449</v>
      </c>
      <c r="J5">
        <f>I5*1.317</f>
        <v>136242.33299999998</v>
      </c>
      <c r="K5" s="1">
        <f t="shared" si="1"/>
        <v>825.71110909090896</v>
      </c>
      <c r="L5" s="1">
        <f>COUNTIF($H$1:H4,H5)</f>
        <v>0</v>
      </c>
      <c r="N5" s="139" t="s">
        <v>11745</v>
      </c>
      <c r="O5" s="140"/>
      <c r="P5" s="138">
        <v>17760</v>
      </c>
      <c r="Q5" s="1">
        <f t="shared" si="2"/>
        <v>76.883116883116884</v>
      </c>
    </row>
    <row r="6" spans="1:17" ht="11.1" hidden="1" customHeight="1" x14ac:dyDescent="0.25">
      <c r="A6" s="12" t="s">
        <v>69</v>
      </c>
      <c r="B6" s="12" t="s">
        <v>70</v>
      </c>
      <c r="C6" s="14">
        <v>51.67</v>
      </c>
      <c r="D6" s="12"/>
      <c r="E6" s="13"/>
      <c r="H6" s="29" t="s">
        <v>8319</v>
      </c>
      <c r="I6">
        <v>91954</v>
      </c>
      <c r="J6">
        <f t="shared" si="0"/>
        <v>121103.41799999999</v>
      </c>
      <c r="L6" s="1">
        <f>COUNTIF($H$1:H5,H6)</f>
        <v>1</v>
      </c>
      <c r="N6" s="139" t="s">
        <v>11746</v>
      </c>
      <c r="O6" s="140"/>
      <c r="P6" s="138">
        <v>17760</v>
      </c>
      <c r="Q6" s="1">
        <f t="shared" si="2"/>
        <v>76.883116883116884</v>
      </c>
    </row>
    <row r="7" spans="1:17" ht="11.1" hidden="1" customHeight="1" x14ac:dyDescent="0.25">
      <c r="A7" s="12" t="s">
        <v>71</v>
      </c>
      <c r="B7" s="12" t="s">
        <v>72</v>
      </c>
      <c r="C7" s="14">
        <v>422.87</v>
      </c>
      <c r="D7" s="12"/>
      <c r="E7" s="13"/>
      <c r="H7" s="31" t="s">
        <v>8327</v>
      </c>
      <c r="I7" s="32">
        <v>126437</v>
      </c>
      <c r="J7" s="32">
        <f t="shared" si="0"/>
        <v>166517.52899999998</v>
      </c>
      <c r="K7" s="1">
        <f t="shared" si="1"/>
        <v>1009.1971454545453</v>
      </c>
      <c r="L7" s="1">
        <f>COUNTIF($H$1:H6,H7)</f>
        <v>0</v>
      </c>
      <c r="N7" s="139" t="s">
        <v>11747</v>
      </c>
      <c r="O7" s="140"/>
      <c r="P7" s="138">
        <v>8760</v>
      </c>
      <c r="Q7" s="1">
        <f t="shared" si="2"/>
        <v>37.922077922077925</v>
      </c>
    </row>
    <row r="8" spans="1:17" ht="11.1" hidden="1" customHeight="1" x14ac:dyDescent="0.25">
      <c r="A8" s="12" t="s">
        <v>73</v>
      </c>
      <c r="B8" s="12" t="s">
        <v>74</v>
      </c>
      <c r="C8" s="14">
        <v>33333.33</v>
      </c>
      <c r="D8" s="12"/>
      <c r="E8" s="14"/>
      <c r="H8" s="31" t="s">
        <v>8333</v>
      </c>
      <c r="I8" s="32">
        <v>137931</v>
      </c>
      <c r="J8" s="32">
        <f t="shared" si="0"/>
        <v>181655.12699999998</v>
      </c>
      <c r="K8" s="1">
        <f t="shared" si="1"/>
        <v>1100.9401636363634</v>
      </c>
      <c r="L8" s="1">
        <f>COUNTIF($H$1:H7,H8)</f>
        <v>0</v>
      </c>
      <c r="N8" s="139" t="s">
        <v>11748</v>
      </c>
      <c r="O8" s="140"/>
      <c r="P8" s="138">
        <v>23291.31</v>
      </c>
      <c r="Q8" s="1">
        <f t="shared" si="2"/>
        <v>100.82818181818182</v>
      </c>
    </row>
    <row r="9" spans="1:17" ht="11.1" hidden="1" customHeight="1" x14ac:dyDescent="0.25">
      <c r="A9" s="12" t="s">
        <v>75</v>
      </c>
      <c r="B9" s="12" t="s">
        <v>76</v>
      </c>
      <c r="C9" s="14">
        <v>27902.5</v>
      </c>
      <c r="D9" s="12"/>
      <c r="E9" s="14"/>
      <c r="H9" s="31" t="s">
        <v>8337</v>
      </c>
      <c r="I9" s="32">
        <v>195402</v>
      </c>
      <c r="J9" s="32">
        <f t="shared" si="0"/>
        <v>257344.43399999998</v>
      </c>
      <c r="K9" s="1">
        <f t="shared" si="1"/>
        <v>1559.6632363636363</v>
      </c>
      <c r="L9" s="1">
        <f>COUNTIF($H$1:H8,H9)</f>
        <v>0</v>
      </c>
      <c r="N9" s="139" t="s">
        <v>11749</v>
      </c>
      <c r="O9" s="140"/>
      <c r="P9" s="138">
        <v>23291.31</v>
      </c>
      <c r="Q9" s="1">
        <f t="shared" si="2"/>
        <v>100.82818181818182</v>
      </c>
    </row>
    <row r="10" spans="1:17" ht="36" hidden="1" x14ac:dyDescent="0.25">
      <c r="A10" s="12" t="s">
        <v>77</v>
      </c>
      <c r="B10" s="12" t="s">
        <v>78</v>
      </c>
      <c r="C10" s="14">
        <v>86138.05</v>
      </c>
      <c r="D10" s="12"/>
      <c r="E10" s="14"/>
      <c r="H10" s="31" t="s">
        <v>8328</v>
      </c>
      <c r="I10" s="32">
        <v>413794</v>
      </c>
      <c r="J10" s="32">
        <f t="shared" si="0"/>
        <v>544966.69799999997</v>
      </c>
      <c r="K10" s="1">
        <f t="shared" si="1"/>
        <v>3302.8284727272726</v>
      </c>
      <c r="L10" s="1">
        <f>COUNTIF($H$1:H9,H10)</f>
        <v>0</v>
      </c>
      <c r="N10" s="139" t="s">
        <v>11750</v>
      </c>
      <c r="O10" s="140"/>
      <c r="P10" s="138">
        <v>23291.31</v>
      </c>
      <c r="Q10" s="1">
        <f t="shared" si="2"/>
        <v>100.82818181818182</v>
      </c>
    </row>
    <row r="11" spans="1:17" ht="11.1" hidden="1" customHeight="1" x14ac:dyDescent="0.25">
      <c r="A11" s="12" t="s">
        <v>79</v>
      </c>
      <c r="B11" s="12" t="s">
        <v>80</v>
      </c>
      <c r="C11" s="14">
        <v>325</v>
      </c>
      <c r="D11" s="12"/>
      <c r="E11" s="13"/>
      <c r="H11" s="29" t="s">
        <v>8310</v>
      </c>
      <c r="I11" s="30">
        <v>80460</v>
      </c>
      <c r="J11" s="30">
        <f t="shared" si="0"/>
        <v>105965.81999999999</v>
      </c>
      <c r="K11" s="1">
        <f t="shared" si="1"/>
        <v>642.21709090909087</v>
      </c>
      <c r="L11" s="1">
        <f>COUNTIF($H$1:H10,H11)</f>
        <v>0</v>
      </c>
      <c r="N11" s="139" t="s">
        <v>11751</v>
      </c>
      <c r="O11" s="140"/>
      <c r="P11" s="138">
        <v>23291.31</v>
      </c>
      <c r="Q11" s="1">
        <f t="shared" si="2"/>
        <v>100.82818181818182</v>
      </c>
    </row>
    <row r="12" spans="1:17" ht="13.5" hidden="1" customHeight="1" x14ac:dyDescent="0.25">
      <c r="A12" s="12" t="s">
        <v>81</v>
      </c>
      <c r="B12" s="12" t="s">
        <v>80</v>
      </c>
      <c r="C12" s="14">
        <v>325</v>
      </c>
      <c r="D12" s="12"/>
      <c r="E12" s="13"/>
      <c r="H12" s="29" t="s">
        <v>8307</v>
      </c>
      <c r="I12" s="30">
        <v>103449</v>
      </c>
      <c r="J12" s="30">
        <f>I12*1.317</f>
        <v>136242.33299999998</v>
      </c>
      <c r="K12" s="1">
        <f t="shared" si="1"/>
        <v>825.71110909090896</v>
      </c>
      <c r="L12" s="1">
        <f>COUNTIF($H$1:H11,H12)</f>
        <v>0</v>
      </c>
      <c r="N12" s="139" t="s">
        <v>11752</v>
      </c>
      <c r="O12" s="140"/>
      <c r="P12" s="138">
        <v>8760</v>
      </c>
      <c r="Q12" s="1">
        <f t="shared" si="2"/>
        <v>37.922077922077925</v>
      </c>
    </row>
    <row r="13" spans="1:17" ht="11.1" hidden="1" customHeight="1" x14ac:dyDescent="0.25">
      <c r="A13" s="12" t="s">
        <v>82</v>
      </c>
      <c r="B13" s="12" t="s">
        <v>80</v>
      </c>
      <c r="C13" s="14">
        <v>5</v>
      </c>
      <c r="D13" s="12"/>
      <c r="E13" s="13"/>
      <c r="H13" s="29" t="s">
        <v>5</v>
      </c>
      <c r="I13" s="30">
        <v>114942</v>
      </c>
      <c r="J13" s="30">
        <f>I13*1.317</f>
        <v>151378.614</v>
      </c>
      <c r="K13" s="1">
        <f t="shared" si="1"/>
        <v>917.44614545454544</v>
      </c>
      <c r="L13" s="1">
        <f>COUNTIF($H$1:H12,H13)</f>
        <v>0</v>
      </c>
      <c r="N13" s="139" t="s">
        <v>11753</v>
      </c>
      <c r="O13" s="140"/>
      <c r="P13" s="138">
        <v>8760</v>
      </c>
      <c r="Q13" s="1">
        <f t="shared" si="2"/>
        <v>37.922077922077925</v>
      </c>
    </row>
    <row r="14" spans="1:17" ht="11.1" hidden="1" customHeight="1" x14ac:dyDescent="0.25">
      <c r="A14" s="12" t="s">
        <v>83</v>
      </c>
      <c r="B14" s="12" t="s">
        <v>84</v>
      </c>
      <c r="C14" s="14">
        <v>0.54</v>
      </c>
      <c r="D14" s="12"/>
      <c r="E14" s="13"/>
      <c r="H14" s="29" t="s">
        <v>5</v>
      </c>
      <c r="I14" s="30">
        <v>91954</v>
      </c>
      <c r="J14" s="30">
        <f t="shared" si="0"/>
        <v>121103.41799999999</v>
      </c>
      <c r="L14" s="1">
        <f>COUNTIF($H$1:H13,H14)</f>
        <v>1</v>
      </c>
      <c r="N14" s="139" t="s">
        <v>11754</v>
      </c>
      <c r="O14" s="140"/>
      <c r="P14" s="138">
        <v>8760</v>
      </c>
      <c r="Q14" s="1">
        <f t="shared" si="2"/>
        <v>37.922077922077925</v>
      </c>
    </row>
    <row r="15" spans="1:17" ht="11.1" hidden="1" customHeight="1" x14ac:dyDescent="0.25">
      <c r="A15" s="12" t="s">
        <v>85</v>
      </c>
      <c r="B15" s="12" t="s">
        <v>86</v>
      </c>
      <c r="C15" s="14">
        <v>5.83</v>
      </c>
      <c r="D15" s="12"/>
      <c r="E15" s="13"/>
      <c r="H15" s="29" t="s">
        <v>8318</v>
      </c>
      <c r="I15" s="30">
        <v>114942</v>
      </c>
      <c r="J15" s="30">
        <f t="shared" si="0"/>
        <v>151378.614</v>
      </c>
      <c r="K15" s="1">
        <f t="shared" si="1"/>
        <v>917.44614545454544</v>
      </c>
      <c r="L15" s="1">
        <f>COUNTIF($H$1:H14,H15)</f>
        <v>0</v>
      </c>
      <c r="N15" s="139" t="s">
        <v>11755</v>
      </c>
      <c r="O15" s="140"/>
      <c r="P15" s="138">
        <v>8760</v>
      </c>
      <c r="Q15" s="1">
        <f t="shared" si="2"/>
        <v>37.922077922077925</v>
      </c>
    </row>
    <row r="16" spans="1:17" ht="11.1" hidden="1" customHeight="1" x14ac:dyDescent="0.25">
      <c r="A16" s="12" t="s">
        <v>87</v>
      </c>
      <c r="B16" s="12" t="s">
        <v>80</v>
      </c>
      <c r="C16" s="14">
        <v>5</v>
      </c>
      <c r="D16" s="12"/>
      <c r="E16" s="13"/>
      <c r="H16" s="29" t="s">
        <v>8334</v>
      </c>
      <c r="I16" s="30">
        <v>149425</v>
      </c>
      <c r="J16" s="30">
        <f t="shared" si="0"/>
        <v>196792.72500000001</v>
      </c>
      <c r="K16" s="1">
        <f t="shared" si="1"/>
        <v>1192.6831818181818</v>
      </c>
      <c r="L16" s="1">
        <f>COUNTIF($H$1:H15,H16)</f>
        <v>0</v>
      </c>
      <c r="N16" s="139" t="s">
        <v>11756</v>
      </c>
      <c r="O16" s="140"/>
      <c r="P16" s="138">
        <v>8760</v>
      </c>
      <c r="Q16" s="1">
        <f t="shared" si="2"/>
        <v>37.922077922077925</v>
      </c>
    </row>
    <row r="17" spans="1:17" ht="11.1" hidden="1" customHeight="1" x14ac:dyDescent="0.25">
      <c r="A17" s="12" t="s">
        <v>88</v>
      </c>
      <c r="B17" s="12" t="s">
        <v>84</v>
      </c>
      <c r="C17" s="14">
        <v>5</v>
      </c>
      <c r="D17" s="12"/>
      <c r="E17" s="13"/>
      <c r="H17" s="31" t="s">
        <v>8324</v>
      </c>
      <c r="I17" s="33">
        <v>126437</v>
      </c>
      <c r="J17" s="33">
        <f>I17*1.317</f>
        <v>166517.52899999998</v>
      </c>
      <c r="K17" s="1">
        <f>J17/165</f>
        <v>1009.1971454545453</v>
      </c>
      <c r="L17" s="1">
        <f>COUNTIF($H$1:H16,H17)</f>
        <v>0</v>
      </c>
      <c r="M17">
        <v>8</v>
      </c>
      <c r="N17" s="139" t="s">
        <v>11757</v>
      </c>
      <c r="O17" s="140"/>
      <c r="P17" s="138">
        <v>8760</v>
      </c>
      <c r="Q17" s="1">
        <f t="shared" si="2"/>
        <v>37.922077922077925</v>
      </c>
    </row>
    <row r="18" spans="1:17" ht="11.1" hidden="1" customHeight="1" x14ac:dyDescent="0.25">
      <c r="A18" s="12" t="s">
        <v>89</v>
      </c>
      <c r="B18" s="12" t="s">
        <v>84</v>
      </c>
      <c r="C18" s="14">
        <v>5</v>
      </c>
      <c r="D18" s="12"/>
      <c r="E18" s="13"/>
      <c r="H18" s="31" t="s">
        <v>8324</v>
      </c>
      <c r="I18" s="33">
        <v>114942</v>
      </c>
      <c r="J18" s="33">
        <f t="shared" si="0"/>
        <v>151378.614</v>
      </c>
      <c r="L18" s="1">
        <f>COUNTIF($H$1:H17,H18)</f>
        <v>1</v>
      </c>
      <c r="N18" s="139" t="s">
        <v>11758</v>
      </c>
      <c r="O18" s="140"/>
      <c r="P18" s="138">
        <v>8760</v>
      </c>
      <c r="Q18" s="1">
        <f t="shared" si="2"/>
        <v>37.922077922077925</v>
      </c>
    </row>
    <row r="19" spans="1:17" ht="11.1" hidden="1" customHeight="1" x14ac:dyDescent="0.25">
      <c r="A19" s="12" t="s">
        <v>90</v>
      </c>
      <c r="B19" s="12" t="s">
        <v>84</v>
      </c>
      <c r="C19" s="14">
        <v>5</v>
      </c>
      <c r="D19" s="12"/>
      <c r="E19" s="13"/>
      <c r="H19" s="31" t="s">
        <v>8332</v>
      </c>
      <c r="I19" s="33">
        <v>149425</v>
      </c>
      <c r="J19" s="33">
        <f>I19*1.317</f>
        <v>196792.72500000001</v>
      </c>
      <c r="K19" s="1">
        <f>J19/165</f>
        <v>1192.6831818181818</v>
      </c>
      <c r="L19" s="1">
        <f>COUNTIF($H$1:H18,H19)</f>
        <v>0</v>
      </c>
      <c r="N19" s="139" t="s">
        <v>11759</v>
      </c>
      <c r="O19" s="140"/>
      <c r="P19" s="138">
        <v>27666.67</v>
      </c>
      <c r="Q19" s="1">
        <f t="shared" si="2"/>
        <v>119.76913419913419</v>
      </c>
    </row>
    <row r="20" spans="1:17" ht="11.1" hidden="1" customHeight="1" x14ac:dyDescent="0.25">
      <c r="A20" s="12" t="s">
        <v>91</v>
      </c>
      <c r="B20" s="12" t="s">
        <v>80</v>
      </c>
      <c r="C20" s="14">
        <v>5</v>
      </c>
      <c r="D20" s="12"/>
      <c r="E20" s="13"/>
      <c r="H20" s="31" t="s">
        <v>8332</v>
      </c>
      <c r="I20" s="33">
        <v>137931</v>
      </c>
      <c r="J20" s="33">
        <f t="shared" si="0"/>
        <v>181655.12699999998</v>
      </c>
      <c r="L20" s="1">
        <f>COUNTIF($H$1:H19,H20)</f>
        <v>1</v>
      </c>
      <c r="N20" s="139" t="s">
        <v>11760</v>
      </c>
      <c r="O20" s="140"/>
      <c r="P20" s="138">
        <v>101351.35</v>
      </c>
      <c r="Q20" s="1">
        <f t="shared" si="2"/>
        <v>438.75043290043294</v>
      </c>
    </row>
    <row r="21" spans="1:17" ht="11.1" hidden="1" customHeight="1" x14ac:dyDescent="0.25">
      <c r="A21" s="12" t="s">
        <v>92</v>
      </c>
      <c r="B21" s="12" t="s">
        <v>84</v>
      </c>
      <c r="C21" s="14">
        <v>5</v>
      </c>
      <c r="D21" s="12"/>
      <c r="E21" s="13"/>
      <c r="H21" s="31" t="s">
        <v>8335</v>
      </c>
      <c r="I21" s="33">
        <v>149425</v>
      </c>
      <c r="J21" s="33">
        <f t="shared" si="0"/>
        <v>196792.72500000001</v>
      </c>
      <c r="K21" s="1">
        <f t="shared" si="1"/>
        <v>1192.6831818181818</v>
      </c>
      <c r="L21" s="1">
        <f>COUNTIF($H$1:H20,H21)</f>
        <v>0</v>
      </c>
      <c r="N21" s="139" t="s">
        <v>171</v>
      </c>
      <c r="O21" s="140"/>
      <c r="P21" s="138">
        <v>9803.14</v>
      </c>
      <c r="Q21" s="1">
        <f t="shared" si="2"/>
        <v>42.437835497835493</v>
      </c>
    </row>
    <row r="22" spans="1:17" ht="11.1" hidden="1" customHeight="1" x14ac:dyDescent="0.25">
      <c r="A22" s="12" t="s">
        <v>93</v>
      </c>
      <c r="B22" s="12" t="s">
        <v>80</v>
      </c>
      <c r="C22" s="14">
        <v>5</v>
      </c>
      <c r="D22" s="12"/>
      <c r="E22" s="13"/>
      <c r="H22" s="31" t="s">
        <v>8339</v>
      </c>
      <c r="I22" s="33">
        <v>206897</v>
      </c>
      <c r="J22" s="33">
        <f t="shared" si="0"/>
        <v>272483.34899999999</v>
      </c>
      <c r="K22" s="1">
        <f t="shared" si="1"/>
        <v>1651.4142363636363</v>
      </c>
      <c r="L22" s="1">
        <f>COUNTIF($H$1:H21,H22)</f>
        <v>0</v>
      </c>
      <c r="N22" s="139" t="s">
        <v>613</v>
      </c>
      <c r="O22" s="140"/>
      <c r="P22" s="138">
        <v>5145.8</v>
      </c>
      <c r="Q22" s="1">
        <f t="shared" si="2"/>
        <v>22.276190476190475</v>
      </c>
    </row>
    <row r="23" spans="1:17" ht="11.1" hidden="1" customHeight="1" x14ac:dyDescent="0.25">
      <c r="A23" s="12" t="s">
        <v>94</v>
      </c>
      <c r="B23" s="12" t="s">
        <v>84</v>
      </c>
      <c r="C23" s="14">
        <v>5</v>
      </c>
      <c r="D23" s="12"/>
      <c r="E23" s="13"/>
      <c r="H23" s="31" t="s">
        <v>8340</v>
      </c>
      <c r="I23" s="33">
        <v>206897</v>
      </c>
      <c r="J23" s="33">
        <f t="shared" si="0"/>
        <v>272483.34899999999</v>
      </c>
      <c r="K23" s="1">
        <f t="shared" si="1"/>
        <v>1651.4142363636363</v>
      </c>
      <c r="L23" s="1">
        <f>COUNTIF($H$1:H22,H23)</f>
        <v>0</v>
      </c>
      <c r="N23" s="139" t="s">
        <v>615</v>
      </c>
      <c r="O23" s="140"/>
      <c r="P23" s="138">
        <v>5145.8</v>
      </c>
      <c r="Q23" s="1">
        <f t="shared" si="2"/>
        <v>22.276190476190475</v>
      </c>
    </row>
    <row r="24" spans="1:17" ht="11.1" hidden="1" customHeight="1" x14ac:dyDescent="0.25">
      <c r="A24" s="12" t="s">
        <v>95</v>
      </c>
      <c r="B24" s="12" t="s">
        <v>80</v>
      </c>
      <c r="C24" s="14">
        <v>5</v>
      </c>
      <c r="D24" s="12"/>
      <c r="E24" s="13"/>
      <c r="H24" s="29" t="s">
        <v>8304</v>
      </c>
      <c r="I24" s="30">
        <v>80460</v>
      </c>
      <c r="J24" s="30">
        <f>I24*1.317</f>
        <v>105965.81999999999</v>
      </c>
      <c r="K24" s="1">
        <f>J24/165</f>
        <v>642.21709090909087</v>
      </c>
      <c r="L24" s="1">
        <f>COUNTIF($H$1:H23,H24)</f>
        <v>0</v>
      </c>
      <c r="N24" s="139" t="s">
        <v>616</v>
      </c>
      <c r="O24" s="140"/>
      <c r="P24" s="138">
        <v>22347.33</v>
      </c>
      <c r="Q24" s="1">
        <f t="shared" si="2"/>
        <v>96.741688311688321</v>
      </c>
    </row>
    <row r="25" spans="1:17" ht="11.1" hidden="1" customHeight="1" x14ac:dyDescent="0.25">
      <c r="A25" s="12" t="s">
        <v>96</v>
      </c>
      <c r="B25" s="12" t="s">
        <v>84</v>
      </c>
      <c r="C25" s="14">
        <v>5</v>
      </c>
      <c r="D25" s="12"/>
      <c r="E25" s="13"/>
      <c r="H25" s="29" t="s">
        <v>8304</v>
      </c>
      <c r="I25" s="30">
        <v>68966</v>
      </c>
      <c r="J25" s="30">
        <f t="shared" si="0"/>
        <v>90828.221999999994</v>
      </c>
      <c r="L25" s="1">
        <f>COUNTIF($H$1:H24,H25)</f>
        <v>1</v>
      </c>
      <c r="N25" s="139" t="s">
        <v>617</v>
      </c>
      <c r="O25" s="140"/>
      <c r="P25" s="138">
        <v>22347.33</v>
      </c>
      <c r="Q25" s="1">
        <f t="shared" si="2"/>
        <v>96.741688311688321</v>
      </c>
    </row>
    <row r="26" spans="1:17" ht="11.1" hidden="1" customHeight="1" x14ac:dyDescent="0.25">
      <c r="A26" s="12" t="s">
        <v>97</v>
      </c>
      <c r="B26" s="12" t="s">
        <v>84</v>
      </c>
      <c r="C26" s="14">
        <v>5</v>
      </c>
      <c r="D26" s="12"/>
      <c r="E26" s="13"/>
      <c r="H26" s="29" t="s">
        <v>8309</v>
      </c>
      <c r="I26" s="30">
        <v>91954</v>
      </c>
      <c r="J26" s="30">
        <f>I26*1.317</f>
        <v>121103.41799999999</v>
      </c>
      <c r="K26" s="1">
        <f>J26/165</f>
        <v>733.96010909090899</v>
      </c>
      <c r="L26" s="1">
        <f>COUNTIF($H$1:H25,H26)</f>
        <v>0</v>
      </c>
      <c r="N26" s="139" t="s">
        <v>11761</v>
      </c>
      <c r="O26" s="140"/>
      <c r="P26" s="138">
        <v>18037.39</v>
      </c>
      <c r="Q26" s="1">
        <f t="shared" si="2"/>
        <v>78.083939393939389</v>
      </c>
    </row>
    <row r="27" spans="1:17" ht="11.1" hidden="1" customHeight="1" x14ac:dyDescent="0.25">
      <c r="A27" s="12" t="s">
        <v>98</v>
      </c>
      <c r="B27" s="12" t="s">
        <v>84</v>
      </c>
      <c r="C27" s="14">
        <v>5</v>
      </c>
      <c r="D27" s="12"/>
      <c r="E27" s="13"/>
      <c r="H27" s="29" t="s">
        <v>8309</v>
      </c>
      <c r="I27" s="30">
        <v>80460</v>
      </c>
      <c r="J27" s="30">
        <f t="shared" si="0"/>
        <v>105965.81999999999</v>
      </c>
      <c r="L27" s="1">
        <f>COUNTIF($H$1:H26,H27)</f>
        <v>1</v>
      </c>
      <c r="N27" s="139" t="s">
        <v>11762</v>
      </c>
      <c r="O27" s="140"/>
      <c r="P27" s="138">
        <v>18037.39</v>
      </c>
      <c r="Q27" s="1">
        <f t="shared" si="2"/>
        <v>78.083939393939389</v>
      </c>
    </row>
    <row r="28" spans="1:17" ht="11.1" hidden="1" customHeight="1" x14ac:dyDescent="0.25">
      <c r="A28" s="12" t="s">
        <v>99</v>
      </c>
      <c r="B28" s="12" t="s">
        <v>100</v>
      </c>
      <c r="C28" s="14">
        <v>1.68</v>
      </c>
      <c r="D28" s="12"/>
      <c r="E28" s="13"/>
      <c r="H28" s="29" t="s">
        <v>8312</v>
      </c>
      <c r="I28" s="30">
        <v>91954</v>
      </c>
      <c r="J28" s="30">
        <f>I28*1.317</f>
        <v>121103.41799999999</v>
      </c>
      <c r="K28" s="1">
        <f>J28/165</f>
        <v>733.96010909090899</v>
      </c>
      <c r="L28" s="1">
        <f>COUNTIF($H$1:H27,H28)</f>
        <v>0</v>
      </c>
      <c r="N28" s="139" t="s">
        <v>11763</v>
      </c>
      <c r="O28" s="140"/>
      <c r="P28" s="138">
        <v>20106.25</v>
      </c>
      <c r="Q28" s="1">
        <f t="shared" si="2"/>
        <v>87.040043290043286</v>
      </c>
    </row>
    <row r="29" spans="1:17" ht="11.1" hidden="1" customHeight="1" x14ac:dyDescent="0.25">
      <c r="A29" s="12" t="s">
        <v>101</v>
      </c>
      <c r="B29" s="12" t="s">
        <v>102</v>
      </c>
      <c r="C29" s="14">
        <v>11.92</v>
      </c>
      <c r="D29" s="12"/>
      <c r="E29" s="13"/>
      <c r="H29" s="29" t="s">
        <v>8312</v>
      </c>
      <c r="I29" s="30">
        <v>80460</v>
      </c>
      <c r="J29" s="30">
        <f t="shared" si="0"/>
        <v>105965.81999999999</v>
      </c>
      <c r="L29" s="1">
        <f>COUNTIF($H$1:H28,H29)</f>
        <v>1</v>
      </c>
      <c r="N29" s="139" t="s">
        <v>11764</v>
      </c>
      <c r="O29" s="140"/>
      <c r="P29" s="138">
        <v>20106.25</v>
      </c>
      <c r="Q29" s="1">
        <f t="shared" si="2"/>
        <v>87.040043290043286</v>
      </c>
    </row>
    <row r="30" spans="1:17" ht="11.1" hidden="1" customHeight="1" x14ac:dyDescent="0.25">
      <c r="A30" s="12" t="s">
        <v>103</v>
      </c>
      <c r="B30" s="12" t="s">
        <v>104</v>
      </c>
      <c r="C30" s="14">
        <v>5.7</v>
      </c>
      <c r="D30" s="12"/>
      <c r="E30" s="13"/>
      <c r="H30" s="29" t="s">
        <v>8308</v>
      </c>
      <c r="I30" s="30">
        <v>103449</v>
      </c>
      <c r="J30" s="30">
        <f>I30*1.317</f>
        <v>136242.33299999998</v>
      </c>
      <c r="K30" s="1">
        <f>J30/165</f>
        <v>825.71110909090896</v>
      </c>
      <c r="L30" s="1">
        <f>COUNTIF($H$1:H29,H30)</f>
        <v>0</v>
      </c>
      <c r="N30" s="139" t="s">
        <v>1264</v>
      </c>
      <c r="O30" s="140"/>
      <c r="P30" s="138">
        <v>7869.32</v>
      </c>
      <c r="Q30" s="1">
        <f t="shared" si="2"/>
        <v>34.066320346320346</v>
      </c>
    </row>
    <row r="31" spans="1:17" ht="11.1" hidden="1" customHeight="1" x14ac:dyDescent="0.25">
      <c r="A31" s="12" t="s">
        <v>105</v>
      </c>
      <c r="B31" s="12" t="s">
        <v>104</v>
      </c>
      <c r="C31" s="14">
        <v>5.7</v>
      </c>
      <c r="D31" s="12"/>
      <c r="E31" s="13"/>
      <c r="H31" s="29" t="s">
        <v>8308</v>
      </c>
      <c r="I31" s="30">
        <v>91954</v>
      </c>
      <c r="J31" s="30">
        <f>I31*1.317</f>
        <v>121103.41799999999</v>
      </c>
      <c r="L31" s="1">
        <f>COUNTIF($H$1:H30,H31)</f>
        <v>1</v>
      </c>
      <c r="N31" s="139" t="s">
        <v>1847</v>
      </c>
      <c r="O31" s="140"/>
      <c r="P31" s="138">
        <v>101964.8</v>
      </c>
      <c r="Q31" s="1">
        <f t="shared" si="2"/>
        <v>441.40606060606063</v>
      </c>
    </row>
    <row r="32" spans="1:17" ht="11.1" hidden="1" customHeight="1" x14ac:dyDescent="0.25">
      <c r="A32" s="12" t="s">
        <v>106</v>
      </c>
      <c r="B32" s="12" t="s">
        <v>104</v>
      </c>
      <c r="C32" s="14">
        <v>5.72</v>
      </c>
      <c r="D32" s="12"/>
      <c r="E32" s="13"/>
      <c r="H32" s="29" t="s">
        <v>8320</v>
      </c>
      <c r="I32" s="30">
        <v>103449</v>
      </c>
      <c r="J32" s="30">
        <f t="shared" si="0"/>
        <v>136242.33299999998</v>
      </c>
      <c r="K32" s="1">
        <f t="shared" si="1"/>
        <v>825.71110909090896</v>
      </c>
      <c r="L32" s="1">
        <f>COUNTIF($H$1:H31,H32)</f>
        <v>0</v>
      </c>
      <c r="N32" s="139" t="s">
        <v>11765</v>
      </c>
      <c r="O32" s="140"/>
      <c r="P32" s="138">
        <v>101964.8</v>
      </c>
      <c r="Q32" s="1">
        <f t="shared" si="2"/>
        <v>441.40606060606063</v>
      </c>
    </row>
    <row r="33" spans="1:17" ht="11.1" hidden="1" customHeight="1" x14ac:dyDescent="0.25">
      <c r="A33" s="12" t="s">
        <v>107</v>
      </c>
      <c r="B33" s="12" t="s">
        <v>104</v>
      </c>
      <c r="C33" s="14">
        <v>5.7</v>
      </c>
      <c r="D33" s="12"/>
      <c r="E33" s="13"/>
      <c r="H33" s="29" t="s">
        <v>8323</v>
      </c>
      <c r="I33" s="30">
        <v>114942</v>
      </c>
      <c r="J33" s="30">
        <f t="shared" si="0"/>
        <v>151378.614</v>
      </c>
      <c r="K33" s="1">
        <f t="shared" si="1"/>
        <v>917.44614545454544</v>
      </c>
      <c r="L33" s="1">
        <f>COUNTIF($H$1:H32,H33)</f>
        <v>0</v>
      </c>
      <c r="N33" s="139" t="s">
        <v>11766</v>
      </c>
      <c r="O33" s="140"/>
      <c r="P33" s="138">
        <v>23490.99</v>
      </c>
      <c r="Q33" s="1">
        <f t="shared" si="2"/>
        <v>101.69259740259741</v>
      </c>
    </row>
    <row r="34" spans="1:17" ht="11.1" hidden="1" customHeight="1" x14ac:dyDescent="0.25">
      <c r="A34" s="12" t="s">
        <v>108</v>
      </c>
      <c r="B34" s="12" t="s">
        <v>104</v>
      </c>
      <c r="C34" s="14">
        <v>5.7</v>
      </c>
      <c r="D34" s="12"/>
      <c r="E34" s="13"/>
      <c r="H34" s="29" t="s">
        <v>8322</v>
      </c>
      <c r="I34" s="30">
        <v>114942</v>
      </c>
      <c r="J34" s="30">
        <f t="shared" si="0"/>
        <v>151378.614</v>
      </c>
      <c r="K34" s="1">
        <f t="shared" si="1"/>
        <v>917.44614545454544</v>
      </c>
      <c r="L34" s="1">
        <f>COUNTIF($H$1:H33,H34)</f>
        <v>0</v>
      </c>
      <c r="N34" s="139" t="s">
        <v>11503</v>
      </c>
      <c r="O34" s="140"/>
      <c r="P34" s="138">
        <v>2717.06</v>
      </c>
      <c r="Q34" s="1">
        <f t="shared" si="2"/>
        <v>11.762164502164502</v>
      </c>
    </row>
    <row r="35" spans="1:17" ht="11.1" hidden="1" customHeight="1" x14ac:dyDescent="0.25">
      <c r="A35" s="12" t="s">
        <v>109</v>
      </c>
      <c r="B35" s="12" t="s">
        <v>104</v>
      </c>
      <c r="C35" s="14">
        <v>5.72</v>
      </c>
      <c r="D35" s="12"/>
      <c r="E35" s="13"/>
      <c r="H35" s="31" t="s">
        <v>8325</v>
      </c>
      <c r="I35" s="33">
        <v>126437</v>
      </c>
      <c r="J35" s="33">
        <f t="shared" si="0"/>
        <v>166517.52899999998</v>
      </c>
      <c r="K35" s="1">
        <f t="shared" si="1"/>
        <v>1009.1971454545453</v>
      </c>
      <c r="L35" s="1">
        <f>COUNTIF($H$1:H34,H35)</f>
        <v>0</v>
      </c>
      <c r="N35" s="139" t="s">
        <v>11767</v>
      </c>
      <c r="O35" s="140"/>
      <c r="P35" s="138">
        <v>6350.44</v>
      </c>
      <c r="Q35" s="1">
        <f t="shared" si="2"/>
        <v>27.491082251082251</v>
      </c>
    </row>
    <row r="36" spans="1:17" ht="11.1" hidden="1" customHeight="1" x14ac:dyDescent="0.25">
      <c r="A36" s="12" t="s">
        <v>110</v>
      </c>
      <c r="B36" s="12" t="s">
        <v>102</v>
      </c>
      <c r="C36" s="14">
        <v>5.79</v>
      </c>
      <c r="D36" s="12"/>
      <c r="E36" s="13"/>
      <c r="H36" s="31" t="s">
        <v>8330</v>
      </c>
      <c r="I36" s="33">
        <v>137931</v>
      </c>
      <c r="J36" s="33">
        <f t="shared" si="0"/>
        <v>181655.12699999998</v>
      </c>
      <c r="K36" s="1">
        <f t="shared" si="1"/>
        <v>1100.9401636363634</v>
      </c>
      <c r="L36" s="1">
        <f>COUNTIF($H$1:H35,H36)</f>
        <v>0</v>
      </c>
      <c r="N36" s="139" t="s">
        <v>11768</v>
      </c>
      <c r="O36" s="140"/>
      <c r="P36" s="138">
        <v>9039.1299999999992</v>
      </c>
      <c r="Q36" s="1">
        <f t="shared" si="2"/>
        <v>39.130432900432893</v>
      </c>
    </row>
    <row r="37" spans="1:17" ht="11.1" hidden="1" customHeight="1" x14ac:dyDescent="0.25">
      <c r="A37" s="12" t="s">
        <v>111</v>
      </c>
      <c r="B37" s="12" t="s">
        <v>80</v>
      </c>
      <c r="C37" s="14">
        <v>10.83</v>
      </c>
      <c r="D37" s="12"/>
      <c r="E37" s="13"/>
      <c r="H37" s="31" t="s">
        <v>8338</v>
      </c>
      <c r="I37" s="33">
        <v>206897</v>
      </c>
      <c r="J37" s="33">
        <f t="shared" si="0"/>
        <v>272483.34899999999</v>
      </c>
      <c r="K37" s="1">
        <f t="shared" si="1"/>
        <v>1651.4142363636363</v>
      </c>
      <c r="L37" s="1">
        <f>COUNTIF($H$1:H36,H37)</f>
        <v>0</v>
      </c>
      <c r="N37" s="139" t="s">
        <v>11769</v>
      </c>
      <c r="O37" s="140"/>
      <c r="P37" s="138">
        <v>8074.79</v>
      </c>
      <c r="Q37" s="1">
        <f t="shared" si="2"/>
        <v>34.955800865800867</v>
      </c>
    </row>
    <row r="38" spans="1:17" ht="11.1" hidden="1" customHeight="1" x14ac:dyDescent="0.25">
      <c r="A38" s="12" t="s">
        <v>112</v>
      </c>
      <c r="B38" s="12" t="s">
        <v>80</v>
      </c>
      <c r="C38" s="14">
        <v>10.83</v>
      </c>
      <c r="D38" s="12"/>
      <c r="E38" s="13"/>
      <c r="H38" s="29" t="s">
        <v>8311</v>
      </c>
      <c r="I38" s="30">
        <v>103449</v>
      </c>
      <c r="J38" s="30">
        <f t="shared" si="0"/>
        <v>136242.33299999998</v>
      </c>
      <c r="K38" s="1">
        <f t="shared" si="1"/>
        <v>825.71110909090896</v>
      </c>
      <c r="L38" s="1">
        <f>COUNTIF($H$1:H37,H38)</f>
        <v>0</v>
      </c>
      <c r="N38" s="139" t="s">
        <v>11770</v>
      </c>
      <c r="O38" s="140"/>
      <c r="P38" s="138">
        <v>12471.31</v>
      </c>
      <c r="Q38" s="1">
        <f t="shared" si="2"/>
        <v>53.988354978354977</v>
      </c>
    </row>
    <row r="39" spans="1:17" ht="11.1" hidden="1" customHeight="1" x14ac:dyDescent="0.25">
      <c r="A39" s="12" t="s">
        <v>113</v>
      </c>
      <c r="B39" s="12" t="s">
        <v>114</v>
      </c>
      <c r="C39" s="14">
        <v>208.33</v>
      </c>
      <c r="D39" s="12"/>
      <c r="E39" s="13"/>
      <c r="H39" s="29" t="s">
        <v>8311</v>
      </c>
      <c r="I39" s="30">
        <v>80460</v>
      </c>
      <c r="J39" s="30">
        <f t="shared" si="0"/>
        <v>105965.81999999999</v>
      </c>
      <c r="L39" s="1">
        <f>COUNTIF($H$1:H38,H39)</f>
        <v>1</v>
      </c>
      <c r="N39" s="139" t="s">
        <v>11771</v>
      </c>
      <c r="O39" s="140"/>
      <c r="P39" s="138">
        <v>11434.72</v>
      </c>
      <c r="Q39" s="1">
        <f t="shared" si="2"/>
        <v>49.500952380952377</v>
      </c>
    </row>
    <row r="40" spans="1:17" ht="11.1" hidden="1" customHeight="1" x14ac:dyDescent="0.25">
      <c r="A40" s="12" t="s">
        <v>115</v>
      </c>
      <c r="B40" s="12" t="s">
        <v>116</v>
      </c>
      <c r="C40" s="14">
        <v>172.95</v>
      </c>
      <c r="D40" s="12"/>
      <c r="E40" s="13"/>
      <c r="H40" s="29" t="s">
        <v>8306</v>
      </c>
      <c r="I40" s="30">
        <v>103449</v>
      </c>
      <c r="J40" s="30">
        <f t="shared" si="0"/>
        <v>136242.33299999998</v>
      </c>
      <c r="K40" s="1">
        <f t="shared" si="1"/>
        <v>825.71110909090896</v>
      </c>
      <c r="L40" s="1">
        <f>COUNTIF($H$1:H39,H40)</f>
        <v>0</v>
      </c>
      <c r="N40" s="139" t="s">
        <v>11772</v>
      </c>
      <c r="O40" s="140"/>
      <c r="P40" s="138">
        <v>178903.48</v>
      </c>
      <c r="Q40" s="1">
        <f t="shared" si="2"/>
        <v>774.47393939393942</v>
      </c>
    </row>
    <row r="41" spans="1:17" ht="11.1" hidden="1" customHeight="1" x14ac:dyDescent="0.25">
      <c r="A41" s="12" t="s">
        <v>117</v>
      </c>
      <c r="B41" s="12" t="s">
        <v>118</v>
      </c>
      <c r="C41" s="14">
        <v>2030.63</v>
      </c>
      <c r="D41" s="12"/>
      <c r="E41" s="14"/>
      <c r="H41" s="29" t="s">
        <v>8306</v>
      </c>
      <c r="I41" s="30">
        <v>80460</v>
      </c>
      <c r="J41" s="30">
        <f t="shared" si="0"/>
        <v>105965.81999999999</v>
      </c>
      <c r="L41" s="1">
        <f>COUNTIF($H$1:H40,H41)</f>
        <v>1</v>
      </c>
      <c r="N41" s="139" t="s">
        <v>2408</v>
      </c>
      <c r="O41" s="140"/>
      <c r="P41" s="138">
        <v>29117.65</v>
      </c>
      <c r="Q41" s="1">
        <f t="shared" si="2"/>
        <v>126.05043290043291</v>
      </c>
    </row>
    <row r="42" spans="1:17" ht="11.1" hidden="1" customHeight="1" x14ac:dyDescent="0.25">
      <c r="A42" s="12" t="s">
        <v>119</v>
      </c>
      <c r="B42" s="12" t="s">
        <v>120</v>
      </c>
      <c r="C42" s="14">
        <v>7791.67</v>
      </c>
      <c r="D42" s="12"/>
      <c r="E42" s="14"/>
      <c r="H42" s="29" t="s">
        <v>8314</v>
      </c>
      <c r="I42" s="30">
        <v>80460</v>
      </c>
      <c r="J42" s="30">
        <f t="shared" si="0"/>
        <v>105965.81999999999</v>
      </c>
      <c r="K42" s="1">
        <f t="shared" si="1"/>
        <v>642.21709090909087</v>
      </c>
      <c r="L42" s="1">
        <f>COUNTIF($H$1:H41,H42)</f>
        <v>0</v>
      </c>
      <c r="N42" s="139" t="s">
        <v>11773</v>
      </c>
      <c r="O42" s="140"/>
      <c r="P42" s="138">
        <v>4122.95</v>
      </c>
      <c r="Q42" s="1">
        <f t="shared" si="2"/>
        <v>17.848268398268399</v>
      </c>
    </row>
    <row r="43" spans="1:17" ht="11.1" hidden="1" customHeight="1" x14ac:dyDescent="0.25">
      <c r="A43" s="12" t="s">
        <v>121</v>
      </c>
      <c r="B43" s="12" t="s">
        <v>80</v>
      </c>
      <c r="C43" s="14">
        <v>5.83</v>
      </c>
      <c r="D43" s="12"/>
      <c r="E43" s="13"/>
      <c r="H43" s="29" t="s">
        <v>8313</v>
      </c>
      <c r="I43" s="30">
        <v>103449</v>
      </c>
      <c r="J43" s="30">
        <f t="shared" si="0"/>
        <v>136242.33299999998</v>
      </c>
      <c r="K43" s="1">
        <f t="shared" si="1"/>
        <v>825.71110909090896</v>
      </c>
      <c r="L43" s="1">
        <f>COUNTIF($H$1:H42,H43)</f>
        <v>0</v>
      </c>
      <c r="N43" s="139" t="s">
        <v>2746</v>
      </c>
      <c r="O43" s="140"/>
      <c r="P43" s="138">
        <v>16361.59</v>
      </c>
      <c r="Q43" s="1">
        <f t="shared" si="2"/>
        <v>70.829393939393938</v>
      </c>
    </row>
    <row r="44" spans="1:17" ht="11.1" hidden="1" customHeight="1" x14ac:dyDescent="0.25">
      <c r="A44" s="12" t="s">
        <v>122</v>
      </c>
      <c r="B44" s="12" t="s">
        <v>123</v>
      </c>
      <c r="C44" s="14">
        <v>8.0500000000000007</v>
      </c>
      <c r="D44" s="12"/>
      <c r="E44" s="13"/>
      <c r="H44" s="29" t="s">
        <v>8313</v>
      </c>
      <c r="I44" s="30">
        <v>80460</v>
      </c>
      <c r="J44" s="30">
        <f t="shared" si="0"/>
        <v>105965.81999999999</v>
      </c>
      <c r="L44" s="1">
        <f>COUNTIF($H$1:H43,H44)</f>
        <v>1</v>
      </c>
      <c r="N44" s="139" t="s">
        <v>11774</v>
      </c>
      <c r="O44" s="140"/>
      <c r="P44" s="138">
        <v>7983.91</v>
      </c>
      <c r="Q44" s="1">
        <f t="shared" si="2"/>
        <v>34.562380952380948</v>
      </c>
    </row>
    <row r="45" spans="1:17" ht="11.1" hidden="1" customHeight="1" x14ac:dyDescent="0.25">
      <c r="A45" s="12" t="s">
        <v>124</v>
      </c>
      <c r="B45" s="12" t="s">
        <v>80</v>
      </c>
      <c r="C45" s="14">
        <v>7.5</v>
      </c>
      <c r="D45" s="12"/>
      <c r="E45" s="13"/>
      <c r="H45" s="29" t="s">
        <v>8315</v>
      </c>
      <c r="I45" s="30">
        <v>80460</v>
      </c>
      <c r="J45" s="30">
        <f t="shared" si="0"/>
        <v>105965.81999999999</v>
      </c>
      <c r="K45" s="1">
        <f t="shared" si="1"/>
        <v>642.21709090909087</v>
      </c>
      <c r="L45" s="1">
        <f>COUNTIF($H$1:H44,H45)</f>
        <v>0</v>
      </c>
      <c r="N45" s="139" t="s">
        <v>11775</v>
      </c>
      <c r="O45" s="140"/>
      <c r="P45" s="138">
        <v>2924.35</v>
      </c>
      <c r="Q45" s="1">
        <f t="shared" si="2"/>
        <v>12.65952380952381</v>
      </c>
    </row>
    <row r="46" spans="1:17" ht="11.1" hidden="1" customHeight="1" x14ac:dyDescent="0.25">
      <c r="A46" s="12" t="s">
        <v>125</v>
      </c>
      <c r="B46" s="12" t="s">
        <v>126</v>
      </c>
      <c r="C46" s="14">
        <v>46665.83</v>
      </c>
      <c r="D46" s="12"/>
      <c r="E46" s="14"/>
      <c r="H46" s="29" t="s">
        <v>8305</v>
      </c>
      <c r="I46" s="30">
        <v>103449</v>
      </c>
      <c r="J46" s="30">
        <f t="shared" si="0"/>
        <v>136242.33299999998</v>
      </c>
      <c r="K46" s="1">
        <f t="shared" si="1"/>
        <v>825.71110909090896</v>
      </c>
      <c r="L46" s="1">
        <f>COUNTIF($H$1:H45,H46)</f>
        <v>0</v>
      </c>
      <c r="N46" s="139" t="s">
        <v>11776</v>
      </c>
      <c r="O46" s="140"/>
      <c r="P46" s="138">
        <v>2924.35</v>
      </c>
      <c r="Q46" s="1">
        <f t="shared" si="2"/>
        <v>12.65952380952381</v>
      </c>
    </row>
    <row r="47" spans="1:17" ht="11.1" hidden="1" customHeight="1" x14ac:dyDescent="0.25">
      <c r="A47" s="12" t="s">
        <v>127</v>
      </c>
      <c r="B47" s="12" t="s">
        <v>128</v>
      </c>
      <c r="C47" s="14">
        <v>35832.5</v>
      </c>
      <c r="D47" s="12"/>
      <c r="E47" s="14"/>
      <c r="H47" s="29" t="s">
        <v>8321</v>
      </c>
      <c r="I47" s="30">
        <v>103449</v>
      </c>
      <c r="J47" s="30">
        <f t="shared" si="0"/>
        <v>136242.33299999998</v>
      </c>
      <c r="K47" s="1">
        <f t="shared" si="1"/>
        <v>825.71110909090896</v>
      </c>
      <c r="L47" s="1">
        <f>COUNTIF($H$1:H46,H47)</f>
        <v>0</v>
      </c>
      <c r="N47" s="139" t="s">
        <v>3339</v>
      </c>
      <c r="O47" s="140"/>
      <c r="P47" s="138">
        <v>2206.77</v>
      </c>
      <c r="Q47" s="1">
        <f t="shared" si="2"/>
        <v>9.5531168831168838</v>
      </c>
    </row>
    <row r="48" spans="1:17" ht="11.1" hidden="1" customHeight="1" x14ac:dyDescent="0.25">
      <c r="A48" s="12" t="s">
        <v>129</v>
      </c>
      <c r="B48" s="12" t="s">
        <v>80</v>
      </c>
      <c r="C48" s="14">
        <v>10.83</v>
      </c>
      <c r="D48" s="12"/>
      <c r="E48" s="13"/>
      <c r="H48" s="31" t="s">
        <v>8326</v>
      </c>
      <c r="I48" s="33">
        <v>126437</v>
      </c>
      <c r="J48" s="33">
        <f t="shared" si="0"/>
        <v>166517.52899999998</v>
      </c>
      <c r="K48" s="1">
        <f t="shared" si="1"/>
        <v>1009.1971454545453</v>
      </c>
      <c r="L48" s="1">
        <f>COUNTIF($H$1:H47,H48)</f>
        <v>0</v>
      </c>
      <c r="N48" s="139" t="s">
        <v>3340</v>
      </c>
      <c r="O48" s="140"/>
      <c r="P48" s="138">
        <v>2206.77</v>
      </c>
      <c r="Q48" s="1">
        <f t="shared" si="2"/>
        <v>9.5531168831168838</v>
      </c>
    </row>
    <row r="49" spans="1:17" ht="23.1" hidden="1" customHeight="1" x14ac:dyDescent="0.25">
      <c r="A49" s="12" t="s">
        <v>130</v>
      </c>
      <c r="B49" s="12" t="s">
        <v>114</v>
      </c>
      <c r="C49" s="14">
        <v>191.67</v>
      </c>
      <c r="D49" s="12"/>
      <c r="E49" s="13"/>
      <c r="H49" s="31" t="s">
        <v>8329</v>
      </c>
      <c r="I49" s="33">
        <v>137931</v>
      </c>
      <c r="J49" s="33">
        <f t="shared" si="0"/>
        <v>181655.12699999998</v>
      </c>
      <c r="K49" s="1">
        <f t="shared" si="1"/>
        <v>1100.9401636363634</v>
      </c>
      <c r="L49" s="1">
        <f>COUNTIF($H$1:H48,H49)</f>
        <v>0</v>
      </c>
      <c r="N49" s="139" t="s">
        <v>11777</v>
      </c>
      <c r="O49" s="140"/>
      <c r="P49" s="138">
        <v>75066</v>
      </c>
      <c r="Q49" s="1">
        <f t="shared" si="2"/>
        <v>324.96103896103898</v>
      </c>
    </row>
    <row r="50" spans="1:17" ht="23.1" hidden="1" customHeight="1" x14ac:dyDescent="0.25">
      <c r="A50" s="12" t="s">
        <v>131</v>
      </c>
      <c r="B50" s="12" t="s">
        <v>128</v>
      </c>
      <c r="C50" s="14">
        <v>105832.5</v>
      </c>
      <c r="D50" s="12"/>
      <c r="E50" s="14"/>
      <c r="H50" s="31" t="s">
        <v>8331</v>
      </c>
      <c r="I50" s="33">
        <v>149425</v>
      </c>
      <c r="J50" s="33">
        <f>I50*1.317</f>
        <v>196792.72500000001</v>
      </c>
      <c r="K50" s="1">
        <f>J50/165</f>
        <v>1192.6831818181818</v>
      </c>
      <c r="L50" s="1">
        <f>COUNTIF($H$1:H49,H50)</f>
        <v>0</v>
      </c>
      <c r="N50" s="139" t="s">
        <v>11778</v>
      </c>
      <c r="O50" s="140"/>
      <c r="P50" s="138">
        <v>77236.52</v>
      </c>
      <c r="Q50" s="1">
        <f t="shared" si="2"/>
        <v>334.35722943722948</v>
      </c>
    </row>
    <row r="51" spans="1:17" ht="11.1" hidden="1" customHeight="1" x14ac:dyDescent="0.25">
      <c r="A51" s="12" t="s">
        <v>132</v>
      </c>
      <c r="B51" s="12" t="s">
        <v>133</v>
      </c>
      <c r="C51" s="14">
        <v>3400</v>
      </c>
      <c r="D51" s="12"/>
      <c r="E51" s="14"/>
      <c r="H51" s="31" t="s">
        <v>8331</v>
      </c>
      <c r="I51" s="33">
        <v>137931</v>
      </c>
      <c r="J51" s="33">
        <f t="shared" si="0"/>
        <v>181655.12699999998</v>
      </c>
      <c r="L51" s="1">
        <f>COUNTIF($H$1:H50,H51)</f>
        <v>1</v>
      </c>
      <c r="N51" s="139" t="s">
        <v>3483</v>
      </c>
      <c r="O51" s="140"/>
      <c r="P51" s="138">
        <v>47540.98</v>
      </c>
      <c r="Q51" s="1">
        <f t="shared" si="2"/>
        <v>205.80510822510823</v>
      </c>
    </row>
    <row r="52" spans="1:17" ht="11.1" hidden="1" customHeight="1" x14ac:dyDescent="0.25">
      <c r="A52" s="12" t="s">
        <v>134</v>
      </c>
      <c r="B52" s="12" t="s">
        <v>80</v>
      </c>
      <c r="C52" s="14">
        <v>7.5</v>
      </c>
      <c r="D52" s="12"/>
      <c r="E52" s="13"/>
      <c r="H52" s="31" t="s">
        <v>8336</v>
      </c>
      <c r="I52" s="33">
        <v>172414</v>
      </c>
      <c r="J52" s="33">
        <f t="shared" si="0"/>
        <v>227069.23799999998</v>
      </c>
      <c r="K52" s="1">
        <f t="shared" si="1"/>
        <v>1376.1771999999999</v>
      </c>
      <c r="L52" s="1">
        <f>COUNTIF($H$1:H51,H52)</f>
        <v>0</v>
      </c>
      <c r="N52" s="139" t="s">
        <v>11779</v>
      </c>
      <c r="O52" s="140"/>
      <c r="P52" s="138">
        <v>1766.11</v>
      </c>
      <c r="Q52" s="1">
        <f t="shared" si="2"/>
        <v>7.6454978354978351</v>
      </c>
    </row>
    <row r="53" spans="1:17" ht="23.1" hidden="1" customHeight="1" x14ac:dyDescent="0.25">
      <c r="A53" s="12" t="s">
        <v>135</v>
      </c>
      <c r="B53" s="12" t="s">
        <v>136</v>
      </c>
      <c r="C53" s="14">
        <v>2.54</v>
      </c>
      <c r="D53" s="12"/>
      <c r="E53" s="13"/>
      <c r="N53" s="139" t="s">
        <v>11780</v>
      </c>
      <c r="O53" s="140"/>
      <c r="P53" s="138">
        <v>8908.66</v>
      </c>
      <c r="Q53" s="1">
        <f t="shared" si="2"/>
        <v>38.565627705627705</v>
      </c>
    </row>
    <row r="54" spans="1:17" ht="11.1" hidden="1" customHeight="1" x14ac:dyDescent="0.25">
      <c r="A54" s="12" t="s">
        <v>137</v>
      </c>
      <c r="B54" s="12" t="s">
        <v>84</v>
      </c>
      <c r="C54" s="14">
        <v>0.67</v>
      </c>
      <c r="D54" s="12"/>
      <c r="E54" s="13"/>
      <c r="N54" s="139" t="s">
        <v>11781</v>
      </c>
      <c r="O54" s="140"/>
      <c r="P54" s="138">
        <v>8908.66</v>
      </c>
      <c r="Q54" s="1">
        <f t="shared" si="2"/>
        <v>38.565627705627705</v>
      </c>
    </row>
    <row r="55" spans="1:17" ht="11.1" hidden="1" customHeight="1" x14ac:dyDescent="0.25">
      <c r="A55" s="12" t="s">
        <v>138</v>
      </c>
      <c r="B55" s="12" t="s">
        <v>139</v>
      </c>
      <c r="C55" s="14">
        <v>850</v>
      </c>
      <c r="D55" s="12"/>
      <c r="E55" s="13"/>
      <c r="N55" s="139" t="s">
        <v>11782</v>
      </c>
      <c r="O55" s="140"/>
      <c r="P55" s="138">
        <v>8908.66</v>
      </c>
      <c r="Q55" s="1">
        <f t="shared" si="2"/>
        <v>38.565627705627705</v>
      </c>
    </row>
    <row r="56" spans="1:17" ht="11.1" hidden="1" customHeight="1" x14ac:dyDescent="0.25">
      <c r="A56" s="12" t="s">
        <v>140</v>
      </c>
      <c r="B56" s="12" t="s">
        <v>80</v>
      </c>
      <c r="C56" s="14">
        <v>7.5</v>
      </c>
      <c r="D56" s="12"/>
      <c r="E56" s="13"/>
      <c r="N56" s="139" t="s">
        <v>11783</v>
      </c>
      <c r="O56" s="140"/>
      <c r="P56" s="138">
        <v>8908.66</v>
      </c>
      <c r="Q56" s="1">
        <f t="shared" si="2"/>
        <v>38.565627705627705</v>
      </c>
    </row>
    <row r="57" spans="1:17" ht="11.1" hidden="1" customHeight="1" x14ac:dyDescent="0.25">
      <c r="A57" s="12" t="s">
        <v>141</v>
      </c>
      <c r="B57" s="12" t="s">
        <v>142</v>
      </c>
      <c r="C57" s="14">
        <v>199.3</v>
      </c>
      <c r="D57" s="12"/>
      <c r="E57" s="13"/>
      <c r="N57" s="139" t="s">
        <v>11784</v>
      </c>
      <c r="O57" s="140"/>
      <c r="P57" s="138">
        <v>8908.66</v>
      </c>
      <c r="Q57" s="1">
        <f t="shared" si="2"/>
        <v>38.565627705627705</v>
      </c>
    </row>
    <row r="58" spans="1:17" ht="11.1" hidden="1" customHeight="1" x14ac:dyDescent="0.25">
      <c r="A58" s="12" t="s">
        <v>143</v>
      </c>
      <c r="B58" s="12" t="s">
        <v>144</v>
      </c>
      <c r="C58" s="14">
        <v>18750</v>
      </c>
      <c r="D58" s="12"/>
      <c r="E58" s="14"/>
      <c r="N58" s="139" t="s">
        <v>11785</v>
      </c>
      <c r="O58" s="140"/>
      <c r="P58" s="138">
        <v>8908.66</v>
      </c>
      <c r="Q58" s="1">
        <f t="shared" si="2"/>
        <v>38.565627705627705</v>
      </c>
    </row>
    <row r="59" spans="1:17" ht="11.1" hidden="1" customHeight="1" x14ac:dyDescent="0.25">
      <c r="A59" s="12" t="s">
        <v>145</v>
      </c>
      <c r="B59" s="12" t="s">
        <v>146</v>
      </c>
      <c r="C59" s="14">
        <v>2302.9899999999998</v>
      </c>
      <c r="D59" s="12"/>
      <c r="E59" s="14"/>
      <c r="N59" s="139" t="s">
        <v>11786</v>
      </c>
      <c r="O59" s="140"/>
      <c r="P59" s="138">
        <v>8908.66</v>
      </c>
      <c r="Q59" s="1">
        <f t="shared" si="2"/>
        <v>38.565627705627705</v>
      </c>
    </row>
    <row r="60" spans="1:17" ht="11.1" hidden="1" customHeight="1" x14ac:dyDescent="0.25">
      <c r="A60" s="12" t="s">
        <v>147</v>
      </c>
      <c r="B60" s="12" t="s">
        <v>84</v>
      </c>
      <c r="C60" s="14">
        <v>2.5</v>
      </c>
      <c r="D60" s="12"/>
      <c r="E60" s="13"/>
      <c r="N60" s="139" t="s">
        <v>11787</v>
      </c>
      <c r="O60" s="140"/>
      <c r="P60" s="138">
        <v>8908.66</v>
      </c>
      <c r="Q60" s="1">
        <f t="shared" si="2"/>
        <v>38.565627705627705</v>
      </c>
    </row>
    <row r="61" spans="1:17" ht="11.1" hidden="1" customHeight="1" x14ac:dyDescent="0.25">
      <c r="A61" s="12" t="s">
        <v>148</v>
      </c>
      <c r="B61" s="12" t="s">
        <v>149</v>
      </c>
      <c r="C61" s="14">
        <v>4.55</v>
      </c>
      <c r="D61" s="12"/>
      <c r="E61" s="13"/>
      <c r="N61" s="139" t="s">
        <v>11788</v>
      </c>
      <c r="O61" s="140"/>
      <c r="P61" s="138">
        <v>2041.39</v>
      </c>
      <c r="Q61" s="1">
        <f t="shared" si="2"/>
        <v>8.8371861471861468</v>
      </c>
    </row>
    <row r="62" spans="1:17" ht="11.1" hidden="1" customHeight="1" x14ac:dyDescent="0.25">
      <c r="A62" s="12" t="s">
        <v>150</v>
      </c>
      <c r="B62" s="12" t="s">
        <v>151</v>
      </c>
      <c r="C62" s="14">
        <v>5.83</v>
      </c>
      <c r="D62" s="12"/>
      <c r="E62" s="13"/>
      <c r="N62" s="139" t="s">
        <v>11789</v>
      </c>
      <c r="O62" s="140"/>
      <c r="P62" s="138">
        <v>8376.67</v>
      </c>
      <c r="Q62" s="1">
        <f t="shared" si="2"/>
        <v>36.262640692640694</v>
      </c>
    </row>
    <row r="63" spans="1:17" ht="11.1" hidden="1" customHeight="1" x14ac:dyDescent="0.25">
      <c r="A63" s="12" t="s">
        <v>152</v>
      </c>
      <c r="B63" s="12" t="s">
        <v>153</v>
      </c>
      <c r="C63" s="14">
        <v>3081.04</v>
      </c>
      <c r="D63" s="12"/>
      <c r="E63" s="14"/>
      <c r="N63" s="139" t="s">
        <v>11790</v>
      </c>
      <c r="O63" s="140"/>
      <c r="P63" s="138">
        <v>282529.57</v>
      </c>
      <c r="Q63" s="1">
        <f t="shared" si="2"/>
        <v>1223.0717316017317</v>
      </c>
    </row>
    <row r="64" spans="1:17" ht="11.1" hidden="1" customHeight="1" x14ac:dyDescent="0.25">
      <c r="A64" s="12" t="s">
        <v>154</v>
      </c>
      <c r="B64" s="12" t="s">
        <v>155</v>
      </c>
      <c r="C64" s="14">
        <v>512500</v>
      </c>
      <c r="D64" s="12"/>
      <c r="E64" s="14"/>
      <c r="N64" s="139" t="s">
        <v>11791</v>
      </c>
      <c r="O64" s="140"/>
      <c r="P64" s="138">
        <v>45719.42</v>
      </c>
      <c r="Q64" s="1">
        <f t="shared" si="2"/>
        <v>197.9195670995671</v>
      </c>
    </row>
    <row r="65" spans="1:17" ht="11.1" hidden="1" customHeight="1" x14ac:dyDescent="0.25">
      <c r="A65" s="12" t="s">
        <v>156</v>
      </c>
      <c r="B65" s="12" t="s">
        <v>80</v>
      </c>
      <c r="C65" s="14">
        <v>7.5</v>
      </c>
      <c r="D65" s="12"/>
      <c r="E65" s="13"/>
      <c r="N65" s="139" t="s">
        <v>10122</v>
      </c>
      <c r="O65" s="140"/>
      <c r="P65" s="138">
        <v>11060</v>
      </c>
      <c r="Q65" s="1">
        <f t="shared" si="2"/>
        <v>47.878787878787875</v>
      </c>
    </row>
    <row r="66" spans="1:17" ht="11.1" hidden="1" customHeight="1" x14ac:dyDescent="0.25">
      <c r="A66" s="12" t="s">
        <v>157</v>
      </c>
      <c r="B66" s="12" t="s">
        <v>114</v>
      </c>
      <c r="C66" s="14">
        <v>208.33</v>
      </c>
      <c r="D66" s="12"/>
      <c r="E66" s="13"/>
      <c r="N66" s="139" t="s">
        <v>11792</v>
      </c>
      <c r="O66" s="140"/>
      <c r="P66" s="138">
        <v>18513.34</v>
      </c>
      <c r="Q66" s="1">
        <f t="shared" si="2"/>
        <v>80.144329004329009</v>
      </c>
    </row>
    <row r="67" spans="1:17" ht="11.1" hidden="1" customHeight="1" x14ac:dyDescent="0.25">
      <c r="A67" s="12" t="s">
        <v>158</v>
      </c>
      <c r="B67" s="12" t="s">
        <v>84</v>
      </c>
      <c r="C67" s="14">
        <v>133.33000000000001</v>
      </c>
      <c r="D67" s="12"/>
      <c r="E67" s="13"/>
      <c r="N67" s="139" t="s">
        <v>11793</v>
      </c>
      <c r="O67" s="140"/>
      <c r="P67" s="138">
        <v>4549.66</v>
      </c>
      <c r="Q67" s="1">
        <f t="shared" ref="Q67:Q130" si="3">P67/(21*11)</f>
        <v>19.695497835497836</v>
      </c>
    </row>
    <row r="68" spans="1:17" ht="11.1" hidden="1" customHeight="1" x14ac:dyDescent="0.25">
      <c r="A68" s="12" t="s">
        <v>159</v>
      </c>
      <c r="B68" s="12" t="s">
        <v>84</v>
      </c>
      <c r="C68" s="14">
        <v>141.66999999999999</v>
      </c>
      <c r="D68" s="12"/>
      <c r="E68" s="13"/>
      <c r="N68" s="139" t="s">
        <v>11794</v>
      </c>
      <c r="O68" s="140"/>
      <c r="P68" s="138">
        <v>4549.66</v>
      </c>
      <c r="Q68" s="1">
        <f t="shared" si="3"/>
        <v>19.695497835497836</v>
      </c>
    </row>
    <row r="69" spans="1:17" ht="11.1" hidden="1" customHeight="1" x14ac:dyDescent="0.25">
      <c r="A69" s="12" t="s">
        <v>160</v>
      </c>
      <c r="B69" s="12" t="s">
        <v>84</v>
      </c>
      <c r="C69" s="14">
        <v>141.66999999999999</v>
      </c>
      <c r="D69" s="12"/>
      <c r="E69" s="13"/>
      <c r="N69" s="139" t="s">
        <v>11795</v>
      </c>
      <c r="O69" s="140"/>
      <c r="P69" s="138">
        <v>2601.09</v>
      </c>
      <c r="Q69" s="1">
        <f t="shared" si="3"/>
        <v>11.260129870129871</v>
      </c>
    </row>
    <row r="70" spans="1:17" ht="11.1" hidden="1" customHeight="1" x14ac:dyDescent="0.25">
      <c r="A70" s="12" t="s">
        <v>161</v>
      </c>
      <c r="B70" s="12" t="s">
        <v>86</v>
      </c>
      <c r="C70" s="14">
        <v>81.67</v>
      </c>
      <c r="D70" s="12"/>
      <c r="E70" s="13"/>
      <c r="N70" s="139" t="s">
        <v>11796</v>
      </c>
      <c r="O70" s="140"/>
      <c r="P70" s="138">
        <v>23166.959999999999</v>
      </c>
      <c r="Q70" s="1">
        <f t="shared" si="3"/>
        <v>100.28987012987012</v>
      </c>
    </row>
    <row r="71" spans="1:17" ht="11.1" hidden="1" customHeight="1" x14ac:dyDescent="0.25">
      <c r="A71" s="12" t="s">
        <v>162</v>
      </c>
      <c r="B71" s="12" t="s">
        <v>84</v>
      </c>
      <c r="C71" s="14">
        <v>116.67</v>
      </c>
      <c r="D71" s="12"/>
      <c r="E71" s="13"/>
      <c r="N71" s="139" t="s">
        <v>11797</v>
      </c>
      <c r="O71" s="140"/>
      <c r="P71" s="138">
        <v>7395.65</v>
      </c>
      <c r="Q71" s="1">
        <f t="shared" si="3"/>
        <v>32.015800865800863</v>
      </c>
    </row>
    <row r="72" spans="1:17" ht="11.1" hidden="1" customHeight="1" x14ac:dyDescent="0.25">
      <c r="A72" s="12" t="s">
        <v>163</v>
      </c>
      <c r="B72" s="12" t="s">
        <v>86</v>
      </c>
      <c r="C72" s="14">
        <v>91.67</v>
      </c>
      <c r="D72" s="12"/>
      <c r="E72" s="13"/>
      <c r="N72" s="139" t="s">
        <v>11798</v>
      </c>
      <c r="O72" s="140"/>
      <c r="P72" s="138">
        <v>213850.44</v>
      </c>
      <c r="Q72" s="1">
        <f t="shared" si="3"/>
        <v>925.75948051948058</v>
      </c>
    </row>
    <row r="73" spans="1:17" ht="11.1" hidden="1" customHeight="1" x14ac:dyDescent="0.25">
      <c r="A73" s="12" t="s">
        <v>164</v>
      </c>
      <c r="B73" s="12" t="s">
        <v>86</v>
      </c>
      <c r="C73" s="14">
        <v>60.83</v>
      </c>
      <c r="D73" s="12"/>
      <c r="E73" s="13"/>
      <c r="N73" s="139" t="s">
        <v>11799</v>
      </c>
      <c r="O73" s="140"/>
      <c r="P73" s="138">
        <v>38029.410000000003</v>
      </c>
      <c r="Q73" s="1">
        <f t="shared" si="3"/>
        <v>164.62948051948052</v>
      </c>
    </row>
    <row r="74" spans="1:17" ht="11.1" hidden="1" customHeight="1" x14ac:dyDescent="0.25">
      <c r="A74" s="12" t="s">
        <v>165</v>
      </c>
      <c r="B74" s="12" t="s">
        <v>166</v>
      </c>
      <c r="C74" s="14">
        <v>5416.67</v>
      </c>
      <c r="D74" s="12"/>
      <c r="E74" s="14"/>
      <c r="N74" s="139" t="s">
        <v>11800</v>
      </c>
      <c r="O74" s="140"/>
      <c r="P74" s="138">
        <v>37147.06</v>
      </c>
      <c r="Q74" s="1">
        <f t="shared" si="3"/>
        <v>160.80978354978353</v>
      </c>
    </row>
    <row r="75" spans="1:17" ht="11.1" hidden="1" customHeight="1" x14ac:dyDescent="0.25">
      <c r="A75" s="12" t="s">
        <v>167</v>
      </c>
      <c r="B75" s="12" t="s">
        <v>168</v>
      </c>
      <c r="C75" s="14">
        <v>320.97000000000003</v>
      </c>
      <c r="D75" s="12"/>
      <c r="E75" s="13"/>
      <c r="N75" s="139" t="s">
        <v>4168</v>
      </c>
      <c r="O75" s="140"/>
      <c r="P75" s="138">
        <v>147500</v>
      </c>
      <c r="Q75" s="1">
        <f t="shared" si="3"/>
        <v>638.52813852813858</v>
      </c>
    </row>
    <row r="76" spans="1:17" ht="11.1" hidden="1" customHeight="1" x14ac:dyDescent="0.25">
      <c r="A76" s="12" t="s">
        <v>169</v>
      </c>
      <c r="B76" s="12" t="s">
        <v>170</v>
      </c>
      <c r="C76" s="14">
        <v>54166.67</v>
      </c>
      <c r="D76" s="12"/>
      <c r="E76" s="14"/>
      <c r="N76" s="139" t="s">
        <v>4170</v>
      </c>
      <c r="O76" s="140"/>
      <c r="P76" s="138">
        <v>147500</v>
      </c>
      <c r="Q76" s="1">
        <f t="shared" si="3"/>
        <v>638.52813852813858</v>
      </c>
    </row>
    <row r="77" spans="1:17" ht="11.1" hidden="1" customHeight="1" x14ac:dyDescent="0.25">
      <c r="A77" s="12" t="s">
        <v>171</v>
      </c>
      <c r="B77" s="12" t="s">
        <v>172</v>
      </c>
      <c r="C77" s="14">
        <v>127440.83</v>
      </c>
      <c r="D77" s="12"/>
      <c r="E77" s="14"/>
      <c r="N77" s="139" t="s">
        <v>4174</v>
      </c>
      <c r="O77" s="140"/>
      <c r="P77" s="138">
        <v>48529.41</v>
      </c>
      <c r="Q77" s="1">
        <f t="shared" si="3"/>
        <v>210.08402597402599</v>
      </c>
    </row>
    <row r="78" spans="1:17" ht="23.1" hidden="1" customHeight="1" x14ac:dyDescent="0.25">
      <c r="A78" s="12" t="s">
        <v>173</v>
      </c>
      <c r="B78" s="12" t="s">
        <v>174</v>
      </c>
      <c r="C78" s="14">
        <v>417.5</v>
      </c>
      <c r="D78" s="12"/>
      <c r="E78" s="13"/>
      <c r="N78" s="139" t="s">
        <v>10308</v>
      </c>
      <c r="O78" s="140"/>
      <c r="P78" s="138">
        <v>7374.18</v>
      </c>
      <c r="Q78" s="1">
        <f t="shared" si="3"/>
        <v>31.922857142857143</v>
      </c>
    </row>
    <row r="79" spans="1:17" ht="11.1" hidden="1" customHeight="1" x14ac:dyDescent="0.25">
      <c r="A79" s="12" t="s">
        <v>175</v>
      </c>
      <c r="B79" s="12" t="s">
        <v>176</v>
      </c>
      <c r="C79" s="14">
        <v>358.33</v>
      </c>
      <c r="D79" s="12"/>
      <c r="E79" s="13"/>
      <c r="N79" s="139" t="s">
        <v>4527</v>
      </c>
      <c r="O79" s="140"/>
      <c r="P79" s="138">
        <v>3620.22</v>
      </c>
      <c r="Q79" s="1">
        <f t="shared" si="3"/>
        <v>15.671948051948052</v>
      </c>
    </row>
    <row r="80" spans="1:17" ht="11.1" hidden="1" customHeight="1" x14ac:dyDescent="0.25">
      <c r="A80" s="12" t="s">
        <v>177</v>
      </c>
      <c r="B80" s="12" t="s">
        <v>178</v>
      </c>
      <c r="C80" s="14">
        <v>223.33</v>
      </c>
      <c r="D80" s="12"/>
      <c r="E80" s="13"/>
      <c r="N80" s="139" t="s">
        <v>4529</v>
      </c>
      <c r="O80" s="140"/>
      <c r="P80" s="138">
        <v>3620.22</v>
      </c>
      <c r="Q80" s="1">
        <f t="shared" si="3"/>
        <v>15.671948051948052</v>
      </c>
    </row>
    <row r="81" spans="1:17" ht="11.1" hidden="1" customHeight="1" x14ac:dyDescent="0.25">
      <c r="A81" s="12" t="s">
        <v>179</v>
      </c>
      <c r="B81" s="12" t="s">
        <v>180</v>
      </c>
      <c r="C81" s="14">
        <v>345</v>
      </c>
      <c r="D81" s="12"/>
      <c r="E81" s="13"/>
      <c r="N81" s="139" t="s">
        <v>11801</v>
      </c>
      <c r="O81" s="140"/>
      <c r="P81" s="138">
        <v>6878.67</v>
      </c>
      <c r="Q81" s="1">
        <f t="shared" si="3"/>
        <v>29.777792207792206</v>
      </c>
    </row>
    <row r="82" spans="1:17" ht="11.1" hidden="1" customHeight="1" x14ac:dyDescent="0.25">
      <c r="A82" s="12" t="s">
        <v>181</v>
      </c>
      <c r="B82" s="12" t="s">
        <v>182</v>
      </c>
      <c r="C82" s="14">
        <v>872.23</v>
      </c>
      <c r="D82" s="12"/>
      <c r="E82" s="13"/>
      <c r="N82" s="139" t="s">
        <v>9121</v>
      </c>
      <c r="O82" s="140"/>
      <c r="P82" s="138">
        <v>11275</v>
      </c>
      <c r="Q82" s="1">
        <f t="shared" si="3"/>
        <v>48.80952380952381</v>
      </c>
    </row>
    <row r="83" spans="1:17" ht="11.1" hidden="1" customHeight="1" x14ac:dyDescent="0.25">
      <c r="A83" s="12" t="s">
        <v>183</v>
      </c>
      <c r="B83" s="12" t="s">
        <v>184</v>
      </c>
      <c r="C83" s="14">
        <v>225</v>
      </c>
      <c r="D83" s="12"/>
      <c r="E83" s="13"/>
      <c r="N83" s="139" t="s">
        <v>4978</v>
      </c>
      <c r="O83" s="140"/>
      <c r="P83" s="138">
        <v>4233.3</v>
      </c>
      <c r="Q83" s="1">
        <f t="shared" si="3"/>
        <v>18.325974025974027</v>
      </c>
    </row>
    <row r="84" spans="1:17" ht="11.1" hidden="1" customHeight="1" x14ac:dyDescent="0.25">
      <c r="A84" s="12" t="s">
        <v>185</v>
      </c>
      <c r="B84" s="12" t="s">
        <v>136</v>
      </c>
      <c r="C84" s="14">
        <v>99.22</v>
      </c>
      <c r="D84" s="12"/>
      <c r="E84" s="13"/>
      <c r="N84" s="139" t="s">
        <v>11802</v>
      </c>
      <c r="O84" s="140"/>
      <c r="P84" s="138">
        <v>8025.64</v>
      </c>
      <c r="Q84" s="1">
        <f t="shared" si="3"/>
        <v>34.743030303030302</v>
      </c>
    </row>
    <row r="85" spans="1:17" ht="11.1" hidden="1" customHeight="1" x14ac:dyDescent="0.25">
      <c r="A85" s="12" t="s">
        <v>186</v>
      </c>
      <c r="B85" s="12" t="s">
        <v>80</v>
      </c>
      <c r="C85" s="14">
        <v>10.83</v>
      </c>
      <c r="D85" s="12"/>
      <c r="E85" s="13"/>
      <c r="N85" s="139" t="s">
        <v>5017</v>
      </c>
      <c r="O85" s="140"/>
      <c r="P85" s="138">
        <v>4405</v>
      </c>
      <c r="Q85" s="1">
        <f t="shared" si="3"/>
        <v>19.069264069264069</v>
      </c>
    </row>
    <row r="86" spans="1:17" ht="23.1" hidden="1" customHeight="1" x14ac:dyDescent="0.25">
      <c r="A86" s="12" t="s">
        <v>187</v>
      </c>
      <c r="B86" s="12" t="s">
        <v>188</v>
      </c>
      <c r="C86" s="14">
        <v>23900</v>
      </c>
      <c r="D86" s="12"/>
      <c r="E86" s="14"/>
      <c r="N86" s="139" t="s">
        <v>10112</v>
      </c>
      <c r="O86" s="140"/>
      <c r="P86" s="138">
        <v>10048.709999999999</v>
      </c>
      <c r="Q86" s="1">
        <f t="shared" si="3"/>
        <v>43.50090909090909</v>
      </c>
    </row>
    <row r="87" spans="1:17" ht="11.1" hidden="1" customHeight="1" x14ac:dyDescent="0.25">
      <c r="A87" s="12" t="s">
        <v>189</v>
      </c>
      <c r="B87" s="12" t="s">
        <v>80</v>
      </c>
      <c r="C87" s="14">
        <v>5</v>
      </c>
      <c r="D87" s="12"/>
      <c r="E87" s="13"/>
      <c r="N87" s="139" t="s">
        <v>5033</v>
      </c>
      <c r="O87" s="140"/>
      <c r="P87" s="138">
        <v>4245.1400000000003</v>
      </c>
      <c r="Q87" s="1">
        <f t="shared" si="3"/>
        <v>18.377229437229438</v>
      </c>
    </row>
    <row r="88" spans="1:17" ht="11.1" hidden="1" customHeight="1" x14ac:dyDescent="0.25">
      <c r="A88" s="12" t="s">
        <v>190</v>
      </c>
      <c r="B88" s="12" t="s">
        <v>191</v>
      </c>
      <c r="C88" s="14">
        <v>471.82</v>
      </c>
      <c r="D88" s="12"/>
      <c r="E88" s="13"/>
      <c r="N88" s="139" t="s">
        <v>11803</v>
      </c>
      <c r="O88" s="140"/>
      <c r="P88" s="138">
        <v>89779.13</v>
      </c>
      <c r="Q88" s="1">
        <f t="shared" si="3"/>
        <v>388.65424242424245</v>
      </c>
    </row>
    <row r="89" spans="1:17" ht="11.1" hidden="1" customHeight="1" x14ac:dyDescent="0.25">
      <c r="A89" s="12" t="s">
        <v>192</v>
      </c>
      <c r="B89" s="12" t="s">
        <v>193</v>
      </c>
      <c r="C89" s="14">
        <v>585.5</v>
      </c>
      <c r="D89" s="12"/>
      <c r="E89" s="13"/>
      <c r="N89" s="139" t="s">
        <v>11804</v>
      </c>
      <c r="O89" s="140"/>
      <c r="P89" s="138">
        <v>12820.51</v>
      </c>
      <c r="Q89" s="1">
        <f t="shared" si="3"/>
        <v>55.500043290043294</v>
      </c>
    </row>
    <row r="90" spans="1:17" ht="11.1" hidden="1" customHeight="1" x14ac:dyDescent="0.25">
      <c r="A90" s="12" t="s">
        <v>194</v>
      </c>
      <c r="B90" s="12" t="s">
        <v>114</v>
      </c>
      <c r="C90" s="14">
        <v>200</v>
      </c>
      <c r="D90" s="12"/>
      <c r="E90" s="13"/>
      <c r="N90" s="139" t="s">
        <v>5337</v>
      </c>
      <c r="O90" s="140"/>
      <c r="P90" s="138">
        <v>4256.2</v>
      </c>
      <c r="Q90" s="1">
        <f t="shared" si="3"/>
        <v>18.425108225108225</v>
      </c>
    </row>
    <row r="91" spans="1:17" ht="11.1" hidden="1" customHeight="1" x14ac:dyDescent="0.25">
      <c r="A91" s="12" t="s">
        <v>195</v>
      </c>
      <c r="B91" s="12" t="s">
        <v>196</v>
      </c>
      <c r="C91" s="14">
        <v>81.349999999999994</v>
      </c>
      <c r="D91" s="12"/>
      <c r="E91" s="13"/>
      <c r="N91" s="139" t="s">
        <v>5339</v>
      </c>
      <c r="O91" s="140"/>
      <c r="P91" s="138">
        <v>4256.2</v>
      </c>
      <c r="Q91" s="1">
        <f t="shared" si="3"/>
        <v>18.425108225108225</v>
      </c>
    </row>
    <row r="92" spans="1:17" ht="23.1" hidden="1" customHeight="1" x14ac:dyDescent="0.25">
      <c r="A92" s="12" t="s">
        <v>197</v>
      </c>
      <c r="B92" s="12" t="s">
        <v>80</v>
      </c>
      <c r="C92" s="14">
        <v>5</v>
      </c>
      <c r="D92" s="12"/>
      <c r="E92" s="13"/>
      <c r="N92" s="139" t="s">
        <v>11805</v>
      </c>
      <c r="O92" s="140"/>
      <c r="P92" s="138">
        <v>13493.59</v>
      </c>
      <c r="Q92" s="1">
        <f t="shared" si="3"/>
        <v>58.413809523809526</v>
      </c>
    </row>
    <row r="93" spans="1:17" ht="23.1" hidden="1" customHeight="1" x14ac:dyDescent="0.25">
      <c r="A93" s="12" t="s">
        <v>198</v>
      </c>
      <c r="B93" s="12" t="s">
        <v>80</v>
      </c>
      <c r="C93" s="14">
        <v>10</v>
      </c>
      <c r="D93" s="12"/>
      <c r="E93" s="13"/>
      <c r="N93" s="139" t="s">
        <v>11806</v>
      </c>
      <c r="O93" s="140"/>
      <c r="P93" s="138">
        <v>23364.1</v>
      </c>
      <c r="Q93" s="1">
        <f t="shared" si="3"/>
        <v>101.14329004329004</v>
      </c>
    </row>
    <row r="94" spans="1:17" ht="11.1" hidden="1" customHeight="1" x14ac:dyDescent="0.25">
      <c r="A94" s="12" t="s">
        <v>199</v>
      </c>
      <c r="B94" s="12" t="s">
        <v>80</v>
      </c>
      <c r="C94" s="14">
        <v>5</v>
      </c>
      <c r="D94" s="12"/>
      <c r="E94" s="13"/>
      <c r="N94" s="139" t="s">
        <v>11807</v>
      </c>
      <c r="O94" s="140"/>
      <c r="P94" s="138">
        <v>1765.46</v>
      </c>
      <c r="Q94" s="1">
        <f t="shared" si="3"/>
        <v>7.642683982683983</v>
      </c>
    </row>
    <row r="95" spans="1:17" ht="11.1" hidden="1" customHeight="1" x14ac:dyDescent="0.25">
      <c r="A95" s="12" t="s">
        <v>200</v>
      </c>
      <c r="B95" s="12" t="s">
        <v>80</v>
      </c>
      <c r="C95" s="14">
        <v>10.83</v>
      </c>
      <c r="D95" s="12"/>
      <c r="E95" s="13"/>
      <c r="N95" s="139" t="s">
        <v>11808</v>
      </c>
      <c r="O95" s="140"/>
      <c r="P95" s="138">
        <v>1765.46</v>
      </c>
      <c r="Q95" s="1">
        <f t="shared" si="3"/>
        <v>7.642683982683983</v>
      </c>
    </row>
    <row r="96" spans="1:17" ht="11.1" hidden="1" customHeight="1" x14ac:dyDescent="0.25">
      <c r="A96" s="12" t="s">
        <v>201</v>
      </c>
      <c r="B96" s="12" t="s">
        <v>136</v>
      </c>
      <c r="C96" s="14">
        <v>6</v>
      </c>
      <c r="D96" s="12"/>
      <c r="E96" s="13"/>
      <c r="N96" s="139" t="s">
        <v>11809</v>
      </c>
      <c r="O96" s="140"/>
      <c r="P96" s="138">
        <v>1765.46</v>
      </c>
      <c r="Q96" s="1">
        <f t="shared" si="3"/>
        <v>7.642683982683983</v>
      </c>
    </row>
    <row r="97" spans="1:17" ht="11.1" hidden="1" customHeight="1" x14ac:dyDescent="0.25">
      <c r="A97" s="12" t="s">
        <v>202</v>
      </c>
      <c r="B97" s="12" t="s">
        <v>151</v>
      </c>
      <c r="C97" s="14">
        <v>25</v>
      </c>
      <c r="D97" s="12"/>
      <c r="E97" s="13"/>
      <c r="N97" s="139" t="s">
        <v>11810</v>
      </c>
      <c r="O97" s="140"/>
      <c r="P97" s="138">
        <v>1765.46</v>
      </c>
      <c r="Q97" s="1">
        <f t="shared" si="3"/>
        <v>7.642683982683983</v>
      </c>
    </row>
    <row r="98" spans="1:17" ht="11.1" hidden="1" customHeight="1" x14ac:dyDescent="0.25">
      <c r="A98" s="12" t="s">
        <v>203</v>
      </c>
      <c r="B98" s="12" t="s">
        <v>151</v>
      </c>
      <c r="C98" s="14">
        <v>2308.33</v>
      </c>
      <c r="D98" s="12"/>
      <c r="E98" s="14"/>
      <c r="N98" s="139" t="s">
        <v>11811</v>
      </c>
      <c r="O98" s="140"/>
      <c r="P98" s="138">
        <v>10293482.460000001</v>
      </c>
      <c r="Q98" s="1">
        <f t="shared" si="3"/>
        <v>44560.530129870131</v>
      </c>
    </row>
    <row r="99" spans="1:17" ht="11.1" hidden="1" customHeight="1" x14ac:dyDescent="0.25">
      <c r="A99" s="12" t="s">
        <v>204</v>
      </c>
      <c r="B99" s="12" t="s">
        <v>205</v>
      </c>
      <c r="C99" s="14">
        <v>895</v>
      </c>
      <c r="D99" s="12"/>
      <c r="E99" s="13"/>
      <c r="N99" s="139" t="s">
        <v>5806</v>
      </c>
      <c r="O99" s="140"/>
      <c r="P99" s="138">
        <v>3888.99</v>
      </c>
      <c r="Q99" s="1">
        <f t="shared" si="3"/>
        <v>16.835454545454546</v>
      </c>
    </row>
    <row r="100" spans="1:17" ht="11.1" hidden="1" customHeight="1" x14ac:dyDescent="0.25">
      <c r="A100" s="12" t="s">
        <v>206</v>
      </c>
      <c r="B100" s="12" t="s">
        <v>207</v>
      </c>
      <c r="C100" s="14">
        <v>870.83</v>
      </c>
      <c r="D100" s="12"/>
      <c r="E100" s="13"/>
      <c r="N100" s="139" t="s">
        <v>11812</v>
      </c>
      <c r="O100" s="140"/>
      <c r="P100" s="138">
        <v>124410.44</v>
      </c>
      <c r="Q100" s="1">
        <f t="shared" si="3"/>
        <v>538.57333333333338</v>
      </c>
    </row>
    <row r="101" spans="1:17" ht="11.1" hidden="1" customHeight="1" x14ac:dyDescent="0.25">
      <c r="A101" s="12" t="s">
        <v>208</v>
      </c>
      <c r="B101" s="12" t="s">
        <v>207</v>
      </c>
      <c r="C101" s="14">
        <v>1130.83</v>
      </c>
      <c r="D101" s="12"/>
      <c r="E101" s="14"/>
      <c r="N101" s="139" t="s">
        <v>11813</v>
      </c>
      <c r="O101" s="140"/>
      <c r="P101" s="138">
        <v>6835.84</v>
      </c>
      <c r="Q101" s="1">
        <f t="shared" si="3"/>
        <v>29.592380952380953</v>
      </c>
    </row>
    <row r="102" spans="1:17" ht="11.1" hidden="1" customHeight="1" x14ac:dyDescent="0.25">
      <c r="A102" s="12" t="s">
        <v>209</v>
      </c>
      <c r="B102" s="12" t="s">
        <v>207</v>
      </c>
      <c r="C102" s="14">
        <v>1674.17</v>
      </c>
      <c r="D102" s="12"/>
      <c r="E102" s="14"/>
      <c r="N102" s="139" t="s">
        <v>11814</v>
      </c>
      <c r="O102" s="140"/>
      <c r="P102" s="138">
        <v>6835.84</v>
      </c>
      <c r="Q102" s="1">
        <f t="shared" si="3"/>
        <v>29.592380952380953</v>
      </c>
    </row>
    <row r="103" spans="1:17" ht="23.1" hidden="1" customHeight="1" x14ac:dyDescent="0.25">
      <c r="A103" s="12" t="s">
        <v>210</v>
      </c>
      <c r="B103" s="12" t="s">
        <v>211</v>
      </c>
      <c r="C103" s="14">
        <v>300.83999999999997</v>
      </c>
      <c r="D103" s="12"/>
      <c r="E103" s="13"/>
      <c r="N103" s="139" t="s">
        <v>11815</v>
      </c>
      <c r="O103" s="140"/>
      <c r="P103" s="138">
        <v>6835.84</v>
      </c>
      <c r="Q103" s="1">
        <f t="shared" si="3"/>
        <v>29.592380952380953</v>
      </c>
    </row>
    <row r="104" spans="1:17" ht="23.1" hidden="1" customHeight="1" x14ac:dyDescent="0.25">
      <c r="A104" s="12" t="s">
        <v>212</v>
      </c>
      <c r="B104" s="12" t="s">
        <v>213</v>
      </c>
      <c r="C104" s="14">
        <v>0.15</v>
      </c>
      <c r="D104" s="12"/>
      <c r="E104" s="13"/>
      <c r="N104" s="139" t="s">
        <v>11816</v>
      </c>
      <c r="O104" s="140"/>
      <c r="P104" s="138">
        <v>6835.84</v>
      </c>
      <c r="Q104" s="1">
        <f t="shared" si="3"/>
        <v>29.592380952380953</v>
      </c>
    </row>
    <row r="105" spans="1:17" ht="23.1" hidden="1" customHeight="1" x14ac:dyDescent="0.25">
      <c r="A105" s="12" t="s">
        <v>214</v>
      </c>
      <c r="B105" s="12" t="s">
        <v>215</v>
      </c>
      <c r="C105" s="14">
        <v>2026.67</v>
      </c>
      <c r="D105" s="12"/>
      <c r="E105" s="14"/>
      <c r="N105" s="139" t="s">
        <v>11817</v>
      </c>
      <c r="O105" s="140"/>
      <c r="P105" s="138">
        <v>6835.84</v>
      </c>
      <c r="Q105" s="1">
        <f t="shared" si="3"/>
        <v>29.592380952380953</v>
      </c>
    </row>
    <row r="106" spans="1:17" ht="23.1" hidden="1" customHeight="1" x14ac:dyDescent="0.25">
      <c r="A106" s="12" t="s">
        <v>216</v>
      </c>
      <c r="B106" s="12" t="s">
        <v>84</v>
      </c>
      <c r="C106" s="14">
        <v>733.33</v>
      </c>
      <c r="D106" s="12"/>
      <c r="E106" s="13"/>
      <c r="N106" s="139" t="s">
        <v>11818</v>
      </c>
      <c r="O106" s="140"/>
      <c r="P106" s="138">
        <v>6835.84</v>
      </c>
      <c r="Q106" s="1">
        <f t="shared" si="3"/>
        <v>29.592380952380953</v>
      </c>
    </row>
    <row r="107" spans="1:17" ht="11.1" hidden="1" customHeight="1" x14ac:dyDescent="0.25">
      <c r="A107" s="12" t="s">
        <v>217</v>
      </c>
      <c r="B107" s="12" t="s">
        <v>218</v>
      </c>
      <c r="C107" s="14">
        <v>69073.33</v>
      </c>
      <c r="D107" s="12"/>
      <c r="E107" s="14"/>
      <c r="N107" s="139" t="s">
        <v>11819</v>
      </c>
      <c r="O107" s="140"/>
      <c r="P107" s="138">
        <v>6835.84</v>
      </c>
      <c r="Q107" s="1">
        <f t="shared" si="3"/>
        <v>29.592380952380953</v>
      </c>
    </row>
    <row r="108" spans="1:17" ht="11.1" hidden="1" customHeight="1" x14ac:dyDescent="0.25">
      <c r="A108" s="12" t="s">
        <v>219</v>
      </c>
      <c r="B108" s="12" t="s">
        <v>86</v>
      </c>
      <c r="C108" s="14">
        <v>1041.67</v>
      </c>
      <c r="D108" s="12"/>
      <c r="E108" s="14"/>
      <c r="N108" s="139" t="s">
        <v>11820</v>
      </c>
      <c r="O108" s="140"/>
      <c r="P108" s="138">
        <v>6835.84</v>
      </c>
      <c r="Q108" s="1">
        <f t="shared" si="3"/>
        <v>29.592380952380953</v>
      </c>
    </row>
    <row r="109" spans="1:17" ht="23.1" hidden="1" customHeight="1" x14ac:dyDescent="0.25">
      <c r="A109" s="12" t="s">
        <v>220</v>
      </c>
      <c r="B109" s="12" t="s">
        <v>221</v>
      </c>
      <c r="C109" s="14">
        <v>349</v>
      </c>
      <c r="D109" s="12"/>
      <c r="E109" s="13"/>
      <c r="N109" s="139" t="s">
        <v>6020</v>
      </c>
      <c r="O109" s="140"/>
      <c r="P109" s="138">
        <v>283160.08</v>
      </c>
      <c r="Q109" s="1">
        <f t="shared" si="3"/>
        <v>1225.8012121212123</v>
      </c>
    </row>
    <row r="110" spans="1:17" ht="11.1" hidden="1" customHeight="1" x14ac:dyDescent="0.25">
      <c r="A110" s="12" t="s">
        <v>222</v>
      </c>
      <c r="B110" s="12" t="s">
        <v>223</v>
      </c>
      <c r="C110" s="14">
        <v>4355</v>
      </c>
      <c r="D110" s="12"/>
      <c r="E110" s="14"/>
      <c r="N110" s="139" t="s">
        <v>11821</v>
      </c>
      <c r="O110" s="140"/>
      <c r="P110" s="138">
        <v>41580</v>
      </c>
      <c r="Q110" s="1">
        <f t="shared" si="3"/>
        <v>180</v>
      </c>
    </row>
    <row r="111" spans="1:17" ht="11.1" hidden="1" customHeight="1" x14ac:dyDescent="0.25">
      <c r="A111" s="12" t="s">
        <v>224</v>
      </c>
      <c r="B111" s="12" t="s">
        <v>225</v>
      </c>
      <c r="C111" s="14">
        <v>557.5</v>
      </c>
      <c r="D111" s="12"/>
      <c r="E111" s="13"/>
      <c r="N111" s="139" t="s">
        <v>11822</v>
      </c>
      <c r="O111" s="140"/>
      <c r="P111" s="138">
        <v>41580</v>
      </c>
      <c r="Q111" s="1">
        <f t="shared" si="3"/>
        <v>180</v>
      </c>
    </row>
    <row r="112" spans="1:17" ht="11.1" hidden="1" customHeight="1" x14ac:dyDescent="0.25">
      <c r="A112" s="12" t="s">
        <v>226</v>
      </c>
      <c r="B112" s="12" t="s">
        <v>205</v>
      </c>
      <c r="C112" s="14">
        <v>75.83</v>
      </c>
      <c r="D112" s="12"/>
      <c r="E112" s="13"/>
      <c r="N112" s="139" t="s">
        <v>11823</v>
      </c>
      <c r="O112" s="140"/>
      <c r="P112" s="138">
        <v>1960</v>
      </c>
      <c r="Q112" s="1">
        <f t="shared" si="3"/>
        <v>8.4848484848484844</v>
      </c>
    </row>
    <row r="113" spans="1:17" ht="11.1" hidden="1" customHeight="1" x14ac:dyDescent="0.25">
      <c r="A113" s="12" t="s">
        <v>227</v>
      </c>
      <c r="B113" s="12" t="s">
        <v>205</v>
      </c>
      <c r="C113" s="14">
        <v>210</v>
      </c>
      <c r="D113" s="12"/>
      <c r="E113" s="13"/>
      <c r="N113" s="139" t="s">
        <v>6482</v>
      </c>
      <c r="O113" s="140"/>
      <c r="P113" s="138">
        <v>10942.46</v>
      </c>
      <c r="Q113" s="1">
        <f t="shared" si="3"/>
        <v>47.369956709956703</v>
      </c>
    </row>
    <row r="114" spans="1:17" ht="11.1" hidden="1" customHeight="1" x14ac:dyDescent="0.25">
      <c r="A114" s="12" t="s">
        <v>228</v>
      </c>
      <c r="B114" s="12" t="s">
        <v>136</v>
      </c>
      <c r="C114" s="14">
        <v>24.2</v>
      </c>
      <c r="D114" s="12"/>
      <c r="E114" s="13"/>
      <c r="N114" s="139" t="s">
        <v>6483</v>
      </c>
      <c r="O114" s="140"/>
      <c r="P114" s="138">
        <v>10942.46</v>
      </c>
      <c r="Q114" s="1">
        <f t="shared" si="3"/>
        <v>47.369956709956703</v>
      </c>
    </row>
    <row r="115" spans="1:17" ht="11.1" hidden="1" customHeight="1" x14ac:dyDescent="0.25">
      <c r="A115" s="12" t="s">
        <v>229</v>
      </c>
      <c r="B115" s="12" t="s">
        <v>86</v>
      </c>
      <c r="C115" s="14">
        <v>816.67</v>
      </c>
      <c r="D115" s="12"/>
      <c r="E115" s="13"/>
      <c r="N115" s="139" t="s">
        <v>11824</v>
      </c>
      <c r="O115" s="140"/>
      <c r="P115" s="138">
        <v>27915.33</v>
      </c>
      <c r="Q115" s="1">
        <f t="shared" si="3"/>
        <v>120.84558441558443</v>
      </c>
    </row>
    <row r="116" spans="1:17" ht="11.1" hidden="1" customHeight="1" x14ac:dyDescent="0.25">
      <c r="A116" s="12" t="s">
        <v>230</v>
      </c>
      <c r="B116" s="12" t="s">
        <v>231</v>
      </c>
      <c r="C116" s="14">
        <v>1312.5</v>
      </c>
      <c r="D116" s="12"/>
      <c r="E116" s="14"/>
      <c r="N116" s="139" t="s">
        <v>11825</v>
      </c>
      <c r="O116" s="140"/>
      <c r="P116" s="138">
        <v>43166.67</v>
      </c>
      <c r="Q116" s="1">
        <f t="shared" si="3"/>
        <v>186.8687012987013</v>
      </c>
    </row>
    <row r="117" spans="1:17" ht="11.1" hidden="1" customHeight="1" x14ac:dyDescent="0.25">
      <c r="A117" s="12" t="s">
        <v>232</v>
      </c>
      <c r="B117" s="12" t="s">
        <v>233</v>
      </c>
      <c r="C117" s="14">
        <v>12687.5</v>
      </c>
      <c r="D117" s="12"/>
      <c r="E117" s="14"/>
      <c r="N117" s="139" t="s">
        <v>11826</v>
      </c>
      <c r="O117" s="140"/>
      <c r="P117" s="138">
        <v>9636.17</v>
      </c>
      <c r="Q117" s="1">
        <f t="shared" si="3"/>
        <v>41.715021645021643</v>
      </c>
    </row>
    <row r="118" spans="1:17" ht="11.1" hidden="1" customHeight="1" x14ac:dyDescent="0.25">
      <c r="A118" s="12" t="s">
        <v>234</v>
      </c>
      <c r="B118" s="12" t="s">
        <v>235</v>
      </c>
      <c r="C118" s="14">
        <v>965.83</v>
      </c>
      <c r="D118" s="12"/>
      <c r="E118" s="13"/>
      <c r="N118" s="139" t="s">
        <v>11827</v>
      </c>
      <c r="O118" s="140"/>
      <c r="P118" s="138">
        <v>79356.52</v>
      </c>
      <c r="Q118" s="1">
        <f t="shared" si="3"/>
        <v>343.53471861471866</v>
      </c>
    </row>
    <row r="119" spans="1:17" ht="23.1" hidden="1" customHeight="1" x14ac:dyDescent="0.25">
      <c r="A119" s="12" t="s">
        <v>236</v>
      </c>
      <c r="B119" s="12" t="s">
        <v>237</v>
      </c>
      <c r="C119" s="14">
        <v>2369.17</v>
      </c>
      <c r="D119" s="12"/>
      <c r="E119" s="14"/>
      <c r="N119" s="139" t="s">
        <v>11828</v>
      </c>
      <c r="O119" s="140"/>
      <c r="P119" s="138">
        <v>217115.65</v>
      </c>
      <c r="Q119" s="1">
        <f t="shared" si="3"/>
        <v>939.89458874458876</v>
      </c>
    </row>
    <row r="120" spans="1:17" ht="11.1" hidden="1" customHeight="1" x14ac:dyDescent="0.25">
      <c r="A120" s="12" t="s">
        <v>238</v>
      </c>
      <c r="B120" s="12" t="s">
        <v>239</v>
      </c>
      <c r="C120" s="14">
        <v>312.5</v>
      </c>
      <c r="D120" s="12"/>
      <c r="E120" s="13"/>
      <c r="N120" s="139" t="s">
        <v>6792</v>
      </c>
      <c r="O120" s="140"/>
      <c r="P120" s="138">
        <v>1699.83</v>
      </c>
      <c r="Q120" s="1">
        <f t="shared" si="3"/>
        <v>7.3585714285714285</v>
      </c>
    </row>
    <row r="121" spans="1:17" ht="11.1" hidden="1" customHeight="1" x14ac:dyDescent="0.25">
      <c r="A121" s="12" t="s">
        <v>240</v>
      </c>
      <c r="B121" s="12" t="s">
        <v>241</v>
      </c>
      <c r="C121" s="14">
        <v>250</v>
      </c>
      <c r="D121" s="12"/>
      <c r="E121" s="13"/>
      <c r="N121" s="139" t="s">
        <v>6816</v>
      </c>
      <c r="O121" s="140"/>
      <c r="P121" s="138">
        <v>5929.82</v>
      </c>
      <c r="Q121" s="1">
        <f t="shared" si="3"/>
        <v>25.670216450216451</v>
      </c>
    </row>
    <row r="122" spans="1:17" ht="11.1" hidden="1" customHeight="1" x14ac:dyDescent="0.25">
      <c r="A122" s="12" t="s">
        <v>242</v>
      </c>
      <c r="B122" s="12" t="s">
        <v>243</v>
      </c>
      <c r="C122" s="14">
        <v>3404</v>
      </c>
      <c r="D122" s="12"/>
      <c r="E122" s="14"/>
      <c r="N122" s="139" t="s">
        <v>6818</v>
      </c>
      <c r="O122" s="140"/>
      <c r="P122" s="138">
        <v>5929.82</v>
      </c>
      <c r="Q122" s="1">
        <f t="shared" si="3"/>
        <v>25.670216450216451</v>
      </c>
    </row>
    <row r="123" spans="1:17" ht="11.1" hidden="1" customHeight="1" x14ac:dyDescent="0.25">
      <c r="A123" s="12" t="s">
        <v>244</v>
      </c>
      <c r="B123" s="12" t="s">
        <v>213</v>
      </c>
      <c r="C123" s="14">
        <v>55.89</v>
      </c>
      <c r="D123" s="12"/>
      <c r="E123" s="13"/>
      <c r="N123" s="139" t="s">
        <v>11829</v>
      </c>
      <c r="O123" s="140"/>
      <c r="P123" s="138">
        <v>24003.73</v>
      </c>
      <c r="Q123" s="1">
        <f t="shared" si="3"/>
        <v>103.91225108225107</v>
      </c>
    </row>
    <row r="124" spans="1:17" ht="11.1" hidden="1" customHeight="1" x14ac:dyDescent="0.25">
      <c r="A124" s="12" t="s">
        <v>245</v>
      </c>
      <c r="B124" s="12" t="s">
        <v>246</v>
      </c>
      <c r="C124" s="14">
        <v>475.83</v>
      </c>
      <c r="D124" s="12"/>
      <c r="E124" s="13"/>
      <c r="N124" s="139" t="s">
        <v>11830</v>
      </c>
      <c r="O124" s="140"/>
      <c r="P124" s="138">
        <v>1758.17</v>
      </c>
      <c r="Q124" s="1">
        <f t="shared" si="3"/>
        <v>7.6111255411255412</v>
      </c>
    </row>
    <row r="125" spans="1:17" ht="11.1" hidden="1" customHeight="1" x14ac:dyDescent="0.25">
      <c r="A125" s="12" t="s">
        <v>247</v>
      </c>
      <c r="B125" s="12" t="s">
        <v>136</v>
      </c>
      <c r="C125" s="14">
        <v>88.59</v>
      </c>
      <c r="D125" s="12"/>
      <c r="E125" s="13"/>
      <c r="N125" s="139" t="s">
        <v>11831</v>
      </c>
      <c r="O125" s="140"/>
      <c r="P125" s="138">
        <v>1758.17</v>
      </c>
      <c r="Q125" s="1">
        <f t="shared" si="3"/>
        <v>7.6111255411255412</v>
      </c>
    </row>
    <row r="126" spans="1:17" ht="11.1" hidden="1" customHeight="1" x14ac:dyDescent="0.25">
      <c r="A126" s="12" t="s">
        <v>248</v>
      </c>
      <c r="B126" s="12" t="s">
        <v>84</v>
      </c>
      <c r="C126" s="14">
        <v>25.83</v>
      </c>
      <c r="D126" s="12"/>
      <c r="E126" s="13"/>
      <c r="N126" s="139" t="s">
        <v>11832</v>
      </c>
      <c r="O126" s="140"/>
      <c r="P126" s="138">
        <v>1758.17</v>
      </c>
      <c r="Q126" s="1">
        <f t="shared" si="3"/>
        <v>7.6111255411255412</v>
      </c>
    </row>
    <row r="127" spans="1:17" ht="11.1" hidden="1" customHeight="1" x14ac:dyDescent="0.25">
      <c r="A127" s="12" t="s">
        <v>249</v>
      </c>
      <c r="B127" s="12" t="s">
        <v>84</v>
      </c>
      <c r="C127" s="14">
        <v>7.5</v>
      </c>
      <c r="D127" s="12"/>
      <c r="E127" s="13"/>
      <c r="N127" s="139" t="s">
        <v>11833</v>
      </c>
      <c r="O127" s="140"/>
      <c r="P127" s="138">
        <v>7602.26</v>
      </c>
      <c r="Q127" s="1">
        <f t="shared" si="3"/>
        <v>32.910216450216453</v>
      </c>
    </row>
    <row r="128" spans="1:17" ht="23.1" hidden="1" customHeight="1" x14ac:dyDescent="0.25">
      <c r="A128" s="12" t="s">
        <v>250</v>
      </c>
      <c r="B128" s="12" t="s">
        <v>86</v>
      </c>
      <c r="C128" s="14">
        <v>22.5</v>
      </c>
      <c r="D128" s="12"/>
      <c r="E128" s="13"/>
      <c r="N128" s="139" t="s">
        <v>11834</v>
      </c>
      <c r="O128" s="140"/>
      <c r="P128" s="138">
        <v>7602.26</v>
      </c>
      <c r="Q128" s="1">
        <f t="shared" si="3"/>
        <v>32.910216450216453</v>
      </c>
    </row>
    <row r="129" spans="1:17" ht="11.1" hidden="1" customHeight="1" x14ac:dyDescent="0.25">
      <c r="A129" s="12" t="s">
        <v>251</v>
      </c>
      <c r="B129" s="12" t="s">
        <v>213</v>
      </c>
      <c r="C129" s="14">
        <v>5.67</v>
      </c>
      <c r="D129" s="12"/>
      <c r="E129" s="13"/>
      <c r="N129" s="139" t="s">
        <v>11835</v>
      </c>
      <c r="O129" s="140"/>
      <c r="P129" s="138">
        <v>7602.26</v>
      </c>
      <c r="Q129" s="1">
        <f t="shared" si="3"/>
        <v>32.910216450216453</v>
      </c>
    </row>
    <row r="130" spans="1:17" ht="23.1" hidden="1" customHeight="1" x14ac:dyDescent="0.25">
      <c r="A130" s="12" t="s">
        <v>252</v>
      </c>
      <c r="B130" s="12" t="s">
        <v>213</v>
      </c>
      <c r="C130" s="14">
        <v>41.99</v>
      </c>
      <c r="D130" s="12"/>
      <c r="E130" s="13"/>
      <c r="N130" s="139" t="s">
        <v>11836</v>
      </c>
      <c r="O130" s="140"/>
      <c r="P130" s="138">
        <v>7602.26</v>
      </c>
      <c r="Q130" s="1">
        <f t="shared" si="3"/>
        <v>32.910216450216453</v>
      </c>
    </row>
    <row r="131" spans="1:17" ht="23.1" hidden="1" customHeight="1" x14ac:dyDescent="0.25">
      <c r="A131" s="12" t="s">
        <v>253</v>
      </c>
      <c r="B131" s="12" t="s">
        <v>254</v>
      </c>
      <c r="C131" s="14">
        <v>8.07</v>
      </c>
      <c r="D131" s="12"/>
      <c r="E131" s="13"/>
      <c r="N131" s="139" t="s">
        <v>11837</v>
      </c>
      <c r="O131" s="140"/>
      <c r="P131" s="138">
        <v>7602.26</v>
      </c>
      <c r="Q131" s="1">
        <f t="shared" ref="Q131:Q164" si="4">P131/(21*11)</f>
        <v>32.910216450216453</v>
      </c>
    </row>
    <row r="132" spans="1:17" ht="11.1" hidden="1" customHeight="1" x14ac:dyDescent="0.25">
      <c r="A132" s="12" t="s">
        <v>255</v>
      </c>
      <c r="B132" s="12" t="s">
        <v>213</v>
      </c>
      <c r="C132" s="14">
        <v>557.15</v>
      </c>
      <c r="D132" s="12"/>
      <c r="E132" s="13"/>
      <c r="N132" s="139" t="s">
        <v>11838</v>
      </c>
      <c r="O132" s="140"/>
      <c r="P132" s="138">
        <v>7602.26</v>
      </c>
      <c r="Q132" s="1">
        <f t="shared" si="4"/>
        <v>32.910216450216453</v>
      </c>
    </row>
    <row r="133" spans="1:17" ht="11.1" hidden="1" customHeight="1" x14ac:dyDescent="0.25">
      <c r="A133" s="12" t="s">
        <v>256</v>
      </c>
      <c r="B133" s="12" t="s">
        <v>257</v>
      </c>
      <c r="C133" s="14">
        <v>2588.17</v>
      </c>
      <c r="D133" s="12"/>
      <c r="E133" s="14"/>
      <c r="N133" s="139" t="s">
        <v>11839</v>
      </c>
      <c r="O133" s="140"/>
      <c r="P133" s="138">
        <v>7602.26</v>
      </c>
      <c r="Q133" s="1">
        <f t="shared" si="4"/>
        <v>32.910216450216453</v>
      </c>
    </row>
    <row r="134" spans="1:17" ht="11.1" hidden="1" customHeight="1" x14ac:dyDescent="0.25">
      <c r="A134" s="12" t="s">
        <v>258</v>
      </c>
      <c r="B134" s="12" t="s">
        <v>259</v>
      </c>
      <c r="C134" s="14">
        <v>1484.17</v>
      </c>
      <c r="D134" s="12"/>
      <c r="E134" s="14"/>
      <c r="N134" s="139" t="s">
        <v>11840</v>
      </c>
      <c r="O134" s="140"/>
      <c r="P134" s="138">
        <v>7602.26</v>
      </c>
      <c r="Q134" s="1">
        <f t="shared" si="4"/>
        <v>32.910216450216453</v>
      </c>
    </row>
    <row r="135" spans="1:17" ht="11.1" hidden="1" customHeight="1" x14ac:dyDescent="0.25">
      <c r="A135" s="12" t="s">
        <v>260</v>
      </c>
      <c r="B135" s="12" t="s">
        <v>136</v>
      </c>
      <c r="C135" s="14">
        <v>7.3</v>
      </c>
      <c r="D135" s="12"/>
      <c r="E135" s="13"/>
      <c r="N135" s="139" t="s">
        <v>11841</v>
      </c>
      <c r="O135" s="140"/>
      <c r="P135" s="138">
        <v>1707.51</v>
      </c>
      <c r="Q135" s="1">
        <f t="shared" si="4"/>
        <v>7.3918181818181816</v>
      </c>
    </row>
    <row r="136" spans="1:17" ht="11.1" hidden="1" customHeight="1" x14ac:dyDescent="0.25">
      <c r="A136" s="12" t="s">
        <v>261</v>
      </c>
      <c r="B136" s="12" t="s">
        <v>262</v>
      </c>
      <c r="C136" s="14">
        <v>23828.33</v>
      </c>
      <c r="D136" s="12"/>
      <c r="E136" s="14"/>
      <c r="N136" s="139" t="s">
        <v>7075</v>
      </c>
      <c r="O136" s="140"/>
      <c r="P136" s="138">
        <v>5815.32</v>
      </c>
      <c r="Q136" s="1">
        <f t="shared" si="4"/>
        <v>25.174545454545452</v>
      </c>
    </row>
    <row r="137" spans="1:17" ht="11.1" hidden="1" customHeight="1" x14ac:dyDescent="0.25">
      <c r="A137" s="12" t="s">
        <v>263</v>
      </c>
      <c r="B137" s="12" t="s">
        <v>264</v>
      </c>
      <c r="C137" s="14">
        <v>2582</v>
      </c>
      <c r="D137" s="12"/>
      <c r="E137" s="14"/>
      <c r="N137" s="139" t="s">
        <v>11842</v>
      </c>
      <c r="O137" s="140"/>
      <c r="P137" s="138">
        <v>554357.9</v>
      </c>
      <c r="Q137" s="1">
        <f t="shared" si="4"/>
        <v>2399.8177489177492</v>
      </c>
    </row>
    <row r="138" spans="1:17" ht="11.1" hidden="1" customHeight="1" x14ac:dyDescent="0.25">
      <c r="A138" s="12" t="s">
        <v>265</v>
      </c>
      <c r="B138" s="12" t="s">
        <v>266</v>
      </c>
      <c r="C138" s="14">
        <v>465.83</v>
      </c>
      <c r="D138" s="12"/>
      <c r="E138" s="13"/>
      <c r="N138" s="139" t="s">
        <v>11843</v>
      </c>
      <c r="O138" s="140"/>
      <c r="P138" s="138">
        <v>458344.21</v>
      </c>
      <c r="Q138" s="1">
        <f t="shared" si="4"/>
        <v>1984.1740692640694</v>
      </c>
    </row>
    <row r="139" spans="1:17" ht="11.1" hidden="1" customHeight="1" x14ac:dyDescent="0.25">
      <c r="A139" s="12" t="s">
        <v>267</v>
      </c>
      <c r="B139" s="12" t="s">
        <v>268</v>
      </c>
      <c r="C139" s="14">
        <v>1514.17</v>
      </c>
      <c r="D139" s="12"/>
      <c r="E139" s="14"/>
      <c r="N139" s="139" t="s">
        <v>11844</v>
      </c>
      <c r="O139" s="140"/>
      <c r="P139" s="138">
        <v>226970.44</v>
      </c>
      <c r="Q139" s="1">
        <f t="shared" si="4"/>
        <v>982.55601731601735</v>
      </c>
    </row>
    <row r="140" spans="1:17" ht="11.1" hidden="1" customHeight="1" x14ac:dyDescent="0.25">
      <c r="A140" s="12" t="s">
        <v>269</v>
      </c>
      <c r="B140" s="12" t="s">
        <v>270</v>
      </c>
      <c r="C140" s="14">
        <v>316.67</v>
      </c>
      <c r="D140" s="12"/>
      <c r="E140" s="13"/>
      <c r="N140" s="139" t="s">
        <v>7108</v>
      </c>
      <c r="O140" s="140"/>
      <c r="P140" s="138">
        <v>2479.58</v>
      </c>
      <c r="Q140" s="1">
        <f t="shared" si="4"/>
        <v>10.734112554112555</v>
      </c>
    </row>
    <row r="141" spans="1:17" ht="11.1" hidden="1" customHeight="1" x14ac:dyDescent="0.25">
      <c r="A141" s="12" t="s">
        <v>271</v>
      </c>
      <c r="B141" s="12" t="s">
        <v>84</v>
      </c>
      <c r="C141" s="14">
        <v>1575</v>
      </c>
      <c r="D141" s="12"/>
      <c r="E141" s="14"/>
      <c r="N141" s="139" t="s">
        <v>7110</v>
      </c>
      <c r="O141" s="140"/>
      <c r="P141" s="138">
        <v>2700.1</v>
      </c>
      <c r="Q141" s="1">
        <f t="shared" si="4"/>
        <v>11.688744588744589</v>
      </c>
    </row>
    <row r="142" spans="1:17" ht="11.1" hidden="1" customHeight="1" x14ac:dyDescent="0.25">
      <c r="A142" s="12" t="s">
        <v>272</v>
      </c>
      <c r="B142" s="12" t="s">
        <v>84</v>
      </c>
      <c r="C142" s="14">
        <v>1358.33</v>
      </c>
      <c r="D142" s="12"/>
      <c r="E142" s="14"/>
      <c r="N142" s="139" t="s">
        <v>7438</v>
      </c>
      <c r="O142" s="140"/>
      <c r="P142" s="138">
        <v>23633.88</v>
      </c>
      <c r="Q142" s="1">
        <f t="shared" si="4"/>
        <v>102.31116883116884</v>
      </c>
    </row>
    <row r="143" spans="1:17" ht="11.1" hidden="1" customHeight="1" x14ac:dyDescent="0.25">
      <c r="A143" s="12" t="s">
        <v>273</v>
      </c>
      <c r="B143" s="12" t="s">
        <v>84</v>
      </c>
      <c r="C143" s="14">
        <v>1216.67</v>
      </c>
      <c r="D143" s="12"/>
      <c r="E143" s="14"/>
      <c r="N143" s="139" t="s">
        <v>7641</v>
      </c>
      <c r="O143" s="140"/>
      <c r="P143" s="138">
        <v>6508.33</v>
      </c>
      <c r="Q143" s="1">
        <f t="shared" si="4"/>
        <v>28.174588744588743</v>
      </c>
    </row>
    <row r="144" spans="1:17" ht="11.1" hidden="1" customHeight="1" x14ac:dyDescent="0.25">
      <c r="A144" s="12" t="s">
        <v>274</v>
      </c>
      <c r="B144" s="12" t="s">
        <v>84</v>
      </c>
      <c r="C144" s="14">
        <v>1308.33</v>
      </c>
      <c r="D144" s="12"/>
      <c r="E144" s="14"/>
      <c r="N144" s="139" t="s">
        <v>11845</v>
      </c>
      <c r="O144" s="140"/>
      <c r="P144" s="138">
        <v>10372.16</v>
      </c>
      <c r="Q144" s="1">
        <f t="shared" si="4"/>
        <v>44.901125541125538</v>
      </c>
    </row>
    <row r="145" spans="1:17" ht="23.1" hidden="1" customHeight="1" x14ac:dyDescent="0.25">
      <c r="A145" s="12" t="s">
        <v>275</v>
      </c>
      <c r="B145" s="12" t="s">
        <v>84</v>
      </c>
      <c r="C145" s="14">
        <v>560</v>
      </c>
      <c r="D145" s="12"/>
      <c r="E145" s="13"/>
      <c r="N145" s="139" t="s">
        <v>11846</v>
      </c>
      <c r="O145" s="140"/>
      <c r="P145" s="138">
        <v>9523.6299999999992</v>
      </c>
      <c r="Q145" s="1">
        <f t="shared" si="4"/>
        <v>41.227835497835493</v>
      </c>
    </row>
    <row r="146" spans="1:17" ht="23.1" hidden="1" customHeight="1" x14ac:dyDescent="0.25">
      <c r="A146" s="12" t="s">
        <v>276</v>
      </c>
      <c r="B146" s="12" t="s">
        <v>277</v>
      </c>
      <c r="C146" s="14">
        <v>713.33</v>
      </c>
      <c r="D146" s="12"/>
      <c r="E146" s="13"/>
      <c r="N146" s="139" t="s">
        <v>11847</v>
      </c>
      <c r="O146" s="140"/>
      <c r="P146" s="138">
        <v>14916.52</v>
      </c>
      <c r="Q146" s="1">
        <f t="shared" si="4"/>
        <v>64.573679653679662</v>
      </c>
    </row>
    <row r="147" spans="1:17" ht="23.1" hidden="1" customHeight="1" x14ac:dyDescent="0.25">
      <c r="A147" s="12" t="s">
        <v>278</v>
      </c>
      <c r="B147" s="12" t="s">
        <v>84</v>
      </c>
      <c r="C147" s="14">
        <v>525</v>
      </c>
      <c r="D147" s="12"/>
      <c r="E147" s="13"/>
      <c r="N147" s="139" t="s">
        <v>11848</v>
      </c>
      <c r="O147" s="140"/>
      <c r="P147" s="138">
        <v>4372.22</v>
      </c>
      <c r="Q147" s="1">
        <f t="shared" si="4"/>
        <v>18.927359307359307</v>
      </c>
    </row>
    <row r="148" spans="1:17" ht="23.1" hidden="1" customHeight="1" x14ac:dyDescent="0.25">
      <c r="A148" s="12" t="s">
        <v>279</v>
      </c>
      <c r="B148" s="12" t="s">
        <v>149</v>
      </c>
      <c r="C148" s="14">
        <v>101.49</v>
      </c>
      <c r="D148" s="12"/>
      <c r="E148" s="13"/>
      <c r="N148" s="139" t="s">
        <v>11849</v>
      </c>
      <c r="O148" s="140"/>
      <c r="P148" s="138">
        <v>4372.22</v>
      </c>
      <c r="Q148" s="1">
        <f t="shared" si="4"/>
        <v>18.927359307359307</v>
      </c>
    </row>
    <row r="149" spans="1:17" ht="23.1" hidden="1" customHeight="1" x14ac:dyDescent="0.25">
      <c r="A149" s="12" t="s">
        <v>280</v>
      </c>
      <c r="B149" s="12" t="s">
        <v>281</v>
      </c>
      <c r="C149" s="14">
        <v>125.83</v>
      </c>
      <c r="D149" s="12"/>
      <c r="E149" s="13"/>
      <c r="N149" s="139" t="s">
        <v>11850</v>
      </c>
      <c r="O149" s="140"/>
      <c r="P149" s="138">
        <v>4372.22</v>
      </c>
      <c r="Q149" s="1">
        <f t="shared" si="4"/>
        <v>18.927359307359307</v>
      </c>
    </row>
    <row r="150" spans="1:17" ht="23.1" hidden="1" customHeight="1" x14ac:dyDescent="0.25">
      <c r="A150" s="12" t="s">
        <v>282</v>
      </c>
      <c r="B150" s="12" t="s">
        <v>283</v>
      </c>
      <c r="C150" s="14">
        <v>343.33</v>
      </c>
      <c r="D150" s="12"/>
      <c r="E150" s="13"/>
      <c r="N150" s="139" t="s">
        <v>11851</v>
      </c>
      <c r="O150" s="140"/>
      <c r="P150" s="138">
        <v>10679.48</v>
      </c>
      <c r="Q150" s="1">
        <f t="shared" si="4"/>
        <v>46.231515151515147</v>
      </c>
    </row>
    <row r="151" spans="1:17" ht="23.1" hidden="1" customHeight="1" x14ac:dyDescent="0.25">
      <c r="A151" s="12" t="s">
        <v>284</v>
      </c>
      <c r="B151" s="12" t="s">
        <v>285</v>
      </c>
      <c r="C151" s="14">
        <v>450.83</v>
      </c>
      <c r="D151" s="12"/>
      <c r="E151" s="13"/>
      <c r="N151" s="139" t="s">
        <v>11852</v>
      </c>
      <c r="O151" s="140"/>
      <c r="P151" s="138">
        <v>10679.48</v>
      </c>
      <c r="Q151" s="1">
        <f t="shared" si="4"/>
        <v>46.231515151515147</v>
      </c>
    </row>
    <row r="152" spans="1:17" ht="11.1" hidden="1" customHeight="1" x14ac:dyDescent="0.25">
      <c r="A152" s="12" t="s">
        <v>286</v>
      </c>
      <c r="B152" s="12" t="s">
        <v>218</v>
      </c>
      <c r="C152" s="14">
        <v>56.67</v>
      </c>
      <c r="D152" s="12"/>
      <c r="E152" s="13"/>
      <c r="N152" s="139" t="s">
        <v>11853</v>
      </c>
      <c r="O152" s="140"/>
      <c r="P152" s="138">
        <v>10679.48</v>
      </c>
      <c r="Q152" s="1">
        <f t="shared" si="4"/>
        <v>46.231515151515147</v>
      </c>
    </row>
    <row r="153" spans="1:17" ht="11.1" hidden="1" customHeight="1" x14ac:dyDescent="0.25">
      <c r="A153" s="12" t="s">
        <v>287</v>
      </c>
      <c r="B153" s="12" t="s">
        <v>288</v>
      </c>
      <c r="C153" s="14">
        <v>61.67</v>
      </c>
      <c r="D153" s="12"/>
      <c r="E153" s="13"/>
      <c r="N153" s="139" t="s">
        <v>11854</v>
      </c>
      <c r="O153" s="140"/>
      <c r="P153" s="138">
        <v>10679.48</v>
      </c>
      <c r="Q153" s="1">
        <f t="shared" si="4"/>
        <v>46.231515151515147</v>
      </c>
    </row>
    <row r="154" spans="1:17" ht="23.1" hidden="1" customHeight="1" x14ac:dyDescent="0.25">
      <c r="A154" s="12" t="s">
        <v>289</v>
      </c>
      <c r="B154" s="12" t="s">
        <v>290</v>
      </c>
      <c r="C154" s="14">
        <v>27.67</v>
      </c>
      <c r="D154" s="12"/>
      <c r="E154" s="13"/>
      <c r="N154" s="139" t="s">
        <v>11855</v>
      </c>
      <c r="O154" s="140"/>
      <c r="P154" s="138">
        <v>10679.48</v>
      </c>
      <c r="Q154" s="1">
        <f t="shared" si="4"/>
        <v>46.231515151515147</v>
      </c>
    </row>
    <row r="155" spans="1:17" ht="11.1" hidden="1" customHeight="1" x14ac:dyDescent="0.25">
      <c r="A155" s="12" t="s">
        <v>291</v>
      </c>
      <c r="B155" s="12" t="s">
        <v>292</v>
      </c>
      <c r="C155" s="14">
        <v>24.17</v>
      </c>
      <c r="D155" s="12"/>
      <c r="E155" s="13"/>
      <c r="N155" s="139" t="s">
        <v>11856</v>
      </c>
      <c r="O155" s="140"/>
      <c r="P155" s="138">
        <v>10679.48</v>
      </c>
      <c r="Q155" s="1">
        <f t="shared" si="4"/>
        <v>46.231515151515147</v>
      </c>
    </row>
    <row r="156" spans="1:17" ht="11.1" hidden="1" customHeight="1" x14ac:dyDescent="0.25">
      <c r="A156" s="12" t="s">
        <v>293</v>
      </c>
      <c r="B156" s="12" t="s">
        <v>292</v>
      </c>
      <c r="C156" s="14">
        <v>191.67</v>
      </c>
      <c r="D156" s="12"/>
      <c r="E156" s="13"/>
      <c r="N156" s="139" t="s">
        <v>11857</v>
      </c>
      <c r="O156" s="140"/>
      <c r="P156" s="138">
        <v>10679.48</v>
      </c>
      <c r="Q156" s="1">
        <f t="shared" si="4"/>
        <v>46.231515151515147</v>
      </c>
    </row>
    <row r="157" spans="1:17" ht="11.1" hidden="1" customHeight="1" x14ac:dyDescent="0.25">
      <c r="A157" s="12" t="s">
        <v>294</v>
      </c>
      <c r="B157" s="12" t="s">
        <v>295</v>
      </c>
      <c r="C157" s="14">
        <v>29762.28</v>
      </c>
      <c r="D157" s="12"/>
      <c r="E157" s="14"/>
      <c r="N157" s="139" t="s">
        <v>11858</v>
      </c>
      <c r="O157" s="140"/>
      <c r="P157" s="138">
        <v>10679.48</v>
      </c>
      <c r="Q157" s="1">
        <f t="shared" si="4"/>
        <v>46.231515151515147</v>
      </c>
    </row>
    <row r="158" spans="1:17" ht="11.1" hidden="1" customHeight="1" x14ac:dyDescent="0.25">
      <c r="A158" s="12" t="s">
        <v>296</v>
      </c>
      <c r="B158" s="12" t="s">
        <v>297</v>
      </c>
      <c r="C158" s="14">
        <v>2748.33</v>
      </c>
      <c r="D158" s="12"/>
      <c r="E158" s="14"/>
      <c r="N158" s="139" t="s">
        <v>7993</v>
      </c>
      <c r="O158" s="140"/>
      <c r="P158" s="138">
        <v>3432.92</v>
      </c>
      <c r="Q158" s="1">
        <f t="shared" si="4"/>
        <v>14.861125541125542</v>
      </c>
    </row>
    <row r="159" spans="1:17" ht="23.1" hidden="1" customHeight="1" x14ac:dyDescent="0.25">
      <c r="A159" s="12" t="s">
        <v>298</v>
      </c>
      <c r="B159" s="12" t="s">
        <v>299</v>
      </c>
      <c r="C159" s="14">
        <v>285.83</v>
      </c>
      <c r="D159" s="12"/>
      <c r="E159" s="13"/>
      <c r="N159" s="139" t="s">
        <v>7995</v>
      </c>
      <c r="O159" s="140"/>
      <c r="P159" s="138">
        <v>3432.92</v>
      </c>
      <c r="Q159" s="1">
        <f t="shared" si="4"/>
        <v>14.861125541125542</v>
      </c>
    </row>
    <row r="160" spans="1:17" ht="11.1" hidden="1" customHeight="1" x14ac:dyDescent="0.25">
      <c r="A160" s="12" t="s">
        <v>300</v>
      </c>
      <c r="B160" s="12" t="s">
        <v>301</v>
      </c>
      <c r="C160" s="14">
        <v>86.67</v>
      </c>
      <c r="D160" s="12"/>
      <c r="E160" s="13"/>
      <c r="N160" s="139" t="s">
        <v>7996</v>
      </c>
      <c r="O160" s="140"/>
      <c r="P160" s="138">
        <v>3432.92</v>
      </c>
      <c r="Q160" s="1">
        <f t="shared" si="4"/>
        <v>14.861125541125542</v>
      </c>
    </row>
    <row r="161" spans="1:17" ht="11.1" hidden="1" customHeight="1" x14ac:dyDescent="0.25">
      <c r="A161" s="12" t="s">
        <v>302</v>
      </c>
      <c r="B161" s="12" t="s">
        <v>303</v>
      </c>
      <c r="C161" s="14">
        <v>48.33</v>
      </c>
      <c r="D161" s="12"/>
      <c r="E161" s="13"/>
      <c r="N161" s="139" t="s">
        <v>11859</v>
      </c>
      <c r="O161" s="140"/>
      <c r="P161" s="138">
        <v>3033.74</v>
      </c>
      <c r="Q161" s="1">
        <f t="shared" si="4"/>
        <v>13.133073593073592</v>
      </c>
    </row>
    <row r="162" spans="1:17" ht="23.1" hidden="1" customHeight="1" x14ac:dyDescent="0.25">
      <c r="A162" s="12" t="s">
        <v>304</v>
      </c>
      <c r="B162" s="12" t="s">
        <v>305</v>
      </c>
      <c r="C162" s="14">
        <v>385</v>
      </c>
      <c r="D162" s="12"/>
      <c r="E162" s="13"/>
      <c r="N162" s="139" t="s">
        <v>8072</v>
      </c>
      <c r="O162" s="140"/>
      <c r="P162" s="138">
        <v>17254.23</v>
      </c>
      <c r="Q162" s="1">
        <f t="shared" si="4"/>
        <v>74.693636363636358</v>
      </c>
    </row>
    <row r="163" spans="1:17" ht="11.1" hidden="1" customHeight="1" x14ac:dyDescent="0.25">
      <c r="A163" s="12" t="s">
        <v>306</v>
      </c>
      <c r="B163" s="12" t="s">
        <v>307</v>
      </c>
      <c r="C163" s="14">
        <v>715309.78</v>
      </c>
      <c r="D163" s="12"/>
      <c r="E163" s="14"/>
      <c r="N163" s="139" t="s">
        <v>11860</v>
      </c>
      <c r="O163" s="140"/>
      <c r="P163" s="138">
        <v>123846.96</v>
      </c>
      <c r="Q163" s="1">
        <f t="shared" si="4"/>
        <v>536.13402597402603</v>
      </c>
    </row>
    <row r="164" spans="1:17" ht="11.1" hidden="1" customHeight="1" x14ac:dyDescent="0.25">
      <c r="A164" s="12" t="s">
        <v>308</v>
      </c>
      <c r="B164" s="12" t="s">
        <v>309</v>
      </c>
      <c r="C164" s="14">
        <v>302.5</v>
      </c>
      <c r="D164" s="12"/>
      <c r="E164" s="13"/>
      <c r="N164" s="139" t="s">
        <v>8183</v>
      </c>
      <c r="O164" s="140"/>
      <c r="P164" s="138">
        <v>118073.77</v>
      </c>
      <c r="Q164" s="1">
        <f t="shared" si="4"/>
        <v>511.14186147186149</v>
      </c>
    </row>
    <row r="165" spans="1:17" ht="11.1" hidden="1" customHeight="1" x14ac:dyDescent="0.25">
      <c r="A165" s="12" t="s">
        <v>310</v>
      </c>
      <c r="B165" s="12" t="s">
        <v>311</v>
      </c>
      <c r="C165" s="14">
        <v>64.2</v>
      </c>
      <c r="D165" s="12"/>
      <c r="E165" s="13"/>
    </row>
    <row r="166" spans="1:17" ht="11.1" hidden="1" customHeight="1" x14ac:dyDescent="0.25">
      <c r="A166" s="12" t="s">
        <v>312</v>
      </c>
      <c r="B166" s="12" t="s">
        <v>213</v>
      </c>
      <c r="C166" s="14">
        <v>2.19</v>
      </c>
      <c r="D166" s="12"/>
      <c r="E166" s="13"/>
    </row>
    <row r="167" spans="1:17" ht="11.1" hidden="1" customHeight="1" x14ac:dyDescent="0.25">
      <c r="A167" s="12" t="s">
        <v>313</v>
      </c>
      <c r="B167" s="12" t="s">
        <v>80</v>
      </c>
      <c r="C167" s="14">
        <v>44.17</v>
      </c>
      <c r="D167" s="12"/>
      <c r="E167" s="13"/>
    </row>
    <row r="168" spans="1:17" ht="11.1" hidden="1" customHeight="1" x14ac:dyDescent="0.25">
      <c r="A168" s="12" t="s">
        <v>314</v>
      </c>
      <c r="B168" s="12" t="s">
        <v>315</v>
      </c>
      <c r="C168" s="14">
        <v>47904.54</v>
      </c>
      <c r="D168" s="12"/>
      <c r="E168" s="14"/>
    </row>
    <row r="169" spans="1:17" ht="11.1" hidden="1" customHeight="1" x14ac:dyDescent="0.25">
      <c r="A169" s="12" t="s">
        <v>316</v>
      </c>
      <c r="B169" s="12" t="s">
        <v>174</v>
      </c>
      <c r="C169" s="14">
        <v>3325.83</v>
      </c>
      <c r="D169" s="12"/>
      <c r="E169" s="14"/>
    </row>
    <row r="170" spans="1:17" ht="11.1" hidden="1" customHeight="1" x14ac:dyDescent="0.25">
      <c r="A170" s="12" t="s">
        <v>317</v>
      </c>
      <c r="B170" s="12" t="s">
        <v>318</v>
      </c>
      <c r="C170" s="14">
        <v>2023.33</v>
      </c>
      <c r="D170" s="12"/>
      <c r="E170" s="14"/>
    </row>
    <row r="171" spans="1:17" ht="11.1" hidden="1" customHeight="1" x14ac:dyDescent="0.25">
      <c r="A171" s="12" t="s">
        <v>319</v>
      </c>
      <c r="B171" s="12" t="s">
        <v>174</v>
      </c>
      <c r="C171" s="14">
        <v>360.83</v>
      </c>
      <c r="D171" s="12"/>
      <c r="E171" s="13"/>
    </row>
    <row r="172" spans="1:17" ht="11.1" hidden="1" customHeight="1" x14ac:dyDescent="0.25">
      <c r="A172" s="12" t="s">
        <v>320</v>
      </c>
      <c r="B172" s="12" t="s">
        <v>281</v>
      </c>
      <c r="C172" s="14">
        <v>7.88</v>
      </c>
      <c r="D172" s="12"/>
      <c r="E172" s="13"/>
    </row>
    <row r="173" spans="1:17" ht="11.1" hidden="1" customHeight="1" x14ac:dyDescent="0.25">
      <c r="A173" s="12" t="s">
        <v>321</v>
      </c>
      <c r="B173" s="12" t="s">
        <v>136</v>
      </c>
      <c r="C173" s="14">
        <v>1.6</v>
      </c>
      <c r="D173" s="12"/>
      <c r="E173" s="13"/>
    </row>
    <row r="174" spans="1:17" ht="11.1" hidden="1" customHeight="1" x14ac:dyDescent="0.25">
      <c r="A174" s="12" t="s">
        <v>322</v>
      </c>
      <c r="B174" s="12" t="s">
        <v>323</v>
      </c>
      <c r="C174" s="14">
        <v>4500</v>
      </c>
      <c r="D174" s="12"/>
      <c r="E174" s="14"/>
    </row>
    <row r="175" spans="1:17" ht="23.1" hidden="1" customHeight="1" x14ac:dyDescent="0.25">
      <c r="A175" s="12" t="s">
        <v>324</v>
      </c>
      <c r="B175" s="12" t="s">
        <v>213</v>
      </c>
      <c r="C175" s="14">
        <v>1.52</v>
      </c>
      <c r="D175" s="12"/>
      <c r="E175" s="13"/>
    </row>
    <row r="176" spans="1:17" ht="11.1" hidden="1" customHeight="1" x14ac:dyDescent="0.25">
      <c r="A176" s="12" t="s">
        <v>325</v>
      </c>
      <c r="B176" s="12" t="s">
        <v>326</v>
      </c>
      <c r="C176" s="14">
        <v>312.5</v>
      </c>
      <c r="D176" s="12"/>
      <c r="E176" s="13"/>
    </row>
    <row r="177" spans="1:5" ht="11.1" hidden="1" customHeight="1" x14ac:dyDescent="0.25">
      <c r="A177" s="12" t="s">
        <v>327</v>
      </c>
      <c r="B177" s="12" t="s">
        <v>297</v>
      </c>
      <c r="C177" s="14">
        <v>6722.5</v>
      </c>
      <c r="D177" s="12"/>
      <c r="E177" s="14"/>
    </row>
    <row r="178" spans="1:5" ht="11.1" hidden="1" customHeight="1" x14ac:dyDescent="0.25">
      <c r="A178" s="12" t="s">
        <v>328</v>
      </c>
      <c r="B178" s="12" t="s">
        <v>151</v>
      </c>
      <c r="C178" s="14">
        <v>191.67</v>
      </c>
      <c r="D178" s="12"/>
      <c r="E178" s="13"/>
    </row>
    <row r="179" spans="1:5" ht="11.1" hidden="1" customHeight="1" x14ac:dyDescent="0.25">
      <c r="A179" s="12" t="s">
        <v>329</v>
      </c>
      <c r="B179" s="12" t="s">
        <v>104</v>
      </c>
      <c r="C179" s="14">
        <v>19.440000000000001</v>
      </c>
      <c r="D179" s="12"/>
      <c r="E179" s="13"/>
    </row>
    <row r="180" spans="1:5" ht="11.1" hidden="1" customHeight="1" x14ac:dyDescent="0.25">
      <c r="A180" s="12" t="s">
        <v>330</v>
      </c>
      <c r="B180" s="12" t="s">
        <v>104</v>
      </c>
      <c r="C180" s="14">
        <v>20</v>
      </c>
      <c r="D180" s="12"/>
      <c r="E180" s="13"/>
    </row>
    <row r="181" spans="1:5" ht="11.1" hidden="1" customHeight="1" x14ac:dyDescent="0.25">
      <c r="A181" s="12" t="s">
        <v>331</v>
      </c>
      <c r="B181" s="12" t="s">
        <v>332</v>
      </c>
      <c r="C181" s="14">
        <v>1589.17</v>
      </c>
      <c r="D181" s="12"/>
      <c r="E181" s="14"/>
    </row>
    <row r="182" spans="1:5" ht="11.1" hidden="1" customHeight="1" x14ac:dyDescent="0.25">
      <c r="A182" s="12" t="s">
        <v>333</v>
      </c>
      <c r="B182" s="12" t="s">
        <v>281</v>
      </c>
      <c r="C182" s="14">
        <v>0.44</v>
      </c>
      <c r="D182" s="12"/>
      <c r="E182" s="13"/>
    </row>
    <row r="183" spans="1:5" ht="11.1" hidden="1" customHeight="1" x14ac:dyDescent="0.25">
      <c r="A183" s="12" t="s">
        <v>334</v>
      </c>
      <c r="B183" s="12" t="s">
        <v>335</v>
      </c>
      <c r="C183" s="14">
        <v>1.23</v>
      </c>
      <c r="D183" s="12"/>
      <c r="E183" s="13"/>
    </row>
    <row r="184" spans="1:5" ht="11.1" hidden="1" customHeight="1" x14ac:dyDescent="0.25">
      <c r="A184" s="12" t="s">
        <v>336</v>
      </c>
      <c r="B184" s="12" t="s">
        <v>337</v>
      </c>
      <c r="C184" s="14">
        <v>2.87</v>
      </c>
      <c r="D184" s="12"/>
      <c r="E184" s="13"/>
    </row>
    <row r="185" spans="1:5" ht="11.1" hidden="1" customHeight="1" x14ac:dyDescent="0.25">
      <c r="A185" s="12" t="s">
        <v>338</v>
      </c>
      <c r="B185" s="12" t="s">
        <v>339</v>
      </c>
      <c r="C185" s="14">
        <v>19.21</v>
      </c>
      <c r="D185" s="12"/>
      <c r="E185" s="13"/>
    </row>
    <row r="186" spans="1:5" ht="11.1" hidden="1" customHeight="1" x14ac:dyDescent="0.25">
      <c r="A186" s="12" t="s">
        <v>340</v>
      </c>
      <c r="B186" s="12" t="s">
        <v>341</v>
      </c>
      <c r="C186" s="14">
        <v>2.08</v>
      </c>
      <c r="D186" s="12"/>
      <c r="E186" s="13"/>
    </row>
    <row r="187" spans="1:5" ht="11.1" hidden="1" customHeight="1" x14ac:dyDescent="0.25">
      <c r="A187" s="12" t="s">
        <v>342</v>
      </c>
      <c r="B187" s="12" t="s">
        <v>343</v>
      </c>
      <c r="C187" s="14">
        <v>224.43</v>
      </c>
      <c r="D187" s="12"/>
      <c r="E187" s="13"/>
    </row>
    <row r="188" spans="1:5" ht="11.1" hidden="1" customHeight="1" x14ac:dyDescent="0.25">
      <c r="A188" s="12" t="s">
        <v>344</v>
      </c>
      <c r="B188" s="12" t="s">
        <v>345</v>
      </c>
      <c r="C188" s="14">
        <v>60.2</v>
      </c>
      <c r="D188" s="12"/>
      <c r="E188" s="13"/>
    </row>
    <row r="189" spans="1:5" ht="11.1" hidden="1" customHeight="1" x14ac:dyDescent="0.25">
      <c r="A189" s="12" t="s">
        <v>346</v>
      </c>
      <c r="B189" s="12" t="s">
        <v>347</v>
      </c>
      <c r="C189" s="14">
        <v>7261.67</v>
      </c>
      <c r="D189" s="12"/>
      <c r="E189" s="14"/>
    </row>
    <row r="190" spans="1:5" ht="11.1" hidden="1" customHeight="1" x14ac:dyDescent="0.25">
      <c r="A190" s="12" t="s">
        <v>348</v>
      </c>
      <c r="B190" s="12" t="s">
        <v>205</v>
      </c>
      <c r="C190" s="14">
        <v>184.17</v>
      </c>
      <c r="D190" s="12"/>
      <c r="E190" s="13"/>
    </row>
    <row r="191" spans="1:5" ht="11.1" hidden="1" customHeight="1" x14ac:dyDescent="0.25">
      <c r="A191" s="12" t="s">
        <v>349</v>
      </c>
      <c r="B191" s="12" t="s">
        <v>350</v>
      </c>
      <c r="C191" s="14">
        <v>38872.5</v>
      </c>
      <c r="D191" s="12"/>
      <c r="E191" s="14"/>
    </row>
    <row r="192" spans="1:5" ht="11.1" hidden="1" customHeight="1" x14ac:dyDescent="0.25">
      <c r="A192" s="12" t="s">
        <v>351</v>
      </c>
      <c r="B192" s="12" t="s">
        <v>123</v>
      </c>
      <c r="C192" s="14">
        <v>163</v>
      </c>
      <c r="D192" s="12"/>
      <c r="E192" s="13"/>
    </row>
    <row r="193" spans="1:5" ht="11.1" hidden="1" customHeight="1" x14ac:dyDescent="0.25">
      <c r="A193" s="12" t="s">
        <v>352</v>
      </c>
      <c r="B193" s="12" t="s">
        <v>353</v>
      </c>
      <c r="C193" s="14">
        <v>8860</v>
      </c>
      <c r="D193" s="12"/>
      <c r="E193" s="14"/>
    </row>
    <row r="194" spans="1:5" ht="11.1" hidden="1" customHeight="1" x14ac:dyDescent="0.25">
      <c r="A194" s="12" t="s">
        <v>354</v>
      </c>
      <c r="B194" s="12" t="s">
        <v>355</v>
      </c>
      <c r="C194" s="14">
        <v>4672.5</v>
      </c>
      <c r="D194" s="12"/>
      <c r="E194" s="14"/>
    </row>
    <row r="195" spans="1:5" ht="11.1" hidden="1" customHeight="1" x14ac:dyDescent="0.25">
      <c r="A195" s="12" t="s">
        <v>356</v>
      </c>
      <c r="B195" s="12" t="s">
        <v>180</v>
      </c>
      <c r="C195" s="14">
        <v>255.83</v>
      </c>
      <c r="D195" s="12"/>
      <c r="E195" s="13"/>
    </row>
    <row r="196" spans="1:5" ht="11.1" hidden="1" customHeight="1" x14ac:dyDescent="0.25">
      <c r="A196" s="12" t="s">
        <v>357</v>
      </c>
      <c r="B196" s="12" t="s">
        <v>358</v>
      </c>
      <c r="C196" s="14">
        <v>1146.67</v>
      </c>
      <c r="D196" s="12"/>
      <c r="E196" s="14"/>
    </row>
    <row r="197" spans="1:5" ht="23.1" hidden="1" customHeight="1" x14ac:dyDescent="0.25">
      <c r="A197" s="12" t="s">
        <v>359</v>
      </c>
      <c r="B197" s="12" t="s">
        <v>360</v>
      </c>
      <c r="C197" s="14">
        <v>1301.67</v>
      </c>
      <c r="D197" s="12"/>
      <c r="E197" s="14"/>
    </row>
    <row r="198" spans="1:5" ht="23.1" hidden="1" customHeight="1" x14ac:dyDescent="0.25">
      <c r="A198" s="12" t="s">
        <v>361</v>
      </c>
      <c r="B198" s="12" t="s">
        <v>362</v>
      </c>
      <c r="C198" s="14">
        <v>963.33</v>
      </c>
      <c r="D198" s="12"/>
      <c r="E198" s="13"/>
    </row>
    <row r="199" spans="1:5" ht="23.1" hidden="1" customHeight="1" x14ac:dyDescent="0.25">
      <c r="A199" s="12" t="s">
        <v>363</v>
      </c>
      <c r="B199" s="12" t="s">
        <v>364</v>
      </c>
      <c r="C199" s="14">
        <v>2611.67</v>
      </c>
      <c r="D199" s="12"/>
      <c r="E199" s="14"/>
    </row>
    <row r="200" spans="1:5" ht="11.1" hidden="1" customHeight="1" x14ac:dyDescent="0.25">
      <c r="A200" s="12" t="s">
        <v>365</v>
      </c>
      <c r="B200" s="12" t="s">
        <v>366</v>
      </c>
      <c r="C200" s="14">
        <v>3125</v>
      </c>
      <c r="D200" s="12"/>
      <c r="E200" s="14"/>
    </row>
    <row r="201" spans="1:5" ht="11.1" hidden="1" customHeight="1" x14ac:dyDescent="0.25">
      <c r="A201" s="12" t="s">
        <v>367</v>
      </c>
      <c r="B201" s="12" t="s">
        <v>136</v>
      </c>
      <c r="C201" s="14">
        <v>3.92</v>
      </c>
      <c r="D201" s="12"/>
      <c r="E201" s="13"/>
    </row>
    <row r="202" spans="1:5" ht="23.1" hidden="1" customHeight="1" x14ac:dyDescent="0.25">
      <c r="A202" s="12" t="s">
        <v>368</v>
      </c>
      <c r="B202" s="12" t="s">
        <v>281</v>
      </c>
      <c r="C202" s="14">
        <v>1.45</v>
      </c>
      <c r="D202" s="12"/>
      <c r="E202" s="13"/>
    </row>
    <row r="203" spans="1:5" ht="11.1" hidden="1" customHeight="1" x14ac:dyDescent="0.25">
      <c r="A203" s="12" t="s">
        <v>369</v>
      </c>
      <c r="B203" s="12" t="s">
        <v>370</v>
      </c>
      <c r="C203" s="14">
        <v>1264.17</v>
      </c>
      <c r="D203" s="12"/>
      <c r="E203" s="14"/>
    </row>
    <row r="204" spans="1:5" ht="11.1" hidden="1" customHeight="1" x14ac:dyDescent="0.25">
      <c r="A204" s="12" t="s">
        <v>371</v>
      </c>
      <c r="B204" s="12" t="s">
        <v>372</v>
      </c>
      <c r="C204" s="14">
        <v>510.83</v>
      </c>
      <c r="D204" s="12"/>
      <c r="E204" s="13"/>
    </row>
    <row r="205" spans="1:5" ht="11.1" hidden="1" customHeight="1" x14ac:dyDescent="0.25">
      <c r="A205" s="12" t="s">
        <v>373</v>
      </c>
      <c r="B205" s="12" t="s">
        <v>374</v>
      </c>
      <c r="C205" s="14">
        <v>640.83000000000004</v>
      </c>
      <c r="D205" s="12"/>
      <c r="E205" s="13"/>
    </row>
    <row r="206" spans="1:5" ht="11.1" hidden="1" customHeight="1" x14ac:dyDescent="0.25">
      <c r="A206" s="12" t="s">
        <v>375</v>
      </c>
      <c r="B206" s="12" t="s">
        <v>104</v>
      </c>
      <c r="C206" s="14">
        <v>105.16</v>
      </c>
      <c r="D206" s="12"/>
      <c r="E206" s="13"/>
    </row>
    <row r="207" spans="1:5" ht="11.1" hidden="1" customHeight="1" x14ac:dyDescent="0.25">
      <c r="A207" s="12" t="s">
        <v>376</v>
      </c>
      <c r="B207" s="12" t="s">
        <v>104</v>
      </c>
      <c r="C207" s="14">
        <v>123.94</v>
      </c>
      <c r="D207" s="12"/>
      <c r="E207" s="13"/>
    </row>
    <row r="208" spans="1:5" ht="11.1" hidden="1" customHeight="1" x14ac:dyDescent="0.25">
      <c r="A208" s="12" t="s">
        <v>377</v>
      </c>
      <c r="B208" s="12" t="s">
        <v>151</v>
      </c>
      <c r="C208" s="14">
        <v>14.17</v>
      </c>
      <c r="D208" s="12"/>
      <c r="E208" s="13"/>
    </row>
    <row r="209" spans="1:5" ht="11.1" hidden="1" customHeight="1" x14ac:dyDescent="0.25">
      <c r="A209" s="12" t="s">
        <v>378</v>
      </c>
      <c r="B209" s="12" t="s">
        <v>309</v>
      </c>
      <c r="C209" s="14">
        <v>218.33</v>
      </c>
      <c r="D209" s="12"/>
      <c r="E209" s="13"/>
    </row>
    <row r="210" spans="1:5" ht="11.1" hidden="1" customHeight="1" x14ac:dyDescent="0.25">
      <c r="A210" s="12" t="s">
        <v>379</v>
      </c>
      <c r="B210" s="12" t="s">
        <v>380</v>
      </c>
      <c r="C210" s="14">
        <v>448.33</v>
      </c>
      <c r="D210" s="12"/>
      <c r="E210" s="13"/>
    </row>
    <row r="211" spans="1:5" ht="11.1" hidden="1" customHeight="1" x14ac:dyDescent="0.25">
      <c r="A211" s="12" t="s">
        <v>381</v>
      </c>
      <c r="B211" s="12" t="s">
        <v>151</v>
      </c>
      <c r="C211" s="14">
        <v>9.17</v>
      </c>
      <c r="D211" s="12"/>
      <c r="E211" s="13"/>
    </row>
    <row r="212" spans="1:5" ht="11.1" hidden="1" customHeight="1" x14ac:dyDescent="0.25">
      <c r="A212" s="12" t="s">
        <v>382</v>
      </c>
      <c r="B212" s="12" t="s">
        <v>383</v>
      </c>
      <c r="C212" s="14">
        <v>32315.3</v>
      </c>
      <c r="D212" s="12"/>
      <c r="E212" s="14"/>
    </row>
    <row r="213" spans="1:5" ht="23.1" hidden="1" customHeight="1" x14ac:dyDescent="0.25">
      <c r="A213" s="12" t="s">
        <v>384</v>
      </c>
      <c r="B213" s="12" t="s">
        <v>385</v>
      </c>
      <c r="C213" s="14">
        <v>1000.83</v>
      </c>
      <c r="D213" s="12"/>
      <c r="E213" s="14"/>
    </row>
    <row r="214" spans="1:5" ht="23.1" hidden="1" customHeight="1" x14ac:dyDescent="0.25">
      <c r="A214" s="12" t="s">
        <v>386</v>
      </c>
      <c r="B214" s="12" t="s">
        <v>387</v>
      </c>
      <c r="C214" s="14">
        <v>1591.67</v>
      </c>
      <c r="D214" s="12"/>
      <c r="E214" s="14"/>
    </row>
    <row r="215" spans="1:5" ht="11.1" hidden="1" customHeight="1" x14ac:dyDescent="0.25">
      <c r="A215" s="12" t="s">
        <v>388</v>
      </c>
      <c r="B215" s="12" t="s">
        <v>389</v>
      </c>
      <c r="C215" s="14">
        <v>46.67</v>
      </c>
      <c r="D215" s="12"/>
      <c r="E215" s="13"/>
    </row>
    <row r="216" spans="1:5" ht="11.1" hidden="1" customHeight="1" x14ac:dyDescent="0.25">
      <c r="A216" s="12" t="s">
        <v>390</v>
      </c>
      <c r="B216" s="12" t="s">
        <v>391</v>
      </c>
      <c r="C216" s="14">
        <v>41.67</v>
      </c>
      <c r="D216" s="12"/>
      <c r="E216" s="13"/>
    </row>
    <row r="217" spans="1:5" ht="11.1" hidden="1" customHeight="1" x14ac:dyDescent="0.25">
      <c r="A217" s="12" t="s">
        <v>392</v>
      </c>
      <c r="B217" s="12" t="s">
        <v>393</v>
      </c>
      <c r="C217" s="14">
        <v>31060</v>
      </c>
      <c r="D217" s="12"/>
      <c r="E217" s="14"/>
    </row>
    <row r="218" spans="1:5" ht="11.1" hidden="1" customHeight="1" x14ac:dyDescent="0.25">
      <c r="A218" s="12" t="s">
        <v>394</v>
      </c>
      <c r="B218" s="12" t="s">
        <v>395</v>
      </c>
      <c r="C218" s="14">
        <v>8782.5</v>
      </c>
      <c r="D218" s="12"/>
      <c r="E218" s="14"/>
    </row>
    <row r="219" spans="1:5" ht="11.1" hidden="1" customHeight="1" x14ac:dyDescent="0.25">
      <c r="A219" s="12" t="s">
        <v>396</v>
      </c>
      <c r="B219" s="12" t="s">
        <v>397</v>
      </c>
      <c r="C219" s="14">
        <v>8329.8799999999992</v>
      </c>
      <c r="D219" s="12"/>
      <c r="E219" s="14"/>
    </row>
    <row r="220" spans="1:5" ht="11.1" hidden="1" customHeight="1" x14ac:dyDescent="0.25">
      <c r="A220" s="12" t="s">
        <v>398</v>
      </c>
      <c r="B220" s="12" t="s">
        <v>399</v>
      </c>
      <c r="C220" s="14">
        <v>0.21</v>
      </c>
      <c r="D220" s="12"/>
      <c r="E220" s="13"/>
    </row>
    <row r="221" spans="1:5" ht="23.1" hidden="1" customHeight="1" x14ac:dyDescent="0.25">
      <c r="A221" s="12" t="s">
        <v>400</v>
      </c>
      <c r="B221" s="12" t="s">
        <v>213</v>
      </c>
      <c r="C221" s="14">
        <v>0.4</v>
      </c>
      <c r="D221" s="12"/>
      <c r="E221" s="13"/>
    </row>
    <row r="222" spans="1:5" ht="11.1" hidden="1" customHeight="1" x14ac:dyDescent="0.25">
      <c r="A222" s="12" t="s">
        <v>401</v>
      </c>
      <c r="B222" s="12" t="s">
        <v>136</v>
      </c>
      <c r="C222" s="14">
        <v>0.31</v>
      </c>
      <c r="D222" s="12"/>
      <c r="E222" s="13"/>
    </row>
    <row r="223" spans="1:5" ht="11.1" hidden="1" customHeight="1" x14ac:dyDescent="0.25">
      <c r="A223" s="12" t="s">
        <v>402</v>
      </c>
      <c r="B223" s="12" t="s">
        <v>213</v>
      </c>
      <c r="C223" s="14">
        <v>7.0000000000000007E-2</v>
      </c>
      <c r="D223" s="12"/>
      <c r="E223" s="13"/>
    </row>
    <row r="224" spans="1:5" ht="11.1" hidden="1" customHeight="1" x14ac:dyDescent="0.25">
      <c r="A224" s="12" t="s">
        <v>403</v>
      </c>
      <c r="B224" s="12" t="s">
        <v>213</v>
      </c>
      <c r="C224" s="14">
        <v>7.0000000000000007E-2</v>
      </c>
      <c r="D224" s="12"/>
      <c r="E224" s="13"/>
    </row>
    <row r="225" spans="1:5" ht="11.1" hidden="1" customHeight="1" x14ac:dyDescent="0.25">
      <c r="A225" s="12" t="s">
        <v>404</v>
      </c>
      <c r="B225" s="12" t="s">
        <v>213</v>
      </c>
      <c r="C225" s="14">
        <v>0.06</v>
      </c>
      <c r="D225" s="12"/>
      <c r="E225" s="13"/>
    </row>
    <row r="226" spans="1:5" ht="11.1" hidden="1" customHeight="1" x14ac:dyDescent="0.25">
      <c r="A226" s="12" t="s">
        <v>405</v>
      </c>
      <c r="B226" s="12" t="s">
        <v>116</v>
      </c>
      <c r="C226" s="14">
        <v>59.56</v>
      </c>
      <c r="D226" s="12"/>
      <c r="E226" s="13"/>
    </row>
    <row r="227" spans="1:5" ht="11.1" hidden="1" customHeight="1" x14ac:dyDescent="0.25">
      <c r="A227" s="12" t="s">
        <v>406</v>
      </c>
      <c r="B227" s="12" t="s">
        <v>213</v>
      </c>
      <c r="C227" s="14">
        <v>0.08</v>
      </c>
      <c r="D227" s="12"/>
      <c r="E227" s="13"/>
    </row>
    <row r="228" spans="1:5" ht="11.1" hidden="1" customHeight="1" x14ac:dyDescent="0.25">
      <c r="A228" s="12" t="s">
        <v>407</v>
      </c>
      <c r="B228" s="12" t="s">
        <v>116</v>
      </c>
      <c r="C228" s="14">
        <v>29.62</v>
      </c>
      <c r="D228" s="12"/>
      <c r="E228" s="13"/>
    </row>
    <row r="229" spans="1:5" ht="11.1" hidden="1" customHeight="1" x14ac:dyDescent="0.25">
      <c r="A229" s="12" t="s">
        <v>408</v>
      </c>
      <c r="B229" s="12" t="s">
        <v>213</v>
      </c>
      <c r="C229" s="14">
        <v>0.12</v>
      </c>
      <c r="D229" s="12"/>
      <c r="E229" s="13"/>
    </row>
    <row r="230" spans="1:5" ht="11.1" hidden="1" customHeight="1" x14ac:dyDescent="0.25">
      <c r="A230" s="12" t="s">
        <v>409</v>
      </c>
      <c r="B230" s="12" t="s">
        <v>136</v>
      </c>
      <c r="C230" s="14">
        <v>0.37</v>
      </c>
      <c r="D230" s="12"/>
      <c r="E230" s="13"/>
    </row>
    <row r="231" spans="1:5" ht="11.1" hidden="1" customHeight="1" x14ac:dyDescent="0.25">
      <c r="A231" s="12" t="s">
        <v>410</v>
      </c>
      <c r="B231" s="12" t="s">
        <v>213</v>
      </c>
      <c r="C231" s="14">
        <v>7.0000000000000007E-2</v>
      </c>
      <c r="D231" s="12"/>
      <c r="E231" s="13"/>
    </row>
    <row r="232" spans="1:5" ht="11.1" hidden="1" customHeight="1" x14ac:dyDescent="0.25">
      <c r="A232" s="12" t="s">
        <v>411</v>
      </c>
      <c r="B232" s="12" t="s">
        <v>213</v>
      </c>
      <c r="C232" s="14">
        <v>7.0000000000000007E-2</v>
      </c>
      <c r="D232" s="12"/>
      <c r="E232" s="13"/>
    </row>
    <row r="233" spans="1:5" ht="11.1" hidden="1" customHeight="1" x14ac:dyDescent="0.25">
      <c r="A233" s="12" t="s">
        <v>412</v>
      </c>
      <c r="B233" s="12" t="s">
        <v>281</v>
      </c>
      <c r="C233" s="14">
        <v>0.08</v>
      </c>
      <c r="D233" s="12"/>
      <c r="E233" s="13"/>
    </row>
    <row r="234" spans="1:5" ht="11.1" hidden="1" customHeight="1" x14ac:dyDescent="0.25">
      <c r="A234" s="12" t="s">
        <v>413</v>
      </c>
      <c r="B234" s="12" t="s">
        <v>213</v>
      </c>
      <c r="C234" s="14">
        <v>0.06</v>
      </c>
      <c r="D234" s="12"/>
      <c r="E234" s="13"/>
    </row>
    <row r="235" spans="1:5" ht="11.1" hidden="1" customHeight="1" x14ac:dyDescent="0.25">
      <c r="A235" s="12" t="s">
        <v>414</v>
      </c>
      <c r="B235" s="12" t="s">
        <v>213</v>
      </c>
      <c r="C235" s="14">
        <v>0.13</v>
      </c>
      <c r="D235" s="12"/>
      <c r="E235" s="13"/>
    </row>
    <row r="236" spans="1:5" ht="11.1" hidden="1" customHeight="1" x14ac:dyDescent="0.25">
      <c r="A236" s="12" t="s">
        <v>415</v>
      </c>
      <c r="B236" s="12" t="s">
        <v>281</v>
      </c>
      <c r="C236" s="14">
        <v>0.09</v>
      </c>
      <c r="D236" s="12"/>
      <c r="E236" s="13"/>
    </row>
    <row r="237" spans="1:5" ht="11.1" hidden="1" customHeight="1" x14ac:dyDescent="0.25">
      <c r="A237" s="12" t="s">
        <v>416</v>
      </c>
      <c r="B237" s="12" t="s">
        <v>213</v>
      </c>
      <c r="C237" s="14">
        <v>0.11</v>
      </c>
      <c r="D237" s="12"/>
      <c r="E237" s="13"/>
    </row>
    <row r="238" spans="1:5" ht="11.1" hidden="1" customHeight="1" x14ac:dyDescent="0.25">
      <c r="A238" s="12" t="s">
        <v>417</v>
      </c>
      <c r="B238" s="12" t="s">
        <v>213</v>
      </c>
      <c r="C238" s="14">
        <v>0.14000000000000001</v>
      </c>
      <c r="D238" s="12"/>
      <c r="E238" s="13"/>
    </row>
    <row r="239" spans="1:5" ht="11.1" hidden="1" customHeight="1" x14ac:dyDescent="0.25">
      <c r="A239" s="12" t="s">
        <v>418</v>
      </c>
      <c r="B239" s="12" t="s">
        <v>116</v>
      </c>
      <c r="C239" s="14">
        <v>60.43</v>
      </c>
      <c r="D239" s="12"/>
      <c r="E239" s="13"/>
    </row>
    <row r="240" spans="1:5" ht="11.1" hidden="1" customHeight="1" x14ac:dyDescent="0.25">
      <c r="A240" s="12" t="s">
        <v>419</v>
      </c>
      <c r="B240" s="12" t="s">
        <v>102</v>
      </c>
      <c r="C240" s="14">
        <v>62.06</v>
      </c>
      <c r="D240" s="12"/>
      <c r="E240" s="13"/>
    </row>
    <row r="241" spans="1:5" ht="11.1" hidden="1" customHeight="1" x14ac:dyDescent="0.25">
      <c r="A241" s="12" t="s">
        <v>420</v>
      </c>
      <c r="B241" s="12" t="s">
        <v>102</v>
      </c>
      <c r="C241" s="14">
        <v>12.02</v>
      </c>
      <c r="D241" s="12"/>
      <c r="E241" s="13"/>
    </row>
    <row r="242" spans="1:5" ht="11.1" hidden="1" customHeight="1" x14ac:dyDescent="0.25">
      <c r="A242" s="12" t="s">
        <v>421</v>
      </c>
      <c r="B242" s="12" t="s">
        <v>102</v>
      </c>
      <c r="C242" s="14">
        <v>12.02</v>
      </c>
      <c r="D242" s="12"/>
      <c r="E242" s="13"/>
    </row>
    <row r="243" spans="1:5" ht="11.1" hidden="1" customHeight="1" x14ac:dyDescent="0.25">
      <c r="A243" s="12" t="s">
        <v>422</v>
      </c>
      <c r="B243" s="12" t="s">
        <v>149</v>
      </c>
      <c r="C243" s="14">
        <v>0.23</v>
      </c>
      <c r="D243" s="12"/>
      <c r="E243" s="13"/>
    </row>
    <row r="244" spans="1:5" ht="11.1" hidden="1" customHeight="1" x14ac:dyDescent="0.25">
      <c r="A244" s="12" t="s">
        <v>423</v>
      </c>
      <c r="B244" s="12" t="s">
        <v>149</v>
      </c>
      <c r="C244" s="14">
        <v>0.15</v>
      </c>
      <c r="D244" s="12"/>
      <c r="E244" s="13"/>
    </row>
    <row r="245" spans="1:5" ht="11.1" hidden="1" customHeight="1" x14ac:dyDescent="0.25">
      <c r="A245" s="12" t="s">
        <v>424</v>
      </c>
      <c r="B245" s="12" t="s">
        <v>102</v>
      </c>
      <c r="C245" s="14">
        <v>12.11</v>
      </c>
      <c r="D245" s="12"/>
      <c r="E245" s="13"/>
    </row>
    <row r="246" spans="1:5" ht="11.1" hidden="1" customHeight="1" x14ac:dyDescent="0.25">
      <c r="A246" s="12" t="s">
        <v>425</v>
      </c>
      <c r="B246" s="12" t="s">
        <v>149</v>
      </c>
      <c r="C246" s="14">
        <v>0.26</v>
      </c>
      <c r="D246" s="12"/>
      <c r="E246" s="13"/>
    </row>
    <row r="247" spans="1:5" ht="11.1" hidden="1" customHeight="1" x14ac:dyDescent="0.25">
      <c r="A247" s="12" t="s">
        <v>426</v>
      </c>
      <c r="B247" s="12" t="s">
        <v>149</v>
      </c>
      <c r="C247" s="14">
        <v>0.25</v>
      </c>
      <c r="D247" s="12"/>
      <c r="E247" s="13"/>
    </row>
    <row r="248" spans="1:5" ht="11.1" hidden="1" customHeight="1" x14ac:dyDescent="0.25">
      <c r="A248" s="12" t="s">
        <v>427</v>
      </c>
      <c r="B248" s="12" t="s">
        <v>213</v>
      </c>
      <c r="C248" s="14">
        <v>0.4</v>
      </c>
      <c r="D248" s="12"/>
      <c r="E248" s="13"/>
    </row>
    <row r="249" spans="1:5" ht="11.1" hidden="1" customHeight="1" x14ac:dyDescent="0.25">
      <c r="A249" s="12" t="s">
        <v>428</v>
      </c>
      <c r="B249" s="12" t="s">
        <v>149</v>
      </c>
      <c r="C249" s="14">
        <v>0.28000000000000003</v>
      </c>
      <c r="D249" s="12"/>
      <c r="E249" s="13"/>
    </row>
    <row r="250" spans="1:5" ht="11.1" hidden="1" customHeight="1" x14ac:dyDescent="0.25">
      <c r="A250" s="12" t="s">
        <v>429</v>
      </c>
      <c r="B250" s="12" t="s">
        <v>213</v>
      </c>
      <c r="C250" s="14">
        <v>0.4</v>
      </c>
      <c r="D250" s="12"/>
      <c r="E250" s="13"/>
    </row>
    <row r="251" spans="1:5" ht="11.1" hidden="1" customHeight="1" x14ac:dyDescent="0.25">
      <c r="A251" s="12" t="s">
        <v>430</v>
      </c>
      <c r="B251" s="12" t="s">
        <v>431</v>
      </c>
      <c r="C251" s="14">
        <v>12.02</v>
      </c>
      <c r="D251" s="12"/>
      <c r="E251" s="13"/>
    </row>
    <row r="252" spans="1:5" ht="11.1" hidden="1" customHeight="1" x14ac:dyDescent="0.25">
      <c r="A252" s="12" t="s">
        <v>432</v>
      </c>
      <c r="B252" s="12" t="s">
        <v>102</v>
      </c>
      <c r="C252" s="14">
        <v>12.02</v>
      </c>
      <c r="D252" s="12"/>
      <c r="E252" s="13"/>
    </row>
    <row r="253" spans="1:5" ht="11.1" hidden="1" customHeight="1" x14ac:dyDescent="0.25">
      <c r="A253" s="12" t="s">
        <v>433</v>
      </c>
      <c r="B253" s="12" t="s">
        <v>149</v>
      </c>
      <c r="C253" s="14">
        <v>0.75</v>
      </c>
      <c r="D253" s="12"/>
      <c r="E253" s="13"/>
    </row>
    <row r="254" spans="1:5" ht="11.1" hidden="1" customHeight="1" x14ac:dyDescent="0.25">
      <c r="A254" s="12" t="s">
        <v>434</v>
      </c>
      <c r="B254" s="12" t="s">
        <v>213</v>
      </c>
      <c r="C254" s="14">
        <v>0.96</v>
      </c>
      <c r="D254" s="12"/>
      <c r="E254" s="13"/>
    </row>
    <row r="255" spans="1:5" ht="11.1" hidden="1" customHeight="1" x14ac:dyDescent="0.25">
      <c r="A255" s="12" t="s">
        <v>435</v>
      </c>
      <c r="B255" s="12" t="s">
        <v>213</v>
      </c>
      <c r="C255" s="14">
        <v>1.51</v>
      </c>
      <c r="D255" s="12"/>
      <c r="E255" s="13"/>
    </row>
    <row r="256" spans="1:5" ht="11.1" hidden="1" customHeight="1" x14ac:dyDescent="0.25">
      <c r="A256" s="12" t="s">
        <v>436</v>
      </c>
      <c r="B256" s="12" t="s">
        <v>136</v>
      </c>
      <c r="C256" s="14">
        <v>2.36</v>
      </c>
      <c r="D256" s="12"/>
      <c r="E256" s="13"/>
    </row>
    <row r="257" spans="1:5" ht="11.1" hidden="1" customHeight="1" x14ac:dyDescent="0.25">
      <c r="A257" s="12" t="s">
        <v>437</v>
      </c>
      <c r="B257" s="12" t="s">
        <v>149</v>
      </c>
      <c r="C257" s="14">
        <v>3.49</v>
      </c>
      <c r="D257" s="12"/>
      <c r="E257" s="13"/>
    </row>
    <row r="258" spans="1:5" ht="11.1" hidden="1" customHeight="1" x14ac:dyDescent="0.25">
      <c r="A258" s="12" t="s">
        <v>438</v>
      </c>
      <c r="B258" s="12" t="s">
        <v>439</v>
      </c>
      <c r="C258" s="14">
        <v>586.4</v>
      </c>
      <c r="D258" s="12"/>
      <c r="E258" s="13"/>
    </row>
    <row r="259" spans="1:5" ht="11.1" hidden="1" customHeight="1" x14ac:dyDescent="0.25">
      <c r="A259" s="12" t="s">
        <v>440</v>
      </c>
      <c r="B259" s="12" t="s">
        <v>439</v>
      </c>
      <c r="C259" s="14">
        <v>418.7</v>
      </c>
      <c r="D259" s="12"/>
      <c r="E259" s="13"/>
    </row>
    <row r="260" spans="1:5" ht="11.1" hidden="1" customHeight="1" x14ac:dyDescent="0.25">
      <c r="A260" s="12" t="s">
        <v>441</v>
      </c>
      <c r="B260" s="12" t="s">
        <v>439</v>
      </c>
      <c r="C260" s="14">
        <v>418.7</v>
      </c>
      <c r="D260" s="12"/>
      <c r="E260" s="13"/>
    </row>
    <row r="261" spans="1:5" ht="11.1" hidden="1" customHeight="1" x14ac:dyDescent="0.25">
      <c r="A261" s="12" t="s">
        <v>442</v>
      </c>
      <c r="B261" s="12" t="s">
        <v>136</v>
      </c>
      <c r="C261" s="14">
        <v>6.87</v>
      </c>
      <c r="D261" s="12"/>
      <c r="E261" s="13"/>
    </row>
    <row r="262" spans="1:5" ht="11.1" hidden="1" customHeight="1" x14ac:dyDescent="0.25">
      <c r="A262" s="12" t="s">
        <v>443</v>
      </c>
      <c r="B262" s="12" t="s">
        <v>223</v>
      </c>
      <c r="C262" s="14">
        <v>538.34</v>
      </c>
      <c r="D262" s="12"/>
      <c r="E262" s="13"/>
    </row>
    <row r="263" spans="1:5" ht="11.1" hidden="1" customHeight="1" x14ac:dyDescent="0.25">
      <c r="A263" s="12" t="s">
        <v>444</v>
      </c>
      <c r="B263" s="12" t="s">
        <v>445</v>
      </c>
      <c r="C263" s="14">
        <v>7.5</v>
      </c>
      <c r="D263" s="12"/>
      <c r="E263" s="13"/>
    </row>
    <row r="264" spans="1:5" ht="11.1" hidden="1" customHeight="1" x14ac:dyDescent="0.25">
      <c r="A264" s="12" t="s">
        <v>446</v>
      </c>
      <c r="B264" s="12" t="s">
        <v>84</v>
      </c>
      <c r="C264" s="14">
        <v>5.83</v>
      </c>
      <c r="D264" s="12"/>
      <c r="E264" s="13"/>
    </row>
    <row r="265" spans="1:5" ht="11.1" hidden="1" customHeight="1" x14ac:dyDescent="0.25">
      <c r="A265" s="12" t="s">
        <v>447</v>
      </c>
      <c r="B265" s="12" t="s">
        <v>213</v>
      </c>
      <c r="C265" s="14">
        <v>0.65</v>
      </c>
      <c r="D265" s="12"/>
      <c r="E265" s="13"/>
    </row>
    <row r="266" spans="1:5" ht="11.1" hidden="1" customHeight="1" x14ac:dyDescent="0.25">
      <c r="A266" s="12" t="s">
        <v>448</v>
      </c>
      <c r="B266" s="12" t="s">
        <v>345</v>
      </c>
      <c r="C266" s="14">
        <v>790.25</v>
      </c>
      <c r="D266" s="12"/>
      <c r="E266" s="13"/>
    </row>
    <row r="267" spans="1:5" ht="11.1" hidden="1" customHeight="1" x14ac:dyDescent="0.25">
      <c r="A267" s="12" t="s">
        <v>449</v>
      </c>
      <c r="B267" s="12" t="s">
        <v>205</v>
      </c>
      <c r="C267" s="14">
        <v>2240</v>
      </c>
      <c r="D267" s="12"/>
      <c r="E267" s="14"/>
    </row>
    <row r="268" spans="1:5" ht="11.1" hidden="1" customHeight="1" x14ac:dyDescent="0.25">
      <c r="A268" s="12" t="s">
        <v>450</v>
      </c>
      <c r="B268" s="12" t="s">
        <v>451</v>
      </c>
      <c r="C268" s="14">
        <v>660.83</v>
      </c>
      <c r="D268" s="12"/>
      <c r="E268" s="13"/>
    </row>
    <row r="269" spans="1:5" ht="11.1" hidden="1" customHeight="1" x14ac:dyDescent="0.25">
      <c r="A269" s="12" t="s">
        <v>452</v>
      </c>
      <c r="B269" s="12" t="s">
        <v>136</v>
      </c>
      <c r="C269" s="14">
        <v>4.95</v>
      </c>
      <c r="D269" s="12"/>
      <c r="E269" s="13"/>
    </row>
    <row r="270" spans="1:5" ht="11.1" hidden="1" customHeight="1" x14ac:dyDescent="0.25">
      <c r="A270" s="12" t="s">
        <v>453</v>
      </c>
      <c r="B270" s="12" t="s">
        <v>149</v>
      </c>
      <c r="C270" s="14">
        <v>1.08</v>
      </c>
      <c r="D270" s="12"/>
      <c r="E270" s="13"/>
    </row>
    <row r="271" spans="1:5" ht="11.1" hidden="1" customHeight="1" x14ac:dyDescent="0.25">
      <c r="A271" s="12" t="s">
        <v>454</v>
      </c>
      <c r="B271" s="12" t="s">
        <v>213</v>
      </c>
      <c r="C271" s="14">
        <v>0.34</v>
      </c>
      <c r="D271" s="12"/>
      <c r="E271" s="13"/>
    </row>
    <row r="272" spans="1:5" ht="11.1" hidden="1" customHeight="1" x14ac:dyDescent="0.25">
      <c r="A272" s="12" t="s">
        <v>455</v>
      </c>
      <c r="B272" s="12" t="s">
        <v>149</v>
      </c>
      <c r="C272" s="14">
        <v>3.58</v>
      </c>
      <c r="D272" s="12"/>
      <c r="E272" s="13"/>
    </row>
    <row r="273" spans="1:5" ht="23.1" hidden="1" customHeight="1" x14ac:dyDescent="0.25">
      <c r="A273" s="12" t="s">
        <v>456</v>
      </c>
      <c r="B273" s="12" t="s">
        <v>281</v>
      </c>
      <c r="C273" s="14">
        <v>3.5</v>
      </c>
      <c r="D273" s="12"/>
      <c r="E273" s="13"/>
    </row>
    <row r="274" spans="1:5" ht="11.1" hidden="1" customHeight="1" x14ac:dyDescent="0.25">
      <c r="A274" s="12" t="s">
        <v>457</v>
      </c>
      <c r="B274" s="12" t="s">
        <v>281</v>
      </c>
      <c r="C274" s="14">
        <v>0.86</v>
      </c>
      <c r="D274" s="12"/>
      <c r="E274" s="13"/>
    </row>
    <row r="275" spans="1:5" ht="11.1" hidden="1" customHeight="1" x14ac:dyDescent="0.25">
      <c r="A275" s="12" t="s">
        <v>458</v>
      </c>
      <c r="B275" s="12" t="s">
        <v>102</v>
      </c>
      <c r="C275" s="14">
        <v>15.21</v>
      </c>
      <c r="D275" s="12"/>
      <c r="E275" s="13"/>
    </row>
    <row r="276" spans="1:5" ht="11.1" hidden="1" customHeight="1" x14ac:dyDescent="0.25">
      <c r="A276" s="12" t="s">
        <v>459</v>
      </c>
      <c r="B276" s="12" t="s">
        <v>102</v>
      </c>
      <c r="C276" s="14">
        <v>15.21</v>
      </c>
      <c r="D276" s="12"/>
      <c r="E276" s="13"/>
    </row>
    <row r="277" spans="1:5" ht="11.1" hidden="1" customHeight="1" x14ac:dyDescent="0.25">
      <c r="A277" s="12" t="s">
        <v>460</v>
      </c>
      <c r="B277" s="12" t="s">
        <v>281</v>
      </c>
      <c r="C277" s="14">
        <v>1.43</v>
      </c>
      <c r="D277" s="12"/>
      <c r="E277" s="13"/>
    </row>
    <row r="278" spans="1:5" ht="11.1" hidden="1" customHeight="1" x14ac:dyDescent="0.25">
      <c r="A278" s="12" t="s">
        <v>461</v>
      </c>
      <c r="B278" s="12" t="s">
        <v>213</v>
      </c>
      <c r="C278" s="14">
        <v>1.74</v>
      </c>
      <c r="D278" s="12"/>
      <c r="E278" s="13"/>
    </row>
    <row r="279" spans="1:5" ht="11.1" hidden="1" customHeight="1" x14ac:dyDescent="0.25">
      <c r="A279" s="12" t="s">
        <v>462</v>
      </c>
      <c r="B279" s="12" t="s">
        <v>213</v>
      </c>
      <c r="C279" s="14">
        <v>8.86</v>
      </c>
      <c r="D279" s="12"/>
      <c r="E279" s="13"/>
    </row>
    <row r="280" spans="1:5" ht="11.1" hidden="1" customHeight="1" x14ac:dyDescent="0.25">
      <c r="A280" s="12" t="s">
        <v>463</v>
      </c>
      <c r="B280" s="12" t="s">
        <v>355</v>
      </c>
      <c r="C280" s="14">
        <v>496.67</v>
      </c>
      <c r="D280" s="12"/>
      <c r="E280" s="13"/>
    </row>
    <row r="281" spans="1:5" ht="11.1" hidden="1" customHeight="1" x14ac:dyDescent="0.25">
      <c r="A281" s="12" t="s">
        <v>464</v>
      </c>
      <c r="B281" s="12" t="s">
        <v>465</v>
      </c>
      <c r="C281" s="14">
        <v>59041.67</v>
      </c>
      <c r="D281" s="12"/>
      <c r="E281" s="14"/>
    </row>
    <row r="282" spans="1:5" ht="11.1" hidden="1" customHeight="1" x14ac:dyDescent="0.25">
      <c r="A282" s="12" t="s">
        <v>466</v>
      </c>
      <c r="B282" s="12" t="s">
        <v>467</v>
      </c>
      <c r="C282" s="14">
        <v>1310</v>
      </c>
      <c r="D282" s="12"/>
      <c r="E282" s="14"/>
    </row>
    <row r="283" spans="1:5" ht="11.1" hidden="1" customHeight="1" x14ac:dyDescent="0.25">
      <c r="A283" s="12" t="s">
        <v>468</v>
      </c>
      <c r="B283" s="12" t="s">
        <v>469</v>
      </c>
      <c r="C283" s="14">
        <v>417.21</v>
      </c>
      <c r="D283" s="12"/>
      <c r="E283" s="13"/>
    </row>
    <row r="284" spans="1:5" ht="11.1" hidden="1" customHeight="1" x14ac:dyDescent="0.25">
      <c r="A284" s="12" t="s">
        <v>470</v>
      </c>
      <c r="B284" s="12" t="s">
        <v>193</v>
      </c>
      <c r="C284" s="14">
        <v>524.12</v>
      </c>
      <c r="D284" s="12"/>
      <c r="E284" s="13"/>
    </row>
    <row r="285" spans="1:5" ht="11.1" hidden="1" customHeight="1" x14ac:dyDescent="0.25">
      <c r="A285" s="12" t="s">
        <v>471</v>
      </c>
      <c r="B285" s="12" t="s">
        <v>472</v>
      </c>
      <c r="C285" s="14">
        <v>370.84</v>
      </c>
      <c r="D285" s="12"/>
      <c r="E285" s="13"/>
    </row>
    <row r="286" spans="1:5" ht="11.1" hidden="1" customHeight="1" x14ac:dyDescent="0.25">
      <c r="A286" s="12" t="s">
        <v>473</v>
      </c>
      <c r="B286" s="12" t="s">
        <v>474</v>
      </c>
      <c r="C286" s="14">
        <v>16229.09</v>
      </c>
      <c r="D286" s="12"/>
      <c r="E286" s="14"/>
    </row>
    <row r="287" spans="1:5" ht="11.1" hidden="1" customHeight="1" x14ac:dyDescent="0.25">
      <c r="A287" s="12" t="s">
        <v>475</v>
      </c>
      <c r="B287" s="12" t="s">
        <v>476</v>
      </c>
      <c r="C287" s="14">
        <v>16533.330000000002</v>
      </c>
      <c r="D287" s="12"/>
      <c r="E287" s="14"/>
    </row>
    <row r="288" spans="1:5" ht="11.1" hidden="1" customHeight="1" x14ac:dyDescent="0.25">
      <c r="A288" s="12" t="s">
        <v>477</v>
      </c>
      <c r="B288" s="12" t="s">
        <v>478</v>
      </c>
      <c r="C288" s="14">
        <v>15686.67</v>
      </c>
      <c r="D288" s="12"/>
      <c r="E288" s="14"/>
    </row>
    <row r="289" spans="1:5" ht="11.1" hidden="1" customHeight="1" x14ac:dyDescent="0.25">
      <c r="A289" s="12" t="s">
        <v>479</v>
      </c>
      <c r="B289" s="12" t="s">
        <v>480</v>
      </c>
      <c r="C289" s="14">
        <v>84.51</v>
      </c>
      <c r="D289" s="12"/>
      <c r="E289" s="13"/>
    </row>
    <row r="290" spans="1:5" ht="11.1" hidden="1" customHeight="1" x14ac:dyDescent="0.25">
      <c r="A290" s="12" t="s">
        <v>481</v>
      </c>
      <c r="B290" s="12" t="s">
        <v>482</v>
      </c>
      <c r="C290" s="14">
        <v>409.17</v>
      </c>
      <c r="D290" s="12"/>
      <c r="E290" s="13"/>
    </row>
    <row r="291" spans="1:5" ht="11.1" hidden="1" customHeight="1" x14ac:dyDescent="0.25">
      <c r="A291" s="12" t="s">
        <v>483</v>
      </c>
      <c r="B291" s="12" t="s">
        <v>484</v>
      </c>
      <c r="C291" s="14">
        <v>401</v>
      </c>
      <c r="D291" s="12"/>
      <c r="E291" s="13"/>
    </row>
    <row r="292" spans="1:5" ht="11.1" hidden="1" customHeight="1" x14ac:dyDescent="0.25">
      <c r="A292" s="12" t="s">
        <v>485</v>
      </c>
      <c r="B292" s="12" t="s">
        <v>205</v>
      </c>
      <c r="C292" s="14">
        <v>412.5</v>
      </c>
      <c r="D292" s="12"/>
      <c r="E292" s="13"/>
    </row>
    <row r="293" spans="1:5" ht="23.1" hidden="1" customHeight="1" x14ac:dyDescent="0.25">
      <c r="A293" s="12" t="s">
        <v>486</v>
      </c>
      <c r="B293" s="12" t="s">
        <v>487</v>
      </c>
      <c r="C293" s="14">
        <v>25009.17</v>
      </c>
      <c r="D293" s="12"/>
      <c r="E293" s="14"/>
    </row>
    <row r="294" spans="1:5" ht="11.1" hidden="1" customHeight="1" x14ac:dyDescent="0.25">
      <c r="A294" s="12" t="s">
        <v>488</v>
      </c>
      <c r="B294" s="12" t="s">
        <v>489</v>
      </c>
      <c r="C294" s="14">
        <v>305</v>
      </c>
      <c r="D294" s="12"/>
      <c r="E294" s="13"/>
    </row>
    <row r="295" spans="1:5" ht="11.1" hidden="1" customHeight="1" x14ac:dyDescent="0.25">
      <c r="A295" s="12" t="s">
        <v>490</v>
      </c>
      <c r="B295" s="12" t="s">
        <v>387</v>
      </c>
      <c r="C295" s="14">
        <v>325.83</v>
      </c>
      <c r="D295" s="12"/>
      <c r="E295" s="13"/>
    </row>
    <row r="296" spans="1:5" ht="11.1" hidden="1" customHeight="1" x14ac:dyDescent="0.25">
      <c r="A296" s="12" t="s">
        <v>491</v>
      </c>
      <c r="B296" s="12" t="s">
        <v>492</v>
      </c>
      <c r="C296" s="14">
        <v>88.33</v>
      </c>
      <c r="D296" s="12"/>
      <c r="E296" s="13"/>
    </row>
    <row r="297" spans="1:5" ht="11.1" hidden="1" customHeight="1" x14ac:dyDescent="0.25">
      <c r="A297" s="12" t="s">
        <v>493</v>
      </c>
      <c r="B297" s="12" t="s">
        <v>494</v>
      </c>
      <c r="C297" s="14">
        <v>495</v>
      </c>
      <c r="D297" s="12"/>
      <c r="E297" s="13"/>
    </row>
    <row r="298" spans="1:5" ht="11.1" hidden="1" customHeight="1" x14ac:dyDescent="0.25">
      <c r="A298" s="12" t="s">
        <v>495</v>
      </c>
      <c r="B298" s="12" t="s">
        <v>180</v>
      </c>
      <c r="C298" s="14">
        <v>360.83</v>
      </c>
      <c r="D298" s="12"/>
      <c r="E298" s="13"/>
    </row>
    <row r="299" spans="1:5" ht="23.1" hidden="1" customHeight="1" x14ac:dyDescent="0.25">
      <c r="A299" s="12" t="s">
        <v>496</v>
      </c>
      <c r="B299" s="12" t="s">
        <v>497</v>
      </c>
      <c r="C299" s="14">
        <v>732.5</v>
      </c>
      <c r="D299" s="12"/>
      <c r="E299" s="13"/>
    </row>
    <row r="300" spans="1:5" ht="23.1" hidden="1" customHeight="1" x14ac:dyDescent="0.25">
      <c r="A300" s="12" t="s">
        <v>498</v>
      </c>
      <c r="B300" s="12" t="s">
        <v>225</v>
      </c>
      <c r="C300" s="14">
        <v>806.67</v>
      </c>
      <c r="D300" s="12"/>
      <c r="E300" s="13"/>
    </row>
    <row r="301" spans="1:5" ht="11.1" hidden="1" customHeight="1" x14ac:dyDescent="0.25">
      <c r="A301" s="12" t="s">
        <v>499</v>
      </c>
      <c r="B301" s="12" t="s">
        <v>500</v>
      </c>
      <c r="C301" s="14">
        <v>2420</v>
      </c>
      <c r="D301" s="12"/>
      <c r="E301" s="14"/>
    </row>
    <row r="302" spans="1:5" ht="11.1" hidden="1" customHeight="1" x14ac:dyDescent="0.25">
      <c r="A302" s="12" t="s">
        <v>501</v>
      </c>
      <c r="B302" s="12" t="s">
        <v>218</v>
      </c>
      <c r="C302" s="14">
        <v>22922.5</v>
      </c>
      <c r="D302" s="12"/>
      <c r="E302" s="14"/>
    </row>
    <row r="303" spans="1:5" ht="23.1" hidden="1" customHeight="1" x14ac:dyDescent="0.25">
      <c r="A303" s="12" t="s">
        <v>502</v>
      </c>
      <c r="B303" s="12" t="s">
        <v>503</v>
      </c>
      <c r="C303" s="14">
        <v>11658.33</v>
      </c>
      <c r="D303" s="12"/>
      <c r="E303" s="14"/>
    </row>
    <row r="304" spans="1:5" ht="23.1" hidden="1" customHeight="1" x14ac:dyDescent="0.25">
      <c r="A304" s="12" t="s">
        <v>504</v>
      </c>
      <c r="B304" s="12" t="s">
        <v>116</v>
      </c>
      <c r="C304" s="14">
        <v>163.22999999999999</v>
      </c>
      <c r="D304" s="12"/>
      <c r="E304" s="13"/>
    </row>
    <row r="305" spans="1:5" ht="11.1" hidden="1" customHeight="1" x14ac:dyDescent="0.25">
      <c r="A305" s="12" t="s">
        <v>505</v>
      </c>
      <c r="B305" s="12" t="s">
        <v>116</v>
      </c>
      <c r="C305" s="14">
        <v>314.57</v>
      </c>
      <c r="D305" s="12"/>
      <c r="E305" s="13"/>
    </row>
    <row r="306" spans="1:5" ht="11.1" hidden="1" customHeight="1" x14ac:dyDescent="0.25">
      <c r="A306" s="12" t="s">
        <v>506</v>
      </c>
      <c r="B306" s="12" t="s">
        <v>507</v>
      </c>
      <c r="C306" s="14">
        <v>110.83</v>
      </c>
      <c r="D306" s="12"/>
      <c r="E306" s="13"/>
    </row>
    <row r="307" spans="1:5" ht="11.1" hidden="1" customHeight="1" x14ac:dyDescent="0.25">
      <c r="A307" s="12" t="s">
        <v>508</v>
      </c>
      <c r="B307" s="12" t="s">
        <v>509</v>
      </c>
      <c r="C307" s="14">
        <v>283.33</v>
      </c>
      <c r="D307" s="12"/>
      <c r="E307" s="13"/>
    </row>
    <row r="308" spans="1:5" ht="11.1" hidden="1" customHeight="1" x14ac:dyDescent="0.25">
      <c r="A308" s="12" t="s">
        <v>510</v>
      </c>
      <c r="B308" s="12" t="s">
        <v>511</v>
      </c>
      <c r="C308" s="14">
        <v>2198.33</v>
      </c>
      <c r="D308" s="12"/>
      <c r="E308" s="14"/>
    </row>
    <row r="309" spans="1:5" ht="11.1" hidden="1" customHeight="1" x14ac:dyDescent="0.25">
      <c r="A309" s="12" t="s">
        <v>512</v>
      </c>
      <c r="B309" s="12" t="s">
        <v>513</v>
      </c>
      <c r="C309" s="14">
        <v>175.09</v>
      </c>
      <c r="D309" s="12"/>
      <c r="E309" s="13"/>
    </row>
    <row r="310" spans="1:5" ht="11.1" hidden="1" customHeight="1" x14ac:dyDescent="0.25">
      <c r="A310" s="12" t="s">
        <v>514</v>
      </c>
      <c r="B310" s="12" t="s">
        <v>515</v>
      </c>
      <c r="C310" s="14">
        <v>119.32</v>
      </c>
      <c r="D310" s="12"/>
      <c r="E310" s="13"/>
    </row>
    <row r="311" spans="1:5" ht="11.1" hidden="1" customHeight="1" x14ac:dyDescent="0.25">
      <c r="A311" s="12" t="s">
        <v>516</v>
      </c>
      <c r="B311" s="12" t="s">
        <v>517</v>
      </c>
      <c r="C311" s="14">
        <v>35.5</v>
      </c>
      <c r="D311" s="12"/>
      <c r="E311" s="13"/>
    </row>
    <row r="312" spans="1:5" ht="11.1" hidden="1" customHeight="1" x14ac:dyDescent="0.25">
      <c r="A312" s="12" t="s">
        <v>518</v>
      </c>
      <c r="B312" s="12" t="s">
        <v>519</v>
      </c>
      <c r="C312" s="14">
        <v>27.78</v>
      </c>
      <c r="D312" s="12"/>
      <c r="E312" s="13"/>
    </row>
    <row r="313" spans="1:5" ht="11.1" hidden="1" customHeight="1" x14ac:dyDescent="0.25">
      <c r="A313" s="12" t="s">
        <v>520</v>
      </c>
      <c r="B313" s="12" t="s">
        <v>521</v>
      </c>
      <c r="C313" s="14">
        <v>24.17</v>
      </c>
      <c r="D313" s="12"/>
      <c r="E313" s="13"/>
    </row>
    <row r="314" spans="1:5" ht="11.1" hidden="1" customHeight="1" x14ac:dyDescent="0.25">
      <c r="A314" s="12" t="s">
        <v>522</v>
      </c>
      <c r="B314" s="12" t="s">
        <v>523</v>
      </c>
      <c r="C314" s="14">
        <v>55</v>
      </c>
      <c r="D314" s="12"/>
      <c r="E314" s="13"/>
    </row>
    <row r="315" spans="1:5" ht="11.1" hidden="1" customHeight="1" x14ac:dyDescent="0.25">
      <c r="A315" s="12" t="s">
        <v>524</v>
      </c>
      <c r="B315" s="12" t="s">
        <v>525</v>
      </c>
      <c r="C315" s="14">
        <v>41.67</v>
      </c>
      <c r="D315" s="12"/>
      <c r="E315" s="13"/>
    </row>
    <row r="316" spans="1:5" ht="11.1" hidden="1" customHeight="1" x14ac:dyDescent="0.25">
      <c r="A316" s="12" t="s">
        <v>526</v>
      </c>
      <c r="B316" s="12" t="s">
        <v>494</v>
      </c>
      <c r="C316" s="14">
        <v>348.33</v>
      </c>
      <c r="D316" s="12"/>
      <c r="E316" s="13"/>
    </row>
    <row r="317" spans="1:5" ht="11.1" hidden="1" customHeight="1" x14ac:dyDescent="0.25">
      <c r="A317" s="12" t="s">
        <v>527</v>
      </c>
      <c r="B317" s="12" t="s">
        <v>528</v>
      </c>
      <c r="C317" s="14">
        <v>179.17</v>
      </c>
      <c r="D317" s="12"/>
      <c r="E317" s="13"/>
    </row>
    <row r="318" spans="1:5" ht="11.1" hidden="1" customHeight="1" x14ac:dyDescent="0.25">
      <c r="A318" s="12" t="s">
        <v>529</v>
      </c>
      <c r="B318" s="12" t="s">
        <v>530</v>
      </c>
      <c r="C318" s="14">
        <v>655</v>
      </c>
      <c r="D318" s="12"/>
      <c r="E318" s="13"/>
    </row>
    <row r="319" spans="1:5" ht="11.1" hidden="1" customHeight="1" x14ac:dyDescent="0.25">
      <c r="A319" s="12" t="s">
        <v>531</v>
      </c>
      <c r="B319" s="12" t="s">
        <v>494</v>
      </c>
      <c r="C319" s="14">
        <v>650</v>
      </c>
      <c r="D319" s="12"/>
      <c r="E319" s="13"/>
    </row>
    <row r="320" spans="1:5" ht="11.1" hidden="1" customHeight="1" x14ac:dyDescent="0.25">
      <c r="A320" s="12" t="s">
        <v>532</v>
      </c>
      <c r="B320" s="12" t="s">
        <v>533</v>
      </c>
      <c r="C320" s="14">
        <v>67.5</v>
      </c>
      <c r="D320" s="12"/>
      <c r="E320" s="13"/>
    </row>
    <row r="321" spans="1:5" ht="11.1" hidden="1" customHeight="1" x14ac:dyDescent="0.25">
      <c r="A321" s="12" t="s">
        <v>534</v>
      </c>
      <c r="B321" s="12" t="s">
        <v>530</v>
      </c>
      <c r="C321" s="14">
        <v>98.33</v>
      </c>
      <c r="D321" s="12"/>
      <c r="E321" s="13"/>
    </row>
    <row r="322" spans="1:5" ht="11.1" hidden="1" customHeight="1" x14ac:dyDescent="0.25">
      <c r="A322" s="12" t="s">
        <v>535</v>
      </c>
      <c r="B322" s="12" t="s">
        <v>536</v>
      </c>
      <c r="C322" s="14">
        <v>1288.33</v>
      </c>
      <c r="D322" s="12"/>
      <c r="E322" s="14"/>
    </row>
    <row r="323" spans="1:5" ht="11.1" hidden="1" customHeight="1" x14ac:dyDescent="0.25">
      <c r="A323" s="12" t="s">
        <v>537</v>
      </c>
      <c r="B323" s="12" t="s">
        <v>494</v>
      </c>
      <c r="C323" s="14">
        <v>586.66999999999996</v>
      </c>
      <c r="D323" s="12"/>
      <c r="E323" s="13"/>
    </row>
    <row r="324" spans="1:5" ht="11.1" hidden="1" customHeight="1" x14ac:dyDescent="0.25">
      <c r="A324" s="12" t="s">
        <v>538</v>
      </c>
      <c r="B324" s="12" t="s">
        <v>213</v>
      </c>
      <c r="C324" s="14">
        <v>2.61</v>
      </c>
      <c r="D324" s="12"/>
      <c r="E324" s="13"/>
    </row>
    <row r="325" spans="1:5" ht="11.1" hidden="1" customHeight="1" x14ac:dyDescent="0.25">
      <c r="A325" s="12" t="s">
        <v>539</v>
      </c>
      <c r="B325" s="12" t="s">
        <v>281</v>
      </c>
      <c r="C325" s="14">
        <v>59.93</v>
      </c>
      <c r="D325" s="12"/>
      <c r="E325" s="13"/>
    </row>
    <row r="326" spans="1:5" ht="11.1" hidden="1" customHeight="1" x14ac:dyDescent="0.25">
      <c r="A326" s="12" t="s">
        <v>540</v>
      </c>
      <c r="B326" s="12" t="s">
        <v>213</v>
      </c>
      <c r="C326" s="14">
        <v>5.34</v>
      </c>
      <c r="D326" s="12"/>
      <c r="E326" s="13"/>
    </row>
    <row r="327" spans="1:5" ht="11.1" hidden="1" customHeight="1" x14ac:dyDescent="0.25">
      <c r="A327" s="12" t="s">
        <v>541</v>
      </c>
      <c r="B327" s="12" t="s">
        <v>542</v>
      </c>
      <c r="C327" s="14">
        <v>3427.5</v>
      </c>
      <c r="D327" s="12"/>
      <c r="E327" s="14"/>
    </row>
    <row r="328" spans="1:5" ht="11.1" hidden="1" customHeight="1" x14ac:dyDescent="0.25">
      <c r="A328" s="12" t="s">
        <v>543</v>
      </c>
      <c r="B328" s="12" t="s">
        <v>297</v>
      </c>
      <c r="C328" s="14">
        <v>236.67</v>
      </c>
      <c r="D328" s="12"/>
      <c r="E328" s="13"/>
    </row>
    <row r="329" spans="1:5" ht="11.1" hidden="1" customHeight="1" x14ac:dyDescent="0.25">
      <c r="A329" s="12" t="s">
        <v>544</v>
      </c>
      <c r="B329" s="12" t="s">
        <v>545</v>
      </c>
      <c r="C329" s="14">
        <v>1189.17</v>
      </c>
      <c r="D329" s="12"/>
      <c r="E329" s="14"/>
    </row>
    <row r="330" spans="1:5" ht="11.1" hidden="1" customHeight="1" x14ac:dyDescent="0.25">
      <c r="A330" s="12" t="s">
        <v>546</v>
      </c>
      <c r="B330" s="12" t="s">
        <v>205</v>
      </c>
      <c r="C330" s="14">
        <v>155</v>
      </c>
      <c r="D330" s="12"/>
      <c r="E330" s="13"/>
    </row>
    <row r="331" spans="1:5" ht="11.1" hidden="1" customHeight="1" x14ac:dyDescent="0.25">
      <c r="A331" s="12" t="s">
        <v>547</v>
      </c>
      <c r="B331" s="12" t="s">
        <v>548</v>
      </c>
      <c r="C331" s="14">
        <v>2000</v>
      </c>
      <c r="D331" s="12"/>
      <c r="E331" s="14"/>
    </row>
    <row r="332" spans="1:5" ht="11.1" hidden="1" customHeight="1" x14ac:dyDescent="0.25">
      <c r="A332" s="12" t="s">
        <v>549</v>
      </c>
      <c r="B332" s="12" t="s">
        <v>213</v>
      </c>
      <c r="C332" s="14">
        <v>16.11</v>
      </c>
      <c r="D332" s="12"/>
      <c r="E332" s="13"/>
    </row>
    <row r="333" spans="1:5" ht="11.1" hidden="1" customHeight="1" x14ac:dyDescent="0.25">
      <c r="A333" s="12" t="s">
        <v>550</v>
      </c>
      <c r="B333" s="12" t="s">
        <v>297</v>
      </c>
      <c r="C333" s="14">
        <v>3100.83</v>
      </c>
      <c r="D333" s="12"/>
      <c r="E333" s="14"/>
    </row>
    <row r="334" spans="1:5" ht="23.1" hidden="1" customHeight="1" x14ac:dyDescent="0.25">
      <c r="A334" s="12" t="s">
        <v>551</v>
      </c>
      <c r="B334" s="12" t="s">
        <v>552</v>
      </c>
      <c r="C334" s="14">
        <v>1916.67</v>
      </c>
      <c r="D334" s="12"/>
      <c r="E334" s="14"/>
    </row>
    <row r="335" spans="1:5" ht="11.1" hidden="1" customHeight="1" x14ac:dyDescent="0.25">
      <c r="A335" s="12" t="s">
        <v>553</v>
      </c>
      <c r="B335" s="12" t="s">
        <v>554</v>
      </c>
      <c r="C335" s="14">
        <v>405.5</v>
      </c>
      <c r="D335" s="12"/>
      <c r="E335" s="13"/>
    </row>
    <row r="336" spans="1:5" ht="11.1" hidden="1" customHeight="1" x14ac:dyDescent="0.25">
      <c r="A336" s="12" t="s">
        <v>555</v>
      </c>
      <c r="B336" s="12" t="s">
        <v>556</v>
      </c>
      <c r="C336" s="14">
        <v>2962.5</v>
      </c>
      <c r="D336" s="12"/>
      <c r="E336" s="14"/>
    </row>
    <row r="337" spans="1:5" ht="11.1" hidden="1" customHeight="1" x14ac:dyDescent="0.25">
      <c r="A337" s="12" t="s">
        <v>557</v>
      </c>
      <c r="B337" s="12" t="s">
        <v>558</v>
      </c>
      <c r="C337" s="14">
        <v>3500</v>
      </c>
      <c r="D337" s="12"/>
      <c r="E337" s="14"/>
    </row>
    <row r="338" spans="1:5" ht="11.1" hidden="1" customHeight="1" x14ac:dyDescent="0.25">
      <c r="A338" s="12" t="s">
        <v>559</v>
      </c>
      <c r="B338" s="12" t="s">
        <v>151</v>
      </c>
      <c r="C338" s="14">
        <v>3458.33</v>
      </c>
      <c r="D338" s="12"/>
      <c r="E338" s="14"/>
    </row>
    <row r="339" spans="1:5" ht="11.1" hidden="1" customHeight="1" x14ac:dyDescent="0.25">
      <c r="A339" s="12" t="s">
        <v>560</v>
      </c>
      <c r="B339" s="12" t="s">
        <v>561</v>
      </c>
      <c r="C339" s="14">
        <v>280.83</v>
      </c>
      <c r="D339" s="12"/>
      <c r="E339" s="13"/>
    </row>
    <row r="340" spans="1:5" ht="11.1" hidden="1" customHeight="1" x14ac:dyDescent="0.25">
      <c r="A340" s="12" t="s">
        <v>562</v>
      </c>
      <c r="B340" s="12" t="s">
        <v>563</v>
      </c>
      <c r="C340" s="14">
        <v>409.17</v>
      </c>
      <c r="D340" s="12"/>
      <c r="E340" s="13"/>
    </row>
    <row r="341" spans="1:5" ht="11.1" hidden="1" customHeight="1" x14ac:dyDescent="0.25">
      <c r="A341" s="12" t="s">
        <v>564</v>
      </c>
      <c r="B341" s="12" t="s">
        <v>565</v>
      </c>
      <c r="C341" s="14">
        <v>146.66999999999999</v>
      </c>
      <c r="D341" s="12"/>
      <c r="E341" s="13"/>
    </row>
    <row r="342" spans="1:5" ht="11.1" hidden="1" customHeight="1" x14ac:dyDescent="0.25">
      <c r="A342" s="12" t="s">
        <v>566</v>
      </c>
      <c r="B342" s="12" t="s">
        <v>565</v>
      </c>
      <c r="C342" s="14">
        <v>97.5</v>
      </c>
      <c r="D342" s="12"/>
      <c r="E342" s="13"/>
    </row>
    <row r="343" spans="1:5" ht="11.1" hidden="1" customHeight="1" x14ac:dyDescent="0.25">
      <c r="A343" s="12" t="s">
        <v>567</v>
      </c>
      <c r="B343" s="12" t="s">
        <v>136</v>
      </c>
      <c r="C343" s="14">
        <v>8.89</v>
      </c>
      <c r="D343" s="12"/>
      <c r="E343" s="13"/>
    </row>
    <row r="344" spans="1:5" ht="11.1" hidden="1" customHeight="1" x14ac:dyDescent="0.25">
      <c r="A344" s="12" t="s">
        <v>568</v>
      </c>
      <c r="B344" s="12" t="s">
        <v>391</v>
      </c>
      <c r="C344" s="14">
        <v>672.5</v>
      </c>
      <c r="D344" s="12"/>
      <c r="E344" s="13"/>
    </row>
    <row r="345" spans="1:5" ht="11.1" hidden="1" customHeight="1" x14ac:dyDescent="0.25">
      <c r="A345" s="12" t="s">
        <v>569</v>
      </c>
      <c r="B345" s="12" t="s">
        <v>391</v>
      </c>
      <c r="C345" s="14">
        <v>354.17</v>
      </c>
      <c r="D345" s="12"/>
      <c r="E345" s="13"/>
    </row>
    <row r="346" spans="1:5" ht="11.1" hidden="1" customHeight="1" x14ac:dyDescent="0.25">
      <c r="A346" s="12" t="s">
        <v>570</v>
      </c>
      <c r="B346" s="12" t="s">
        <v>571</v>
      </c>
      <c r="C346" s="14">
        <v>6500.83</v>
      </c>
      <c r="D346" s="12"/>
      <c r="E346" s="14"/>
    </row>
    <row r="347" spans="1:5" ht="11.1" hidden="1" customHeight="1" x14ac:dyDescent="0.25">
      <c r="A347" s="12" t="s">
        <v>572</v>
      </c>
      <c r="B347" s="12" t="s">
        <v>573</v>
      </c>
      <c r="C347" s="14">
        <v>10000</v>
      </c>
      <c r="D347" s="12"/>
      <c r="E347" s="14"/>
    </row>
    <row r="348" spans="1:5" ht="11.1" hidden="1" customHeight="1" x14ac:dyDescent="0.25">
      <c r="A348" s="12" t="s">
        <v>574</v>
      </c>
      <c r="B348" s="12" t="s">
        <v>536</v>
      </c>
      <c r="C348" s="14">
        <v>108.33</v>
      </c>
      <c r="D348" s="12"/>
      <c r="E348" s="13"/>
    </row>
    <row r="349" spans="1:5" ht="11.1" hidden="1" customHeight="1" x14ac:dyDescent="0.25">
      <c r="A349" s="12" t="s">
        <v>575</v>
      </c>
      <c r="B349" s="12" t="s">
        <v>573</v>
      </c>
      <c r="C349" s="14">
        <v>2500</v>
      </c>
      <c r="D349" s="12"/>
      <c r="E349" s="14"/>
    </row>
    <row r="350" spans="1:5" ht="11.1" hidden="1" customHeight="1" x14ac:dyDescent="0.25">
      <c r="A350" s="12" t="s">
        <v>576</v>
      </c>
      <c r="B350" s="12" t="s">
        <v>530</v>
      </c>
      <c r="C350" s="14">
        <v>536.66999999999996</v>
      </c>
      <c r="D350" s="12"/>
      <c r="E350" s="13"/>
    </row>
    <row r="351" spans="1:5" ht="11.1" hidden="1" customHeight="1" x14ac:dyDescent="0.25">
      <c r="A351" s="12" t="s">
        <v>577</v>
      </c>
      <c r="B351" s="12" t="s">
        <v>530</v>
      </c>
      <c r="C351" s="14">
        <v>461.67</v>
      </c>
      <c r="D351" s="12"/>
      <c r="E351" s="13"/>
    </row>
    <row r="352" spans="1:5" ht="11.1" hidden="1" customHeight="1" x14ac:dyDescent="0.25">
      <c r="A352" s="12" t="s">
        <v>578</v>
      </c>
      <c r="B352" s="12" t="s">
        <v>579</v>
      </c>
      <c r="C352" s="14">
        <v>1576.47</v>
      </c>
      <c r="D352" s="12"/>
      <c r="E352" s="14"/>
    </row>
    <row r="353" spans="1:5" ht="11.1" hidden="1" customHeight="1" x14ac:dyDescent="0.25">
      <c r="A353" s="12" t="s">
        <v>580</v>
      </c>
      <c r="B353" s="12" t="s">
        <v>530</v>
      </c>
      <c r="C353" s="14">
        <v>13178.33</v>
      </c>
      <c r="D353" s="12"/>
      <c r="E353" s="14"/>
    </row>
    <row r="354" spans="1:5" ht="11.1" hidden="1" customHeight="1" x14ac:dyDescent="0.25">
      <c r="A354" s="12" t="s">
        <v>581</v>
      </c>
      <c r="B354" s="12" t="s">
        <v>582</v>
      </c>
      <c r="C354" s="14">
        <v>358.33</v>
      </c>
      <c r="D354" s="12"/>
      <c r="E354" s="13"/>
    </row>
    <row r="355" spans="1:5" ht="11.1" hidden="1" customHeight="1" x14ac:dyDescent="0.25">
      <c r="A355" s="12" t="s">
        <v>583</v>
      </c>
      <c r="B355" s="12" t="s">
        <v>528</v>
      </c>
      <c r="C355" s="14">
        <v>1333.33</v>
      </c>
      <c r="D355" s="12"/>
      <c r="E355" s="14"/>
    </row>
    <row r="356" spans="1:5" ht="11.1" hidden="1" customHeight="1" x14ac:dyDescent="0.25">
      <c r="A356" s="12" t="s">
        <v>584</v>
      </c>
      <c r="B356" s="12" t="s">
        <v>536</v>
      </c>
      <c r="C356" s="14">
        <v>1274.17</v>
      </c>
      <c r="D356" s="12"/>
      <c r="E356" s="14"/>
    </row>
    <row r="357" spans="1:5" ht="23.1" hidden="1" customHeight="1" x14ac:dyDescent="0.25">
      <c r="A357" s="12" t="s">
        <v>585</v>
      </c>
      <c r="B357" s="12" t="s">
        <v>586</v>
      </c>
      <c r="C357" s="14">
        <v>562</v>
      </c>
      <c r="D357" s="12"/>
      <c r="E357" s="13"/>
    </row>
    <row r="358" spans="1:5" ht="11.1" hidden="1" customHeight="1" x14ac:dyDescent="0.25">
      <c r="A358" s="12" t="s">
        <v>587</v>
      </c>
      <c r="B358" s="12" t="s">
        <v>588</v>
      </c>
      <c r="C358" s="14">
        <v>3949.17</v>
      </c>
      <c r="D358" s="12"/>
      <c r="E358" s="14"/>
    </row>
    <row r="359" spans="1:5" ht="11.1" hidden="1" customHeight="1" x14ac:dyDescent="0.25">
      <c r="A359" s="12" t="s">
        <v>589</v>
      </c>
      <c r="B359" s="12" t="s">
        <v>205</v>
      </c>
      <c r="C359" s="14">
        <v>3755</v>
      </c>
      <c r="D359" s="12"/>
      <c r="E359" s="14"/>
    </row>
    <row r="360" spans="1:5" ht="11.1" hidden="1" customHeight="1" x14ac:dyDescent="0.25">
      <c r="A360" s="12" t="s">
        <v>590</v>
      </c>
      <c r="B360" s="12" t="s">
        <v>523</v>
      </c>
      <c r="C360" s="14">
        <v>4666.67</v>
      </c>
      <c r="D360" s="12"/>
      <c r="E360" s="14"/>
    </row>
    <row r="361" spans="1:5" ht="11.1" hidden="1" customHeight="1" x14ac:dyDescent="0.25">
      <c r="A361" s="12" t="s">
        <v>591</v>
      </c>
      <c r="B361" s="12" t="s">
        <v>592</v>
      </c>
      <c r="C361" s="14">
        <v>5639.17</v>
      </c>
      <c r="D361" s="12"/>
      <c r="E361" s="14"/>
    </row>
    <row r="362" spans="1:5" ht="11.1" hidden="1" customHeight="1" x14ac:dyDescent="0.25">
      <c r="A362" s="12" t="s">
        <v>593</v>
      </c>
      <c r="B362" s="12" t="s">
        <v>563</v>
      </c>
      <c r="C362" s="14">
        <v>117.5</v>
      </c>
      <c r="D362" s="12"/>
      <c r="E362" s="13"/>
    </row>
    <row r="363" spans="1:5" ht="11.1" hidden="1" customHeight="1" x14ac:dyDescent="0.25">
      <c r="A363" s="12" t="s">
        <v>594</v>
      </c>
      <c r="B363" s="12" t="s">
        <v>595</v>
      </c>
      <c r="C363" s="14">
        <v>4273.33</v>
      </c>
      <c r="D363" s="12"/>
      <c r="E363" s="14"/>
    </row>
    <row r="364" spans="1:5" ht="11.1" hidden="1" customHeight="1" x14ac:dyDescent="0.25">
      <c r="A364" s="12" t="s">
        <v>596</v>
      </c>
      <c r="B364" s="12" t="s">
        <v>492</v>
      </c>
      <c r="C364" s="14">
        <v>570.83000000000004</v>
      </c>
      <c r="D364" s="12"/>
      <c r="E364" s="13"/>
    </row>
    <row r="365" spans="1:5" ht="11.1" hidden="1" customHeight="1" x14ac:dyDescent="0.25">
      <c r="A365" s="12" t="s">
        <v>597</v>
      </c>
      <c r="B365" s="12" t="s">
        <v>598</v>
      </c>
      <c r="C365" s="14">
        <v>389.17</v>
      </c>
      <c r="D365" s="12"/>
      <c r="E365" s="13"/>
    </row>
    <row r="366" spans="1:5" ht="11.1" hidden="1" customHeight="1" x14ac:dyDescent="0.25">
      <c r="A366" s="12" t="s">
        <v>599</v>
      </c>
      <c r="B366" s="12" t="s">
        <v>600</v>
      </c>
      <c r="C366" s="14">
        <v>160.5</v>
      </c>
      <c r="D366" s="12"/>
      <c r="E366" s="13"/>
    </row>
    <row r="367" spans="1:5" ht="11.1" hidden="1" customHeight="1" x14ac:dyDescent="0.25">
      <c r="A367" s="12" t="s">
        <v>601</v>
      </c>
      <c r="B367" s="12" t="s">
        <v>602</v>
      </c>
      <c r="C367" s="14">
        <v>10313.33</v>
      </c>
      <c r="D367" s="12"/>
      <c r="E367" s="14"/>
    </row>
    <row r="368" spans="1:5" ht="11.1" hidden="1" customHeight="1" x14ac:dyDescent="0.25">
      <c r="A368" s="12" t="s">
        <v>603</v>
      </c>
      <c r="B368" s="12" t="s">
        <v>254</v>
      </c>
      <c r="C368" s="14">
        <v>8.25</v>
      </c>
      <c r="D368" s="12"/>
      <c r="E368" s="13"/>
    </row>
    <row r="369" spans="1:5" ht="11.1" hidden="1" customHeight="1" x14ac:dyDescent="0.25">
      <c r="A369" s="12" t="s">
        <v>604</v>
      </c>
      <c r="B369" s="12" t="s">
        <v>605</v>
      </c>
      <c r="C369" s="14">
        <v>9166.67</v>
      </c>
      <c r="D369" s="12"/>
      <c r="E369" s="14"/>
    </row>
    <row r="370" spans="1:5" ht="11.1" hidden="1" customHeight="1" x14ac:dyDescent="0.25">
      <c r="A370" s="12" t="s">
        <v>606</v>
      </c>
      <c r="B370" s="12" t="s">
        <v>605</v>
      </c>
      <c r="C370" s="14">
        <v>11000</v>
      </c>
      <c r="D370" s="12"/>
      <c r="E370" s="14"/>
    </row>
    <row r="371" spans="1:5" ht="11.1" hidden="1" customHeight="1" x14ac:dyDescent="0.25">
      <c r="A371" s="12" t="s">
        <v>607</v>
      </c>
      <c r="B371" s="12" t="s">
        <v>188</v>
      </c>
      <c r="C371" s="14">
        <v>107700</v>
      </c>
      <c r="D371" s="12"/>
      <c r="E371" s="14"/>
    </row>
    <row r="372" spans="1:5" ht="11.1" hidden="1" customHeight="1" x14ac:dyDescent="0.25">
      <c r="A372" s="12" t="s">
        <v>608</v>
      </c>
      <c r="B372" s="12" t="s">
        <v>136</v>
      </c>
      <c r="C372" s="14">
        <v>5.54</v>
      </c>
      <c r="D372" s="12"/>
      <c r="E372" s="13"/>
    </row>
    <row r="373" spans="1:5" ht="11.1" hidden="1" customHeight="1" x14ac:dyDescent="0.25">
      <c r="A373" s="12" t="s">
        <v>609</v>
      </c>
      <c r="B373" s="12" t="s">
        <v>213</v>
      </c>
      <c r="C373" s="14">
        <v>2.61</v>
      </c>
      <c r="D373" s="12"/>
      <c r="E373" s="13"/>
    </row>
    <row r="374" spans="1:5" ht="11.1" hidden="1" customHeight="1" x14ac:dyDescent="0.25">
      <c r="A374" s="12" t="s">
        <v>610</v>
      </c>
      <c r="B374" s="12" t="s">
        <v>196</v>
      </c>
      <c r="C374" s="14">
        <v>4.8899999999999997</v>
      </c>
      <c r="D374" s="12"/>
      <c r="E374" s="13"/>
    </row>
    <row r="375" spans="1:5" ht="11.1" hidden="1" customHeight="1" x14ac:dyDescent="0.25">
      <c r="A375" s="12" t="s">
        <v>611</v>
      </c>
      <c r="B375" s="12" t="s">
        <v>612</v>
      </c>
      <c r="C375" s="14">
        <v>81258</v>
      </c>
      <c r="D375" s="12"/>
      <c r="E375" s="14"/>
    </row>
    <row r="376" spans="1:5" ht="11.1" hidden="1" customHeight="1" x14ac:dyDescent="0.25">
      <c r="A376" s="12" t="s">
        <v>613</v>
      </c>
      <c r="B376" s="12" t="s">
        <v>614</v>
      </c>
      <c r="C376" s="14">
        <v>154374</v>
      </c>
      <c r="D376" s="12"/>
      <c r="E376" s="14"/>
    </row>
    <row r="377" spans="1:5" ht="11.1" hidden="1" customHeight="1" x14ac:dyDescent="0.25">
      <c r="A377" s="12" t="s">
        <v>615</v>
      </c>
      <c r="B377" s="12" t="s">
        <v>614</v>
      </c>
      <c r="C377" s="14">
        <v>154374</v>
      </c>
      <c r="D377" s="12"/>
      <c r="E377" s="14"/>
    </row>
    <row r="378" spans="1:5" ht="11.1" hidden="1" customHeight="1" x14ac:dyDescent="0.25">
      <c r="A378" s="12" t="s">
        <v>616</v>
      </c>
      <c r="B378" s="12" t="s">
        <v>614</v>
      </c>
      <c r="C378" s="14">
        <v>670420</v>
      </c>
      <c r="D378" s="12"/>
      <c r="E378" s="14"/>
    </row>
    <row r="379" spans="1:5" ht="11.1" hidden="1" customHeight="1" x14ac:dyDescent="0.25">
      <c r="A379" s="12" t="s">
        <v>617</v>
      </c>
      <c r="B379" s="12" t="s">
        <v>614</v>
      </c>
      <c r="C379" s="14">
        <v>670420</v>
      </c>
      <c r="D379" s="12"/>
      <c r="E379" s="14"/>
    </row>
    <row r="380" spans="1:5" ht="11.1" hidden="1" customHeight="1" x14ac:dyDescent="0.25">
      <c r="A380" s="12" t="s">
        <v>618</v>
      </c>
      <c r="B380" s="12" t="s">
        <v>391</v>
      </c>
      <c r="C380" s="14">
        <v>110.83</v>
      </c>
      <c r="D380" s="12"/>
      <c r="E380" s="13"/>
    </row>
    <row r="381" spans="1:5" ht="23.1" hidden="1" customHeight="1" x14ac:dyDescent="0.25">
      <c r="A381" s="12" t="s">
        <v>619</v>
      </c>
      <c r="B381" s="12" t="s">
        <v>620</v>
      </c>
      <c r="C381" s="14">
        <v>201.67</v>
      </c>
      <c r="D381" s="12"/>
      <c r="E381" s="13"/>
    </row>
    <row r="382" spans="1:5" ht="23.1" hidden="1" customHeight="1" x14ac:dyDescent="0.25">
      <c r="A382" s="12" t="s">
        <v>621</v>
      </c>
      <c r="B382" s="12" t="s">
        <v>622</v>
      </c>
      <c r="C382" s="14">
        <v>75.83</v>
      </c>
      <c r="D382" s="12"/>
      <c r="E382" s="13"/>
    </row>
    <row r="383" spans="1:5" ht="23.1" hidden="1" customHeight="1" x14ac:dyDescent="0.25">
      <c r="A383" s="12" t="s">
        <v>623</v>
      </c>
      <c r="B383" s="12" t="s">
        <v>80</v>
      </c>
      <c r="C383" s="14">
        <v>258.33999999999997</v>
      </c>
      <c r="D383" s="12"/>
      <c r="E383" s="13"/>
    </row>
    <row r="384" spans="1:5" ht="23.1" hidden="1" customHeight="1" x14ac:dyDescent="0.25">
      <c r="A384" s="12" t="s">
        <v>624</v>
      </c>
      <c r="B384" s="12" t="s">
        <v>205</v>
      </c>
      <c r="C384" s="14">
        <v>35</v>
      </c>
      <c r="D384" s="12"/>
      <c r="E384" s="13"/>
    </row>
    <row r="385" spans="1:5" ht="23.1" hidden="1" customHeight="1" x14ac:dyDescent="0.25">
      <c r="A385" s="12" t="s">
        <v>625</v>
      </c>
      <c r="B385" s="12" t="s">
        <v>205</v>
      </c>
      <c r="C385" s="14">
        <v>60.83</v>
      </c>
      <c r="D385" s="12"/>
      <c r="E385" s="13"/>
    </row>
    <row r="386" spans="1:5" ht="11.1" hidden="1" customHeight="1" x14ac:dyDescent="0.25">
      <c r="A386" s="12" t="s">
        <v>626</v>
      </c>
      <c r="B386" s="12" t="s">
        <v>497</v>
      </c>
      <c r="C386" s="14">
        <v>285</v>
      </c>
      <c r="D386" s="12"/>
      <c r="E386" s="13"/>
    </row>
    <row r="387" spans="1:5" ht="23.1" hidden="1" customHeight="1" x14ac:dyDescent="0.25">
      <c r="A387" s="12" t="s">
        <v>627</v>
      </c>
      <c r="B387" s="12" t="s">
        <v>628</v>
      </c>
      <c r="C387" s="14">
        <v>360</v>
      </c>
      <c r="D387" s="12"/>
      <c r="E387" s="13"/>
    </row>
    <row r="388" spans="1:5" ht="11.1" hidden="1" customHeight="1" x14ac:dyDescent="0.25">
      <c r="A388" s="12" t="s">
        <v>629</v>
      </c>
      <c r="B388" s="12" t="s">
        <v>630</v>
      </c>
      <c r="C388" s="14">
        <v>1026.8</v>
      </c>
      <c r="D388" s="12"/>
      <c r="E388" s="14"/>
    </row>
    <row r="389" spans="1:5" ht="11.1" hidden="1" customHeight="1" x14ac:dyDescent="0.25">
      <c r="A389" s="12" t="s">
        <v>631</v>
      </c>
      <c r="B389" s="12" t="s">
        <v>123</v>
      </c>
      <c r="C389" s="14">
        <v>21.25</v>
      </c>
      <c r="D389" s="12"/>
      <c r="E389" s="13"/>
    </row>
    <row r="390" spans="1:5" ht="11.1" hidden="1" customHeight="1" x14ac:dyDescent="0.25">
      <c r="A390" s="12" t="s">
        <v>632</v>
      </c>
      <c r="B390" s="12" t="s">
        <v>633</v>
      </c>
      <c r="C390" s="14">
        <v>291.64999999999998</v>
      </c>
      <c r="D390" s="12"/>
      <c r="E390" s="13"/>
    </row>
    <row r="391" spans="1:5" ht="11.1" hidden="1" customHeight="1" x14ac:dyDescent="0.25">
      <c r="A391" s="12" t="s">
        <v>634</v>
      </c>
      <c r="B391" s="12" t="s">
        <v>254</v>
      </c>
      <c r="C391" s="14">
        <v>45.76</v>
      </c>
      <c r="D391" s="12"/>
      <c r="E391" s="13"/>
    </row>
    <row r="392" spans="1:5" ht="11.1" hidden="1" customHeight="1" x14ac:dyDescent="0.25">
      <c r="A392" s="12" t="s">
        <v>635</v>
      </c>
      <c r="B392" s="12" t="s">
        <v>116</v>
      </c>
      <c r="C392" s="14">
        <v>366.43</v>
      </c>
      <c r="D392" s="12"/>
      <c r="E392" s="13"/>
    </row>
    <row r="393" spans="1:5" ht="11.1" hidden="1" customHeight="1" x14ac:dyDescent="0.25">
      <c r="A393" s="12" t="s">
        <v>636</v>
      </c>
      <c r="B393" s="12" t="s">
        <v>136</v>
      </c>
      <c r="C393" s="14">
        <v>44.28</v>
      </c>
      <c r="D393" s="12"/>
      <c r="E393" s="13"/>
    </row>
    <row r="394" spans="1:5" ht="11.1" hidden="1" customHeight="1" x14ac:dyDescent="0.25">
      <c r="A394" s="12" t="s">
        <v>637</v>
      </c>
      <c r="B394" s="12" t="s">
        <v>638</v>
      </c>
      <c r="C394" s="14">
        <v>1729.17</v>
      </c>
      <c r="D394" s="12"/>
      <c r="E394" s="14"/>
    </row>
    <row r="395" spans="1:5" ht="11.1" hidden="1" customHeight="1" x14ac:dyDescent="0.25">
      <c r="A395" s="12" t="s">
        <v>639</v>
      </c>
      <c r="B395" s="12" t="s">
        <v>104</v>
      </c>
      <c r="C395" s="14">
        <v>17.84</v>
      </c>
      <c r="D395" s="12"/>
      <c r="E395" s="13"/>
    </row>
    <row r="396" spans="1:5" ht="11.1" hidden="1" customHeight="1" x14ac:dyDescent="0.25">
      <c r="A396" s="12" t="s">
        <v>640</v>
      </c>
      <c r="B396" s="12" t="s">
        <v>104</v>
      </c>
      <c r="C396" s="14">
        <v>21.03</v>
      </c>
      <c r="D396" s="12"/>
      <c r="E396" s="13"/>
    </row>
    <row r="397" spans="1:5" ht="11.1" hidden="1" customHeight="1" x14ac:dyDescent="0.25">
      <c r="A397" s="42" t="s">
        <v>641</v>
      </c>
      <c r="B397" s="42" t="s">
        <v>642</v>
      </c>
      <c r="C397" s="43">
        <v>195</v>
      </c>
      <c r="D397" s="12"/>
      <c r="E397" s="13"/>
    </row>
    <row r="398" spans="1:5" ht="11.1" hidden="1" customHeight="1" x14ac:dyDescent="0.25">
      <c r="A398" s="12" t="s">
        <v>643</v>
      </c>
      <c r="B398" s="12" t="s">
        <v>525</v>
      </c>
      <c r="C398" s="14">
        <v>1950</v>
      </c>
      <c r="D398" s="12"/>
      <c r="E398" s="14"/>
    </row>
    <row r="399" spans="1:5" ht="11.1" hidden="1" customHeight="1" x14ac:dyDescent="0.25">
      <c r="A399" s="12" t="s">
        <v>644</v>
      </c>
      <c r="B399" s="12" t="s">
        <v>507</v>
      </c>
      <c r="C399" s="14">
        <v>857.5</v>
      </c>
      <c r="D399" s="12"/>
      <c r="E399" s="13"/>
    </row>
    <row r="400" spans="1:5" ht="11.1" hidden="1" customHeight="1" x14ac:dyDescent="0.25">
      <c r="A400" s="12" t="s">
        <v>645</v>
      </c>
      <c r="B400" s="12" t="s">
        <v>646</v>
      </c>
      <c r="C400" s="14">
        <v>347.5</v>
      </c>
      <c r="D400" s="12"/>
      <c r="E400" s="13"/>
    </row>
    <row r="401" spans="1:5" ht="11.1" hidden="1" customHeight="1" x14ac:dyDescent="0.25">
      <c r="A401" s="12" t="s">
        <v>647</v>
      </c>
      <c r="B401" s="12" t="s">
        <v>648</v>
      </c>
      <c r="C401" s="14">
        <v>745.83</v>
      </c>
      <c r="D401" s="12"/>
      <c r="E401" s="13"/>
    </row>
    <row r="402" spans="1:5" ht="11.1" hidden="1" customHeight="1" x14ac:dyDescent="0.25">
      <c r="A402" s="12" t="s">
        <v>649</v>
      </c>
      <c r="B402" s="12" t="s">
        <v>650</v>
      </c>
      <c r="C402" s="14">
        <v>41.67</v>
      </c>
      <c r="D402" s="12"/>
      <c r="E402" s="13"/>
    </row>
    <row r="403" spans="1:5" ht="23.1" hidden="1" customHeight="1" x14ac:dyDescent="0.25">
      <c r="A403" s="12" t="s">
        <v>651</v>
      </c>
      <c r="B403" s="12" t="s">
        <v>652</v>
      </c>
      <c r="C403" s="14">
        <v>151.66999999999999</v>
      </c>
      <c r="D403" s="12"/>
      <c r="E403" s="13"/>
    </row>
    <row r="404" spans="1:5" ht="11.1" hidden="1" customHeight="1" x14ac:dyDescent="0.25">
      <c r="A404" s="12" t="s">
        <v>653</v>
      </c>
      <c r="B404" s="12" t="s">
        <v>652</v>
      </c>
      <c r="C404" s="14">
        <v>160.83000000000001</v>
      </c>
      <c r="D404" s="12"/>
      <c r="E404" s="13"/>
    </row>
    <row r="405" spans="1:5" ht="11.1" hidden="1" customHeight="1" x14ac:dyDescent="0.25">
      <c r="A405" s="12" t="s">
        <v>654</v>
      </c>
      <c r="B405" s="12" t="s">
        <v>652</v>
      </c>
      <c r="C405" s="14">
        <v>161.66999999999999</v>
      </c>
      <c r="D405" s="12"/>
      <c r="E405" s="13"/>
    </row>
    <row r="406" spans="1:5" ht="11.1" hidden="1" customHeight="1" x14ac:dyDescent="0.25">
      <c r="A406" s="12" t="s">
        <v>655</v>
      </c>
      <c r="B406" s="12" t="s">
        <v>656</v>
      </c>
      <c r="C406" s="14">
        <v>430</v>
      </c>
      <c r="D406" s="12"/>
      <c r="E406" s="13"/>
    </row>
    <row r="407" spans="1:5" ht="11.1" hidden="1" customHeight="1" x14ac:dyDescent="0.25">
      <c r="A407" s="12" t="s">
        <v>657</v>
      </c>
      <c r="B407" s="12" t="s">
        <v>658</v>
      </c>
      <c r="C407" s="14">
        <v>279.17</v>
      </c>
      <c r="D407" s="12"/>
      <c r="E407" s="13"/>
    </row>
    <row r="408" spans="1:5" ht="23.1" hidden="1" customHeight="1" x14ac:dyDescent="0.25">
      <c r="A408" s="12" t="s">
        <v>659</v>
      </c>
      <c r="B408" s="12" t="s">
        <v>387</v>
      </c>
      <c r="C408" s="14">
        <v>423.33</v>
      </c>
      <c r="D408" s="12"/>
      <c r="E408" s="13"/>
    </row>
    <row r="409" spans="1:5" ht="11.1" hidden="1" customHeight="1" x14ac:dyDescent="0.25">
      <c r="A409" s="12" t="s">
        <v>660</v>
      </c>
      <c r="B409" s="12" t="s">
        <v>661</v>
      </c>
      <c r="C409" s="14">
        <v>1446</v>
      </c>
      <c r="D409" s="12"/>
      <c r="E409" s="14"/>
    </row>
    <row r="410" spans="1:5" ht="11.1" hidden="1" customHeight="1" x14ac:dyDescent="0.25">
      <c r="A410" s="12" t="s">
        <v>662</v>
      </c>
      <c r="B410" s="12" t="s">
        <v>663</v>
      </c>
      <c r="C410" s="14">
        <v>215.83</v>
      </c>
      <c r="D410" s="12"/>
      <c r="E410" s="13"/>
    </row>
    <row r="411" spans="1:5" ht="11.1" hidden="1" customHeight="1" x14ac:dyDescent="0.25">
      <c r="A411" s="12" t="s">
        <v>664</v>
      </c>
      <c r="B411" s="12" t="s">
        <v>552</v>
      </c>
      <c r="C411" s="14">
        <v>11271.67</v>
      </c>
      <c r="D411" s="12"/>
      <c r="E411" s="14"/>
    </row>
    <row r="412" spans="1:5" ht="11.1" hidden="1" customHeight="1" x14ac:dyDescent="0.25">
      <c r="A412" s="12" t="s">
        <v>665</v>
      </c>
      <c r="B412" s="12" t="s">
        <v>552</v>
      </c>
      <c r="C412" s="14">
        <v>32510.84</v>
      </c>
      <c r="D412" s="12"/>
      <c r="E412" s="14"/>
    </row>
    <row r="413" spans="1:5" ht="11.1" hidden="1" customHeight="1" x14ac:dyDescent="0.25">
      <c r="A413" s="12" t="s">
        <v>666</v>
      </c>
      <c r="B413" s="12" t="s">
        <v>667</v>
      </c>
      <c r="C413" s="14">
        <v>31273</v>
      </c>
      <c r="D413" s="12"/>
      <c r="E413" s="14"/>
    </row>
    <row r="414" spans="1:5" ht="23.1" hidden="1" customHeight="1" x14ac:dyDescent="0.25">
      <c r="A414" s="12" t="s">
        <v>668</v>
      </c>
      <c r="B414" s="12" t="s">
        <v>669</v>
      </c>
      <c r="C414" s="14">
        <v>150.19999999999999</v>
      </c>
      <c r="D414" s="12"/>
      <c r="E414" s="13"/>
    </row>
    <row r="415" spans="1:5" ht="23.1" hidden="1" customHeight="1" x14ac:dyDescent="0.25">
      <c r="A415" s="12" t="s">
        <v>670</v>
      </c>
      <c r="B415" s="12" t="s">
        <v>254</v>
      </c>
      <c r="C415" s="14">
        <v>565.44000000000005</v>
      </c>
      <c r="D415" s="12"/>
      <c r="E415" s="13"/>
    </row>
    <row r="416" spans="1:5" ht="11.1" hidden="1" customHeight="1" x14ac:dyDescent="0.25">
      <c r="A416" s="12" t="s">
        <v>671</v>
      </c>
      <c r="B416" s="12" t="s">
        <v>672</v>
      </c>
      <c r="C416" s="14">
        <v>33210</v>
      </c>
      <c r="D416" s="12"/>
      <c r="E416" s="14"/>
    </row>
    <row r="417" spans="1:5" ht="11.1" hidden="1" customHeight="1" x14ac:dyDescent="0.25">
      <c r="A417" s="12" t="s">
        <v>673</v>
      </c>
      <c r="B417" s="12" t="s">
        <v>674</v>
      </c>
      <c r="C417" s="14">
        <v>4184</v>
      </c>
      <c r="D417" s="12"/>
      <c r="E417" s="14"/>
    </row>
    <row r="418" spans="1:5" ht="11.1" hidden="1" customHeight="1" x14ac:dyDescent="0.25">
      <c r="A418" s="12" t="s">
        <v>675</v>
      </c>
      <c r="B418" s="12" t="s">
        <v>151</v>
      </c>
      <c r="C418" s="14">
        <v>23.33</v>
      </c>
      <c r="D418" s="12"/>
      <c r="E418" s="13"/>
    </row>
    <row r="419" spans="1:5" ht="11.1" hidden="1" customHeight="1" x14ac:dyDescent="0.25">
      <c r="A419" s="12" t="s">
        <v>676</v>
      </c>
      <c r="B419" s="12" t="s">
        <v>677</v>
      </c>
      <c r="C419" s="14">
        <v>655</v>
      </c>
      <c r="D419" s="12"/>
      <c r="E419" s="13"/>
    </row>
    <row r="420" spans="1:5" ht="11.1" hidden="1" customHeight="1" x14ac:dyDescent="0.25">
      <c r="A420" s="12" t="s">
        <v>678</v>
      </c>
      <c r="B420" s="12" t="s">
        <v>656</v>
      </c>
      <c r="C420" s="14">
        <v>200.84</v>
      </c>
      <c r="D420" s="12"/>
      <c r="E420" s="13"/>
    </row>
    <row r="421" spans="1:5" ht="11.1" hidden="1" customHeight="1" x14ac:dyDescent="0.25">
      <c r="A421" s="12" t="s">
        <v>679</v>
      </c>
      <c r="B421" s="12" t="s">
        <v>677</v>
      </c>
      <c r="C421" s="14">
        <v>120.84</v>
      </c>
      <c r="D421" s="12"/>
      <c r="E421" s="13"/>
    </row>
    <row r="422" spans="1:5" ht="11.1" hidden="1" customHeight="1" x14ac:dyDescent="0.25">
      <c r="A422" s="12" t="s">
        <v>680</v>
      </c>
      <c r="B422" s="12" t="s">
        <v>180</v>
      </c>
      <c r="C422" s="14">
        <v>1616.67</v>
      </c>
      <c r="D422" s="12"/>
      <c r="E422" s="14"/>
    </row>
    <row r="423" spans="1:5" ht="11.1" hidden="1" customHeight="1" x14ac:dyDescent="0.25">
      <c r="A423" s="12" t="s">
        <v>681</v>
      </c>
      <c r="B423" s="12" t="s">
        <v>180</v>
      </c>
      <c r="C423" s="14">
        <v>1916.67</v>
      </c>
      <c r="D423" s="12"/>
      <c r="E423" s="14"/>
    </row>
    <row r="424" spans="1:5" ht="11.1" hidden="1" customHeight="1" x14ac:dyDescent="0.25">
      <c r="A424" s="12" t="s">
        <v>682</v>
      </c>
      <c r="B424" s="12" t="s">
        <v>536</v>
      </c>
      <c r="C424" s="14">
        <v>1105</v>
      </c>
      <c r="D424" s="12"/>
      <c r="E424" s="14"/>
    </row>
    <row r="425" spans="1:5" ht="11.1" hidden="1" customHeight="1" x14ac:dyDescent="0.25">
      <c r="A425" s="12" t="s">
        <v>683</v>
      </c>
      <c r="B425" s="12" t="s">
        <v>684</v>
      </c>
      <c r="C425" s="14">
        <v>470</v>
      </c>
      <c r="D425" s="12"/>
      <c r="E425" s="13"/>
    </row>
    <row r="426" spans="1:5" ht="11.1" hidden="1" customHeight="1" x14ac:dyDescent="0.25">
      <c r="A426" s="12" t="s">
        <v>685</v>
      </c>
      <c r="B426" s="12" t="s">
        <v>686</v>
      </c>
      <c r="C426" s="14">
        <v>76750</v>
      </c>
      <c r="D426" s="12"/>
      <c r="E426" s="14"/>
    </row>
    <row r="427" spans="1:5" ht="11.1" hidden="1" customHeight="1" x14ac:dyDescent="0.25">
      <c r="A427" s="12" t="s">
        <v>687</v>
      </c>
      <c r="B427" s="12" t="s">
        <v>554</v>
      </c>
      <c r="C427" s="14">
        <v>6578</v>
      </c>
      <c r="D427" s="12"/>
      <c r="E427" s="14"/>
    </row>
    <row r="428" spans="1:5" ht="11.1" hidden="1" customHeight="1" x14ac:dyDescent="0.25">
      <c r="A428" s="12" t="s">
        <v>688</v>
      </c>
      <c r="B428" s="12" t="s">
        <v>689</v>
      </c>
      <c r="C428" s="14">
        <v>1250</v>
      </c>
      <c r="D428" s="12"/>
      <c r="E428" s="14"/>
    </row>
    <row r="429" spans="1:5" ht="11.1" hidden="1" customHeight="1" x14ac:dyDescent="0.25">
      <c r="A429" s="12" t="s">
        <v>690</v>
      </c>
      <c r="B429" s="12" t="s">
        <v>691</v>
      </c>
      <c r="C429" s="14">
        <v>20000</v>
      </c>
      <c r="D429" s="12"/>
      <c r="E429" s="14"/>
    </row>
    <row r="430" spans="1:5" ht="11.1" hidden="1" customHeight="1" x14ac:dyDescent="0.25">
      <c r="A430" s="12" t="s">
        <v>692</v>
      </c>
      <c r="B430" s="12" t="s">
        <v>80</v>
      </c>
      <c r="C430" s="14">
        <v>225</v>
      </c>
      <c r="D430" s="12"/>
      <c r="E430" s="13"/>
    </row>
    <row r="431" spans="1:5" ht="11.1" hidden="1" customHeight="1" x14ac:dyDescent="0.25">
      <c r="A431" s="12" t="s">
        <v>693</v>
      </c>
      <c r="B431" s="12" t="s">
        <v>80</v>
      </c>
      <c r="C431" s="14">
        <v>1383.33</v>
      </c>
      <c r="D431" s="12"/>
      <c r="E431" s="14"/>
    </row>
    <row r="432" spans="1:5" ht="11.1" hidden="1" customHeight="1" x14ac:dyDescent="0.25">
      <c r="A432" s="12" t="s">
        <v>694</v>
      </c>
      <c r="B432" s="12" t="s">
        <v>254</v>
      </c>
      <c r="C432" s="14">
        <v>0.37</v>
      </c>
      <c r="D432" s="12"/>
      <c r="E432" s="13"/>
    </row>
    <row r="433" spans="1:5" ht="11.1" hidden="1" customHeight="1" x14ac:dyDescent="0.25">
      <c r="A433" s="12" t="s">
        <v>695</v>
      </c>
      <c r="B433" s="12" t="s">
        <v>696</v>
      </c>
      <c r="C433" s="14">
        <v>406.67</v>
      </c>
      <c r="D433" s="12"/>
      <c r="E433" s="13"/>
    </row>
    <row r="434" spans="1:5" ht="11.1" hidden="1" customHeight="1" x14ac:dyDescent="0.25">
      <c r="A434" s="12" t="s">
        <v>697</v>
      </c>
      <c r="B434" s="12" t="s">
        <v>696</v>
      </c>
      <c r="C434" s="14">
        <v>224.17</v>
      </c>
      <c r="D434" s="12"/>
      <c r="E434" s="13"/>
    </row>
    <row r="435" spans="1:5" ht="11.1" hidden="1" customHeight="1" x14ac:dyDescent="0.25">
      <c r="A435" s="12" t="s">
        <v>698</v>
      </c>
      <c r="B435" s="12" t="s">
        <v>696</v>
      </c>
      <c r="C435" s="14">
        <v>224.17</v>
      </c>
      <c r="D435" s="12"/>
      <c r="E435" s="13"/>
    </row>
    <row r="436" spans="1:5" ht="11.1" hidden="1" customHeight="1" x14ac:dyDescent="0.25">
      <c r="A436" s="12" t="s">
        <v>699</v>
      </c>
      <c r="B436" s="12" t="s">
        <v>696</v>
      </c>
      <c r="C436" s="14">
        <v>660</v>
      </c>
      <c r="D436" s="12"/>
      <c r="E436" s="13"/>
    </row>
    <row r="437" spans="1:5" ht="11.1" hidden="1" customHeight="1" x14ac:dyDescent="0.25">
      <c r="A437" s="12" t="s">
        <v>700</v>
      </c>
      <c r="B437" s="12" t="s">
        <v>136</v>
      </c>
      <c r="C437" s="14">
        <v>88.59</v>
      </c>
      <c r="D437" s="12"/>
      <c r="E437" s="13"/>
    </row>
    <row r="438" spans="1:5" ht="11.1" hidden="1" customHeight="1" x14ac:dyDescent="0.25">
      <c r="A438" s="12" t="s">
        <v>701</v>
      </c>
      <c r="B438" s="12" t="s">
        <v>702</v>
      </c>
      <c r="C438" s="14">
        <v>21.67</v>
      </c>
      <c r="D438" s="12"/>
      <c r="E438" s="13"/>
    </row>
    <row r="439" spans="1:5" ht="11.1" hidden="1" customHeight="1" x14ac:dyDescent="0.25">
      <c r="A439" s="12" t="s">
        <v>703</v>
      </c>
      <c r="B439" s="12" t="s">
        <v>297</v>
      </c>
      <c r="C439" s="14">
        <v>1136.67</v>
      </c>
      <c r="D439" s="12"/>
      <c r="E439" s="14"/>
    </row>
    <row r="440" spans="1:5" ht="11.1" hidden="1" customHeight="1" x14ac:dyDescent="0.25">
      <c r="A440" s="12" t="s">
        <v>704</v>
      </c>
      <c r="B440" s="12" t="s">
        <v>705</v>
      </c>
      <c r="C440" s="14">
        <v>38333.33</v>
      </c>
      <c r="D440" s="12"/>
      <c r="E440" s="14"/>
    </row>
    <row r="441" spans="1:5" ht="11.1" hidden="1" customHeight="1" x14ac:dyDescent="0.25">
      <c r="A441" s="12" t="s">
        <v>706</v>
      </c>
      <c r="B441" s="12" t="s">
        <v>445</v>
      </c>
      <c r="C441" s="14">
        <v>176.67</v>
      </c>
      <c r="D441" s="12"/>
      <c r="E441" s="13"/>
    </row>
    <row r="442" spans="1:5" ht="11.1" hidden="1" customHeight="1" x14ac:dyDescent="0.25">
      <c r="A442" s="12" t="s">
        <v>707</v>
      </c>
      <c r="B442" s="12" t="s">
        <v>123</v>
      </c>
      <c r="C442" s="14">
        <v>1.42</v>
      </c>
      <c r="D442" s="12"/>
      <c r="E442" s="13"/>
    </row>
    <row r="443" spans="1:5" ht="11.1" hidden="1" customHeight="1" x14ac:dyDescent="0.25">
      <c r="A443" s="12" t="s">
        <v>708</v>
      </c>
      <c r="B443" s="12" t="s">
        <v>709</v>
      </c>
      <c r="C443" s="14">
        <v>790</v>
      </c>
      <c r="D443" s="12"/>
      <c r="E443" s="13"/>
    </row>
    <row r="444" spans="1:5" ht="11.1" hidden="1" customHeight="1" x14ac:dyDescent="0.25">
      <c r="A444" s="12" t="s">
        <v>710</v>
      </c>
      <c r="B444" s="12" t="s">
        <v>711</v>
      </c>
      <c r="C444" s="14">
        <v>6537.5</v>
      </c>
      <c r="D444" s="12"/>
      <c r="E444" s="14"/>
    </row>
    <row r="445" spans="1:5" ht="11.1" hidden="1" customHeight="1" x14ac:dyDescent="0.25">
      <c r="A445" s="12" t="s">
        <v>712</v>
      </c>
      <c r="B445" s="12" t="s">
        <v>713</v>
      </c>
      <c r="C445" s="14">
        <v>125</v>
      </c>
      <c r="D445" s="12"/>
      <c r="E445" s="13"/>
    </row>
    <row r="446" spans="1:5" ht="11.1" hidden="1" customHeight="1" x14ac:dyDescent="0.25">
      <c r="A446" s="12" t="s">
        <v>714</v>
      </c>
      <c r="B446" s="12" t="s">
        <v>715</v>
      </c>
      <c r="C446" s="14">
        <v>5</v>
      </c>
      <c r="D446" s="12"/>
      <c r="E446" s="13"/>
    </row>
    <row r="447" spans="1:5" ht="11.1" hidden="1" customHeight="1" x14ac:dyDescent="0.25">
      <c r="A447" s="12" t="s">
        <v>716</v>
      </c>
      <c r="B447" s="12" t="s">
        <v>717</v>
      </c>
      <c r="C447" s="14">
        <v>4.17</v>
      </c>
      <c r="D447" s="12"/>
      <c r="E447" s="13"/>
    </row>
    <row r="448" spans="1:5" ht="11.1" hidden="1" customHeight="1" x14ac:dyDescent="0.25">
      <c r="A448" s="12" t="s">
        <v>718</v>
      </c>
      <c r="B448" s="12" t="s">
        <v>719</v>
      </c>
      <c r="C448" s="14">
        <v>5</v>
      </c>
      <c r="D448" s="12"/>
      <c r="E448" s="13"/>
    </row>
    <row r="449" spans="1:5" ht="11.1" hidden="1" customHeight="1" x14ac:dyDescent="0.25">
      <c r="A449" s="12" t="s">
        <v>720</v>
      </c>
      <c r="B449" s="12" t="s">
        <v>721</v>
      </c>
      <c r="C449" s="14">
        <v>20.83</v>
      </c>
      <c r="D449" s="12"/>
      <c r="E449" s="13"/>
    </row>
    <row r="450" spans="1:5" ht="11.1" hidden="1" customHeight="1" x14ac:dyDescent="0.25">
      <c r="A450" s="12" t="s">
        <v>722</v>
      </c>
      <c r="B450" s="12" t="s">
        <v>268</v>
      </c>
      <c r="C450" s="14">
        <v>438.34</v>
      </c>
      <c r="D450" s="12"/>
      <c r="E450" s="13"/>
    </row>
    <row r="451" spans="1:5" ht="11.1" hidden="1" customHeight="1" x14ac:dyDescent="0.25">
      <c r="A451" s="12" t="s">
        <v>723</v>
      </c>
      <c r="B451" s="12" t="s">
        <v>268</v>
      </c>
      <c r="C451" s="14">
        <v>604.16999999999996</v>
      </c>
      <c r="D451" s="12"/>
      <c r="E451" s="13"/>
    </row>
    <row r="452" spans="1:5" ht="11.1" hidden="1" customHeight="1" x14ac:dyDescent="0.25">
      <c r="A452" s="12" t="s">
        <v>724</v>
      </c>
      <c r="B452" s="12" t="s">
        <v>725</v>
      </c>
      <c r="C452" s="14">
        <v>187.5</v>
      </c>
      <c r="D452" s="12"/>
      <c r="E452" s="13"/>
    </row>
    <row r="453" spans="1:5" ht="11.1" hidden="1" customHeight="1" x14ac:dyDescent="0.25">
      <c r="A453" s="12" t="s">
        <v>726</v>
      </c>
      <c r="B453" s="12" t="s">
        <v>727</v>
      </c>
      <c r="C453" s="14">
        <v>53.33</v>
      </c>
      <c r="D453" s="12"/>
      <c r="E453" s="13"/>
    </row>
    <row r="454" spans="1:5" ht="11.1" hidden="1" customHeight="1" x14ac:dyDescent="0.25">
      <c r="A454" s="12" t="s">
        <v>728</v>
      </c>
      <c r="B454" s="12" t="s">
        <v>729</v>
      </c>
      <c r="C454" s="14">
        <v>907.5</v>
      </c>
      <c r="D454" s="12"/>
      <c r="E454" s="13"/>
    </row>
    <row r="455" spans="1:5" ht="11.1" hidden="1" customHeight="1" x14ac:dyDescent="0.25">
      <c r="A455" s="12" t="s">
        <v>730</v>
      </c>
      <c r="B455" s="12" t="s">
        <v>347</v>
      </c>
      <c r="C455" s="14">
        <v>19.170000000000002</v>
      </c>
      <c r="D455" s="12"/>
      <c r="E455" s="13"/>
    </row>
    <row r="456" spans="1:5" ht="11.1" hidden="1" customHeight="1" x14ac:dyDescent="0.25">
      <c r="A456" s="12" t="s">
        <v>731</v>
      </c>
      <c r="B456" s="12" t="s">
        <v>713</v>
      </c>
      <c r="C456" s="14">
        <v>244.17</v>
      </c>
      <c r="D456" s="12"/>
      <c r="E456" s="13"/>
    </row>
    <row r="457" spans="1:5" ht="11.1" hidden="1" customHeight="1" x14ac:dyDescent="0.25">
      <c r="A457" s="12" t="s">
        <v>732</v>
      </c>
      <c r="B457" s="12" t="s">
        <v>733</v>
      </c>
      <c r="C457" s="14">
        <v>108.33</v>
      </c>
      <c r="D457" s="12"/>
      <c r="E457" s="13"/>
    </row>
    <row r="458" spans="1:5" ht="11.1" hidden="1" customHeight="1" x14ac:dyDescent="0.25">
      <c r="A458" s="12" t="s">
        <v>734</v>
      </c>
      <c r="B458" s="12" t="s">
        <v>658</v>
      </c>
      <c r="C458" s="14">
        <v>58.33</v>
      </c>
      <c r="D458" s="12"/>
      <c r="E458" s="13"/>
    </row>
    <row r="459" spans="1:5" ht="11.1" hidden="1" customHeight="1" x14ac:dyDescent="0.25">
      <c r="A459" s="12" t="s">
        <v>735</v>
      </c>
      <c r="B459" s="12" t="s">
        <v>180</v>
      </c>
      <c r="C459" s="14">
        <v>51.67</v>
      </c>
      <c r="D459" s="12"/>
      <c r="E459" s="13"/>
    </row>
    <row r="460" spans="1:5" ht="11.1" hidden="1" customHeight="1" x14ac:dyDescent="0.25">
      <c r="A460" s="12" t="s">
        <v>736</v>
      </c>
      <c r="B460" s="12" t="s">
        <v>297</v>
      </c>
      <c r="C460" s="14">
        <v>496.67</v>
      </c>
      <c r="D460" s="12"/>
      <c r="E460" s="13"/>
    </row>
    <row r="461" spans="1:5" ht="11.1" hidden="1" customHeight="1" x14ac:dyDescent="0.25">
      <c r="A461" s="12" t="s">
        <v>737</v>
      </c>
      <c r="B461" s="12" t="s">
        <v>738</v>
      </c>
      <c r="C461" s="14">
        <v>644.16999999999996</v>
      </c>
      <c r="D461" s="12"/>
      <c r="E461" s="13"/>
    </row>
    <row r="462" spans="1:5" ht="11.1" hidden="1" customHeight="1" x14ac:dyDescent="0.25">
      <c r="A462" s="12" t="s">
        <v>739</v>
      </c>
      <c r="B462" s="12" t="s">
        <v>176</v>
      </c>
      <c r="C462" s="14">
        <v>210</v>
      </c>
      <c r="D462" s="12"/>
      <c r="E462" s="13"/>
    </row>
    <row r="463" spans="1:5" ht="11.1" hidden="1" customHeight="1" x14ac:dyDescent="0.25">
      <c r="A463" s="12" t="s">
        <v>740</v>
      </c>
      <c r="B463" s="12" t="s">
        <v>741</v>
      </c>
      <c r="C463" s="14">
        <v>72.5</v>
      </c>
      <c r="D463" s="12"/>
      <c r="E463" s="13"/>
    </row>
    <row r="464" spans="1:5" ht="11.1" hidden="1" customHeight="1" x14ac:dyDescent="0.25">
      <c r="A464" s="12" t="s">
        <v>742</v>
      </c>
      <c r="B464" s="12" t="s">
        <v>290</v>
      </c>
      <c r="C464" s="14">
        <v>203.33</v>
      </c>
      <c r="D464" s="12"/>
      <c r="E464" s="13"/>
    </row>
    <row r="465" spans="1:5" ht="11.1" hidden="1" customHeight="1" x14ac:dyDescent="0.25">
      <c r="A465" s="12" t="s">
        <v>743</v>
      </c>
      <c r="B465" s="12" t="s">
        <v>451</v>
      </c>
      <c r="C465" s="14">
        <v>575</v>
      </c>
      <c r="D465" s="12"/>
      <c r="E465" s="13"/>
    </row>
    <row r="466" spans="1:5" ht="11.1" hidden="1" customHeight="1" x14ac:dyDescent="0.25">
      <c r="A466" s="12" t="s">
        <v>744</v>
      </c>
      <c r="B466" s="12" t="s">
        <v>745</v>
      </c>
      <c r="C466" s="14">
        <v>63.34</v>
      </c>
      <c r="D466" s="12"/>
      <c r="E466" s="13"/>
    </row>
    <row r="467" spans="1:5" ht="11.1" hidden="1" customHeight="1" x14ac:dyDescent="0.25">
      <c r="A467" s="12" t="s">
        <v>746</v>
      </c>
      <c r="B467" s="12" t="s">
        <v>729</v>
      </c>
      <c r="C467" s="14">
        <v>711.67</v>
      </c>
      <c r="D467" s="12"/>
      <c r="E467" s="13"/>
    </row>
    <row r="468" spans="1:5" ht="11.1" hidden="1" customHeight="1" x14ac:dyDescent="0.25">
      <c r="A468" s="12" t="s">
        <v>747</v>
      </c>
      <c r="B468" s="12" t="s">
        <v>497</v>
      </c>
      <c r="C468" s="14">
        <v>861.67</v>
      </c>
      <c r="D468" s="12"/>
      <c r="E468" s="13"/>
    </row>
    <row r="469" spans="1:5" ht="11.1" hidden="1" customHeight="1" x14ac:dyDescent="0.25">
      <c r="A469" s="12" t="s">
        <v>748</v>
      </c>
      <c r="B469" s="12" t="s">
        <v>749</v>
      </c>
      <c r="C469" s="14">
        <v>1742.5</v>
      </c>
      <c r="D469" s="12"/>
      <c r="E469" s="14"/>
    </row>
    <row r="470" spans="1:5" ht="11.1" hidden="1" customHeight="1" x14ac:dyDescent="0.25">
      <c r="A470" s="12" t="s">
        <v>750</v>
      </c>
      <c r="B470" s="12" t="s">
        <v>497</v>
      </c>
      <c r="C470" s="14">
        <v>1470</v>
      </c>
      <c r="D470" s="12"/>
      <c r="E470" s="14"/>
    </row>
    <row r="471" spans="1:5" ht="11.1" hidden="1" customHeight="1" x14ac:dyDescent="0.25">
      <c r="A471" s="12" t="s">
        <v>751</v>
      </c>
      <c r="B471" s="12" t="s">
        <v>752</v>
      </c>
      <c r="C471" s="14">
        <v>1251.67</v>
      </c>
      <c r="D471" s="12"/>
      <c r="E471" s="14"/>
    </row>
    <row r="472" spans="1:5" ht="11.1" hidden="1" customHeight="1" x14ac:dyDescent="0.25">
      <c r="A472" s="12" t="s">
        <v>753</v>
      </c>
      <c r="B472" s="12" t="s">
        <v>297</v>
      </c>
      <c r="C472" s="14">
        <v>2346.67</v>
      </c>
      <c r="D472" s="12"/>
      <c r="E472" s="14"/>
    </row>
    <row r="473" spans="1:5" ht="11.1" hidden="1" customHeight="1" x14ac:dyDescent="0.25">
      <c r="A473" s="12" t="s">
        <v>754</v>
      </c>
      <c r="B473" s="12" t="s">
        <v>299</v>
      </c>
      <c r="C473" s="14">
        <v>136.66999999999999</v>
      </c>
      <c r="D473" s="12"/>
      <c r="E473" s="13"/>
    </row>
    <row r="474" spans="1:5" ht="11.1" hidden="1" customHeight="1" x14ac:dyDescent="0.25">
      <c r="A474" s="12" t="s">
        <v>755</v>
      </c>
      <c r="B474" s="12" t="s">
        <v>218</v>
      </c>
      <c r="C474" s="14">
        <v>92.5</v>
      </c>
      <c r="D474" s="12"/>
      <c r="E474" s="13"/>
    </row>
    <row r="475" spans="1:5" ht="11.1" hidden="1" customHeight="1" x14ac:dyDescent="0.25">
      <c r="A475" s="12" t="s">
        <v>756</v>
      </c>
      <c r="B475" s="12" t="s">
        <v>180</v>
      </c>
      <c r="C475" s="14">
        <v>364.17</v>
      </c>
      <c r="D475" s="12"/>
      <c r="E475" s="13"/>
    </row>
    <row r="476" spans="1:5" ht="11.1" hidden="1" customHeight="1" x14ac:dyDescent="0.25">
      <c r="A476" s="12" t="s">
        <v>757</v>
      </c>
      <c r="B476" s="12" t="s">
        <v>180</v>
      </c>
      <c r="C476" s="14">
        <v>3471.67</v>
      </c>
      <c r="D476" s="12"/>
      <c r="E476" s="14"/>
    </row>
    <row r="477" spans="1:5" ht="11.1" hidden="1" customHeight="1" x14ac:dyDescent="0.25">
      <c r="A477" s="12" t="s">
        <v>758</v>
      </c>
      <c r="B477" s="12" t="s">
        <v>759</v>
      </c>
      <c r="C477" s="14">
        <v>148.33000000000001</v>
      </c>
      <c r="D477" s="12"/>
      <c r="E477" s="13"/>
    </row>
    <row r="478" spans="1:5" ht="11.1" hidden="1" customHeight="1" x14ac:dyDescent="0.25">
      <c r="A478" s="12" t="s">
        <v>760</v>
      </c>
      <c r="B478" s="12" t="s">
        <v>761</v>
      </c>
      <c r="C478" s="14">
        <v>127.5</v>
      </c>
      <c r="D478" s="12"/>
      <c r="E478" s="13"/>
    </row>
    <row r="479" spans="1:5" ht="11.1" hidden="1" customHeight="1" x14ac:dyDescent="0.25">
      <c r="A479" s="12" t="s">
        <v>762</v>
      </c>
      <c r="B479" s="12" t="s">
        <v>387</v>
      </c>
      <c r="C479" s="14">
        <v>520.83000000000004</v>
      </c>
      <c r="D479" s="12"/>
      <c r="E479" s="13"/>
    </row>
    <row r="480" spans="1:5" ht="11.1" hidden="1" customHeight="1" x14ac:dyDescent="0.25">
      <c r="A480" s="12" t="s">
        <v>763</v>
      </c>
      <c r="B480" s="12" t="s">
        <v>764</v>
      </c>
      <c r="C480" s="14">
        <v>253.33</v>
      </c>
      <c r="D480" s="12"/>
      <c r="E480" s="13"/>
    </row>
    <row r="481" spans="1:5" ht="11.1" hidden="1" customHeight="1" x14ac:dyDescent="0.25">
      <c r="A481" s="12" t="s">
        <v>765</v>
      </c>
      <c r="B481" s="12" t="s">
        <v>489</v>
      </c>
      <c r="C481" s="14">
        <v>17586.669999999998</v>
      </c>
      <c r="D481" s="12"/>
      <c r="E481" s="14"/>
    </row>
    <row r="482" spans="1:5" ht="11.1" hidden="1" customHeight="1" x14ac:dyDescent="0.25">
      <c r="A482" s="12" t="s">
        <v>766</v>
      </c>
      <c r="B482" s="12" t="s">
        <v>180</v>
      </c>
      <c r="C482" s="14">
        <v>195</v>
      </c>
      <c r="D482" s="12"/>
      <c r="E482" s="13"/>
    </row>
    <row r="483" spans="1:5" ht="11.1" hidden="1" customHeight="1" x14ac:dyDescent="0.25">
      <c r="A483" s="12" t="s">
        <v>767</v>
      </c>
      <c r="B483" s="12" t="s">
        <v>299</v>
      </c>
      <c r="C483" s="14">
        <v>385</v>
      </c>
      <c r="D483" s="12"/>
      <c r="E483" s="13"/>
    </row>
    <row r="484" spans="1:5" ht="23.1" hidden="1" customHeight="1" x14ac:dyDescent="0.25">
      <c r="A484" s="12" t="s">
        <v>768</v>
      </c>
      <c r="B484" s="12" t="s">
        <v>769</v>
      </c>
      <c r="C484" s="14">
        <v>250</v>
      </c>
      <c r="D484" s="12"/>
      <c r="E484" s="13"/>
    </row>
    <row r="485" spans="1:5" ht="11.1" hidden="1" customHeight="1" x14ac:dyDescent="0.25">
      <c r="A485" s="12" t="s">
        <v>770</v>
      </c>
      <c r="B485" s="12" t="s">
        <v>301</v>
      </c>
      <c r="C485" s="14">
        <v>4491.67</v>
      </c>
      <c r="D485" s="12"/>
      <c r="E485" s="14"/>
    </row>
    <row r="486" spans="1:5" ht="11.1" hidden="1" customHeight="1" x14ac:dyDescent="0.25">
      <c r="A486" s="12" t="s">
        <v>771</v>
      </c>
      <c r="B486" s="12" t="s">
        <v>525</v>
      </c>
      <c r="C486" s="14">
        <v>4491.67</v>
      </c>
      <c r="D486" s="12"/>
      <c r="E486" s="14"/>
    </row>
    <row r="487" spans="1:5" ht="11.1" hidden="1" customHeight="1" x14ac:dyDescent="0.25">
      <c r="A487" s="12" t="s">
        <v>772</v>
      </c>
      <c r="B487" s="12" t="s">
        <v>563</v>
      </c>
      <c r="C487" s="14">
        <v>299.17</v>
      </c>
      <c r="D487" s="12"/>
      <c r="E487" s="13"/>
    </row>
    <row r="488" spans="1:5" ht="11.1" hidden="1" customHeight="1" x14ac:dyDescent="0.25">
      <c r="A488" s="12" t="s">
        <v>773</v>
      </c>
      <c r="B488" s="12" t="s">
        <v>497</v>
      </c>
      <c r="C488" s="14">
        <v>70.83</v>
      </c>
      <c r="D488" s="12"/>
      <c r="E488" s="13"/>
    </row>
    <row r="489" spans="1:5" ht="11.1" hidden="1" customHeight="1" x14ac:dyDescent="0.25">
      <c r="A489" s="12" t="s">
        <v>774</v>
      </c>
      <c r="B489" s="12" t="s">
        <v>775</v>
      </c>
      <c r="C489" s="14">
        <v>243.34</v>
      </c>
      <c r="D489" s="12"/>
      <c r="E489" s="13"/>
    </row>
    <row r="490" spans="1:5" ht="11.1" hidden="1" customHeight="1" x14ac:dyDescent="0.25">
      <c r="A490" s="12" t="s">
        <v>776</v>
      </c>
      <c r="B490" s="12" t="s">
        <v>497</v>
      </c>
      <c r="C490" s="14">
        <v>362.5</v>
      </c>
      <c r="D490" s="12"/>
      <c r="E490" s="13"/>
    </row>
    <row r="491" spans="1:5" ht="11.1" hidden="1" customHeight="1" x14ac:dyDescent="0.25">
      <c r="A491" s="12" t="s">
        <v>777</v>
      </c>
      <c r="B491" s="12" t="s">
        <v>778</v>
      </c>
      <c r="C491" s="14">
        <v>79.17</v>
      </c>
      <c r="D491" s="12"/>
      <c r="E491" s="13"/>
    </row>
    <row r="492" spans="1:5" ht="11.1" hidden="1" customHeight="1" x14ac:dyDescent="0.25">
      <c r="A492" s="12" t="s">
        <v>779</v>
      </c>
      <c r="B492" s="12" t="s">
        <v>780</v>
      </c>
      <c r="C492" s="14">
        <v>249.17</v>
      </c>
      <c r="D492" s="12"/>
      <c r="E492" s="13"/>
    </row>
    <row r="493" spans="1:5" ht="11.1" hidden="1" customHeight="1" x14ac:dyDescent="0.25">
      <c r="A493" s="12" t="s">
        <v>781</v>
      </c>
      <c r="B493" s="12" t="s">
        <v>782</v>
      </c>
      <c r="C493" s="14">
        <v>16694.169999999998</v>
      </c>
      <c r="D493" s="12"/>
      <c r="E493" s="14"/>
    </row>
    <row r="494" spans="1:5" ht="11.1" hidden="1" customHeight="1" x14ac:dyDescent="0.25">
      <c r="A494" s="12" t="s">
        <v>783</v>
      </c>
      <c r="B494" s="12" t="s">
        <v>784</v>
      </c>
      <c r="C494" s="14">
        <v>16694.169999999998</v>
      </c>
      <c r="D494" s="12"/>
      <c r="E494" s="14"/>
    </row>
    <row r="495" spans="1:5" ht="11.1" hidden="1" customHeight="1" x14ac:dyDescent="0.25">
      <c r="A495" s="12" t="s">
        <v>785</v>
      </c>
      <c r="B495" s="12" t="s">
        <v>786</v>
      </c>
      <c r="C495" s="14">
        <v>9230</v>
      </c>
      <c r="D495" s="12"/>
      <c r="E495" s="14"/>
    </row>
    <row r="496" spans="1:5" ht="11.1" hidden="1" customHeight="1" x14ac:dyDescent="0.25">
      <c r="A496" s="12" t="s">
        <v>787</v>
      </c>
      <c r="B496" s="12" t="s">
        <v>788</v>
      </c>
      <c r="C496" s="14">
        <v>597.5</v>
      </c>
      <c r="D496" s="12"/>
      <c r="E496" s="13"/>
    </row>
    <row r="497" spans="1:5" ht="11.1" hidden="1" customHeight="1" x14ac:dyDescent="0.25">
      <c r="A497" s="12" t="s">
        <v>789</v>
      </c>
      <c r="B497" s="12" t="s">
        <v>497</v>
      </c>
      <c r="C497" s="14">
        <v>472.5</v>
      </c>
      <c r="D497" s="12"/>
      <c r="E497" s="13"/>
    </row>
    <row r="498" spans="1:5" ht="11.1" hidden="1" customHeight="1" x14ac:dyDescent="0.25">
      <c r="A498" s="12" t="s">
        <v>790</v>
      </c>
      <c r="B498" s="12" t="s">
        <v>332</v>
      </c>
      <c r="C498" s="14">
        <v>483.33</v>
      </c>
      <c r="D498" s="12"/>
      <c r="E498" s="13"/>
    </row>
    <row r="499" spans="1:5" ht="11.1" hidden="1" customHeight="1" x14ac:dyDescent="0.25">
      <c r="A499" s="12" t="s">
        <v>791</v>
      </c>
      <c r="B499" s="12" t="s">
        <v>102</v>
      </c>
      <c r="C499" s="14">
        <v>49.86</v>
      </c>
      <c r="D499" s="12"/>
      <c r="E499" s="13"/>
    </row>
    <row r="500" spans="1:5" ht="11.1" hidden="1" customHeight="1" x14ac:dyDescent="0.25">
      <c r="A500" s="12" t="s">
        <v>792</v>
      </c>
      <c r="B500" s="12" t="s">
        <v>84</v>
      </c>
      <c r="C500" s="14">
        <v>10</v>
      </c>
      <c r="D500" s="12"/>
      <c r="E500" s="13"/>
    </row>
    <row r="501" spans="1:5" ht="11.1" hidden="1" customHeight="1" x14ac:dyDescent="0.25">
      <c r="A501" s="12" t="s">
        <v>793</v>
      </c>
      <c r="B501" s="12" t="s">
        <v>794</v>
      </c>
      <c r="C501" s="14">
        <v>9716.67</v>
      </c>
      <c r="D501" s="12"/>
      <c r="E501" s="14"/>
    </row>
    <row r="502" spans="1:5" ht="11.1" hidden="1" customHeight="1" x14ac:dyDescent="0.25">
      <c r="A502" s="12" t="s">
        <v>795</v>
      </c>
      <c r="B502" s="12" t="s">
        <v>796</v>
      </c>
      <c r="C502" s="14">
        <v>25666.67</v>
      </c>
      <c r="D502" s="12"/>
      <c r="E502" s="14"/>
    </row>
    <row r="503" spans="1:5" ht="11.1" hidden="1" customHeight="1" x14ac:dyDescent="0.25">
      <c r="A503" s="12" t="s">
        <v>797</v>
      </c>
      <c r="B503" s="12" t="s">
        <v>798</v>
      </c>
      <c r="C503" s="14">
        <v>288.33</v>
      </c>
      <c r="D503" s="12"/>
      <c r="E503" s="13"/>
    </row>
    <row r="504" spans="1:5" ht="23.1" hidden="1" customHeight="1" x14ac:dyDescent="0.25">
      <c r="A504" s="12" t="s">
        <v>799</v>
      </c>
      <c r="B504" s="12" t="s">
        <v>800</v>
      </c>
      <c r="C504" s="14">
        <v>315.83999999999997</v>
      </c>
      <c r="D504" s="12"/>
      <c r="E504" s="13"/>
    </row>
    <row r="505" spans="1:5" ht="11.1" hidden="1" customHeight="1" x14ac:dyDescent="0.25">
      <c r="A505" s="12" t="s">
        <v>801</v>
      </c>
      <c r="B505" s="12" t="s">
        <v>802</v>
      </c>
      <c r="C505" s="14">
        <v>261.67</v>
      </c>
      <c r="D505" s="12"/>
      <c r="E505" s="13"/>
    </row>
    <row r="506" spans="1:5" ht="11.1" hidden="1" customHeight="1" x14ac:dyDescent="0.25">
      <c r="A506" s="12" t="s">
        <v>803</v>
      </c>
      <c r="B506" s="12" t="s">
        <v>391</v>
      </c>
      <c r="C506" s="14">
        <v>393.34</v>
      </c>
      <c r="D506" s="12"/>
      <c r="E506" s="13"/>
    </row>
    <row r="507" spans="1:5" ht="11.1" hidden="1" customHeight="1" x14ac:dyDescent="0.25">
      <c r="A507" s="12" t="s">
        <v>804</v>
      </c>
      <c r="B507" s="12" t="s">
        <v>794</v>
      </c>
      <c r="C507" s="14">
        <v>9533.33</v>
      </c>
      <c r="D507" s="12"/>
      <c r="E507" s="14"/>
    </row>
    <row r="508" spans="1:5" ht="11.1" hidden="1" customHeight="1" x14ac:dyDescent="0.25">
      <c r="A508" s="12" t="s">
        <v>805</v>
      </c>
      <c r="B508" s="12" t="s">
        <v>806</v>
      </c>
      <c r="C508" s="14">
        <v>1333.33</v>
      </c>
      <c r="D508" s="12"/>
      <c r="E508" s="14"/>
    </row>
    <row r="509" spans="1:5" ht="11.1" hidden="1" customHeight="1" x14ac:dyDescent="0.25">
      <c r="A509" s="12" t="s">
        <v>807</v>
      </c>
      <c r="B509" s="12" t="s">
        <v>808</v>
      </c>
      <c r="C509" s="14">
        <v>20000</v>
      </c>
      <c r="D509" s="12"/>
      <c r="E509" s="14"/>
    </row>
    <row r="510" spans="1:5" ht="11.1" hidden="1" customHeight="1" x14ac:dyDescent="0.25">
      <c r="A510" s="12" t="s">
        <v>809</v>
      </c>
      <c r="B510" s="12" t="s">
        <v>810</v>
      </c>
      <c r="C510" s="14">
        <v>9166.67</v>
      </c>
      <c r="D510" s="12"/>
      <c r="E510" s="14"/>
    </row>
    <row r="511" spans="1:5" ht="11.1" hidden="1" customHeight="1" x14ac:dyDescent="0.25">
      <c r="A511" s="12" t="s">
        <v>811</v>
      </c>
      <c r="B511" s="12" t="s">
        <v>812</v>
      </c>
      <c r="C511" s="14">
        <v>7000</v>
      </c>
      <c r="D511" s="12"/>
      <c r="E511" s="14"/>
    </row>
    <row r="512" spans="1:5" ht="11.1" hidden="1" customHeight="1" x14ac:dyDescent="0.25">
      <c r="A512" s="12" t="s">
        <v>813</v>
      </c>
      <c r="B512" s="12" t="s">
        <v>814</v>
      </c>
      <c r="C512" s="14">
        <v>8750</v>
      </c>
      <c r="D512" s="12"/>
      <c r="E512" s="14"/>
    </row>
    <row r="513" spans="1:5" ht="11.1" hidden="1" customHeight="1" x14ac:dyDescent="0.25">
      <c r="A513" s="12" t="s">
        <v>815</v>
      </c>
      <c r="B513" s="12" t="s">
        <v>816</v>
      </c>
      <c r="C513" s="14">
        <v>6630.1</v>
      </c>
      <c r="D513" s="12"/>
      <c r="E513" s="14"/>
    </row>
    <row r="514" spans="1:5" ht="11.1" hidden="1" customHeight="1" x14ac:dyDescent="0.25">
      <c r="A514" s="12" t="s">
        <v>817</v>
      </c>
      <c r="B514" s="12" t="s">
        <v>818</v>
      </c>
      <c r="C514" s="14">
        <v>460.83</v>
      </c>
      <c r="D514" s="12"/>
      <c r="E514" s="13"/>
    </row>
    <row r="515" spans="1:5" ht="11.1" hidden="1" customHeight="1" x14ac:dyDescent="0.25">
      <c r="A515" s="12" t="s">
        <v>819</v>
      </c>
      <c r="B515" s="12" t="s">
        <v>305</v>
      </c>
      <c r="C515" s="14">
        <v>809.17</v>
      </c>
      <c r="D515" s="12"/>
      <c r="E515" s="13"/>
    </row>
    <row r="516" spans="1:5" ht="11.1" hidden="1" customHeight="1" x14ac:dyDescent="0.25">
      <c r="A516" s="12" t="s">
        <v>820</v>
      </c>
      <c r="B516" s="12" t="s">
        <v>821</v>
      </c>
      <c r="C516" s="14">
        <v>400</v>
      </c>
      <c r="D516" s="12"/>
      <c r="E516" s="13"/>
    </row>
    <row r="517" spans="1:5" ht="11.1" hidden="1" customHeight="1" x14ac:dyDescent="0.25">
      <c r="A517" s="12" t="s">
        <v>822</v>
      </c>
      <c r="B517" s="12" t="s">
        <v>297</v>
      </c>
      <c r="C517" s="14">
        <v>2660.83</v>
      </c>
      <c r="D517" s="12"/>
      <c r="E517" s="14"/>
    </row>
    <row r="518" spans="1:5" ht="11.1" hidden="1" customHeight="1" x14ac:dyDescent="0.25">
      <c r="A518" s="12" t="s">
        <v>823</v>
      </c>
      <c r="B518" s="12" t="s">
        <v>824</v>
      </c>
      <c r="C518" s="14">
        <v>11835</v>
      </c>
      <c r="D518" s="12"/>
      <c r="E518" s="14"/>
    </row>
    <row r="519" spans="1:5" ht="11.1" hidden="1" customHeight="1" x14ac:dyDescent="0.25">
      <c r="A519" s="12" t="s">
        <v>825</v>
      </c>
      <c r="B519" s="12" t="s">
        <v>266</v>
      </c>
      <c r="C519" s="14">
        <v>1752.5</v>
      </c>
      <c r="D519" s="12"/>
      <c r="E519" s="14"/>
    </row>
    <row r="520" spans="1:5" ht="11.1" hidden="1" customHeight="1" x14ac:dyDescent="0.25">
      <c r="A520" s="12" t="s">
        <v>826</v>
      </c>
      <c r="B520" s="12" t="s">
        <v>281</v>
      </c>
      <c r="C520" s="14">
        <v>0.19</v>
      </c>
      <c r="D520" s="12"/>
      <c r="E520" s="13"/>
    </row>
    <row r="521" spans="1:5" ht="11.1" hidden="1" customHeight="1" x14ac:dyDescent="0.25">
      <c r="A521" s="12" t="s">
        <v>827</v>
      </c>
      <c r="B521" s="12" t="s">
        <v>80</v>
      </c>
      <c r="C521" s="14">
        <v>1.17</v>
      </c>
      <c r="D521" s="12"/>
      <c r="E521" s="13"/>
    </row>
    <row r="522" spans="1:5" ht="23.1" hidden="1" customHeight="1" x14ac:dyDescent="0.25">
      <c r="A522" s="12" t="s">
        <v>828</v>
      </c>
      <c r="B522" s="12" t="s">
        <v>345</v>
      </c>
      <c r="C522" s="14">
        <v>3.94</v>
      </c>
      <c r="D522" s="12"/>
      <c r="E522" s="13"/>
    </row>
    <row r="523" spans="1:5" ht="11.1" hidden="1" customHeight="1" x14ac:dyDescent="0.25">
      <c r="A523" s="12" t="s">
        <v>829</v>
      </c>
      <c r="B523" s="12" t="s">
        <v>213</v>
      </c>
      <c r="C523" s="14">
        <v>0.38</v>
      </c>
      <c r="D523" s="12"/>
      <c r="E523" s="13"/>
    </row>
    <row r="524" spans="1:5" ht="11.1" hidden="1" customHeight="1" x14ac:dyDescent="0.25">
      <c r="A524" s="12" t="s">
        <v>830</v>
      </c>
      <c r="B524" s="12" t="s">
        <v>136</v>
      </c>
      <c r="C524" s="14">
        <v>1.18</v>
      </c>
      <c r="D524" s="12"/>
      <c r="E524" s="13"/>
    </row>
    <row r="525" spans="1:5" ht="11.1" hidden="1" customHeight="1" x14ac:dyDescent="0.25">
      <c r="A525" s="12" t="s">
        <v>831</v>
      </c>
      <c r="B525" s="12" t="s">
        <v>281</v>
      </c>
      <c r="C525" s="14">
        <v>0.17</v>
      </c>
      <c r="D525" s="12"/>
      <c r="E525" s="13"/>
    </row>
    <row r="526" spans="1:5" ht="11.1" hidden="1" customHeight="1" x14ac:dyDescent="0.25">
      <c r="A526" s="12" t="s">
        <v>832</v>
      </c>
      <c r="B526" s="12" t="s">
        <v>254</v>
      </c>
      <c r="C526" s="14">
        <v>4.46</v>
      </c>
      <c r="D526" s="12"/>
      <c r="E526" s="13"/>
    </row>
    <row r="527" spans="1:5" ht="11.1" hidden="1" customHeight="1" x14ac:dyDescent="0.25">
      <c r="A527" s="12" t="s">
        <v>833</v>
      </c>
      <c r="B527" s="12" t="s">
        <v>254</v>
      </c>
      <c r="C527" s="14">
        <v>1.66</v>
      </c>
      <c r="D527" s="12"/>
      <c r="E527" s="13"/>
    </row>
    <row r="528" spans="1:5" ht="11.1" hidden="1" customHeight="1" x14ac:dyDescent="0.25">
      <c r="A528" s="12" t="s">
        <v>834</v>
      </c>
      <c r="B528" s="12" t="s">
        <v>281</v>
      </c>
      <c r="C528" s="14">
        <v>0.21</v>
      </c>
      <c r="D528" s="12"/>
      <c r="E528" s="13"/>
    </row>
    <row r="529" spans="1:5" ht="11.1" hidden="1" customHeight="1" x14ac:dyDescent="0.25">
      <c r="A529" s="12" t="s">
        <v>835</v>
      </c>
      <c r="B529" s="12" t="s">
        <v>80</v>
      </c>
      <c r="C529" s="14">
        <v>5.83</v>
      </c>
      <c r="D529" s="12"/>
      <c r="E529" s="13"/>
    </row>
    <row r="530" spans="1:5" ht="11.1" hidden="1" customHeight="1" x14ac:dyDescent="0.25">
      <c r="A530" s="12" t="s">
        <v>836</v>
      </c>
      <c r="B530" s="12" t="s">
        <v>80</v>
      </c>
      <c r="C530" s="14">
        <v>12.5</v>
      </c>
      <c r="D530" s="12"/>
      <c r="E530" s="13"/>
    </row>
    <row r="531" spans="1:5" ht="11.1" hidden="1" customHeight="1" x14ac:dyDescent="0.25">
      <c r="A531" s="12" t="s">
        <v>837</v>
      </c>
      <c r="B531" s="12" t="s">
        <v>149</v>
      </c>
      <c r="C531" s="14">
        <v>11.52</v>
      </c>
      <c r="D531" s="12"/>
      <c r="E531" s="13"/>
    </row>
    <row r="532" spans="1:5" ht="11.1" hidden="1" customHeight="1" x14ac:dyDescent="0.25">
      <c r="A532" s="12" t="s">
        <v>838</v>
      </c>
      <c r="B532" s="12" t="s">
        <v>116</v>
      </c>
      <c r="C532" s="14">
        <v>25.19</v>
      </c>
      <c r="D532" s="12"/>
      <c r="E532" s="13"/>
    </row>
    <row r="533" spans="1:5" ht="11.1" hidden="1" customHeight="1" x14ac:dyDescent="0.25">
      <c r="A533" s="12" t="s">
        <v>839</v>
      </c>
      <c r="B533" s="12" t="s">
        <v>213</v>
      </c>
      <c r="C533" s="14">
        <v>0.89</v>
      </c>
      <c r="D533" s="12"/>
      <c r="E533" s="13"/>
    </row>
    <row r="534" spans="1:5" ht="11.1" hidden="1" customHeight="1" x14ac:dyDescent="0.25">
      <c r="A534" s="12" t="s">
        <v>840</v>
      </c>
      <c r="B534" s="12" t="s">
        <v>213</v>
      </c>
      <c r="C534" s="14">
        <v>2.41</v>
      </c>
      <c r="D534" s="12"/>
      <c r="E534" s="13"/>
    </row>
    <row r="535" spans="1:5" ht="11.1" hidden="1" customHeight="1" x14ac:dyDescent="0.25">
      <c r="A535" s="12" t="s">
        <v>841</v>
      </c>
      <c r="B535" s="12" t="s">
        <v>281</v>
      </c>
      <c r="C535" s="14">
        <v>2.3199999999999998</v>
      </c>
      <c r="D535" s="12"/>
      <c r="E535" s="13"/>
    </row>
    <row r="536" spans="1:5" ht="11.1" hidden="1" customHeight="1" x14ac:dyDescent="0.25">
      <c r="A536" s="12" t="s">
        <v>842</v>
      </c>
      <c r="B536" s="12" t="s">
        <v>80</v>
      </c>
      <c r="C536" s="14">
        <v>7.5</v>
      </c>
      <c r="D536" s="12"/>
      <c r="E536" s="13"/>
    </row>
    <row r="537" spans="1:5" ht="11.1" hidden="1" customHeight="1" x14ac:dyDescent="0.25">
      <c r="A537" s="12" t="s">
        <v>843</v>
      </c>
      <c r="B537" s="12" t="s">
        <v>80</v>
      </c>
      <c r="C537" s="14">
        <v>7.5</v>
      </c>
      <c r="D537" s="12"/>
      <c r="E537" s="13"/>
    </row>
    <row r="538" spans="1:5" ht="11.1" hidden="1" customHeight="1" x14ac:dyDescent="0.25">
      <c r="A538" s="12" t="s">
        <v>844</v>
      </c>
      <c r="B538" s="12" t="s">
        <v>80</v>
      </c>
      <c r="C538" s="14">
        <v>8.33</v>
      </c>
      <c r="D538" s="12"/>
      <c r="E538" s="13"/>
    </row>
    <row r="539" spans="1:5" ht="11.1" hidden="1" customHeight="1" x14ac:dyDescent="0.25">
      <c r="A539" s="12" t="s">
        <v>845</v>
      </c>
      <c r="B539" s="12" t="s">
        <v>80</v>
      </c>
      <c r="C539" s="14">
        <v>5.83</v>
      </c>
      <c r="D539" s="12"/>
      <c r="E539" s="13"/>
    </row>
    <row r="540" spans="1:5" ht="11.1" hidden="1" customHeight="1" x14ac:dyDescent="0.25">
      <c r="A540" s="12" t="s">
        <v>846</v>
      </c>
      <c r="B540" s="12" t="s">
        <v>80</v>
      </c>
      <c r="C540" s="14">
        <v>7.5</v>
      </c>
      <c r="D540" s="12"/>
      <c r="E540" s="13"/>
    </row>
    <row r="541" spans="1:5" ht="11.1" hidden="1" customHeight="1" x14ac:dyDescent="0.25">
      <c r="A541" s="12" t="s">
        <v>847</v>
      </c>
      <c r="B541" s="12" t="s">
        <v>80</v>
      </c>
      <c r="C541" s="14">
        <v>7.5</v>
      </c>
      <c r="D541" s="12"/>
      <c r="E541" s="13"/>
    </row>
    <row r="542" spans="1:5" ht="11.1" hidden="1" customHeight="1" x14ac:dyDescent="0.25">
      <c r="A542" s="12" t="s">
        <v>848</v>
      </c>
      <c r="B542" s="12" t="s">
        <v>80</v>
      </c>
      <c r="C542" s="14">
        <v>3.67</v>
      </c>
      <c r="D542" s="12"/>
      <c r="E542" s="13"/>
    </row>
    <row r="543" spans="1:5" ht="11.1" hidden="1" customHeight="1" x14ac:dyDescent="0.25">
      <c r="A543" s="12" t="s">
        <v>849</v>
      </c>
      <c r="B543" s="12" t="s">
        <v>850</v>
      </c>
      <c r="C543" s="14">
        <v>19.09</v>
      </c>
      <c r="D543" s="12"/>
      <c r="E543" s="13"/>
    </row>
    <row r="544" spans="1:5" ht="11.1" hidden="1" customHeight="1" x14ac:dyDescent="0.25">
      <c r="A544" s="12" t="s">
        <v>851</v>
      </c>
      <c r="B544" s="12" t="s">
        <v>213</v>
      </c>
      <c r="C544" s="14">
        <v>0.86</v>
      </c>
      <c r="D544" s="12"/>
      <c r="E544" s="13"/>
    </row>
    <row r="545" spans="1:5" ht="11.1" hidden="1" customHeight="1" x14ac:dyDescent="0.25">
      <c r="A545" s="12" t="s">
        <v>852</v>
      </c>
      <c r="B545" s="12" t="s">
        <v>853</v>
      </c>
      <c r="C545" s="14">
        <v>0.48</v>
      </c>
      <c r="D545" s="12"/>
      <c r="E545" s="13"/>
    </row>
    <row r="546" spans="1:5" ht="11.1" hidden="1" customHeight="1" x14ac:dyDescent="0.25">
      <c r="A546" s="12" t="s">
        <v>854</v>
      </c>
      <c r="B546" s="12" t="s">
        <v>80</v>
      </c>
      <c r="C546" s="14">
        <v>4.75</v>
      </c>
      <c r="D546" s="12"/>
      <c r="E546" s="13"/>
    </row>
    <row r="547" spans="1:5" ht="11.1" hidden="1" customHeight="1" x14ac:dyDescent="0.25">
      <c r="A547" s="12" t="s">
        <v>855</v>
      </c>
      <c r="B547" s="12" t="s">
        <v>80</v>
      </c>
      <c r="C547" s="14">
        <v>4</v>
      </c>
      <c r="D547" s="12"/>
      <c r="E547" s="13"/>
    </row>
    <row r="548" spans="1:5" ht="11.1" hidden="1" customHeight="1" x14ac:dyDescent="0.25">
      <c r="A548" s="12" t="s">
        <v>856</v>
      </c>
      <c r="B548" s="12" t="s">
        <v>281</v>
      </c>
      <c r="C548" s="14">
        <v>6.37</v>
      </c>
      <c r="D548" s="12"/>
      <c r="E548" s="13"/>
    </row>
    <row r="549" spans="1:5" ht="11.1" hidden="1" customHeight="1" x14ac:dyDescent="0.25">
      <c r="A549" s="12" t="s">
        <v>857</v>
      </c>
      <c r="B549" s="12" t="s">
        <v>853</v>
      </c>
      <c r="C549" s="14">
        <v>2.63</v>
      </c>
      <c r="D549" s="12"/>
      <c r="E549" s="13"/>
    </row>
    <row r="550" spans="1:5" ht="11.1" hidden="1" customHeight="1" x14ac:dyDescent="0.25">
      <c r="A550" s="12" t="s">
        <v>858</v>
      </c>
      <c r="B550" s="12" t="s">
        <v>281</v>
      </c>
      <c r="C550" s="14">
        <v>12.96</v>
      </c>
      <c r="D550" s="12"/>
      <c r="E550" s="13"/>
    </row>
    <row r="551" spans="1:5" ht="11.1" hidden="1" customHeight="1" x14ac:dyDescent="0.25">
      <c r="A551" s="12" t="s">
        <v>859</v>
      </c>
      <c r="B551" s="12" t="s">
        <v>149</v>
      </c>
      <c r="C551" s="14">
        <v>2.74</v>
      </c>
      <c r="D551" s="12"/>
      <c r="E551" s="13"/>
    </row>
    <row r="552" spans="1:5" ht="11.1" hidden="1" customHeight="1" x14ac:dyDescent="0.25">
      <c r="A552" s="12" t="s">
        <v>860</v>
      </c>
      <c r="B552" s="12" t="s">
        <v>853</v>
      </c>
      <c r="C552" s="14">
        <v>2.57</v>
      </c>
      <c r="D552" s="12"/>
      <c r="E552" s="13"/>
    </row>
    <row r="553" spans="1:5" ht="11.1" hidden="1" customHeight="1" x14ac:dyDescent="0.25">
      <c r="A553" s="12" t="s">
        <v>861</v>
      </c>
      <c r="B553" s="12" t="s">
        <v>862</v>
      </c>
      <c r="C553" s="14">
        <v>1980</v>
      </c>
      <c r="D553" s="12"/>
      <c r="E553" s="14"/>
    </row>
    <row r="554" spans="1:5" ht="11.1" hidden="1" customHeight="1" x14ac:dyDescent="0.25">
      <c r="A554" s="12" t="s">
        <v>863</v>
      </c>
      <c r="B554" s="12" t="s">
        <v>656</v>
      </c>
      <c r="C554" s="14">
        <v>1995</v>
      </c>
      <c r="D554" s="12"/>
      <c r="E554" s="14"/>
    </row>
    <row r="555" spans="1:5" ht="11.1" hidden="1" customHeight="1" x14ac:dyDescent="0.25">
      <c r="A555" s="12" t="s">
        <v>864</v>
      </c>
      <c r="B555" s="12" t="s">
        <v>656</v>
      </c>
      <c r="C555" s="14">
        <v>2820.83</v>
      </c>
      <c r="D555" s="12"/>
      <c r="E555" s="14"/>
    </row>
    <row r="556" spans="1:5" ht="11.1" hidden="1" customHeight="1" x14ac:dyDescent="0.25">
      <c r="A556" s="12" t="s">
        <v>865</v>
      </c>
      <c r="B556" s="12" t="s">
        <v>866</v>
      </c>
      <c r="C556" s="14">
        <v>513.34</v>
      </c>
      <c r="D556" s="12"/>
      <c r="E556" s="13"/>
    </row>
    <row r="557" spans="1:5" ht="11.1" hidden="1" customHeight="1" x14ac:dyDescent="0.25">
      <c r="A557" s="12" t="s">
        <v>867</v>
      </c>
      <c r="B557" s="12" t="s">
        <v>868</v>
      </c>
      <c r="C557" s="14">
        <v>532.5</v>
      </c>
      <c r="D557" s="12"/>
      <c r="E557" s="13"/>
    </row>
    <row r="558" spans="1:5" ht="11.1" hidden="1" customHeight="1" x14ac:dyDescent="0.25">
      <c r="A558" s="12" t="s">
        <v>869</v>
      </c>
      <c r="B558" s="12" t="s">
        <v>355</v>
      </c>
      <c r="C558" s="14">
        <v>549.16999999999996</v>
      </c>
      <c r="D558" s="12"/>
      <c r="E558" s="13"/>
    </row>
    <row r="559" spans="1:5" ht="11.1" hidden="1" customHeight="1" x14ac:dyDescent="0.25">
      <c r="A559" s="12" t="s">
        <v>870</v>
      </c>
      <c r="B559" s="12" t="s">
        <v>871</v>
      </c>
      <c r="C559" s="14">
        <v>1479.17</v>
      </c>
      <c r="D559" s="12"/>
      <c r="E559" s="14"/>
    </row>
    <row r="560" spans="1:5" ht="11.1" hidden="1" customHeight="1" x14ac:dyDescent="0.25">
      <c r="A560" s="12" t="s">
        <v>872</v>
      </c>
      <c r="B560" s="12" t="s">
        <v>465</v>
      </c>
      <c r="C560" s="14">
        <v>7959.17</v>
      </c>
      <c r="D560" s="12"/>
      <c r="E560" s="14"/>
    </row>
    <row r="561" spans="1:5" ht="11.1" hidden="1" customHeight="1" x14ac:dyDescent="0.25">
      <c r="A561" s="12" t="s">
        <v>873</v>
      </c>
      <c r="B561" s="12" t="s">
        <v>548</v>
      </c>
      <c r="C561" s="14">
        <v>3200</v>
      </c>
      <c r="D561" s="12"/>
      <c r="E561" s="14"/>
    </row>
    <row r="562" spans="1:5" ht="11.1" hidden="1" customHeight="1" x14ac:dyDescent="0.25">
      <c r="A562" s="12" t="s">
        <v>874</v>
      </c>
      <c r="B562" s="12" t="s">
        <v>875</v>
      </c>
      <c r="C562" s="14">
        <v>195</v>
      </c>
      <c r="D562" s="12"/>
      <c r="E562" s="13"/>
    </row>
    <row r="563" spans="1:5" ht="11.1" hidden="1" customHeight="1" x14ac:dyDescent="0.25">
      <c r="A563" s="12" t="s">
        <v>876</v>
      </c>
      <c r="B563" s="12" t="s">
        <v>875</v>
      </c>
      <c r="C563" s="14">
        <v>225</v>
      </c>
      <c r="D563" s="12"/>
      <c r="E563" s="13"/>
    </row>
    <row r="564" spans="1:5" ht="23.1" hidden="1" customHeight="1" x14ac:dyDescent="0.25">
      <c r="A564" s="12" t="s">
        <v>877</v>
      </c>
      <c r="B564" s="12" t="s">
        <v>878</v>
      </c>
      <c r="C564" s="14">
        <v>1491.67</v>
      </c>
      <c r="D564" s="12"/>
      <c r="E564" s="14"/>
    </row>
    <row r="565" spans="1:5" ht="11.1" hidden="1" customHeight="1" x14ac:dyDescent="0.25">
      <c r="A565" s="12" t="s">
        <v>879</v>
      </c>
      <c r="B565" s="12" t="s">
        <v>880</v>
      </c>
      <c r="C565" s="14">
        <v>220</v>
      </c>
      <c r="D565" s="12"/>
      <c r="E565" s="13"/>
    </row>
    <row r="566" spans="1:5" ht="11.1" hidden="1" customHeight="1" x14ac:dyDescent="0.25">
      <c r="A566" s="12" t="s">
        <v>881</v>
      </c>
      <c r="B566" s="12" t="s">
        <v>387</v>
      </c>
      <c r="C566" s="14">
        <v>265.83</v>
      </c>
      <c r="D566" s="12"/>
      <c r="E566" s="13"/>
    </row>
    <row r="567" spans="1:5" ht="11.1" hidden="1" customHeight="1" x14ac:dyDescent="0.25">
      <c r="A567" s="12" t="s">
        <v>882</v>
      </c>
      <c r="B567" s="12" t="s">
        <v>270</v>
      </c>
      <c r="C567" s="14">
        <v>8622.5</v>
      </c>
      <c r="D567" s="12"/>
      <c r="E567" s="14"/>
    </row>
    <row r="568" spans="1:5" ht="11.1" hidden="1" customHeight="1" x14ac:dyDescent="0.25">
      <c r="A568" s="12" t="s">
        <v>883</v>
      </c>
      <c r="B568" s="12" t="s">
        <v>884</v>
      </c>
      <c r="C568" s="14">
        <v>503.34</v>
      </c>
      <c r="D568" s="12"/>
      <c r="E568" s="13"/>
    </row>
    <row r="569" spans="1:5" ht="23.1" hidden="1" customHeight="1" x14ac:dyDescent="0.25">
      <c r="A569" s="12" t="s">
        <v>885</v>
      </c>
      <c r="B569" s="12" t="s">
        <v>886</v>
      </c>
      <c r="C569" s="14">
        <v>20329.169999999998</v>
      </c>
      <c r="D569" s="12"/>
      <c r="E569" s="14"/>
    </row>
    <row r="570" spans="1:5" ht="11.1" hidden="1" customHeight="1" x14ac:dyDescent="0.25">
      <c r="A570" s="12" t="s">
        <v>887</v>
      </c>
      <c r="B570" s="12" t="s">
        <v>888</v>
      </c>
      <c r="C570" s="14">
        <v>1733.33</v>
      </c>
      <c r="D570" s="12"/>
      <c r="E570" s="14"/>
    </row>
    <row r="571" spans="1:5" ht="11.1" hidden="1" customHeight="1" x14ac:dyDescent="0.25">
      <c r="A571" s="12" t="s">
        <v>889</v>
      </c>
      <c r="B571" s="12" t="s">
        <v>890</v>
      </c>
      <c r="C571" s="14">
        <v>24583.34</v>
      </c>
      <c r="D571" s="12"/>
      <c r="E571" s="14"/>
    </row>
    <row r="572" spans="1:5" ht="11.1" hidden="1" customHeight="1" x14ac:dyDescent="0.25">
      <c r="A572" s="12" t="s">
        <v>891</v>
      </c>
      <c r="B572" s="12" t="s">
        <v>892</v>
      </c>
      <c r="C572" s="14">
        <v>4342.5</v>
      </c>
      <c r="D572" s="12"/>
      <c r="E572" s="14"/>
    </row>
    <row r="573" spans="1:5" ht="11.1" hidden="1" customHeight="1" x14ac:dyDescent="0.25">
      <c r="A573" s="12" t="s">
        <v>893</v>
      </c>
      <c r="B573" s="12" t="s">
        <v>894</v>
      </c>
      <c r="C573" s="14">
        <v>735.83</v>
      </c>
      <c r="D573" s="12"/>
      <c r="E573" s="13"/>
    </row>
    <row r="574" spans="1:5" ht="11.1" hidden="1" customHeight="1" x14ac:dyDescent="0.25">
      <c r="A574" s="12" t="s">
        <v>895</v>
      </c>
      <c r="B574" s="12" t="s">
        <v>745</v>
      </c>
      <c r="C574" s="14">
        <v>1685.83</v>
      </c>
      <c r="D574" s="12"/>
      <c r="E574" s="14"/>
    </row>
    <row r="575" spans="1:5" ht="11.1" hidden="1" customHeight="1" x14ac:dyDescent="0.25">
      <c r="A575" s="12" t="s">
        <v>896</v>
      </c>
      <c r="B575" s="12" t="s">
        <v>897</v>
      </c>
      <c r="C575" s="14">
        <v>81.08</v>
      </c>
      <c r="D575" s="12"/>
      <c r="E575" s="13"/>
    </row>
    <row r="576" spans="1:5" ht="11.1" hidden="1" customHeight="1" x14ac:dyDescent="0.25">
      <c r="A576" s="12" t="s">
        <v>898</v>
      </c>
      <c r="B576" s="12" t="s">
        <v>489</v>
      </c>
      <c r="C576" s="14">
        <v>4338.33</v>
      </c>
      <c r="D576" s="12"/>
      <c r="E576" s="14"/>
    </row>
    <row r="577" spans="1:5" ht="23.1" hidden="1" customHeight="1" x14ac:dyDescent="0.25">
      <c r="A577" s="12" t="s">
        <v>899</v>
      </c>
      <c r="B577" s="12" t="s">
        <v>116</v>
      </c>
      <c r="C577" s="14">
        <v>386.97</v>
      </c>
      <c r="D577" s="12"/>
      <c r="E577" s="13"/>
    </row>
    <row r="578" spans="1:5" ht="11.1" hidden="1" customHeight="1" x14ac:dyDescent="0.25">
      <c r="A578" s="12" t="s">
        <v>900</v>
      </c>
      <c r="B578" s="12" t="s">
        <v>213</v>
      </c>
      <c r="C578" s="14">
        <v>198.74</v>
      </c>
      <c r="D578" s="12"/>
      <c r="E578" s="13"/>
    </row>
    <row r="579" spans="1:5" ht="11.1" hidden="1" customHeight="1" x14ac:dyDescent="0.25">
      <c r="A579" s="12" t="s">
        <v>901</v>
      </c>
      <c r="B579" s="12" t="s">
        <v>439</v>
      </c>
      <c r="C579" s="14">
        <v>7180</v>
      </c>
      <c r="D579" s="12"/>
      <c r="E579" s="14"/>
    </row>
    <row r="580" spans="1:5" ht="23.1" hidden="1" customHeight="1" x14ac:dyDescent="0.25">
      <c r="A580" s="12" t="s">
        <v>902</v>
      </c>
      <c r="B580" s="12" t="s">
        <v>903</v>
      </c>
      <c r="C580" s="14">
        <v>124.17</v>
      </c>
      <c r="D580" s="12"/>
      <c r="E580" s="13"/>
    </row>
    <row r="581" spans="1:5" ht="11.1" hidden="1" customHeight="1" x14ac:dyDescent="0.25">
      <c r="A581" s="12" t="s">
        <v>904</v>
      </c>
      <c r="B581" s="12" t="s">
        <v>905</v>
      </c>
      <c r="C581" s="14">
        <v>324</v>
      </c>
      <c r="D581" s="12"/>
      <c r="E581" s="13"/>
    </row>
    <row r="582" spans="1:5" ht="11.1" hidden="1" customHeight="1" x14ac:dyDescent="0.25">
      <c r="A582" s="12" t="s">
        <v>906</v>
      </c>
      <c r="B582" s="12" t="s">
        <v>497</v>
      </c>
      <c r="C582" s="14">
        <v>98.33</v>
      </c>
      <c r="D582" s="12"/>
      <c r="E582" s="13"/>
    </row>
    <row r="583" spans="1:5" ht="11.1" hidden="1" customHeight="1" x14ac:dyDescent="0.25">
      <c r="A583" s="12" t="s">
        <v>907</v>
      </c>
      <c r="B583" s="12" t="s">
        <v>84</v>
      </c>
      <c r="C583" s="14">
        <v>208.33</v>
      </c>
      <c r="D583" s="12"/>
      <c r="E583" s="13"/>
    </row>
    <row r="584" spans="1:5" ht="11.1" hidden="1" customHeight="1" x14ac:dyDescent="0.25">
      <c r="A584" s="12" t="s">
        <v>908</v>
      </c>
      <c r="B584" s="12" t="s">
        <v>86</v>
      </c>
      <c r="C584" s="14">
        <v>250</v>
      </c>
      <c r="D584" s="12"/>
      <c r="E584" s="13"/>
    </row>
    <row r="585" spans="1:5" ht="11.1" hidden="1" customHeight="1" x14ac:dyDescent="0.25">
      <c r="A585" s="12" t="s">
        <v>909</v>
      </c>
      <c r="B585" s="12" t="s">
        <v>86</v>
      </c>
      <c r="C585" s="14">
        <v>241.67</v>
      </c>
      <c r="D585" s="12"/>
      <c r="E585" s="13"/>
    </row>
    <row r="586" spans="1:5" ht="11.1" hidden="1" customHeight="1" x14ac:dyDescent="0.25">
      <c r="A586" s="12" t="s">
        <v>910</v>
      </c>
      <c r="B586" s="12" t="s">
        <v>254</v>
      </c>
      <c r="C586" s="14">
        <v>250.25</v>
      </c>
      <c r="D586" s="12"/>
      <c r="E586" s="13"/>
    </row>
    <row r="587" spans="1:5" ht="23.1" hidden="1" customHeight="1" x14ac:dyDescent="0.25">
      <c r="A587" s="12" t="s">
        <v>911</v>
      </c>
      <c r="B587" s="12" t="s">
        <v>494</v>
      </c>
      <c r="C587" s="14">
        <v>1333.33</v>
      </c>
      <c r="D587" s="12"/>
      <c r="E587" s="14"/>
    </row>
    <row r="588" spans="1:5" ht="11.1" hidden="1" customHeight="1" x14ac:dyDescent="0.25">
      <c r="A588" s="12" t="s">
        <v>912</v>
      </c>
      <c r="B588" s="12" t="s">
        <v>309</v>
      </c>
      <c r="C588" s="14">
        <v>69.17</v>
      </c>
      <c r="D588" s="12"/>
      <c r="E588" s="13"/>
    </row>
    <row r="589" spans="1:5" ht="23.1" hidden="1" customHeight="1" x14ac:dyDescent="0.25">
      <c r="A589" s="12" t="s">
        <v>913</v>
      </c>
      <c r="B589" s="12" t="s">
        <v>561</v>
      </c>
      <c r="C589" s="14">
        <v>52.5</v>
      </c>
      <c r="D589" s="12"/>
      <c r="E589" s="13"/>
    </row>
    <row r="590" spans="1:5" ht="11.1" hidden="1" customHeight="1" x14ac:dyDescent="0.25">
      <c r="A590" s="12" t="s">
        <v>914</v>
      </c>
      <c r="B590" s="12" t="s">
        <v>254</v>
      </c>
      <c r="C590" s="14">
        <v>14</v>
      </c>
      <c r="D590" s="12"/>
      <c r="E590" s="13"/>
    </row>
    <row r="591" spans="1:5" ht="11.1" hidden="1" customHeight="1" x14ac:dyDescent="0.25">
      <c r="A591" s="12" t="s">
        <v>915</v>
      </c>
      <c r="B591" s="12" t="s">
        <v>916</v>
      </c>
      <c r="C591" s="14">
        <v>70.83</v>
      </c>
      <c r="D591" s="12"/>
      <c r="E591" s="13"/>
    </row>
    <row r="592" spans="1:5" ht="11.1" hidden="1" customHeight="1" x14ac:dyDescent="0.25">
      <c r="A592" s="12" t="s">
        <v>917</v>
      </c>
      <c r="B592" s="12" t="s">
        <v>918</v>
      </c>
      <c r="C592" s="14">
        <v>790</v>
      </c>
      <c r="D592" s="12"/>
      <c r="E592" s="13"/>
    </row>
    <row r="593" spans="1:5" ht="11.1" hidden="1" customHeight="1" x14ac:dyDescent="0.25">
      <c r="A593" s="12" t="s">
        <v>919</v>
      </c>
      <c r="B593" s="12" t="s">
        <v>658</v>
      </c>
      <c r="C593" s="14">
        <v>160.83000000000001</v>
      </c>
      <c r="D593" s="12"/>
      <c r="E593" s="13"/>
    </row>
    <row r="594" spans="1:5" ht="23.1" hidden="1" customHeight="1" x14ac:dyDescent="0.25">
      <c r="A594" s="12" t="s">
        <v>920</v>
      </c>
      <c r="B594" s="12" t="s">
        <v>658</v>
      </c>
      <c r="C594" s="14">
        <v>146.66999999999999</v>
      </c>
      <c r="D594" s="12"/>
      <c r="E594" s="13"/>
    </row>
    <row r="595" spans="1:5" ht="11.1" hidden="1" customHeight="1" x14ac:dyDescent="0.25">
      <c r="A595" s="12" t="s">
        <v>921</v>
      </c>
      <c r="B595" s="12" t="s">
        <v>451</v>
      </c>
      <c r="C595" s="14">
        <v>19300.830000000002</v>
      </c>
      <c r="D595" s="12"/>
      <c r="E595" s="14"/>
    </row>
    <row r="596" spans="1:5" ht="11.1" hidden="1" customHeight="1" x14ac:dyDescent="0.25">
      <c r="A596" s="12" t="s">
        <v>922</v>
      </c>
      <c r="B596" s="12" t="s">
        <v>923</v>
      </c>
      <c r="C596" s="14">
        <v>9329.17</v>
      </c>
      <c r="D596" s="12"/>
      <c r="E596" s="14"/>
    </row>
    <row r="597" spans="1:5" ht="11.1" hidden="1" customHeight="1" x14ac:dyDescent="0.25">
      <c r="A597" s="12" t="s">
        <v>924</v>
      </c>
      <c r="B597" s="12" t="s">
        <v>862</v>
      </c>
      <c r="C597" s="14">
        <v>841.67</v>
      </c>
      <c r="D597" s="12"/>
      <c r="E597" s="13"/>
    </row>
    <row r="598" spans="1:5" ht="11.1" hidden="1" customHeight="1" x14ac:dyDescent="0.25">
      <c r="A598" s="12" t="s">
        <v>925</v>
      </c>
      <c r="B598" s="12" t="s">
        <v>297</v>
      </c>
      <c r="C598" s="14">
        <v>1761.67</v>
      </c>
      <c r="D598" s="12"/>
      <c r="E598" s="14"/>
    </row>
    <row r="599" spans="1:5" ht="11.1" hidden="1" customHeight="1" x14ac:dyDescent="0.25">
      <c r="A599" s="12" t="s">
        <v>926</v>
      </c>
      <c r="B599" s="12" t="s">
        <v>866</v>
      </c>
      <c r="C599" s="14">
        <v>1981.67</v>
      </c>
      <c r="D599" s="12"/>
      <c r="E599" s="14"/>
    </row>
    <row r="600" spans="1:5" ht="11.1" hidden="1" customHeight="1" x14ac:dyDescent="0.25">
      <c r="A600" s="12" t="s">
        <v>927</v>
      </c>
      <c r="B600" s="12" t="s">
        <v>928</v>
      </c>
      <c r="C600" s="14">
        <v>2745</v>
      </c>
      <c r="D600" s="12"/>
      <c r="E600" s="14"/>
    </row>
    <row r="601" spans="1:5" ht="11.1" hidden="1" customHeight="1" x14ac:dyDescent="0.25">
      <c r="A601" s="12" t="s">
        <v>929</v>
      </c>
      <c r="B601" s="12" t="s">
        <v>497</v>
      </c>
      <c r="C601" s="14">
        <v>431.67</v>
      </c>
      <c r="D601" s="12"/>
      <c r="E601" s="13"/>
    </row>
    <row r="602" spans="1:5" ht="11.1" hidden="1" customHeight="1" x14ac:dyDescent="0.25">
      <c r="A602" s="12" t="s">
        <v>930</v>
      </c>
      <c r="B602" s="12" t="s">
        <v>497</v>
      </c>
      <c r="C602" s="14">
        <v>249.17</v>
      </c>
      <c r="D602" s="12"/>
      <c r="E602" s="13"/>
    </row>
    <row r="603" spans="1:5" ht="11.1" hidden="1" customHeight="1" x14ac:dyDescent="0.25">
      <c r="A603" s="12" t="s">
        <v>931</v>
      </c>
      <c r="B603" s="12" t="s">
        <v>658</v>
      </c>
      <c r="C603" s="14">
        <v>317.5</v>
      </c>
      <c r="D603" s="12"/>
      <c r="E603" s="13"/>
    </row>
    <row r="604" spans="1:5" ht="11.1" hidden="1" customHeight="1" x14ac:dyDescent="0.25">
      <c r="A604" s="12" t="s">
        <v>932</v>
      </c>
      <c r="B604" s="12" t="s">
        <v>741</v>
      </c>
      <c r="C604" s="14">
        <v>347.5</v>
      </c>
      <c r="D604" s="12"/>
      <c r="E604" s="13"/>
    </row>
    <row r="605" spans="1:5" ht="11.1" hidden="1" customHeight="1" x14ac:dyDescent="0.25">
      <c r="A605" s="12" t="s">
        <v>933</v>
      </c>
      <c r="B605" s="12" t="s">
        <v>497</v>
      </c>
      <c r="C605" s="14">
        <v>3193.33</v>
      </c>
      <c r="D605" s="12"/>
      <c r="E605" s="14"/>
    </row>
    <row r="606" spans="1:5" ht="11.1" hidden="1" customHeight="1" x14ac:dyDescent="0.25">
      <c r="A606" s="12" t="s">
        <v>934</v>
      </c>
      <c r="B606" s="12" t="s">
        <v>745</v>
      </c>
      <c r="C606" s="14">
        <v>444.17</v>
      </c>
      <c r="D606" s="12"/>
      <c r="E606" s="13"/>
    </row>
    <row r="607" spans="1:5" ht="11.1" hidden="1" customHeight="1" x14ac:dyDescent="0.25">
      <c r="A607" s="12" t="s">
        <v>935</v>
      </c>
      <c r="B607" s="12" t="s">
        <v>497</v>
      </c>
      <c r="C607" s="14">
        <v>507.5</v>
      </c>
      <c r="D607" s="12"/>
      <c r="E607" s="13"/>
    </row>
    <row r="608" spans="1:5" ht="11.1" hidden="1" customHeight="1" x14ac:dyDescent="0.25">
      <c r="A608" s="12" t="s">
        <v>936</v>
      </c>
      <c r="B608" s="12" t="s">
        <v>937</v>
      </c>
      <c r="C608" s="14">
        <v>1226.67</v>
      </c>
      <c r="D608" s="12"/>
      <c r="E608" s="14"/>
    </row>
    <row r="609" spans="1:5" ht="11.1" hidden="1" customHeight="1" x14ac:dyDescent="0.25">
      <c r="A609" s="12" t="s">
        <v>938</v>
      </c>
      <c r="B609" s="12" t="s">
        <v>565</v>
      </c>
      <c r="C609" s="14">
        <v>99.17</v>
      </c>
      <c r="D609" s="12"/>
      <c r="E609" s="13"/>
    </row>
    <row r="610" spans="1:5" ht="11.1" hidden="1" customHeight="1" x14ac:dyDescent="0.25">
      <c r="A610" s="12" t="s">
        <v>939</v>
      </c>
      <c r="B610" s="12" t="s">
        <v>151</v>
      </c>
      <c r="C610" s="14">
        <v>40</v>
      </c>
      <c r="D610" s="12"/>
      <c r="E610" s="13"/>
    </row>
    <row r="611" spans="1:5" ht="11.1" hidden="1" customHeight="1" x14ac:dyDescent="0.25">
      <c r="A611" s="12" t="s">
        <v>940</v>
      </c>
      <c r="B611" s="12" t="s">
        <v>941</v>
      </c>
      <c r="C611" s="14">
        <v>445.62</v>
      </c>
      <c r="D611" s="12"/>
      <c r="E611" s="13"/>
    </row>
    <row r="612" spans="1:5" ht="11.1" hidden="1" customHeight="1" x14ac:dyDescent="0.25">
      <c r="A612" s="12" t="s">
        <v>942</v>
      </c>
      <c r="B612" s="12" t="s">
        <v>84</v>
      </c>
      <c r="C612" s="14">
        <v>30</v>
      </c>
      <c r="D612" s="12"/>
      <c r="E612" s="13"/>
    </row>
    <row r="613" spans="1:5" ht="11.1" hidden="1" customHeight="1" x14ac:dyDescent="0.25">
      <c r="A613" s="12" t="s">
        <v>943</v>
      </c>
      <c r="B613" s="12" t="s">
        <v>944</v>
      </c>
      <c r="C613" s="14">
        <v>354.17</v>
      </c>
      <c r="D613" s="12"/>
      <c r="E613" s="13"/>
    </row>
    <row r="614" spans="1:5" ht="11.1" hidden="1" customHeight="1" x14ac:dyDescent="0.25">
      <c r="A614" s="12" t="s">
        <v>945</v>
      </c>
      <c r="B614" s="12" t="s">
        <v>946</v>
      </c>
      <c r="C614" s="14">
        <v>358.67</v>
      </c>
      <c r="D614" s="12"/>
      <c r="E614" s="13"/>
    </row>
    <row r="615" spans="1:5" ht="11.1" hidden="1" customHeight="1" x14ac:dyDescent="0.25">
      <c r="A615" s="12" t="s">
        <v>9</v>
      </c>
      <c r="B615" s="12" t="s">
        <v>947</v>
      </c>
      <c r="C615" s="14">
        <v>358.67</v>
      </c>
      <c r="D615" s="12"/>
      <c r="E615" s="13"/>
    </row>
    <row r="616" spans="1:5" ht="11.1" hidden="1" customHeight="1" x14ac:dyDescent="0.25">
      <c r="A616" s="12" t="s">
        <v>948</v>
      </c>
      <c r="B616" s="12" t="s">
        <v>949</v>
      </c>
      <c r="C616" s="14">
        <v>1584.53</v>
      </c>
      <c r="D616" s="12"/>
      <c r="E616" s="14"/>
    </row>
    <row r="617" spans="1:5" ht="11.1" hidden="1" customHeight="1" x14ac:dyDescent="0.25">
      <c r="A617" s="12" t="s">
        <v>950</v>
      </c>
      <c r="B617" s="12" t="s">
        <v>213</v>
      </c>
      <c r="C617" s="14">
        <v>0.8</v>
      </c>
      <c r="D617" s="12"/>
      <c r="E617" s="13"/>
    </row>
    <row r="618" spans="1:5" ht="11.1" hidden="1" customHeight="1" x14ac:dyDescent="0.25">
      <c r="A618" s="12" t="s">
        <v>951</v>
      </c>
      <c r="B618" s="12" t="s">
        <v>952</v>
      </c>
      <c r="C618" s="14">
        <v>2333.33</v>
      </c>
      <c r="D618" s="12"/>
      <c r="E618" s="14"/>
    </row>
    <row r="619" spans="1:5" ht="23.1" hidden="1" customHeight="1" x14ac:dyDescent="0.25">
      <c r="A619" s="12" t="s">
        <v>953</v>
      </c>
      <c r="B619" s="12" t="s">
        <v>223</v>
      </c>
      <c r="C619" s="14">
        <v>599.16999999999996</v>
      </c>
      <c r="D619" s="12"/>
      <c r="E619" s="13"/>
    </row>
    <row r="620" spans="1:5" ht="11.1" hidden="1" customHeight="1" x14ac:dyDescent="0.25">
      <c r="A620" s="12" t="s">
        <v>954</v>
      </c>
      <c r="B620" s="12" t="s">
        <v>955</v>
      </c>
      <c r="C620" s="14">
        <v>2916.67</v>
      </c>
      <c r="D620" s="12"/>
      <c r="E620" s="14"/>
    </row>
    <row r="621" spans="1:5" ht="11.1" hidden="1" customHeight="1" x14ac:dyDescent="0.25">
      <c r="A621" s="12" t="s">
        <v>956</v>
      </c>
      <c r="B621" s="12" t="s">
        <v>957</v>
      </c>
      <c r="C621" s="14">
        <v>2260</v>
      </c>
      <c r="D621" s="12"/>
      <c r="E621" s="14"/>
    </row>
    <row r="622" spans="1:5" ht="11.1" hidden="1" customHeight="1" x14ac:dyDescent="0.25">
      <c r="A622" s="12" t="s">
        <v>958</v>
      </c>
      <c r="B622" s="12" t="s">
        <v>959</v>
      </c>
      <c r="C622" s="14">
        <v>1025</v>
      </c>
      <c r="D622" s="12"/>
      <c r="E622" s="14"/>
    </row>
    <row r="623" spans="1:5" ht="11.1" hidden="1" customHeight="1" x14ac:dyDescent="0.25">
      <c r="A623" s="12" t="s">
        <v>960</v>
      </c>
      <c r="B623" s="12" t="s">
        <v>961</v>
      </c>
      <c r="C623" s="14">
        <v>1074.3900000000001</v>
      </c>
      <c r="D623" s="12"/>
      <c r="E623" s="14"/>
    </row>
    <row r="624" spans="1:5" ht="11.1" hidden="1" customHeight="1" x14ac:dyDescent="0.25">
      <c r="A624" s="12" t="s">
        <v>962</v>
      </c>
      <c r="B624" s="12" t="s">
        <v>963</v>
      </c>
      <c r="C624" s="14">
        <v>1320.83</v>
      </c>
      <c r="D624" s="12"/>
      <c r="E624" s="14"/>
    </row>
    <row r="625" spans="1:5" ht="11.1" hidden="1" customHeight="1" x14ac:dyDescent="0.25">
      <c r="A625" s="12" t="s">
        <v>964</v>
      </c>
      <c r="B625" s="12" t="s">
        <v>563</v>
      </c>
      <c r="C625" s="14">
        <v>1643.33</v>
      </c>
      <c r="D625" s="12"/>
      <c r="E625" s="14"/>
    </row>
    <row r="626" spans="1:5" ht="11.1" hidden="1" customHeight="1" x14ac:dyDescent="0.25">
      <c r="A626" s="12" t="s">
        <v>965</v>
      </c>
      <c r="B626" s="12" t="s">
        <v>961</v>
      </c>
      <c r="C626" s="14">
        <v>396.49</v>
      </c>
      <c r="D626" s="12"/>
      <c r="E626" s="13"/>
    </row>
    <row r="627" spans="1:5" ht="11.1" hidden="1" customHeight="1" x14ac:dyDescent="0.25">
      <c r="A627" s="12" t="s">
        <v>966</v>
      </c>
      <c r="B627" s="12" t="s">
        <v>299</v>
      </c>
      <c r="C627" s="14">
        <v>127.5</v>
      </c>
      <c r="D627" s="12"/>
      <c r="E627" s="13"/>
    </row>
    <row r="628" spans="1:5" ht="11.1" hidden="1" customHeight="1" x14ac:dyDescent="0.25">
      <c r="A628" s="12" t="s">
        <v>967</v>
      </c>
      <c r="B628" s="12" t="s">
        <v>355</v>
      </c>
      <c r="C628" s="14">
        <v>49.17</v>
      </c>
      <c r="D628" s="12"/>
      <c r="E628" s="13"/>
    </row>
    <row r="629" spans="1:5" ht="11.1" hidden="1" customHeight="1" x14ac:dyDescent="0.25">
      <c r="A629" s="12" t="s">
        <v>968</v>
      </c>
      <c r="B629" s="12" t="s">
        <v>969</v>
      </c>
      <c r="C629" s="14">
        <v>1639.17</v>
      </c>
      <c r="D629" s="12"/>
      <c r="E629" s="14"/>
    </row>
    <row r="630" spans="1:5" ht="11.1" hidden="1" customHeight="1" x14ac:dyDescent="0.25">
      <c r="A630" s="12" t="s">
        <v>970</v>
      </c>
      <c r="B630" s="12" t="s">
        <v>971</v>
      </c>
      <c r="C630" s="14">
        <v>956.67</v>
      </c>
      <c r="D630" s="12"/>
      <c r="E630" s="13"/>
    </row>
    <row r="631" spans="1:5" ht="11.1" hidden="1" customHeight="1" x14ac:dyDescent="0.25">
      <c r="A631" s="12" t="s">
        <v>972</v>
      </c>
      <c r="B631" s="12" t="s">
        <v>225</v>
      </c>
      <c r="C631" s="14">
        <v>4794.17</v>
      </c>
      <c r="D631" s="12"/>
      <c r="E631" s="14"/>
    </row>
    <row r="632" spans="1:5" ht="11.1" hidden="1" customHeight="1" x14ac:dyDescent="0.25">
      <c r="A632" s="12" t="s">
        <v>973</v>
      </c>
      <c r="B632" s="12" t="s">
        <v>149</v>
      </c>
      <c r="C632" s="14">
        <v>10.91</v>
      </c>
      <c r="D632" s="12"/>
      <c r="E632" s="13"/>
    </row>
    <row r="633" spans="1:5" ht="11.1" hidden="1" customHeight="1" x14ac:dyDescent="0.25">
      <c r="A633" s="12" t="s">
        <v>974</v>
      </c>
      <c r="B633" s="12" t="s">
        <v>975</v>
      </c>
      <c r="C633" s="14">
        <v>4629.17</v>
      </c>
      <c r="D633" s="12"/>
      <c r="E633" s="14"/>
    </row>
    <row r="634" spans="1:5" ht="11.1" hidden="1" customHeight="1" x14ac:dyDescent="0.25">
      <c r="A634" s="12" t="s">
        <v>976</v>
      </c>
      <c r="B634" s="12" t="s">
        <v>977</v>
      </c>
      <c r="C634" s="14">
        <v>27.5</v>
      </c>
      <c r="D634" s="12"/>
      <c r="E634" s="13"/>
    </row>
    <row r="635" spans="1:5" ht="11.1" hidden="1" customHeight="1" x14ac:dyDescent="0.25">
      <c r="A635" s="12" t="s">
        <v>978</v>
      </c>
      <c r="B635" s="12" t="s">
        <v>979</v>
      </c>
      <c r="C635" s="14">
        <v>38.33</v>
      </c>
      <c r="D635" s="12"/>
      <c r="E635" s="13"/>
    </row>
    <row r="636" spans="1:5" ht="11.1" hidden="1" customHeight="1" x14ac:dyDescent="0.25">
      <c r="A636" s="12" t="s">
        <v>980</v>
      </c>
      <c r="B636" s="12" t="s">
        <v>981</v>
      </c>
      <c r="C636" s="14">
        <v>1055</v>
      </c>
      <c r="D636" s="12"/>
      <c r="E636" s="14"/>
    </row>
    <row r="637" spans="1:5" ht="11.1" hidden="1" customHeight="1" x14ac:dyDescent="0.25">
      <c r="A637" s="12" t="s">
        <v>982</v>
      </c>
      <c r="B637" s="12" t="s">
        <v>886</v>
      </c>
      <c r="C637" s="14">
        <v>516.66999999999996</v>
      </c>
      <c r="D637" s="12"/>
      <c r="E637" s="13"/>
    </row>
    <row r="638" spans="1:5" ht="11.1" hidden="1" customHeight="1" x14ac:dyDescent="0.25">
      <c r="A638" s="12" t="s">
        <v>983</v>
      </c>
      <c r="B638" s="12" t="s">
        <v>886</v>
      </c>
      <c r="C638" s="14">
        <v>233.33</v>
      </c>
      <c r="D638" s="12"/>
      <c r="E638" s="13"/>
    </row>
    <row r="639" spans="1:5" ht="11.1" hidden="1" customHeight="1" x14ac:dyDescent="0.25">
      <c r="A639" s="12" t="s">
        <v>984</v>
      </c>
      <c r="B639" s="12" t="s">
        <v>985</v>
      </c>
      <c r="C639" s="14">
        <v>471.67</v>
      </c>
      <c r="D639" s="12"/>
      <c r="E639" s="13"/>
    </row>
    <row r="640" spans="1:5" ht="11.1" hidden="1" customHeight="1" x14ac:dyDescent="0.25">
      <c r="A640" s="12" t="s">
        <v>986</v>
      </c>
      <c r="B640" s="12" t="s">
        <v>225</v>
      </c>
      <c r="C640" s="14">
        <v>5407.5</v>
      </c>
      <c r="D640" s="12"/>
      <c r="E640" s="14"/>
    </row>
    <row r="641" spans="1:5" ht="11.1" hidden="1" customHeight="1" x14ac:dyDescent="0.25">
      <c r="A641" s="12" t="s">
        <v>987</v>
      </c>
      <c r="B641" s="12" t="s">
        <v>123</v>
      </c>
      <c r="C641" s="14">
        <v>942.19</v>
      </c>
      <c r="D641" s="12"/>
      <c r="E641" s="13"/>
    </row>
    <row r="642" spans="1:5" ht="11.1" hidden="1" customHeight="1" x14ac:dyDescent="0.25">
      <c r="A642" s="12" t="s">
        <v>988</v>
      </c>
      <c r="B642" s="12" t="s">
        <v>989</v>
      </c>
      <c r="C642" s="14">
        <v>11723.33</v>
      </c>
      <c r="D642" s="12"/>
      <c r="E642" s="14"/>
    </row>
    <row r="643" spans="1:5" ht="11.1" hidden="1" customHeight="1" x14ac:dyDescent="0.25">
      <c r="A643" s="12" t="s">
        <v>990</v>
      </c>
      <c r="B643" s="12" t="s">
        <v>489</v>
      </c>
      <c r="C643" s="14">
        <v>330.83</v>
      </c>
      <c r="D643" s="12"/>
      <c r="E643" s="13"/>
    </row>
    <row r="644" spans="1:5" ht="11.1" hidden="1" customHeight="1" x14ac:dyDescent="0.25">
      <c r="A644" s="12" t="s">
        <v>991</v>
      </c>
      <c r="B644" s="12" t="s">
        <v>353</v>
      </c>
      <c r="C644" s="14">
        <v>630</v>
      </c>
      <c r="D644" s="12"/>
      <c r="E644" s="13"/>
    </row>
    <row r="645" spans="1:5" ht="11.1" hidden="1" customHeight="1" x14ac:dyDescent="0.25">
      <c r="A645" s="12" t="s">
        <v>992</v>
      </c>
      <c r="B645" s="12" t="s">
        <v>993</v>
      </c>
      <c r="C645" s="14">
        <v>180</v>
      </c>
      <c r="D645" s="12"/>
      <c r="E645" s="13"/>
    </row>
    <row r="646" spans="1:5" ht="23.1" hidden="1" customHeight="1" x14ac:dyDescent="0.25">
      <c r="A646" s="12" t="s">
        <v>994</v>
      </c>
      <c r="B646" s="12" t="s">
        <v>299</v>
      </c>
      <c r="C646" s="14">
        <v>26050.83</v>
      </c>
      <c r="D646" s="12"/>
      <c r="E646" s="14"/>
    </row>
    <row r="647" spans="1:5" ht="11.1" hidden="1" customHeight="1" x14ac:dyDescent="0.25">
      <c r="A647" s="12" t="s">
        <v>995</v>
      </c>
      <c r="B647" s="12" t="s">
        <v>355</v>
      </c>
      <c r="C647" s="14">
        <v>1396.67</v>
      </c>
      <c r="D647" s="12"/>
      <c r="E647" s="14"/>
    </row>
    <row r="648" spans="1:5" ht="23.1" hidden="1" customHeight="1" x14ac:dyDescent="0.25">
      <c r="A648" s="12" t="s">
        <v>996</v>
      </c>
      <c r="B648" s="12" t="s">
        <v>288</v>
      </c>
      <c r="C648" s="14">
        <v>479.17</v>
      </c>
      <c r="D648" s="12"/>
      <c r="E648" s="13"/>
    </row>
    <row r="649" spans="1:5" ht="11.1" hidden="1" customHeight="1" x14ac:dyDescent="0.25">
      <c r="A649" s="12" t="s">
        <v>997</v>
      </c>
      <c r="B649" s="12" t="s">
        <v>998</v>
      </c>
      <c r="C649" s="14">
        <v>3666.67</v>
      </c>
      <c r="D649" s="12"/>
      <c r="E649" s="14"/>
    </row>
    <row r="650" spans="1:5" ht="11.1" hidden="1" customHeight="1" x14ac:dyDescent="0.25">
      <c r="A650" s="12" t="s">
        <v>999</v>
      </c>
      <c r="B650" s="12" t="s">
        <v>1000</v>
      </c>
      <c r="C650" s="14">
        <v>3330</v>
      </c>
      <c r="D650" s="12"/>
      <c r="E650" s="14"/>
    </row>
    <row r="651" spans="1:5" ht="11.1" hidden="1" customHeight="1" x14ac:dyDescent="0.25">
      <c r="A651" s="12" t="s">
        <v>1001</v>
      </c>
      <c r="B651" s="12" t="s">
        <v>1002</v>
      </c>
      <c r="C651" s="14">
        <v>1050.83</v>
      </c>
      <c r="D651" s="12"/>
      <c r="E651" s="14"/>
    </row>
    <row r="652" spans="1:5" ht="11.1" hidden="1" customHeight="1" x14ac:dyDescent="0.25">
      <c r="A652" s="12" t="s">
        <v>1003</v>
      </c>
      <c r="B652" s="12" t="s">
        <v>1004</v>
      </c>
      <c r="C652" s="14">
        <v>1630.05</v>
      </c>
      <c r="D652" s="12"/>
      <c r="E652" s="14"/>
    </row>
    <row r="653" spans="1:5" ht="11.1" hidden="1" customHeight="1" x14ac:dyDescent="0.25">
      <c r="A653" s="12" t="s">
        <v>1005</v>
      </c>
      <c r="B653" s="12" t="s">
        <v>213</v>
      </c>
      <c r="C653" s="14">
        <v>0.33</v>
      </c>
      <c r="D653" s="12"/>
      <c r="E653" s="13"/>
    </row>
    <row r="654" spans="1:5" ht="11.1" hidden="1" customHeight="1" x14ac:dyDescent="0.25">
      <c r="A654" s="12" t="s">
        <v>1006</v>
      </c>
      <c r="B654" s="12" t="s">
        <v>213</v>
      </c>
      <c r="C654" s="14">
        <v>0.54</v>
      </c>
      <c r="D654" s="12"/>
      <c r="E654" s="13"/>
    </row>
    <row r="655" spans="1:5" ht="11.1" hidden="1" customHeight="1" x14ac:dyDescent="0.25">
      <c r="A655" s="12" t="s">
        <v>1007</v>
      </c>
      <c r="B655" s="12" t="s">
        <v>1008</v>
      </c>
      <c r="C655" s="14">
        <v>50.83</v>
      </c>
      <c r="D655" s="12"/>
      <c r="E655" s="13"/>
    </row>
    <row r="656" spans="1:5" ht="11.1" hidden="1" customHeight="1" x14ac:dyDescent="0.25">
      <c r="A656" s="12" t="s">
        <v>1009</v>
      </c>
      <c r="B656" s="12" t="s">
        <v>465</v>
      </c>
      <c r="C656" s="14">
        <v>3242.5</v>
      </c>
      <c r="D656" s="12"/>
      <c r="E656" s="14"/>
    </row>
    <row r="657" spans="1:5" ht="11.1" hidden="1" customHeight="1" x14ac:dyDescent="0.25">
      <c r="A657" s="12" t="s">
        <v>1010</v>
      </c>
      <c r="B657" s="12" t="s">
        <v>969</v>
      </c>
      <c r="C657" s="14">
        <v>3539.17</v>
      </c>
      <c r="D657" s="12"/>
      <c r="E657" s="14"/>
    </row>
    <row r="658" spans="1:5" ht="11.1" hidden="1" customHeight="1" x14ac:dyDescent="0.25">
      <c r="A658" s="12" t="s">
        <v>1011</v>
      </c>
      <c r="B658" s="12" t="s">
        <v>1012</v>
      </c>
      <c r="C658" s="14">
        <v>718.33</v>
      </c>
      <c r="D658" s="12"/>
      <c r="E658" s="13"/>
    </row>
    <row r="659" spans="1:5" ht="11.1" hidden="1" customHeight="1" x14ac:dyDescent="0.25">
      <c r="A659" s="12" t="s">
        <v>1013</v>
      </c>
      <c r="B659" s="12" t="s">
        <v>1014</v>
      </c>
      <c r="C659" s="14">
        <v>340.83</v>
      </c>
      <c r="D659" s="12"/>
      <c r="E659" s="13"/>
    </row>
    <row r="660" spans="1:5" ht="11.1" hidden="1" customHeight="1" x14ac:dyDescent="0.25">
      <c r="A660" s="12" t="s">
        <v>1015</v>
      </c>
      <c r="B660" s="12" t="s">
        <v>642</v>
      </c>
      <c r="C660" s="14">
        <v>475</v>
      </c>
      <c r="D660" s="12"/>
      <c r="E660" s="13"/>
    </row>
    <row r="661" spans="1:5" ht="11.1" hidden="1" customHeight="1" x14ac:dyDescent="0.25">
      <c r="A661" s="12" t="s">
        <v>1016</v>
      </c>
      <c r="B661" s="12" t="s">
        <v>149</v>
      </c>
      <c r="C661" s="14">
        <v>6.15</v>
      </c>
      <c r="D661" s="12"/>
      <c r="E661" s="13"/>
    </row>
    <row r="662" spans="1:5" ht="11.1" hidden="1" customHeight="1" x14ac:dyDescent="0.25">
      <c r="A662" s="12" t="s">
        <v>1017</v>
      </c>
      <c r="B662" s="12" t="s">
        <v>297</v>
      </c>
      <c r="C662" s="14">
        <v>523.33000000000004</v>
      </c>
      <c r="D662" s="12"/>
      <c r="E662" s="13"/>
    </row>
    <row r="663" spans="1:5" ht="11.1" hidden="1" customHeight="1" x14ac:dyDescent="0.25">
      <c r="A663" s="12" t="s">
        <v>1018</v>
      </c>
      <c r="B663" s="12" t="s">
        <v>180</v>
      </c>
      <c r="C663" s="14">
        <v>333.33</v>
      </c>
      <c r="D663" s="12"/>
      <c r="E663" s="13"/>
    </row>
    <row r="664" spans="1:5" ht="11.1" hidden="1" customHeight="1" x14ac:dyDescent="0.25">
      <c r="A664" s="12" t="s">
        <v>1019</v>
      </c>
      <c r="B664" s="12" t="s">
        <v>205</v>
      </c>
      <c r="C664" s="14">
        <v>1594.17</v>
      </c>
      <c r="D664" s="12"/>
      <c r="E664" s="14"/>
    </row>
    <row r="665" spans="1:5" ht="11.1" hidden="1" customHeight="1" x14ac:dyDescent="0.25">
      <c r="A665" s="12" t="s">
        <v>1020</v>
      </c>
      <c r="B665" s="12" t="s">
        <v>1021</v>
      </c>
      <c r="C665" s="14">
        <v>495.83</v>
      </c>
      <c r="D665" s="12"/>
      <c r="E665" s="13"/>
    </row>
    <row r="666" spans="1:5" ht="11.1" hidden="1" customHeight="1" x14ac:dyDescent="0.25">
      <c r="A666" s="12" t="s">
        <v>1022</v>
      </c>
      <c r="B666" s="12" t="s">
        <v>1021</v>
      </c>
      <c r="C666" s="14">
        <v>1305.83</v>
      </c>
      <c r="D666" s="12"/>
      <c r="E666" s="14"/>
    </row>
    <row r="667" spans="1:5" ht="11.1" hidden="1" customHeight="1" x14ac:dyDescent="0.25">
      <c r="A667" s="12" t="s">
        <v>1023</v>
      </c>
      <c r="B667" s="12" t="s">
        <v>288</v>
      </c>
      <c r="C667" s="14">
        <v>760</v>
      </c>
      <c r="D667" s="12"/>
      <c r="E667" s="13"/>
    </row>
    <row r="668" spans="1:5" ht="11.1" hidden="1" customHeight="1" x14ac:dyDescent="0.25">
      <c r="A668" s="12" t="s">
        <v>1024</v>
      </c>
      <c r="B668" s="12" t="s">
        <v>497</v>
      </c>
      <c r="C668" s="14">
        <v>905.84</v>
      </c>
      <c r="D668" s="12"/>
      <c r="E668" s="13"/>
    </row>
    <row r="669" spans="1:5" ht="11.1" hidden="1" customHeight="1" x14ac:dyDescent="0.25">
      <c r="A669" s="12" t="s">
        <v>1025</v>
      </c>
      <c r="B669" s="12" t="s">
        <v>1021</v>
      </c>
      <c r="C669" s="14">
        <v>260.83</v>
      </c>
      <c r="D669" s="12"/>
      <c r="E669" s="13"/>
    </row>
    <row r="670" spans="1:5" ht="11.1" hidden="1" customHeight="1" x14ac:dyDescent="0.25">
      <c r="A670" s="12" t="s">
        <v>1026</v>
      </c>
      <c r="B670" s="12" t="s">
        <v>297</v>
      </c>
      <c r="C670" s="14">
        <v>207.5</v>
      </c>
      <c r="D670" s="12"/>
      <c r="E670" s="13"/>
    </row>
    <row r="671" spans="1:5" ht="11.1" hidden="1" customHeight="1" x14ac:dyDescent="0.25">
      <c r="A671" s="12" t="s">
        <v>1027</v>
      </c>
      <c r="B671" s="12" t="s">
        <v>482</v>
      </c>
      <c r="C671" s="14">
        <v>80.84</v>
      </c>
      <c r="D671" s="12"/>
      <c r="E671" s="13"/>
    </row>
    <row r="672" spans="1:5" ht="11.1" hidden="1" customHeight="1" x14ac:dyDescent="0.25">
      <c r="A672" s="12" t="s">
        <v>1028</v>
      </c>
      <c r="B672" s="12" t="s">
        <v>482</v>
      </c>
      <c r="C672" s="14">
        <v>86.67</v>
      </c>
      <c r="D672" s="12"/>
      <c r="E672" s="13"/>
    </row>
    <row r="673" spans="1:5" ht="11.1" hidden="1" customHeight="1" x14ac:dyDescent="0.25">
      <c r="A673" s="12" t="s">
        <v>1029</v>
      </c>
      <c r="B673" s="12" t="s">
        <v>482</v>
      </c>
      <c r="C673" s="14">
        <v>80</v>
      </c>
      <c r="D673" s="12"/>
      <c r="E673" s="13"/>
    </row>
    <row r="674" spans="1:5" ht="11.1" hidden="1" customHeight="1" x14ac:dyDescent="0.25">
      <c r="A674" s="12" t="s">
        <v>1030</v>
      </c>
      <c r="B674" s="12" t="s">
        <v>482</v>
      </c>
      <c r="C674" s="14">
        <v>61.67</v>
      </c>
      <c r="D674" s="12"/>
      <c r="E674" s="13"/>
    </row>
    <row r="675" spans="1:5" ht="11.1" hidden="1" customHeight="1" x14ac:dyDescent="0.25">
      <c r="A675" s="12" t="s">
        <v>1031</v>
      </c>
      <c r="B675" s="12" t="s">
        <v>482</v>
      </c>
      <c r="C675" s="14">
        <v>80.84</v>
      </c>
      <c r="D675" s="12"/>
      <c r="E675" s="13"/>
    </row>
    <row r="676" spans="1:5" ht="11.1" hidden="1" customHeight="1" x14ac:dyDescent="0.25">
      <c r="A676" s="12" t="s">
        <v>1032</v>
      </c>
      <c r="B676" s="12" t="s">
        <v>482</v>
      </c>
      <c r="C676" s="14">
        <v>65</v>
      </c>
      <c r="D676" s="12"/>
      <c r="E676" s="13"/>
    </row>
    <row r="677" spans="1:5" ht="11.1" hidden="1" customHeight="1" x14ac:dyDescent="0.25">
      <c r="A677" s="12" t="s">
        <v>1033</v>
      </c>
      <c r="B677" s="12" t="s">
        <v>482</v>
      </c>
      <c r="C677" s="14">
        <v>110</v>
      </c>
      <c r="D677" s="12"/>
      <c r="E677" s="13"/>
    </row>
    <row r="678" spans="1:5" ht="11.1" hidden="1" customHeight="1" x14ac:dyDescent="0.25">
      <c r="A678" s="12" t="s">
        <v>1034</v>
      </c>
      <c r="B678" s="12" t="s">
        <v>482</v>
      </c>
      <c r="C678" s="14">
        <v>132.5</v>
      </c>
      <c r="D678" s="12"/>
      <c r="E678" s="13"/>
    </row>
    <row r="679" spans="1:5" ht="11.1" hidden="1" customHeight="1" x14ac:dyDescent="0.25">
      <c r="A679" s="12" t="s">
        <v>1035</v>
      </c>
      <c r="B679" s="12" t="s">
        <v>1036</v>
      </c>
      <c r="C679" s="14">
        <v>116.67</v>
      </c>
      <c r="D679" s="12"/>
      <c r="E679" s="13"/>
    </row>
    <row r="680" spans="1:5" ht="11.1" hidden="1" customHeight="1" x14ac:dyDescent="0.25">
      <c r="A680" s="12" t="s">
        <v>1037</v>
      </c>
      <c r="B680" s="12" t="s">
        <v>1038</v>
      </c>
      <c r="C680" s="14">
        <v>52</v>
      </c>
      <c r="D680" s="12"/>
      <c r="E680" s="13"/>
    </row>
    <row r="681" spans="1:5" ht="11.1" hidden="1" customHeight="1" x14ac:dyDescent="0.25">
      <c r="A681" s="12" t="s">
        <v>1039</v>
      </c>
      <c r="B681" s="12" t="s">
        <v>102</v>
      </c>
      <c r="C681" s="14">
        <v>71.83</v>
      </c>
      <c r="D681" s="12"/>
      <c r="E681" s="13"/>
    </row>
    <row r="682" spans="1:5" ht="11.1" hidden="1" customHeight="1" x14ac:dyDescent="0.25">
      <c r="A682" s="12" t="s">
        <v>1040</v>
      </c>
      <c r="B682" s="12" t="s">
        <v>1041</v>
      </c>
      <c r="C682" s="14">
        <v>13</v>
      </c>
      <c r="D682" s="12"/>
      <c r="E682" s="13"/>
    </row>
    <row r="683" spans="1:5" ht="11.1" hidden="1" customHeight="1" x14ac:dyDescent="0.25">
      <c r="A683" s="12" t="s">
        <v>1042</v>
      </c>
      <c r="B683" s="12" t="s">
        <v>1043</v>
      </c>
      <c r="C683" s="14">
        <v>84.17</v>
      </c>
      <c r="D683" s="12"/>
      <c r="E683" s="13"/>
    </row>
    <row r="684" spans="1:5" ht="11.1" hidden="1" customHeight="1" x14ac:dyDescent="0.25">
      <c r="A684" s="12" t="s">
        <v>1044</v>
      </c>
      <c r="B684" s="12" t="s">
        <v>769</v>
      </c>
      <c r="C684" s="14">
        <v>152.5</v>
      </c>
      <c r="D684" s="12"/>
      <c r="E684" s="13"/>
    </row>
    <row r="685" spans="1:5" ht="11.1" hidden="1" customHeight="1" x14ac:dyDescent="0.25">
      <c r="A685" s="12" t="s">
        <v>1045</v>
      </c>
      <c r="B685" s="12" t="s">
        <v>769</v>
      </c>
      <c r="C685" s="14">
        <v>156.66999999999999</v>
      </c>
      <c r="D685" s="12"/>
      <c r="E685" s="13"/>
    </row>
    <row r="686" spans="1:5" ht="11.1" hidden="1" customHeight="1" x14ac:dyDescent="0.25">
      <c r="A686" s="12" t="s">
        <v>1046</v>
      </c>
      <c r="B686" s="12" t="s">
        <v>391</v>
      </c>
      <c r="C686" s="14">
        <v>166.67</v>
      </c>
      <c r="D686" s="12"/>
      <c r="E686" s="13"/>
    </row>
    <row r="687" spans="1:5" ht="11.1" hidden="1" customHeight="1" x14ac:dyDescent="0.25">
      <c r="A687" s="12" t="s">
        <v>1047</v>
      </c>
      <c r="B687" s="12" t="s">
        <v>892</v>
      </c>
      <c r="C687" s="14">
        <v>1089.81</v>
      </c>
      <c r="D687" s="12"/>
      <c r="E687" s="14"/>
    </row>
    <row r="688" spans="1:5" ht="11.1" hidden="1" customHeight="1" x14ac:dyDescent="0.25">
      <c r="A688" s="12" t="s">
        <v>1048</v>
      </c>
      <c r="B688" s="12" t="s">
        <v>1049</v>
      </c>
      <c r="C688" s="14">
        <v>775</v>
      </c>
      <c r="D688" s="12"/>
      <c r="E688" s="13"/>
    </row>
    <row r="689" spans="1:5" ht="23.1" hidden="1" customHeight="1" x14ac:dyDescent="0.25">
      <c r="A689" s="12" t="s">
        <v>1050</v>
      </c>
      <c r="B689" s="12" t="s">
        <v>1051</v>
      </c>
      <c r="C689" s="14">
        <v>14166.67</v>
      </c>
      <c r="D689" s="12"/>
      <c r="E689" s="14"/>
    </row>
    <row r="690" spans="1:5" ht="11.1" hidden="1" customHeight="1" x14ac:dyDescent="0.25">
      <c r="A690" s="12" t="s">
        <v>1052</v>
      </c>
      <c r="B690" s="12" t="s">
        <v>193</v>
      </c>
      <c r="C690" s="14">
        <v>117.44</v>
      </c>
      <c r="D690" s="12"/>
      <c r="E690" s="13"/>
    </row>
    <row r="691" spans="1:5" ht="11.1" hidden="1" customHeight="1" x14ac:dyDescent="0.25">
      <c r="A691" s="12" t="s">
        <v>1053</v>
      </c>
      <c r="B691" s="12" t="s">
        <v>711</v>
      </c>
      <c r="C691" s="14">
        <v>2029.17</v>
      </c>
      <c r="D691" s="12"/>
      <c r="E691" s="14"/>
    </row>
    <row r="692" spans="1:5" ht="11.1" hidden="1" customHeight="1" x14ac:dyDescent="0.25">
      <c r="A692" s="12" t="s">
        <v>1054</v>
      </c>
      <c r="B692" s="12" t="s">
        <v>525</v>
      </c>
      <c r="C692" s="14">
        <v>14442.5</v>
      </c>
      <c r="D692" s="12"/>
      <c r="E692" s="14"/>
    </row>
    <row r="693" spans="1:5" ht="11.1" hidden="1" customHeight="1" x14ac:dyDescent="0.25">
      <c r="A693" s="12" t="s">
        <v>1055</v>
      </c>
      <c r="B693" s="12" t="s">
        <v>136</v>
      </c>
      <c r="C693" s="14">
        <v>11.33</v>
      </c>
      <c r="D693" s="12"/>
      <c r="E693" s="13"/>
    </row>
    <row r="694" spans="1:5" ht="11.1" hidden="1" customHeight="1" x14ac:dyDescent="0.25">
      <c r="A694" s="12" t="s">
        <v>1056</v>
      </c>
      <c r="B694" s="12" t="s">
        <v>80</v>
      </c>
      <c r="C694" s="14">
        <v>916.67</v>
      </c>
      <c r="D694" s="12"/>
      <c r="E694" s="13"/>
    </row>
    <row r="695" spans="1:5" ht="11.1" hidden="1" customHeight="1" x14ac:dyDescent="0.25">
      <c r="A695" s="12" t="s">
        <v>1057</v>
      </c>
      <c r="B695" s="12" t="s">
        <v>151</v>
      </c>
      <c r="C695" s="14">
        <v>975</v>
      </c>
      <c r="D695" s="12"/>
      <c r="E695" s="13"/>
    </row>
    <row r="696" spans="1:5" ht="11.1" hidden="1" customHeight="1" x14ac:dyDescent="0.25">
      <c r="A696" s="12" t="s">
        <v>1058</v>
      </c>
      <c r="B696" s="12" t="s">
        <v>1059</v>
      </c>
      <c r="C696" s="14">
        <v>24.21</v>
      </c>
      <c r="D696" s="12"/>
      <c r="E696" s="13"/>
    </row>
    <row r="697" spans="1:5" ht="11.1" hidden="1" customHeight="1" x14ac:dyDescent="0.25">
      <c r="A697" s="12" t="s">
        <v>1060</v>
      </c>
      <c r="B697" s="12" t="s">
        <v>86</v>
      </c>
      <c r="C697" s="14">
        <v>166.67</v>
      </c>
      <c r="D697" s="12"/>
      <c r="E697" s="13"/>
    </row>
    <row r="698" spans="1:5" ht="11.1" hidden="1" customHeight="1" x14ac:dyDescent="0.25">
      <c r="A698" s="12" t="s">
        <v>1061</v>
      </c>
      <c r="B698" s="12" t="s">
        <v>86</v>
      </c>
      <c r="C698" s="14">
        <v>22.5</v>
      </c>
      <c r="D698" s="12"/>
      <c r="E698" s="13"/>
    </row>
    <row r="699" spans="1:5" ht="11.1" hidden="1" customHeight="1" x14ac:dyDescent="0.25">
      <c r="A699" s="12" t="s">
        <v>1062</v>
      </c>
      <c r="B699" s="12" t="s">
        <v>1063</v>
      </c>
      <c r="C699" s="14">
        <v>136</v>
      </c>
      <c r="D699" s="12"/>
      <c r="E699" s="13"/>
    </row>
    <row r="700" spans="1:5" ht="11.1" hidden="1" customHeight="1" x14ac:dyDescent="0.25">
      <c r="A700" s="12" t="s">
        <v>1064</v>
      </c>
      <c r="B700" s="12" t="s">
        <v>254</v>
      </c>
      <c r="C700" s="14">
        <v>21</v>
      </c>
      <c r="D700" s="12"/>
      <c r="E700" s="13"/>
    </row>
    <row r="701" spans="1:5" ht="11.1" hidden="1" customHeight="1" x14ac:dyDescent="0.25">
      <c r="A701" s="12" t="s">
        <v>1065</v>
      </c>
      <c r="B701" s="12" t="s">
        <v>149</v>
      </c>
      <c r="C701" s="14">
        <v>53.27</v>
      </c>
      <c r="D701" s="12"/>
      <c r="E701" s="13"/>
    </row>
    <row r="702" spans="1:5" ht="11.1" hidden="1" customHeight="1" x14ac:dyDescent="0.25">
      <c r="A702" s="12" t="s">
        <v>1066</v>
      </c>
      <c r="B702" s="12" t="s">
        <v>254</v>
      </c>
      <c r="C702" s="14">
        <v>78.17</v>
      </c>
      <c r="D702" s="12"/>
      <c r="E702" s="13"/>
    </row>
    <row r="703" spans="1:5" ht="11.1" hidden="1" customHeight="1" x14ac:dyDescent="0.25">
      <c r="A703" s="12" t="s">
        <v>1067</v>
      </c>
      <c r="B703" s="12" t="s">
        <v>1021</v>
      </c>
      <c r="C703" s="14">
        <v>47.5</v>
      </c>
      <c r="D703" s="12"/>
      <c r="E703" s="13"/>
    </row>
    <row r="704" spans="1:5" ht="11.1" hidden="1" customHeight="1" x14ac:dyDescent="0.25">
      <c r="A704" s="12" t="s">
        <v>1068</v>
      </c>
      <c r="B704" s="12" t="s">
        <v>136</v>
      </c>
      <c r="C704" s="14">
        <v>4.63</v>
      </c>
      <c r="D704" s="12"/>
      <c r="E704" s="13"/>
    </row>
    <row r="705" spans="1:5" ht="11.1" hidden="1" customHeight="1" x14ac:dyDescent="0.25">
      <c r="A705" s="12" t="s">
        <v>1069</v>
      </c>
      <c r="B705" s="12" t="s">
        <v>80</v>
      </c>
      <c r="C705" s="14">
        <v>6.67</v>
      </c>
      <c r="D705" s="12"/>
      <c r="E705" s="13"/>
    </row>
    <row r="706" spans="1:5" ht="11.1" hidden="1" customHeight="1" x14ac:dyDescent="0.25">
      <c r="A706" s="12" t="s">
        <v>1070</v>
      </c>
      <c r="B706" s="12" t="s">
        <v>80</v>
      </c>
      <c r="C706" s="14">
        <v>7.5</v>
      </c>
      <c r="D706" s="12"/>
      <c r="E706" s="13"/>
    </row>
    <row r="707" spans="1:5" ht="11.1" hidden="1" customHeight="1" x14ac:dyDescent="0.25">
      <c r="A707" s="12" t="s">
        <v>1071</v>
      </c>
      <c r="B707" s="12" t="s">
        <v>80</v>
      </c>
      <c r="C707" s="14">
        <v>26.67</v>
      </c>
      <c r="D707" s="12"/>
      <c r="E707" s="13"/>
    </row>
    <row r="708" spans="1:5" ht="11.1" hidden="1" customHeight="1" x14ac:dyDescent="0.25">
      <c r="A708" s="12" t="s">
        <v>1072</v>
      </c>
      <c r="B708" s="12" t="s">
        <v>80</v>
      </c>
      <c r="C708" s="14">
        <v>50</v>
      </c>
      <c r="D708" s="12"/>
      <c r="E708" s="13"/>
    </row>
    <row r="709" spans="1:5" ht="11.1" hidden="1" customHeight="1" x14ac:dyDescent="0.25">
      <c r="A709" s="12" t="s">
        <v>1073</v>
      </c>
      <c r="B709" s="12" t="s">
        <v>80</v>
      </c>
      <c r="C709" s="14">
        <v>18.329999999999998</v>
      </c>
      <c r="D709" s="12"/>
      <c r="E709" s="13"/>
    </row>
    <row r="710" spans="1:5" ht="11.1" hidden="1" customHeight="1" x14ac:dyDescent="0.25">
      <c r="A710" s="12" t="s">
        <v>1074</v>
      </c>
      <c r="B710" s="12" t="s">
        <v>80</v>
      </c>
      <c r="C710" s="14">
        <v>30.83</v>
      </c>
      <c r="D710" s="12"/>
      <c r="E710" s="13"/>
    </row>
    <row r="711" spans="1:5" ht="11.1" hidden="1" customHeight="1" x14ac:dyDescent="0.25">
      <c r="A711" s="12" t="s">
        <v>1075</v>
      </c>
      <c r="B711" s="12" t="s">
        <v>213</v>
      </c>
      <c r="C711" s="14">
        <v>9.2200000000000006</v>
      </c>
      <c r="D711" s="12"/>
      <c r="E711" s="13"/>
    </row>
    <row r="712" spans="1:5" ht="11.1" hidden="1" customHeight="1" x14ac:dyDescent="0.25">
      <c r="A712" s="12" t="s">
        <v>1076</v>
      </c>
      <c r="B712" s="12" t="s">
        <v>80</v>
      </c>
      <c r="C712" s="14">
        <v>2.83</v>
      </c>
      <c r="D712" s="12"/>
      <c r="E712" s="13"/>
    </row>
    <row r="713" spans="1:5" ht="11.1" hidden="1" customHeight="1" x14ac:dyDescent="0.25">
      <c r="A713" s="12" t="s">
        <v>1077</v>
      </c>
      <c r="B713" s="12" t="s">
        <v>80</v>
      </c>
      <c r="C713" s="14">
        <v>16.670000000000002</v>
      </c>
      <c r="D713" s="12"/>
      <c r="E713" s="13"/>
    </row>
    <row r="714" spans="1:5" ht="11.1" hidden="1" customHeight="1" x14ac:dyDescent="0.25">
      <c r="A714" s="12" t="s">
        <v>1078</v>
      </c>
      <c r="B714" s="12" t="s">
        <v>80</v>
      </c>
      <c r="C714" s="14">
        <v>16.670000000000002</v>
      </c>
      <c r="D714" s="12"/>
      <c r="E714" s="13"/>
    </row>
    <row r="715" spans="1:5" ht="11.1" hidden="1" customHeight="1" x14ac:dyDescent="0.25">
      <c r="A715" s="12" t="s">
        <v>1079</v>
      </c>
      <c r="B715" s="12" t="s">
        <v>80</v>
      </c>
      <c r="C715" s="14">
        <v>16.670000000000002</v>
      </c>
      <c r="D715" s="12"/>
      <c r="E715" s="13"/>
    </row>
    <row r="716" spans="1:5" ht="11.1" hidden="1" customHeight="1" x14ac:dyDescent="0.25">
      <c r="A716" s="12" t="s">
        <v>1080</v>
      </c>
      <c r="B716" s="12" t="s">
        <v>254</v>
      </c>
      <c r="C716" s="14">
        <v>33.24</v>
      </c>
      <c r="D716" s="12"/>
      <c r="E716" s="13"/>
    </row>
    <row r="717" spans="1:5" ht="11.1" hidden="1" customHeight="1" x14ac:dyDescent="0.25">
      <c r="A717" s="12" t="s">
        <v>1081</v>
      </c>
      <c r="B717" s="12" t="s">
        <v>136</v>
      </c>
      <c r="C717" s="14">
        <v>3.03</v>
      </c>
      <c r="D717" s="12"/>
      <c r="E717" s="13"/>
    </row>
    <row r="718" spans="1:5" ht="11.1" hidden="1" customHeight="1" x14ac:dyDescent="0.25">
      <c r="A718" s="12" t="s">
        <v>1082</v>
      </c>
      <c r="B718" s="12" t="s">
        <v>1083</v>
      </c>
      <c r="C718" s="14">
        <v>2375</v>
      </c>
      <c r="D718" s="12"/>
      <c r="E718" s="14"/>
    </row>
    <row r="719" spans="1:5" ht="11.1" hidden="1" customHeight="1" x14ac:dyDescent="0.25">
      <c r="A719" s="12" t="s">
        <v>1084</v>
      </c>
      <c r="B719" s="12" t="s">
        <v>281</v>
      </c>
      <c r="C719" s="14">
        <v>1.5</v>
      </c>
      <c r="D719" s="12"/>
      <c r="E719" s="13"/>
    </row>
    <row r="720" spans="1:5" ht="11.1" hidden="1" customHeight="1" x14ac:dyDescent="0.25">
      <c r="A720" s="12" t="s">
        <v>1085</v>
      </c>
      <c r="B720" s="12" t="s">
        <v>1086</v>
      </c>
      <c r="C720" s="14">
        <v>210.83</v>
      </c>
      <c r="D720" s="12"/>
      <c r="E720" s="13"/>
    </row>
    <row r="721" spans="1:5" ht="11.1" hidden="1" customHeight="1" x14ac:dyDescent="0.25">
      <c r="A721" s="12" t="s">
        <v>1087</v>
      </c>
      <c r="B721" s="12" t="s">
        <v>818</v>
      </c>
      <c r="C721" s="14">
        <v>200</v>
      </c>
      <c r="D721" s="12"/>
      <c r="E721" s="13"/>
    </row>
    <row r="722" spans="1:5" ht="11.1" hidden="1" customHeight="1" x14ac:dyDescent="0.25">
      <c r="A722" s="12" t="s">
        <v>1088</v>
      </c>
      <c r="B722" s="12" t="s">
        <v>301</v>
      </c>
      <c r="C722" s="14">
        <v>1912.5</v>
      </c>
      <c r="D722" s="12"/>
      <c r="E722" s="14"/>
    </row>
    <row r="723" spans="1:5" ht="11.1" hidden="1" customHeight="1" x14ac:dyDescent="0.25">
      <c r="A723" s="12" t="s">
        <v>1089</v>
      </c>
      <c r="B723" s="12" t="s">
        <v>1090</v>
      </c>
      <c r="C723" s="14">
        <v>131.66999999999999</v>
      </c>
      <c r="D723" s="12"/>
      <c r="E723" s="13"/>
    </row>
    <row r="724" spans="1:5" ht="11.1" hidden="1" customHeight="1" x14ac:dyDescent="0.25">
      <c r="A724" s="12" t="s">
        <v>1091</v>
      </c>
      <c r="B724" s="12" t="s">
        <v>1090</v>
      </c>
      <c r="C724" s="14">
        <v>60</v>
      </c>
      <c r="D724" s="12"/>
      <c r="E724" s="13"/>
    </row>
    <row r="725" spans="1:5" ht="11.1" hidden="1" customHeight="1" x14ac:dyDescent="0.25">
      <c r="A725" s="12" t="s">
        <v>1092</v>
      </c>
      <c r="B725" s="12" t="s">
        <v>1093</v>
      </c>
      <c r="C725" s="14">
        <v>5625</v>
      </c>
      <c r="D725" s="12"/>
      <c r="E725" s="14"/>
    </row>
    <row r="726" spans="1:5" ht="23.1" hidden="1" customHeight="1" x14ac:dyDescent="0.25">
      <c r="A726" s="12" t="s">
        <v>1094</v>
      </c>
      <c r="B726" s="12" t="s">
        <v>1093</v>
      </c>
      <c r="C726" s="14">
        <v>7408.33</v>
      </c>
      <c r="D726" s="12"/>
      <c r="E726" s="14"/>
    </row>
    <row r="727" spans="1:5" ht="11.1" hidden="1" customHeight="1" x14ac:dyDescent="0.25">
      <c r="A727" s="12" t="s">
        <v>1095</v>
      </c>
      <c r="B727" s="12" t="s">
        <v>1093</v>
      </c>
      <c r="C727" s="14">
        <v>4333.33</v>
      </c>
      <c r="D727" s="12"/>
      <c r="E727" s="14"/>
    </row>
    <row r="728" spans="1:5" ht="11.1" hidden="1" customHeight="1" x14ac:dyDescent="0.25">
      <c r="A728" s="12" t="s">
        <v>1096</v>
      </c>
      <c r="B728" s="12" t="s">
        <v>536</v>
      </c>
      <c r="C728" s="14">
        <v>320</v>
      </c>
      <c r="D728" s="12"/>
      <c r="E728" s="13"/>
    </row>
    <row r="729" spans="1:5" ht="11.1" hidden="1" customHeight="1" x14ac:dyDescent="0.25">
      <c r="A729" s="12" t="s">
        <v>1097</v>
      </c>
      <c r="B729" s="12" t="s">
        <v>1098</v>
      </c>
      <c r="C729" s="14">
        <v>45</v>
      </c>
      <c r="D729" s="12"/>
      <c r="E729" s="13"/>
    </row>
    <row r="730" spans="1:5" ht="23.1" hidden="1" customHeight="1" x14ac:dyDescent="0.25">
      <c r="A730" s="12" t="s">
        <v>1099</v>
      </c>
      <c r="B730" s="12" t="s">
        <v>213</v>
      </c>
      <c r="C730" s="14">
        <v>3.9</v>
      </c>
      <c r="D730" s="12"/>
      <c r="E730" s="13"/>
    </row>
    <row r="731" spans="1:5" ht="11.1" hidden="1" customHeight="1" x14ac:dyDescent="0.25">
      <c r="A731" s="12" t="s">
        <v>1100</v>
      </c>
      <c r="B731" s="12" t="s">
        <v>561</v>
      </c>
      <c r="C731" s="14">
        <v>360.83</v>
      </c>
      <c r="D731" s="12"/>
      <c r="E731" s="13"/>
    </row>
    <row r="732" spans="1:5" ht="11.1" hidden="1" customHeight="1" x14ac:dyDescent="0.25">
      <c r="A732" s="12" t="s">
        <v>1101</v>
      </c>
      <c r="B732" s="12" t="s">
        <v>297</v>
      </c>
      <c r="C732" s="14">
        <v>265.83</v>
      </c>
      <c r="D732" s="12"/>
      <c r="E732" s="13"/>
    </row>
    <row r="733" spans="1:5" ht="11.1" hidden="1" customHeight="1" x14ac:dyDescent="0.25">
      <c r="A733" s="12" t="s">
        <v>1102</v>
      </c>
      <c r="B733" s="12" t="s">
        <v>1103</v>
      </c>
      <c r="C733" s="14">
        <v>349.17</v>
      </c>
      <c r="D733" s="12"/>
      <c r="E733" s="13"/>
    </row>
    <row r="734" spans="1:5" ht="11.1" hidden="1" customHeight="1" x14ac:dyDescent="0.25">
      <c r="A734" s="12" t="s">
        <v>1104</v>
      </c>
      <c r="B734" s="12" t="s">
        <v>1105</v>
      </c>
      <c r="C734" s="14">
        <v>100.83</v>
      </c>
      <c r="D734" s="12"/>
      <c r="E734" s="13"/>
    </row>
    <row r="735" spans="1:5" ht="11.1" hidden="1" customHeight="1" x14ac:dyDescent="0.25">
      <c r="A735" s="12" t="s">
        <v>1106</v>
      </c>
      <c r="B735" s="12" t="s">
        <v>650</v>
      </c>
      <c r="C735" s="14">
        <v>59.17</v>
      </c>
      <c r="D735" s="12"/>
      <c r="E735" s="13"/>
    </row>
    <row r="736" spans="1:5" ht="11.1" hidden="1" customHeight="1" x14ac:dyDescent="0.25">
      <c r="A736" s="12" t="s">
        <v>1107</v>
      </c>
      <c r="B736" s="12" t="s">
        <v>650</v>
      </c>
      <c r="C736" s="14">
        <v>68.33</v>
      </c>
      <c r="D736" s="12"/>
      <c r="E736" s="13"/>
    </row>
    <row r="737" spans="1:5" ht="11.1" hidden="1" customHeight="1" x14ac:dyDescent="0.25">
      <c r="A737" s="12" t="s">
        <v>1108</v>
      </c>
      <c r="B737" s="12" t="s">
        <v>650</v>
      </c>
      <c r="C737" s="14">
        <v>75</v>
      </c>
      <c r="D737" s="12"/>
      <c r="E737" s="13"/>
    </row>
    <row r="738" spans="1:5" ht="11.1" hidden="1" customHeight="1" x14ac:dyDescent="0.25">
      <c r="A738" s="12" t="s">
        <v>1109</v>
      </c>
      <c r="B738" s="12" t="s">
        <v>1110</v>
      </c>
      <c r="C738" s="14">
        <v>3550</v>
      </c>
      <c r="D738" s="12"/>
      <c r="E738" s="14"/>
    </row>
    <row r="739" spans="1:5" ht="11.1" hidden="1" customHeight="1" x14ac:dyDescent="0.25">
      <c r="A739" s="12" t="s">
        <v>1111</v>
      </c>
      <c r="B739" s="12" t="s">
        <v>918</v>
      </c>
      <c r="C739" s="14">
        <v>120.83</v>
      </c>
      <c r="D739" s="12"/>
      <c r="E739" s="13"/>
    </row>
    <row r="740" spans="1:5" ht="11.1" hidden="1" customHeight="1" x14ac:dyDescent="0.25">
      <c r="A740" s="12" t="s">
        <v>1112</v>
      </c>
      <c r="B740" s="12" t="s">
        <v>1043</v>
      </c>
      <c r="C740" s="14">
        <v>95.83</v>
      </c>
      <c r="D740" s="12"/>
      <c r="E740" s="13"/>
    </row>
    <row r="741" spans="1:5" ht="11.1" hidden="1" customHeight="1" x14ac:dyDescent="0.25">
      <c r="A741" s="12" t="s">
        <v>1113</v>
      </c>
      <c r="B741" s="12" t="s">
        <v>1043</v>
      </c>
      <c r="C741" s="14">
        <v>176.67</v>
      </c>
      <c r="D741" s="12"/>
      <c r="E741" s="13"/>
    </row>
    <row r="742" spans="1:5" ht="11.1" hidden="1" customHeight="1" x14ac:dyDescent="0.25">
      <c r="A742" s="12" t="s">
        <v>1114</v>
      </c>
      <c r="B742" s="12" t="s">
        <v>299</v>
      </c>
      <c r="C742" s="14">
        <v>54.17</v>
      </c>
      <c r="D742" s="12"/>
      <c r="E742" s="13"/>
    </row>
    <row r="743" spans="1:5" ht="23.1" hidden="1" customHeight="1" x14ac:dyDescent="0.25">
      <c r="A743" s="12" t="s">
        <v>1115</v>
      </c>
      <c r="B743" s="12" t="s">
        <v>752</v>
      </c>
      <c r="C743" s="14">
        <v>229.17</v>
      </c>
      <c r="D743" s="12"/>
      <c r="E743" s="13"/>
    </row>
    <row r="744" spans="1:5" ht="11.1" hidden="1" customHeight="1" x14ac:dyDescent="0.25">
      <c r="A744" s="12" t="s">
        <v>1116</v>
      </c>
      <c r="B744" s="12" t="s">
        <v>465</v>
      </c>
      <c r="C744" s="14">
        <v>10367.5</v>
      </c>
      <c r="D744" s="12"/>
      <c r="E744" s="14"/>
    </row>
    <row r="745" spans="1:5" ht="11.1" hidden="1" customHeight="1" x14ac:dyDescent="0.25">
      <c r="A745" s="12" t="s">
        <v>1117</v>
      </c>
      <c r="B745" s="12" t="s">
        <v>1043</v>
      </c>
      <c r="C745" s="14">
        <v>62.5</v>
      </c>
      <c r="D745" s="12"/>
      <c r="E745" s="13"/>
    </row>
    <row r="746" spans="1:5" ht="23.1" hidden="1" customHeight="1" x14ac:dyDescent="0.25">
      <c r="A746" s="12" t="s">
        <v>1118</v>
      </c>
      <c r="B746" s="12" t="s">
        <v>309</v>
      </c>
      <c r="C746" s="14">
        <v>648.33000000000004</v>
      </c>
      <c r="D746" s="12"/>
      <c r="E746" s="13"/>
    </row>
    <row r="747" spans="1:5" ht="11.1" hidden="1" customHeight="1" x14ac:dyDescent="0.25">
      <c r="A747" s="12" t="s">
        <v>1119</v>
      </c>
      <c r="B747" s="12" t="s">
        <v>116</v>
      </c>
      <c r="C747" s="14">
        <v>102.36</v>
      </c>
      <c r="D747" s="12"/>
      <c r="E747" s="13"/>
    </row>
    <row r="748" spans="1:5" ht="11.1" hidden="1" customHeight="1" x14ac:dyDescent="0.25">
      <c r="A748" s="12" t="s">
        <v>1120</v>
      </c>
      <c r="B748" s="12" t="s">
        <v>1121</v>
      </c>
      <c r="C748" s="14">
        <v>8393.74</v>
      </c>
      <c r="D748" s="12"/>
      <c r="E748" s="14"/>
    </row>
    <row r="749" spans="1:5" ht="11.1" hidden="1" customHeight="1" x14ac:dyDescent="0.25">
      <c r="A749" s="12" t="s">
        <v>1122</v>
      </c>
      <c r="B749" s="12" t="s">
        <v>1123</v>
      </c>
      <c r="C749" s="14">
        <v>73.150000000000006</v>
      </c>
      <c r="D749" s="12"/>
      <c r="E749" s="13"/>
    </row>
    <row r="750" spans="1:5" ht="11.1" hidden="1" customHeight="1" x14ac:dyDescent="0.25">
      <c r="A750" s="12" t="s">
        <v>1124</v>
      </c>
      <c r="B750" s="12" t="s">
        <v>254</v>
      </c>
      <c r="C750" s="14">
        <v>71.069999999999993</v>
      </c>
      <c r="D750" s="12"/>
      <c r="E750" s="13"/>
    </row>
    <row r="751" spans="1:5" ht="11.1" hidden="1" customHeight="1" x14ac:dyDescent="0.25">
      <c r="A751" s="12" t="s">
        <v>1125</v>
      </c>
      <c r="B751" s="12" t="s">
        <v>254</v>
      </c>
      <c r="C751" s="14">
        <v>64.39</v>
      </c>
      <c r="D751" s="12"/>
      <c r="E751" s="13"/>
    </row>
    <row r="752" spans="1:5" ht="11.1" hidden="1" customHeight="1" x14ac:dyDescent="0.25">
      <c r="A752" s="12" t="s">
        <v>1126</v>
      </c>
      <c r="B752" s="12" t="s">
        <v>1127</v>
      </c>
      <c r="C752" s="14">
        <v>1778.34</v>
      </c>
      <c r="D752" s="12"/>
      <c r="E752" s="14"/>
    </row>
    <row r="753" spans="1:5" ht="11.1" hidden="1" customHeight="1" x14ac:dyDescent="0.25">
      <c r="A753" s="12" t="s">
        <v>1128</v>
      </c>
      <c r="B753" s="12" t="s">
        <v>1129</v>
      </c>
      <c r="C753" s="14">
        <v>11766.67</v>
      </c>
      <c r="D753" s="12"/>
      <c r="E753" s="14"/>
    </row>
    <row r="754" spans="1:5" ht="23.1" hidden="1" customHeight="1" x14ac:dyDescent="0.25">
      <c r="A754" s="12" t="s">
        <v>1130</v>
      </c>
      <c r="B754" s="12" t="s">
        <v>786</v>
      </c>
      <c r="C754" s="14">
        <v>981.67</v>
      </c>
      <c r="D754" s="12"/>
      <c r="E754" s="13"/>
    </row>
    <row r="755" spans="1:5" ht="11.1" hidden="1" customHeight="1" x14ac:dyDescent="0.25">
      <c r="A755" s="12" t="s">
        <v>1131</v>
      </c>
      <c r="B755" s="12" t="s">
        <v>1132</v>
      </c>
      <c r="C755" s="14">
        <v>10460</v>
      </c>
      <c r="D755" s="12"/>
      <c r="E755" s="14"/>
    </row>
    <row r="756" spans="1:5" ht="11.1" hidden="1" customHeight="1" x14ac:dyDescent="0.25">
      <c r="A756" s="12" t="s">
        <v>1133</v>
      </c>
      <c r="B756" s="12" t="s">
        <v>1134</v>
      </c>
      <c r="C756" s="14">
        <v>19181</v>
      </c>
      <c r="D756" s="12"/>
      <c r="E756" s="14"/>
    </row>
    <row r="757" spans="1:5" ht="11.1" hidden="1" customHeight="1" x14ac:dyDescent="0.25">
      <c r="A757" s="12" t="s">
        <v>1135</v>
      </c>
      <c r="B757" s="12" t="s">
        <v>174</v>
      </c>
      <c r="C757" s="14">
        <v>22.5</v>
      </c>
      <c r="D757" s="12"/>
      <c r="E757" s="13"/>
    </row>
    <row r="758" spans="1:5" ht="11.1" hidden="1" customHeight="1" x14ac:dyDescent="0.25">
      <c r="A758" s="12" t="s">
        <v>1136</v>
      </c>
      <c r="B758" s="12" t="s">
        <v>745</v>
      </c>
      <c r="C758" s="14">
        <v>4793.33</v>
      </c>
      <c r="D758" s="12"/>
      <c r="E758" s="14"/>
    </row>
    <row r="759" spans="1:5" ht="11.1" hidden="1" customHeight="1" x14ac:dyDescent="0.25">
      <c r="A759" s="12" t="s">
        <v>1137</v>
      </c>
      <c r="B759" s="12" t="s">
        <v>309</v>
      </c>
      <c r="C759" s="14">
        <v>142.5</v>
      </c>
      <c r="D759" s="12"/>
      <c r="E759" s="13"/>
    </row>
    <row r="760" spans="1:5" ht="11.1" hidden="1" customHeight="1" x14ac:dyDescent="0.25">
      <c r="A760" s="12" t="s">
        <v>1138</v>
      </c>
      <c r="B760" s="12" t="s">
        <v>136</v>
      </c>
      <c r="C760" s="14">
        <v>1.96</v>
      </c>
      <c r="D760" s="12"/>
      <c r="E760" s="13"/>
    </row>
    <row r="761" spans="1:5" ht="11.1" hidden="1" customHeight="1" x14ac:dyDescent="0.25">
      <c r="A761" s="12" t="s">
        <v>1139</v>
      </c>
      <c r="B761" s="12" t="s">
        <v>281</v>
      </c>
      <c r="C761" s="14">
        <v>66.33</v>
      </c>
      <c r="D761" s="12"/>
      <c r="E761" s="13"/>
    </row>
    <row r="762" spans="1:5" ht="11.1" hidden="1" customHeight="1" x14ac:dyDescent="0.25">
      <c r="A762" s="12" t="s">
        <v>1140</v>
      </c>
      <c r="B762" s="12" t="s">
        <v>62</v>
      </c>
      <c r="C762" s="14">
        <v>107.5</v>
      </c>
      <c r="D762" s="12"/>
      <c r="E762" s="13"/>
    </row>
    <row r="763" spans="1:5" ht="11.1" hidden="1" customHeight="1" x14ac:dyDescent="0.25">
      <c r="A763" s="12" t="s">
        <v>1141</v>
      </c>
      <c r="B763" s="12" t="s">
        <v>62</v>
      </c>
      <c r="C763" s="14">
        <v>32.5</v>
      </c>
      <c r="D763" s="12"/>
      <c r="E763" s="13"/>
    </row>
    <row r="764" spans="1:5" ht="11.1" hidden="1" customHeight="1" x14ac:dyDescent="0.25">
      <c r="A764" s="12" t="s">
        <v>1142</v>
      </c>
      <c r="B764" s="12" t="s">
        <v>62</v>
      </c>
      <c r="C764" s="14">
        <v>43.75</v>
      </c>
      <c r="D764" s="12"/>
      <c r="E764" s="13"/>
    </row>
    <row r="765" spans="1:5" ht="11.1" hidden="1" customHeight="1" x14ac:dyDescent="0.25">
      <c r="A765" s="12" t="s">
        <v>1143</v>
      </c>
      <c r="B765" s="12" t="s">
        <v>62</v>
      </c>
      <c r="C765" s="14">
        <v>55</v>
      </c>
      <c r="D765" s="12"/>
      <c r="E765" s="13"/>
    </row>
    <row r="766" spans="1:5" ht="11.1" hidden="1" customHeight="1" x14ac:dyDescent="0.25">
      <c r="A766" s="12" t="s">
        <v>1144</v>
      </c>
      <c r="B766" s="12" t="s">
        <v>62</v>
      </c>
      <c r="C766" s="14">
        <v>65</v>
      </c>
      <c r="D766" s="12"/>
      <c r="E766" s="13"/>
    </row>
    <row r="767" spans="1:5" ht="11.1" hidden="1" customHeight="1" x14ac:dyDescent="0.25">
      <c r="A767" s="12" t="s">
        <v>1145</v>
      </c>
      <c r="B767" s="12" t="s">
        <v>62</v>
      </c>
      <c r="C767" s="14">
        <v>77.5</v>
      </c>
      <c r="D767" s="12"/>
      <c r="E767" s="13"/>
    </row>
    <row r="768" spans="1:5" ht="11.1" hidden="1" customHeight="1" x14ac:dyDescent="0.25">
      <c r="A768" s="12" t="s">
        <v>1146</v>
      </c>
      <c r="B768" s="12" t="s">
        <v>62</v>
      </c>
      <c r="C768" s="14">
        <v>87.5</v>
      </c>
      <c r="D768" s="12"/>
      <c r="E768" s="13"/>
    </row>
    <row r="769" spans="1:5" ht="11.1" hidden="1" customHeight="1" x14ac:dyDescent="0.25">
      <c r="A769" s="12" t="s">
        <v>1147</v>
      </c>
      <c r="B769" s="12" t="s">
        <v>622</v>
      </c>
      <c r="C769" s="14">
        <v>2415</v>
      </c>
      <c r="D769" s="12"/>
      <c r="E769" s="14"/>
    </row>
    <row r="770" spans="1:5" ht="11.1" hidden="1" customHeight="1" x14ac:dyDescent="0.25">
      <c r="A770" s="12" t="s">
        <v>1148</v>
      </c>
      <c r="B770" s="12" t="s">
        <v>1149</v>
      </c>
      <c r="C770" s="14">
        <v>8632</v>
      </c>
      <c r="D770" s="12"/>
      <c r="E770" s="14"/>
    </row>
    <row r="771" spans="1:5" ht="11.1" hidden="1" customHeight="1" x14ac:dyDescent="0.25">
      <c r="A771" s="12" t="s">
        <v>1150</v>
      </c>
      <c r="B771" s="12" t="s">
        <v>1151</v>
      </c>
      <c r="C771" s="14">
        <v>21255.83</v>
      </c>
      <c r="D771" s="12"/>
      <c r="E771" s="14"/>
    </row>
    <row r="772" spans="1:5" ht="11.1" hidden="1" customHeight="1" x14ac:dyDescent="0.25">
      <c r="A772" s="12" t="s">
        <v>1152</v>
      </c>
      <c r="B772" s="12" t="s">
        <v>1153</v>
      </c>
      <c r="C772" s="14">
        <v>19291.669999999998</v>
      </c>
      <c r="D772" s="12"/>
      <c r="E772" s="14"/>
    </row>
    <row r="773" spans="1:5" ht="11.1" hidden="1" customHeight="1" x14ac:dyDescent="0.25">
      <c r="A773" s="12" t="s">
        <v>1154</v>
      </c>
      <c r="B773" s="12" t="s">
        <v>391</v>
      </c>
      <c r="C773" s="14">
        <v>705.83</v>
      </c>
      <c r="D773" s="12"/>
      <c r="E773" s="13"/>
    </row>
    <row r="774" spans="1:5" ht="11.1" hidden="1" customHeight="1" x14ac:dyDescent="0.25">
      <c r="A774" s="12" t="s">
        <v>1155</v>
      </c>
      <c r="B774" s="12" t="s">
        <v>1156</v>
      </c>
      <c r="C774" s="14">
        <v>3502.5</v>
      </c>
      <c r="D774" s="12"/>
      <c r="E774" s="14"/>
    </row>
    <row r="775" spans="1:5" ht="11.1" hidden="1" customHeight="1" x14ac:dyDescent="0.25">
      <c r="A775" s="12" t="s">
        <v>1157</v>
      </c>
      <c r="B775" s="12" t="s">
        <v>780</v>
      </c>
      <c r="C775" s="14">
        <v>64.17</v>
      </c>
      <c r="D775" s="12"/>
      <c r="E775" s="13"/>
    </row>
    <row r="776" spans="1:5" ht="11.1" hidden="1" customHeight="1" x14ac:dyDescent="0.25">
      <c r="A776" s="12" t="s">
        <v>1158</v>
      </c>
      <c r="B776" s="12" t="s">
        <v>1159</v>
      </c>
      <c r="C776" s="14">
        <v>66000</v>
      </c>
      <c r="D776" s="12"/>
      <c r="E776" s="14"/>
    </row>
    <row r="777" spans="1:5" ht="11.1" hidden="1" customHeight="1" x14ac:dyDescent="0.25">
      <c r="A777" s="12" t="s">
        <v>1160</v>
      </c>
      <c r="B777" s="12" t="s">
        <v>102</v>
      </c>
      <c r="C777" s="14">
        <v>51.55</v>
      </c>
      <c r="D777" s="12"/>
      <c r="E777" s="13"/>
    </row>
    <row r="778" spans="1:5" ht="11.1" hidden="1" customHeight="1" x14ac:dyDescent="0.25">
      <c r="A778" s="12" t="s">
        <v>1161</v>
      </c>
      <c r="B778" s="12" t="s">
        <v>213</v>
      </c>
      <c r="C778" s="14">
        <v>4.49</v>
      </c>
      <c r="D778" s="12"/>
      <c r="E778" s="13"/>
    </row>
    <row r="779" spans="1:5" ht="11.1" hidden="1" customHeight="1" x14ac:dyDescent="0.25">
      <c r="A779" s="12" t="s">
        <v>1162</v>
      </c>
      <c r="B779" s="12" t="s">
        <v>1163</v>
      </c>
      <c r="C779" s="14">
        <v>5933.33</v>
      </c>
      <c r="D779" s="12"/>
      <c r="E779" s="14"/>
    </row>
    <row r="780" spans="1:5" ht="11.1" hidden="1" customHeight="1" x14ac:dyDescent="0.25">
      <c r="A780" s="12" t="s">
        <v>1164</v>
      </c>
      <c r="B780" s="12" t="s">
        <v>1165</v>
      </c>
      <c r="C780" s="14">
        <v>541.66999999999996</v>
      </c>
      <c r="D780" s="12"/>
      <c r="E780" s="13"/>
    </row>
    <row r="781" spans="1:5" ht="11.1" hidden="1" customHeight="1" x14ac:dyDescent="0.25">
      <c r="A781" s="12" t="s">
        <v>1166</v>
      </c>
      <c r="B781" s="12" t="s">
        <v>536</v>
      </c>
      <c r="C781" s="14">
        <v>62.5</v>
      </c>
      <c r="D781" s="12"/>
      <c r="E781" s="13"/>
    </row>
    <row r="782" spans="1:5" ht="11.1" hidden="1" customHeight="1" x14ac:dyDescent="0.25">
      <c r="A782" s="12" t="s">
        <v>1167</v>
      </c>
      <c r="B782" s="12" t="s">
        <v>1168</v>
      </c>
      <c r="C782" s="14">
        <v>230</v>
      </c>
      <c r="D782" s="12"/>
      <c r="E782" s="13"/>
    </row>
    <row r="783" spans="1:5" ht="11.1" hidden="1" customHeight="1" x14ac:dyDescent="0.25">
      <c r="A783" s="12" t="s">
        <v>1169</v>
      </c>
      <c r="B783" s="12" t="s">
        <v>1170</v>
      </c>
      <c r="C783" s="14">
        <v>7280</v>
      </c>
      <c r="D783" s="12"/>
      <c r="E783" s="14"/>
    </row>
    <row r="784" spans="1:5" ht="11.1" hidden="1" customHeight="1" x14ac:dyDescent="0.25">
      <c r="A784" s="12" t="s">
        <v>1171</v>
      </c>
      <c r="B784" s="12" t="s">
        <v>281</v>
      </c>
      <c r="C784" s="14">
        <v>1.74</v>
      </c>
      <c r="D784" s="12"/>
      <c r="E784" s="13"/>
    </row>
    <row r="785" spans="1:5" ht="11.1" hidden="1" customHeight="1" x14ac:dyDescent="0.25">
      <c r="A785" s="12" t="s">
        <v>1172</v>
      </c>
      <c r="B785" s="12" t="s">
        <v>288</v>
      </c>
      <c r="C785" s="14">
        <v>231.67</v>
      </c>
      <c r="D785" s="12"/>
      <c r="E785" s="13"/>
    </row>
    <row r="786" spans="1:5" ht="11.1" hidden="1" customHeight="1" x14ac:dyDescent="0.25">
      <c r="A786" s="12" t="s">
        <v>1173</v>
      </c>
      <c r="B786" s="12" t="s">
        <v>663</v>
      </c>
      <c r="C786" s="14">
        <v>327.5</v>
      </c>
      <c r="D786" s="12"/>
      <c r="E786" s="13"/>
    </row>
    <row r="787" spans="1:5" ht="11.1" hidden="1" customHeight="1" x14ac:dyDescent="0.25">
      <c r="A787" s="12" t="s">
        <v>1174</v>
      </c>
      <c r="B787" s="12" t="s">
        <v>663</v>
      </c>
      <c r="C787" s="14">
        <v>385.83</v>
      </c>
      <c r="D787" s="12"/>
      <c r="E787" s="13"/>
    </row>
    <row r="788" spans="1:5" ht="11.1" hidden="1" customHeight="1" x14ac:dyDescent="0.25">
      <c r="A788" s="12" t="s">
        <v>1175</v>
      </c>
      <c r="B788" s="12" t="s">
        <v>1176</v>
      </c>
      <c r="C788" s="14">
        <v>118.33</v>
      </c>
      <c r="D788" s="12"/>
      <c r="E788" s="13"/>
    </row>
    <row r="789" spans="1:5" ht="11.1" hidden="1" customHeight="1" x14ac:dyDescent="0.25">
      <c r="A789" s="12" t="s">
        <v>1177</v>
      </c>
      <c r="B789" s="12" t="s">
        <v>1178</v>
      </c>
      <c r="C789" s="14">
        <v>948.34</v>
      </c>
      <c r="D789" s="12"/>
      <c r="E789" s="13"/>
    </row>
    <row r="790" spans="1:5" ht="11.1" hidden="1" customHeight="1" x14ac:dyDescent="0.25">
      <c r="A790" s="12" t="s">
        <v>1179</v>
      </c>
      <c r="B790" s="12" t="s">
        <v>389</v>
      </c>
      <c r="C790" s="14">
        <v>110</v>
      </c>
      <c r="D790" s="12"/>
      <c r="E790" s="13"/>
    </row>
    <row r="791" spans="1:5" ht="11.1" hidden="1" customHeight="1" x14ac:dyDescent="0.25">
      <c r="A791" s="12" t="s">
        <v>1180</v>
      </c>
      <c r="B791" s="12" t="s">
        <v>1181</v>
      </c>
      <c r="C791" s="14">
        <v>104.17</v>
      </c>
      <c r="D791" s="12"/>
      <c r="E791" s="13"/>
    </row>
    <row r="792" spans="1:5" ht="11.1" hidden="1" customHeight="1" x14ac:dyDescent="0.25">
      <c r="A792" s="12" t="s">
        <v>1182</v>
      </c>
      <c r="B792" s="12" t="s">
        <v>985</v>
      </c>
      <c r="C792" s="14">
        <v>1250</v>
      </c>
      <c r="D792" s="12"/>
      <c r="E792" s="14"/>
    </row>
    <row r="793" spans="1:5" ht="11.1" hidden="1" customHeight="1" x14ac:dyDescent="0.25">
      <c r="A793" s="12" t="s">
        <v>1183</v>
      </c>
      <c r="B793" s="12" t="s">
        <v>1184</v>
      </c>
      <c r="C793" s="14">
        <v>130.84</v>
      </c>
      <c r="D793" s="12"/>
      <c r="E793" s="13"/>
    </row>
    <row r="794" spans="1:5" ht="11.1" hidden="1" customHeight="1" x14ac:dyDescent="0.25">
      <c r="A794" s="12" t="s">
        <v>1185</v>
      </c>
      <c r="B794" s="12" t="s">
        <v>745</v>
      </c>
      <c r="C794" s="14">
        <v>63.33</v>
      </c>
      <c r="D794" s="12"/>
      <c r="E794" s="13"/>
    </row>
    <row r="795" spans="1:5" ht="11.1" hidden="1" customHeight="1" x14ac:dyDescent="0.25">
      <c r="A795" s="12" t="s">
        <v>1186</v>
      </c>
      <c r="B795" s="12" t="s">
        <v>1187</v>
      </c>
      <c r="C795" s="14">
        <v>23.33</v>
      </c>
      <c r="D795" s="12"/>
      <c r="E795" s="13"/>
    </row>
    <row r="796" spans="1:5" ht="11.1" hidden="1" customHeight="1" x14ac:dyDescent="0.25">
      <c r="A796" s="12" t="s">
        <v>1188</v>
      </c>
      <c r="B796" s="12" t="s">
        <v>465</v>
      </c>
      <c r="C796" s="14">
        <v>8760.83</v>
      </c>
      <c r="D796" s="12"/>
      <c r="E796" s="14"/>
    </row>
    <row r="797" spans="1:5" ht="11.1" hidden="1" customHeight="1" x14ac:dyDescent="0.25">
      <c r="A797" s="12" t="s">
        <v>1189</v>
      </c>
      <c r="B797" s="12" t="s">
        <v>355</v>
      </c>
      <c r="C797" s="14">
        <v>6880</v>
      </c>
      <c r="D797" s="12"/>
      <c r="E797" s="14"/>
    </row>
    <row r="798" spans="1:5" ht="11.1" hidden="1" customHeight="1" x14ac:dyDescent="0.25">
      <c r="A798" s="12" t="s">
        <v>1190</v>
      </c>
      <c r="B798" s="12" t="s">
        <v>355</v>
      </c>
      <c r="C798" s="14">
        <v>20799.169999999998</v>
      </c>
      <c r="D798" s="12"/>
      <c r="E798" s="14"/>
    </row>
    <row r="799" spans="1:5" ht="11.1" hidden="1" customHeight="1" x14ac:dyDescent="0.25">
      <c r="A799" s="12" t="s">
        <v>1191</v>
      </c>
      <c r="B799" s="12" t="s">
        <v>1192</v>
      </c>
      <c r="C799" s="14">
        <v>1045</v>
      </c>
      <c r="D799" s="12"/>
      <c r="E799" s="14"/>
    </row>
    <row r="800" spans="1:5" ht="11.1" hidden="1" customHeight="1" x14ac:dyDescent="0.25">
      <c r="A800" s="12" t="s">
        <v>1193</v>
      </c>
      <c r="B800" s="12" t="s">
        <v>149</v>
      </c>
      <c r="C800" s="14">
        <v>4.07</v>
      </c>
      <c r="D800" s="12"/>
      <c r="E800" s="13"/>
    </row>
    <row r="801" spans="1:5" ht="11.1" hidden="1" customHeight="1" x14ac:dyDescent="0.25">
      <c r="A801" s="12" t="s">
        <v>1194</v>
      </c>
      <c r="B801" s="12" t="s">
        <v>1195</v>
      </c>
      <c r="C801" s="14">
        <v>158.33000000000001</v>
      </c>
      <c r="D801" s="12"/>
      <c r="E801" s="13"/>
    </row>
    <row r="802" spans="1:5" ht="11.1" hidden="1" customHeight="1" x14ac:dyDescent="0.25">
      <c r="A802" s="12" t="s">
        <v>1196</v>
      </c>
      <c r="B802" s="12" t="s">
        <v>254</v>
      </c>
      <c r="C802" s="14">
        <v>82.45</v>
      </c>
      <c r="D802" s="12"/>
      <c r="E802" s="13"/>
    </row>
    <row r="803" spans="1:5" ht="11.1" hidden="1" customHeight="1" x14ac:dyDescent="0.25">
      <c r="A803" s="12" t="s">
        <v>1197</v>
      </c>
      <c r="B803" s="12" t="s">
        <v>292</v>
      </c>
      <c r="C803" s="14">
        <v>629.16999999999996</v>
      </c>
      <c r="D803" s="12"/>
      <c r="E803" s="13"/>
    </row>
    <row r="804" spans="1:5" ht="11.1" hidden="1" customHeight="1" x14ac:dyDescent="0.25">
      <c r="A804" s="12" t="s">
        <v>1198</v>
      </c>
      <c r="B804" s="12" t="s">
        <v>818</v>
      </c>
      <c r="C804" s="14">
        <v>320</v>
      </c>
      <c r="D804" s="12"/>
      <c r="E804" s="13"/>
    </row>
    <row r="805" spans="1:5" ht="11.1" hidden="1" customHeight="1" x14ac:dyDescent="0.25">
      <c r="A805" s="12" t="s">
        <v>1199</v>
      </c>
      <c r="B805" s="12" t="s">
        <v>323</v>
      </c>
      <c r="C805" s="14">
        <v>2965.83</v>
      </c>
      <c r="D805" s="12"/>
      <c r="E805" s="14"/>
    </row>
    <row r="806" spans="1:5" ht="11.1" hidden="1" customHeight="1" x14ac:dyDescent="0.25">
      <c r="A806" s="12" t="s">
        <v>1200</v>
      </c>
      <c r="B806" s="12" t="s">
        <v>218</v>
      </c>
      <c r="C806" s="14">
        <v>10405.83</v>
      </c>
      <c r="D806" s="12"/>
      <c r="E806" s="14"/>
    </row>
    <row r="807" spans="1:5" ht="11.1" hidden="1" customHeight="1" x14ac:dyDescent="0.25">
      <c r="A807" s="12" t="s">
        <v>1201</v>
      </c>
      <c r="B807" s="12" t="s">
        <v>1202</v>
      </c>
      <c r="C807" s="14">
        <v>17.5</v>
      </c>
      <c r="D807" s="12"/>
      <c r="E807" s="13"/>
    </row>
    <row r="808" spans="1:5" ht="11.1" hidden="1" customHeight="1" x14ac:dyDescent="0.25">
      <c r="A808" s="12" t="s">
        <v>1203</v>
      </c>
      <c r="B808" s="12" t="s">
        <v>1204</v>
      </c>
      <c r="C808" s="14">
        <v>819.17</v>
      </c>
      <c r="D808" s="12"/>
      <c r="E808" s="13"/>
    </row>
    <row r="809" spans="1:5" ht="11.1" hidden="1" customHeight="1" x14ac:dyDescent="0.25">
      <c r="A809" s="12" t="s">
        <v>1205</v>
      </c>
      <c r="B809" s="12" t="s">
        <v>391</v>
      </c>
      <c r="C809" s="14">
        <v>198.33</v>
      </c>
      <c r="D809" s="12"/>
      <c r="E809" s="13"/>
    </row>
    <row r="810" spans="1:5" ht="23.1" hidden="1" customHeight="1" x14ac:dyDescent="0.25">
      <c r="A810" s="12" t="s">
        <v>1206</v>
      </c>
      <c r="B810" s="12" t="s">
        <v>1207</v>
      </c>
      <c r="C810" s="14">
        <v>66.67</v>
      </c>
      <c r="D810" s="12"/>
      <c r="E810" s="13"/>
    </row>
    <row r="811" spans="1:5" ht="23.1" hidden="1" customHeight="1" x14ac:dyDescent="0.25">
      <c r="A811" s="12" t="s">
        <v>1208</v>
      </c>
      <c r="B811" s="12" t="s">
        <v>1209</v>
      </c>
      <c r="C811" s="14">
        <v>665</v>
      </c>
      <c r="D811" s="12"/>
      <c r="E811" s="13"/>
    </row>
    <row r="812" spans="1:5" ht="11.1" hidden="1" customHeight="1" x14ac:dyDescent="0.25">
      <c r="A812" s="12" t="s">
        <v>1210</v>
      </c>
      <c r="B812" s="12" t="s">
        <v>1211</v>
      </c>
      <c r="C812" s="14">
        <v>27.5</v>
      </c>
      <c r="D812" s="12"/>
      <c r="E812" s="13"/>
    </row>
    <row r="813" spans="1:5" ht="11.1" hidden="1" customHeight="1" x14ac:dyDescent="0.25">
      <c r="A813" s="12" t="s">
        <v>1212</v>
      </c>
      <c r="B813" s="12" t="s">
        <v>213</v>
      </c>
      <c r="C813" s="14">
        <v>22.77</v>
      </c>
      <c r="D813" s="12"/>
      <c r="E813" s="13"/>
    </row>
    <row r="814" spans="1:5" ht="11.1" hidden="1" customHeight="1" x14ac:dyDescent="0.25">
      <c r="A814" s="12" t="s">
        <v>1213</v>
      </c>
      <c r="B814" s="12" t="s">
        <v>1214</v>
      </c>
      <c r="C814" s="14">
        <v>876.67</v>
      </c>
      <c r="D814" s="12"/>
      <c r="E814" s="13"/>
    </row>
    <row r="815" spans="1:5" ht="11.1" hidden="1" customHeight="1" x14ac:dyDescent="0.25">
      <c r="A815" s="12" t="s">
        <v>1215</v>
      </c>
      <c r="B815" s="12" t="s">
        <v>309</v>
      </c>
      <c r="C815" s="14">
        <v>475.83</v>
      </c>
      <c r="D815" s="12"/>
      <c r="E815" s="13"/>
    </row>
    <row r="816" spans="1:5" ht="11.1" hidden="1" customHeight="1" x14ac:dyDescent="0.25">
      <c r="A816" s="12" t="s">
        <v>1216</v>
      </c>
      <c r="B816" s="12" t="s">
        <v>1217</v>
      </c>
      <c r="C816" s="14">
        <v>371</v>
      </c>
      <c r="D816" s="12"/>
      <c r="E816" s="13"/>
    </row>
    <row r="817" spans="1:5" ht="11.1" hidden="1" customHeight="1" x14ac:dyDescent="0.25">
      <c r="A817" s="12" t="s">
        <v>1218</v>
      </c>
      <c r="B817" s="12" t="s">
        <v>1219</v>
      </c>
      <c r="C817" s="14">
        <v>16800</v>
      </c>
      <c r="D817" s="12"/>
      <c r="E817" s="14"/>
    </row>
    <row r="818" spans="1:5" ht="11.1" hidden="1" customHeight="1" x14ac:dyDescent="0.25">
      <c r="A818" s="12" t="s">
        <v>1220</v>
      </c>
      <c r="B818" s="12" t="s">
        <v>281</v>
      </c>
      <c r="C818" s="14">
        <v>5.09</v>
      </c>
      <c r="D818" s="12"/>
      <c r="E818" s="13"/>
    </row>
    <row r="819" spans="1:5" ht="11.1" hidden="1" customHeight="1" x14ac:dyDescent="0.25">
      <c r="A819" s="12" t="s">
        <v>1221</v>
      </c>
      <c r="B819" s="12" t="s">
        <v>1103</v>
      </c>
      <c r="C819" s="14">
        <v>294.17</v>
      </c>
      <c r="D819" s="12"/>
      <c r="E819" s="13"/>
    </row>
    <row r="820" spans="1:5" ht="11.1" hidden="1" customHeight="1" x14ac:dyDescent="0.25">
      <c r="A820" s="12" t="s">
        <v>1222</v>
      </c>
      <c r="B820" s="12" t="s">
        <v>1223</v>
      </c>
      <c r="C820" s="14">
        <v>0.83</v>
      </c>
      <c r="D820" s="12"/>
      <c r="E820" s="13"/>
    </row>
    <row r="821" spans="1:5" ht="11.1" hidden="1" customHeight="1" x14ac:dyDescent="0.25">
      <c r="A821" s="12" t="s">
        <v>1224</v>
      </c>
      <c r="B821" s="12" t="s">
        <v>102</v>
      </c>
      <c r="C821" s="14">
        <v>14.65</v>
      </c>
      <c r="D821" s="12"/>
      <c r="E821" s="13"/>
    </row>
    <row r="822" spans="1:5" ht="11.1" hidden="1" customHeight="1" x14ac:dyDescent="0.25">
      <c r="A822" s="12" t="s">
        <v>1225</v>
      </c>
      <c r="B822" s="12" t="s">
        <v>1059</v>
      </c>
      <c r="C822" s="14">
        <v>40.01</v>
      </c>
      <c r="D822" s="12"/>
      <c r="E822" s="13"/>
    </row>
    <row r="823" spans="1:5" ht="11.1" hidden="1" customHeight="1" x14ac:dyDescent="0.25">
      <c r="A823" s="12" t="s">
        <v>1226</v>
      </c>
      <c r="B823" s="12" t="s">
        <v>1227</v>
      </c>
      <c r="C823" s="14">
        <v>3542.79</v>
      </c>
      <c r="D823" s="12"/>
      <c r="E823" s="14"/>
    </row>
    <row r="824" spans="1:5" ht="11.1" hidden="1" customHeight="1" x14ac:dyDescent="0.25">
      <c r="A824" s="12" t="s">
        <v>1228</v>
      </c>
      <c r="B824" s="12" t="s">
        <v>1227</v>
      </c>
      <c r="C824" s="14">
        <v>26660.26</v>
      </c>
      <c r="D824" s="12"/>
      <c r="E824" s="14"/>
    </row>
    <row r="825" spans="1:5" ht="11.1" hidden="1" customHeight="1" x14ac:dyDescent="0.25">
      <c r="A825" s="12" t="s">
        <v>1229</v>
      </c>
      <c r="B825" s="12" t="s">
        <v>205</v>
      </c>
      <c r="C825" s="14">
        <v>5288.33</v>
      </c>
      <c r="D825" s="12"/>
      <c r="E825" s="14"/>
    </row>
    <row r="826" spans="1:5" ht="11.1" hidden="1" customHeight="1" x14ac:dyDescent="0.25">
      <c r="A826" s="12" t="s">
        <v>1230</v>
      </c>
      <c r="B826" s="12" t="s">
        <v>213</v>
      </c>
      <c r="C826" s="14">
        <v>9.5</v>
      </c>
      <c r="D826" s="12"/>
      <c r="E826" s="13"/>
    </row>
    <row r="827" spans="1:5" ht="11.1" hidden="1" customHeight="1" x14ac:dyDescent="0.25">
      <c r="A827" s="12" t="s">
        <v>1231</v>
      </c>
      <c r="B827" s="12" t="s">
        <v>1232</v>
      </c>
      <c r="C827" s="14">
        <v>1332.5</v>
      </c>
      <c r="D827" s="12"/>
      <c r="E827" s="14"/>
    </row>
    <row r="828" spans="1:5" ht="11.1" hidden="1" customHeight="1" x14ac:dyDescent="0.25">
      <c r="A828" s="12" t="s">
        <v>1233</v>
      </c>
      <c r="B828" s="12" t="s">
        <v>193</v>
      </c>
      <c r="C828" s="14">
        <v>2867.26</v>
      </c>
      <c r="D828" s="12"/>
      <c r="E828" s="14"/>
    </row>
    <row r="829" spans="1:5" ht="11.1" hidden="1" customHeight="1" x14ac:dyDescent="0.25">
      <c r="A829" s="12" t="s">
        <v>1234</v>
      </c>
      <c r="B829" s="12" t="s">
        <v>1235</v>
      </c>
      <c r="C829" s="14">
        <v>1208.33</v>
      </c>
      <c r="D829" s="12"/>
      <c r="E829" s="14"/>
    </row>
    <row r="830" spans="1:5" ht="23.1" hidden="1" customHeight="1" x14ac:dyDescent="0.25">
      <c r="A830" s="12" t="s">
        <v>1236</v>
      </c>
      <c r="B830" s="12" t="s">
        <v>489</v>
      </c>
      <c r="C830" s="14">
        <v>598.33000000000004</v>
      </c>
      <c r="D830" s="12"/>
      <c r="E830" s="13"/>
    </row>
    <row r="831" spans="1:5" ht="11.1" hidden="1" customHeight="1" x14ac:dyDescent="0.25">
      <c r="A831" s="12" t="s">
        <v>1237</v>
      </c>
      <c r="B831" s="12" t="s">
        <v>979</v>
      </c>
      <c r="C831" s="14">
        <v>129.16999999999999</v>
      </c>
      <c r="D831" s="12"/>
      <c r="E831" s="13"/>
    </row>
    <row r="832" spans="1:5" ht="11.1" hidden="1" customHeight="1" x14ac:dyDescent="0.25">
      <c r="A832" s="12" t="s">
        <v>1238</v>
      </c>
      <c r="B832" s="12" t="s">
        <v>1239</v>
      </c>
      <c r="C832" s="14">
        <v>4075</v>
      </c>
      <c r="D832" s="12"/>
      <c r="E832" s="14"/>
    </row>
    <row r="833" spans="1:5" ht="11.1" hidden="1" customHeight="1" x14ac:dyDescent="0.25">
      <c r="A833" s="12" t="s">
        <v>1240</v>
      </c>
      <c r="B833" s="12" t="s">
        <v>355</v>
      </c>
      <c r="C833" s="14">
        <v>1154.17</v>
      </c>
      <c r="D833" s="12"/>
      <c r="E833" s="14"/>
    </row>
    <row r="834" spans="1:5" ht="11.1" hidden="1" customHeight="1" x14ac:dyDescent="0.25">
      <c r="A834" s="12" t="s">
        <v>1241</v>
      </c>
      <c r="B834" s="12" t="s">
        <v>391</v>
      </c>
      <c r="C834" s="14">
        <v>89.17</v>
      </c>
      <c r="D834" s="12"/>
      <c r="E834" s="13"/>
    </row>
    <row r="835" spans="1:5" ht="11.1" hidden="1" customHeight="1" x14ac:dyDescent="0.25">
      <c r="A835" s="12" t="s">
        <v>1242</v>
      </c>
      <c r="B835" s="12" t="s">
        <v>385</v>
      </c>
      <c r="C835" s="14">
        <v>400</v>
      </c>
      <c r="D835" s="12"/>
      <c r="E835" s="13"/>
    </row>
    <row r="836" spans="1:5" ht="11.1" hidden="1" customHeight="1" x14ac:dyDescent="0.25">
      <c r="A836" s="12" t="s">
        <v>1243</v>
      </c>
      <c r="B836" s="12" t="s">
        <v>769</v>
      </c>
      <c r="C836" s="14">
        <v>695</v>
      </c>
      <c r="D836" s="12"/>
      <c r="E836" s="13"/>
    </row>
    <row r="837" spans="1:5" ht="11.1" hidden="1" customHeight="1" x14ac:dyDescent="0.25">
      <c r="A837" s="12" t="s">
        <v>1244</v>
      </c>
      <c r="B837" s="12" t="s">
        <v>1245</v>
      </c>
      <c r="C837" s="14">
        <v>335</v>
      </c>
      <c r="D837" s="12"/>
      <c r="E837" s="13"/>
    </row>
    <row r="838" spans="1:5" ht="11.1" hidden="1" customHeight="1" x14ac:dyDescent="0.25">
      <c r="A838" s="12" t="s">
        <v>1246</v>
      </c>
      <c r="B838" s="12" t="s">
        <v>1247</v>
      </c>
      <c r="C838" s="14">
        <v>3691.67</v>
      </c>
      <c r="D838" s="12"/>
      <c r="E838" s="14"/>
    </row>
    <row r="839" spans="1:5" ht="11.1" hidden="1" customHeight="1" x14ac:dyDescent="0.25">
      <c r="A839" s="12" t="s">
        <v>1248</v>
      </c>
      <c r="B839" s="12" t="s">
        <v>1245</v>
      </c>
      <c r="C839" s="14">
        <v>552.5</v>
      </c>
      <c r="D839" s="12"/>
      <c r="E839" s="13"/>
    </row>
    <row r="840" spans="1:5" ht="11.1" hidden="1" customHeight="1" x14ac:dyDescent="0.25">
      <c r="A840" s="12" t="s">
        <v>1249</v>
      </c>
      <c r="B840" s="12" t="s">
        <v>1245</v>
      </c>
      <c r="C840" s="14">
        <v>485.84</v>
      </c>
      <c r="D840" s="12"/>
      <c r="E840" s="13"/>
    </row>
    <row r="841" spans="1:5" ht="11.1" hidden="1" customHeight="1" x14ac:dyDescent="0.25">
      <c r="A841" s="12" t="s">
        <v>1250</v>
      </c>
      <c r="B841" s="12" t="s">
        <v>213</v>
      </c>
      <c r="C841" s="14">
        <v>3.13</v>
      </c>
      <c r="D841" s="12"/>
      <c r="E841" s="13"/>
    </row>
    <row r="842" spans="1:5" ht="11.1" hidden="1" customHeight="1" x14ac:dyDescent="0.25">
      <c r="A842" s="12" t="s">
        <v>1251</v>
      </c>
      <c r="B842" s="12" t="s">
        <v>1252</v>
      </c>
      <c r="C842" s="14">
        <v>2220.83</v>
      </c>
      <c r="D842" s="12"/>
      <c r="E842" s="14"/>
    </row>
    <row r="843" spans="1:5" ht="11.1" hidden="1" customHeight="1" x14ac:dyDescent="0.25">
      <c r="A843" s="12" t="s">
        <v>1253</v>
      </c>
      <c r="B843" s="12" t="s">
        <v>1254</v>
      </c>
      <c r="C843" s="14">
        <v>420</v>
      </c>
      <c r="D843" s="12"/>
      <c r="E843" s="13"/>
    </row>
    <row r="844" spans="1:5" ht="11.1" hidden="1" customHeight="1" x14ac:dyDescent="0.25">
      <c r="A844" s="12" t="s">
        <v>1255</v>
      </c>
      <c r="B844" s="12" t="s">
        <v>213</v>
      </c>
      <c r="C844" s="14">
        <v>16.34</v>
      </c>
      <c r="D844" s="12"/>
      <c r="E844" s="13"/>
    </row>
    <row r="845" spans="1:5" ht="11.1" hidden="1" customHeight="1" x14ac:dyDescent="0.25">
      <c r="A845" s="12" t="s">
        <v>1256</v>
      </c>
      <c r="B845" s="12" t="s">
        <v>136</v>
      </c>
      <c r="C845" s="14">
        <v>1.4</v>
      </c>
      <c r="D845" s="12"/>
      <c r="E845" s="13"/>
    </row>
    <row r="846" spans="1:5" ht="11.1" hidden="1" customHeight="1" x14ac:dyDescent="0.25">
      <c r="A846" s="12" t="s">
        <v>1257</v>
      </c>
      <c r="B846" s="12" t="s">
        <v>136</v>
      </c>
      <c r="C846" s="14">
        <v>3.82</v>
      </c>
      <c r="D846" s="12"/>
      <c r="E846" s="13"/>
    </row>
    <row r="847" spans="1:5" ht="23.1" hidden="1" customHeight="1" x14ac:dyDescent="0.25">
      <c r="A847" s="12" t="s">
        <v>1258</v>
      </c>
      <c r="B847" s="12" t="s">
        <v>136</v>
      </c>
      <c r="C847" s="14">
        <v>5.85</v>
      </c>
      <c r="D847" s="12"/>
      <c r="E847" s="13"/>
    </row>
    <row r="848" spans="1:5" ht="11.1" hidden="1" customHeight="1" x14ac:dyDescent="0.25">
      <c r="A848" s="12" t="s">
        <v>1259</v>
      </c>
      <c r="B848" s="12" t="s">
        <v>439</v>
      </c>
      <c r="C848" s="14">
        <v>1148.7</v>
      </c>
      <c r="D848" s="12"/>
      <c r="E848" s="14"/>
    </row>
    <row r="849" spans="1:5" ht="11.1" hidden="1" customHeight="1" x14ac:dyDescent="0.25">
      <c r="A849" s="12" t="s">
        <v>1260</v>
      </c>
      <c r="B849" s="12" t="s">
        <v>439</v>
      </c>
      <c r="C849" s="14">
        <v>1067.3</v>
      </c>
      <c r="D849" s="12"/>
      <c r="E849" s="14"/>
    </row>
    <row r="850" spans="1:5" ht="11.1" hidden="1" customHeight="1" x14ac:dyDescent="0.25">
      <c r="A850" s="12" t="s">
        <v>1261</v>
      </c>
      <c r="B850" s="12" t="s">
        <v>439</v>
      </c>
      <c r="C850" s="14">
        <v>6630.1</v>
      </c>
      <c r="D850" s="12"/>
      <c r="E850" s="14"/>
    </row>
    <row r="851" spans="1:5" ht="11.1" hidden="1" customHeight="1" x14ac:dyDescent="0.25">
      <c r="A851" s="12" t="s">
        <v>1262</v>
      </c>
      <c r="B851" s="12" t="s">
        <v>439</v>
      </c>
      <c r="C851" s="14">
        <v>4070.5</v>
      </c>
      <c r="D851" s="12"/>
      <c r="E851" s="14"/>
    </row>
    <row r="852" spans="1:5" ht="11.1" hidden="1" customHeight="1" x14ac:dyDescent="0.25">
      <c r="A852" s="12" t="s">
        <v>1263</v>
      </c>
      <c r="B852" s="12" t="s">
        <v>254</v>
      </c>
      <c r="C852" s="14">
        <v>80.13</v>
      </c>
      <c r="D852" s="12"/>
      <c r="E852" s="13"/>
    </row>
    <row r="853" spans="1:5" ht="11.1" hidden="1" customHeight="1" x14ac:dyDescent="0.25">
      <c r="A853" s="12" t="s">
        <v>1264</v>
      </c>
      <c r="B853" s="12" t="s">
        <v>1265</v>
      </c>
      <c r="C853" s="14">
        <v>196733</v>
      </c>
      <c r="D853" s="12"/>
      <c r="E853" s="14"/>
    </row>
    <row r="854" spans="1:5" ht="11.1" hidden="1" customHeight="1" x14ac:dyDescent="0.25">
      <c r="A854" s="12" t="s">
        <v>1266</v>
      </c>
      <c r="B854" s="12" t="s">
        <v>1267</v>
      </c>
      <c r="C854" s="14">
        <v>549.16999999999996</v>
      </c>
      <c r="D854" s="12"/>
      <c r="E854" s="13"/>
    </row>
    <row r="855" spans="1:5" ht="11.1" hidden="1" customHeight="1" x14ac:dyDescent="0.25">
      <c r="A855" s="12" t="s">
        <v>1268</v>
      </c>
      <c r="B855" s="12" t="s">
        <v>387</v>
      </c>
      <c r="C855" s="14">
        <v>657.5</v>
      </c>
      <c r="D855" s="12"/>
      <c r="E855" s="13"/>
    </row>
    <row r="856" spans="1:5" ht="11.1" hidden="1" customHeight="1" x14ac:dyDescent="0.25">
      <c r="A856" s="12" t="s">
        <v>1269</v>
      </c>
      <c r="B856" s="12" t="s">
        <v>299</v>
      </c>
      <c r="C856" s="14">
        <v>143.33000000000001</v>
      </c>
      <c r="D856" s="12"/>
      <c r="E856" s="13"/>
    </row>
    <row r="857" spans="1:5" ht="11.1" hidden="1" customHeight="1" x14ac:dyDescent="0.25">
      <c r="A857" s="12" t="s">
        <v>1270</v>
      </c>
      <c r="B857" s="12" t="s">
        <v>497</v>
      </c>
      <c r="C857" s="14">
        <v>490</v>
      </c>
      <c r="D857" s="12"/>
      <c r="E857" s="13"/>
    </row>
    <row r="858" spans="1:5" ht="11.1" hidden="1" customHeight="1" x14ac:dyDescent="0.25">
      <c r="A858" s="12" t="s">
        <v>1271</v>
      </c>
      <c r="B858" s="12" t="s">
        <v>1059</v>
      </c>
      <c r="C858" s="14">
        <v>0.73</v>
      </c>
      <c r="D858" s="12"/>
      <c r="E858" s="13"/>
    </row>
    <row r="859" spans="1:5" ht="11.1" hidden="1" customHeight="1" x14ac:dyDescent="0.25">
      <c r="A859" s="12" t="s">
        <v>1272</v>
      </c>
      <c r="B859" s="12" t="s">
        <v>213</v>
      </c>
      <c r="C859" s="14">
        <v>0.04</v>
      </c>
      <c r="D859" s="12"/>
      <c r="E859" s="13"/>
    </row>
    <row r="860" spans="1:5" ht="11.1" hidden="1" customHeight="1" x14ac:dyDescent="0.25">
      <c r="A860" s="12" t="s">
        <v>1273</v>
      </c>
      <c r="B860" s="12" t="s">
        <v>213</v>
      </c>
      <c r="C860" s="14">
        <v>0.03</v>
      </c>
      <c r="D860" s="12"/>
      <c r="E860" s="13"/>
    </row>
    <row r="861" spans="1:5" ht="11.1" hidden="1" customHeight="1" x14ac:dyDescent="0.25">
      <c r="A861" s="12" t="s">
        <v>1274</v>
      </c>
      <c r="B861" s="12" t="s">
        <v>136</v>
      </c>
      <c r="C861" s="14">
        <v>0.06</v>
      </c>
      <c r="D861" s="12"/>
      <c r="E861" s="13"/>
    </row>
    <row r="862" spans="1:5" ht="11.1" hidden="1" customHeight="1" x14ac:dyDescent="0.25">
      <c r="A862" s="12" t="s">
        <v>1275</v>
      </c>
      <c r="B862" s="12" t="s">
        <v>213</v>
      </c>
      <c r="C862" s="14">
        <v>0.04</v>
      </c>
      <c r="D862" s="12"/>
      <c r="E862" s="13"/>
    </row>
    <row r="863" spans="1:5" ht="11.1" hidden="1" customHeight="1" x14ac:dyDescent="0.25">
      <c r="A863" s="12" t="s">
        <v>1276</v>
      </c>
      <c r="B863" s="12" t="s">
        <v>213</v>
      </c>
      <c r="C863" s="14">
        <v>0.04</v>
      </c>
      <c r="D863" s="12"/>
      <c r="E863" s="13"/>
    </row>
    <row r="864" spans="1:5" ht="11.1" hidden="1" customHeight="1" x14ac:dyDescent="0.25">
      <c r="A864" s="12" t="s">
        <v>1277</v>
      </c>
      <c r="B864" s="12" t="s">
        <v>116</v>
      </c>
      <c r="C864" s="14">
        <v>54.16</v>
      </c>
      <c r="D864" s="12"/>
      <c r="E864" s="13"/>
    </row>
    <row r="865" spans="1:5" ht="11.1" hidden="1" customHeight="1" x14ac:dyDescent="0.25">
      <c r="A865" s="12" t="s">
        <v>1278</v>
      </c>
      <c r="B865" s="12" t="s">
        <v>213</v>
      </c>
      <c r="C865" s="14">
        <v>0.04</v>
      </c>
      <c r="D865" s="12"/>
      <c r="E865" s="13"/>
    </row>
    <row r="866" spans="1:5" ht="11.1" hidden="1" customHeight="1" x14ac:dyDescent="0.25">
      <c r="A866" s="12" t="s">
        <v>1279</v>
      </c>
      <c r="B866" s="12" t="s">
        <v>281</v>
      </c>
      <c r="C866" s="14">
        <v>0.05</v>
      </c>
      <c r="D866" s="12"/>
      <c r="E866" s="13"/>
    </row>
    <row r="867" spans="1:5" ht="11.1" hidden="1" customHeight="1" x14ac:dyDescent="0.25">
      <c r="A867" s="12" t="s">
        <v>1280</v>
      </c>
      <c r="B867" s="12" t="s">
        <v>116</v>
      </c>
      <c r="C867" s="14">
        <v>54.16</v>
      </c>
      <c r="D867" s="12"/>
      <c r="E867" s="13"/>
    </row>
    <row r="868" spans="1:5" ht="23.1" hidden="1" customHeight="1" x14ac:dyDescent="0.25">
      <c r="A868" s="12" t="s">
        <v>1281</v>
      </c>
      <c r="B868" s="12" t="s">
        <v>281</v>
      </c>
      <c r="C868" s="14">
        <v>0.06</v>
      </c>
      <c r="D868" s="12"/>
      <c r="E868" s="13"/>
    </row>
    <row r="869" spans="1:5" ht="11.1" hidden="1" customHeight="1" x14ac:dyDescent="0.25">
      <c r="A869" s="12" t="s">
        <v>1282</v>
      </c>
      <c r="B869" s="12" t="s">
        <v>213</v>
      </c>
      <c r="C869" s="14">
        <v>0.05</v>
      </c>
      <c r="D869" s="12"/>
      <c r="E869" s="13"/>
    </row>
    <row r="870" spans="1:5" ht="11.1" hidden="1" customHeight="1" x14ac:dyDescent="0.25">
      <c r="A870" s="12" t="s">
        <v>1283</v>
      </c>
      <c r="B870" s="12" t="s">
        <v>281</v>
      </c>
      <c r="C870" s="14">
        <v>7.0000000000000007E-2</v>
      </c>
      <c r="D870" s="12"/>
      <c r="E870" s="13"/>
    </row>
    <row r="871" spans="1:5" ht="11.1" hidden="1" customHeight="1" x14ac:dyDescent="0.25">
      <c r="A871" s="12" t="s">
        <v>1284</v>
      </c>
      <c r="B871" s="12" t="s">
        <v>281</v>
      </c>
      <c r="C871" s="14">
        <v>0.05</v>
      </c>
      <c r="D871" s="12"/>
      <c r="E871" s="13"/>
    </row>
    <row r="872" spans="1:5" ht="11.1" hidden="1" customHeight="1" x14ac:dyDescent="0.25">
      <c r="A872" s="12" t="s">
        <v>1285</v>
      </c>
      <c r="B872" s="12" t="s">
        <v>213</v>
      </c>
      <c r="C872" s="14">
        <v>0.04</v>
      </c>
      <c r="D872" s="12"/>
      <c r="E872" s="13"/>
    </row>
    <row r="873" spans="1:5" ht="11.1" hidden="1" customHeight="1" x14ac:dyDescent="0.25">
      <c r="A873" s="12" t="s">
        <v>1286</v>
      </c>
      <c r="B873" s="12" t="s">
        <v>213</v>
      </c>
      <c r="C873" s="14">
        <v>0.05</v>
      </c>
      <c r="D873" s="12"/>
      <c r="E873" s="13"/>
    </row>
    <row r="874" spans="1:5" ht="11.1" hidden="1" customHeight="1" x14ac:dyDescent="0.25">
      <c r="A874" s="12" t="s">
        <v>1287</v>
      </c>
      <c r="B874" s="12" t="s">
        <v>213</v>
      </c>
      <c r="C874" s="14">
        <v>0.06</v>
      </c>
      <c r="D874" s="12"/>
      <c r="E874" s="13"/>
    </row>
    <row r="875" spans="1:5" ht="11.1" hidden="1" customHeight="1" x14ac:dyDescent="0.25">
      <c r="A875" s="12" t="s">
        <v>1288</v>
      </c>
      <c r="B875" s="12" t="s">
        <v>213</v>
      </c>
      <c r="C875" s="14">
        <v>7.0000000000000007E-2</v>
      </c>
      <c r="D875" s="12"/>
      <c r="E875" s="13"/>
    </row>
    <row r="876" spans="1:5" ht="11.1" hidden="1" customHeight="1" x14ac:dyDescent="0.25">
      <c r="A876" s="12" t="s">
        <v>1289</v>
      </c>
      <c r="B876" s="12" t="s">
        <v>213</v>
      </c>
      <c r="C876" s="14">
        <v>0.06</v>
      </c>
      <c r="D876" s="12"/>
      <c r="E876" s="13"/>
    </row>
    <row r="877" spans="1:5" ht="11.1" hidden="1" customHeight="1" x14ac:dyDescent="0.25">
      <c r="A877" s="12" t="s">
        <v>1290</v>
      </c>
      <c r="B877" s="12" t="s">
        <v>136</v>
      </c>
      <c r="C877" s="14">
        <v>0.09</v>
      </c>
      <c r="D877" s="12"/>
      <c r="E877" s="13"/>
    </row>
    <row r="878" spans="1:5" ht="11.1" hidden="1" customHeight="1" x14ac:dyDescent="0.25">
      <c r="A878" s="12" t="s">
        <v>1291</v>
      </c>
      <c r="B878" s="12" t="s">
        <v>213</v>
      </c>
      <c r="C878" s="14">
        <v>0.04</v>
      </c>
      <c r="D878" s="12"/>
      <c r="E878" s="13"/>
    </row>
    <row r="879" spans="1:5" ht="11.1" hidden="1" customHeight="1" x14ac:dyDescent="0.25">
      <c r="A879" s="12" t="s">
        <v>1292</v>
      </c>
      <c r="B879" s="12" t="s">
        <v>213</v>
      </c>
      <c r="C879" s="14">
        <v>0.04</v>
      </c>
      <c r="D879" s="12"/>
      <c r="E879" s="13"/>
    </row>
    <row r="880" spans="1:5" ht="11.1" hidden="1" customHeight="1" x14ac:dyDescent="0.25">
      <c r="A880" s="12" t="s">
        <v>1293</v>
      </c>
      <c r="B880" s="12" t="s">
        <v>213</v>
      </c>
      <c r="C880" s="14">
        <v>0.06</v>
      </c>
      <c r="D880" s="12"/>
      <c r="E880" s="13"/>
    </row>
    <row r="881" spans="1:5" ht="11.1" hidden="1" customHeight="1" x14ac:dyDescent="0.25">
      <c r="A881" s="12" t="s">
        <v>1294</v>
      </c>
      <c r="B881" s="12" t="s">
        <v>213</v>
      </c>
      <c r="C881" s="14">
        <v>0.04</v>
      </c>
      <c r="D881" s="12"/>
      <c r="E881" s="13"/>
    </row>
    <row r="882" spans="1:5" ht="11.1" hidden="1" customHeight="1" x14ac:dyDescent="0.25">
      <c r="A882" s="12" t="s">
        <v>1295</v>
      </c>
      <c r="B882" s="12" t="s">
        <v>213</v>
      </c>
      <c r="C882" s="14">
        <v>0.04</v>
      </c>
      <c r="D882" s="12"/>
      <c r="E882" s="13"/>
    </row>
    <row r="883" spans="1:5" ht="11.1" hidden="1" customHeight="1" x14ac:dyDescent="0.25">
      <c r="A883" s="12" t="s">
        <v>1296</v>
      </c>
      <c r="B883" s="12" t="s">
        <v>281</v>
      </c>
      <c r="C883" s="14">
        <v>0.06</v>
      </c>
      <c r="D883" s="12"/>
      <c r="E883" s="13"/>
    </row>
    <row r="884" spans="1:5" ht="11.1" hidden="1" customHeight="1" x14ac:dyDescent="0.25">
      <c r="A884" s="12" t="s">
        <v>1297</v>
      </c>
      <c r="B884" s="12" t="s">
        <v>116</v>
      </c>
      <c r="C884" s="14">
        <v>29.51</v>
      </c>
      <c r="D884" s="12"/>
      <c r="E884" s="13"/>
    </row>
    <row r="885" spans="1:5" ht="11.1" hidden="1" customHeight="1" x14ac:dyDescent="0.25">
      <c r="A885" s="12" t="s">
        <v>1298</v>
      </c>
      <c r="B885" s="12" t="s">
        <v>281</v>
      </c>
      <c r="C885" s="14">
        <v>0.06</v>
      </c>
      <c r="D885" s="12"/>
      <c r="E885" s="13"/>
    </row>
    <row r="886" spans="1:5" ht="11.1" hidden="1" customHeight="1" x14ac:dyDescent="0.25">
      <c r="A886" s="12" t="s">
        <v>1299</v>
      </c>
      <c r="B886" s="12" t="s">
        <v>213</v>
      </c>
      <c r="C886" s="14">
        <v>7.0000000000000007E-2</v>
      </c>
      <c r="D886" s="12"/>
      <c r="E886" s="13"/>
    </row>
    <row r="887" spans="1:5" ht="11.1" hidden="1" customHeight="1" x14ac:dyDescent="0.25">
      <c r="A887" s="12" t="s">
        <v>1300</v>
      </c>
      <c r="B887" s="12" t="s">
        <v>213</v>
      </c>
      <c r="C887" s="14">
        <v>0.14000000000000001</v>
      </c>
      <c r="D887" s="12"/>
      <c r="E887" s="13"/>
    </row>
    <row r="888" spans="1:5" ht="11.1" hidden="1" customHeight="1" x14ac:dyDescent="0.25">
      <c r="A888" s="12" t="s">
        <v>1301</v>
      </c>
      <c r="B888" s="12" t="s">
        <v>281</v>
      </c>
      <c r="C888" s="14">
        <v>0.06</v>
      </c>
      <c r="D888" s="12"/>
      <c r="E888" s="13"/>
    </row>
    <row r="889" spans="1:5" ht="11.1" hidden="1" customHeight="1" x14ac:dyDescent="0.25">
      <c r="A889" s="12" t="s">
        <v>1302</v>
      </c>
      <c r="B889" s="12" t="s">
        <v>213</v>
      </c>
      <c r="C889" s="14">
        <v>0.03</v>
      </c>
      <c r="D889" s="12"/>
      <c r="E889" s="13"/>
    </row>
    <row r="890" spans="1:5" ht="11.1" hidden="1" customHeight="1" x14ac:dyDescent="0.25">
      <c r="A890" s="12" t="s">
        <v>1303</v>
      </c>
      <c r="B890" s="12" t="s">
        <v>281</v>
      </c>
      <c r="C890" s="14">
        <v>0.05</v>
      </c>
      <c r="D890" s="12"/>
      <c r="E890" s="13"/>
    </row>
    <row r="891" spans="1:5" ht="11.1" hidden="1" customHeight="1" x14ac:dyDescent="0.25">
      <c r="A891" s="12" t="s">
        <v>1304</v>
      </c>
      <c r="B891" s="12" t="s">
        <v>213</v>
      </c>
      <c r="C891" s="14">
        <v>0.04</v>
      </c>
      <c r="D891" s="12"/>
      <c r="E891" s="13"/>
    </row>
    <row r="892" spans="1:5" ht="11.1" hidden="1" customHeight="1" x14ac:dyDescent="0.25">
      <c r="A892" s="12" t="s">
        <v>1305</v>
      </c>
      <c r="B892" s="12" t="s">
        <v>213</v>
      </c>
      <c r="C892" s="14">
        <v>0.04</v>
      </c>
      <c r="D892" s="12"/>
      <c r="E892" s="13"/>
    </row>
    <row r="893" spans="1:5" ht="11.1" hidden="1" customHeight="1" x14ac:dyDescent="0.25">
      <c r="A893" s="12" t="s">
        <v>1306</v>
      </c>
      <c r="B893" s="12" t="s">
        <v>116</v>
      </c>
      <c r="C893" s="14">
        <v>108.1</v>
      </c>
      <c r="D893" s="12"/>
      <c r="E893" s="13"/>
    </row>
    <row r="894" spans="1:5" ht="11.1" hidden="1" customHeight="1" x14ac:dyDescent="0.25">
      <c r="A894" s="12" t="s">
        <v>1307</v>
      </c>
      <c r="B894" s="12" t="s">
        <v>213</v>
      </c>
      <c r="C894" s="14">
        <v>0.04</v>
      </c>
      <c r="D894" s="12"/>
      <c r="E894" s="13"/>
    </row>
    <row r="895" spans="1:5" ht="11.1" hidden="1" customHeight="1" x14ac:dyDescent="0.25">
      <c r="A895" s="12" t="s">
        <v>1308</v>
      </c>
      <c r="B895" s="12" t="s">
        <v>136</v>
      </c>
      <c r="C895" s="14">
        <v>0.05</v>
      </c>
      <c r="D895" s="12"/>
      <c r="E895" s="13"/>
    </row>
    <row r="896" spans="1:5" ht="11.1" hidden="1" customHeight="1" x14ac:dyDescent="0.25">
      <c r="A896" s="12" t="s">
        <v>1309</v>
      </c>
      <c r="B896" s="12" t="s">
        <v>213</v>
      </c>
      <c r="C896" s="14">
        <v>0.08</v>
      </c>
      <c r="D896" s="12"/>
      <c r="E896" s="13"/>
    </row>
    <row r="897" spans="1:5" ht="11.1" hidden="1" customHeight="1" x14ac:dyDescent="0.25">
      <c r="A897" s="12" t="s">
        <v>1310</v>
      </c>
      <c r="B897" s="12" t="s">
        <v>116</v>
      </c>
      <c r="C897" s="14">
        <v>118.9</v>
      </c>
      <c r="D897" s="12"/>
      <c r="E897" s="13"/>
    </row>
    <row r="898" spans="1:5" ht="11.1" hidden="1" customHeight="1" x14ac:dyDescent="0.25">
      <c r="A898" s="12" t="s">
        <v>1311</v>
      </c>
      <c r="B898" s="12" t="s">
        <v>213</v>
      </c>
      <c r="C898" s="14">
        <v>0.04</v>
      </c>
      <c r="D898" s="12"/>
      <c r="E898" s="13"/>
    </row>
    <row r="899" spans="1:5" ht="11.1" hidden="1" customHeight="1" x14ac:dyDescent="0.25">
      <c r="A899" s="12" t="s">
        <v>1312</v>
      </c>
      <c r="B899" s="12" t="s">
        <v>213</v>
      </c>
      <c r="C899" s="14">
        <v>0.06</v>
      </c>
      <c r="D899" s="12"/>
      <c r="E899" s="13"/>
    </row>
    <row r="900" spans="1:5" ht="11.1" hidden="1" customHeight="1" x14ac:dyDescent="0.25">
      <c r="A900" s="12" t="s">
        <v>1313</v>
      </c>
      <c r="B900" s="12" t="s">
        <v>281</v>
      </c>
      <c r="C900" s="14">
        <v>0.06</v>
      </c>
      <c r="D900" s="12"/>
      <c r="E900" s="13"/>
    </row>
    <row r="901" spans="1:5" ht="11.1" hidden="1" customHeight="1" x14ac:dyDescent="0.25">
      <c r="A901" s="12" t="s">
        <v>1314</v>
      </c>
      <c r="B901" s="12" t="s">
        <v>116</v>
      </c>
      <c r="C901" s="14">
        <v>54.16</v>
      </c>
      <c r="D901" s="12"/>
      <c r="E901" s="13"/>
    </row>
    <row r="902" spans="1:5" ht="11.1" hidden="1" customHeight="1" x14ac:dyDescent="0.25">
      <c r="A902" s="12" t="s">
        <v>1315</v>
      </c>
      <c r="B902" s="12" t="s">
        <v>213</v>
      </c>
      <c r="C902" s="14">
        <v>0.03</v>
      </c>
      <c r="D902" s="12"/>
      <c r="E902" s="13"/>
    </row>
    <row r="903" spans="1:5" ht="11.1" hidden="1" customHeight="1" x14ac:dyDescent="0.25">
      <c r="A903" s="12" t="s">
        <v>1316</v>
      </c>
      <c r="B903" s="12" t="s">
        <v>281</v>
      </c>
      <c r="C903" s="14">
        <v>0.06</v>
      </c>
      <c r="D903" s="12"/>
      <c r="E903" s="13"/>
    </row>
    <row r="904" spans="1:5" ht="11.1" hidden="1" customHeight="1" x14ac:dyDescent="0.25">
      <c r="A904" s="12" t="s">
        <v>1317</v>
      </c>
      <c r="B904" s="12" t="s">
        <v>116</v>
      </c>
      <c r="C904" s="14">
        <v>29.51</v>
      </c>
      <c r="D904" s="12"/>
      <c r="E904" s="13"/>
    </row>
    <row r="905" spans="1:5" ht="11.1" hidden="1" customHeight="1" x14ac:dyDescent="0.25">
      <c r="A905" s="12" t="s">
        <v>1318</v>
      </c>
      <c r="B905" s="12" t="s">
        <v>213</v>
      </c>
      <c r="C905" s="14">
        <v>0.06</v>
      </c>
      <c r="D905" s="12"/>
      <c r="E905" s="13"/>
    </row>
    <row r="906" spans="1:5" ht="11.1" hidden="1" customHeight="1" x14ac:dyDescent="0.25">
      <c r="A906" s="12" t="s">
        <v>1319</v>
      </c>
      <c r="B906" s="12" t="s">
        <v>213</v>
      </c>
      <c r="C906" s="14">
        <v>7.0000000000000007E-2</v>
      </c>
      <c r="D906" s="12"/>
      <c r="E906" s="13"/>
    </row>
    <row r="907" spans="1:5" ht="11.1" hidden="1" customHeight="1" x14ac:dyDescent="0.25">
      <c r="A907" s="12" t="s">
        <v>1320</v>
      </c>
      <c r="B907" s="12" t="s">
        <v>213</v>
      </c>
      <c r="C907" s="14">
        <v>0.06</v>
      </c>
      <c r="D907" s="12"/>
      <c r="E907" s="13"/>
    </row>
    <row r="908" spans="1:5" ht="11.1" hidden="1" customHeight="1" x14ac:dyDescent="0.25">
      <c r="A908" s="12" t="s">
        <v>1321</v>
      </c>
      <c r="B908" s="12" t="s">
        <v>213</v>
      </c>
      <c r="C908" s="14">
        <v>0.04</v>
      </c>
      <c r="D908" s="12"/>
      <c r="E908" s="13"/>
    </row>
    <row r="909" spans="1:5" ht="11.1" hidden="1" customHeight="1" x14ac:dyDescent="0.25">
      <c r="A909" s="12" t="s">
        <v>1322</v>
      </c>
      <c r="B909" s="12" t="s">
        <v>213</v>
      </c>
      <c r="C909" s="14">
        <v>0.04</v>
      </c>
      <c r="D909" s="12"/>
      <c r="E909" s="13"/>
    </row>
    <row r="910" spans="1:5" ht="11.1" hidden="1" customHeight="1" x14ac:dyDescent="0.25">
      <c r="A910" s="12" t="s">
        <v>1323</v>
      </c>
      <c r="B910" s="12" t="s">
        <v>213</v>
      </c>
      <c r="C910" s="14">
        <v>0.06</v>
      </c>
      <c r="D910" s="12"/>
      <c r="E910" s="13"/>
    </row>
    <row r="911" spans="1:5" ht="11.1" hidden="1" customHeight="1" x14ac:dyDescent="0.25">
      <c r="A911" s="12" t="s">
        <v>1324</v>
      </c>
      <c r="B911" s="12" t="s">
        <v>281</v>
      </c>
      <c r="C911" s="14">
        <v>0.06</v>
      </c>
      <c r="D911" s="12"/>
      <c r="E911" s="13"/>
    </row>
    <row r="912" spans="1:5" ht="11.1" hidden="1" customHeight="1" x14ac:dyDescent="0.25">
      <c r="A912" s="12" t="s">
        <v>1325</v>
      </c>
      <c r="B912" s="12" t="s">
        <v>281</v>
      </c>
      <c r="C912" s="14">
        <v>0.06</v>
      </c>
      <c r="D912" s="12"/>
      <c r="E912" s="13"/>
    </row>
    <row r="913" spans="1:5" ht="11.1" hidden="1" customHeight="1" x14ac:dyDescent="0.25">
      <c r="A913" s="12" t="s">
        <v>1326</v>
      </c>
      <c r="B913" s="12" t="s">
        <v>213</v>
      </c>
      <c r="C913" s="14">
        <v>0.06</v>
      </c>
      <c r="D913" s="12"/>
      <c r="E913" s="13"/>
    </row>
    <row r="914" spans="1:5" ht="11.1" hidden="1" customHeight="1" x14ac:dyDescent="0.25">
      <c r="A914" s="12" t="s">
        <v>1327</v>
      </c>
      <c r="B914" s="12" t="s">
        <v>281</v>
      </c>
      <c r="C914" s="14">
        <v>0.04</v>
      </c>
      <c r="D914" s="12"/>
      <c r="E914" s="13"/>
    </row>
    <row r="915" spans="1:5" ht="11.1" hidden="1" customHeight="1" x14ac:dyDescent="0.25">
      <c r="A915" s="12" t="s">
        <v>1328</v>
      </c>
      <c r="B915" s="12" t="s">
        <v>213</v>
      </c>
      <c r="C915" s="14">
        <v>0.04</v>
      </c>
      <c r="D915" s="12"/>
      <c r="E915" s="13"/>
    </row>
    <row r="916" spans="1:5" ht="11.1" hidden="1" customHeight="1" x14ac:dyDescent="0.25">
      <c r="A916" s="12" t="s">
        <v>1329</v>
      </c>
      <c r="B916" s="12" t="s">
        <v>213</v>
      </c>
      <c r="C916" s="14">
        <v>0.04</v>
      </c>
      <c r="D916" s="12"/>
      <c r="E916" s="13"/>
    </row>
    <row r="917" spans="1:5" ht="11.1" hidden="1" customHeight="1" x14ac:dyDescent="0.25">
      <c r="A917" s="12" t="s">
        <v>1330</v>
      </c>
      <c r="B917" s="12" t="s">
        <v>213</v>
      </c>
      <c r="C917" s="14">
        <v>0.1</v>
      </c>
      <c r="D917" s="12"/>
      <c r="E917" s="13"/>
    </row>
    <row r="918" spans="1:5" ht="11.1" hidden="1" customHeight="1" x14ac:dyDescent="0.25">
      <c r="A918" s="12" t="s">
        <v>1331</v>
      </c>
      <c r="B918" s="12" t="s">
        <v>213</v>
      </c>
      <c r="C918" s="14">
        <v>0.02</v>
      </c>
      <c r="D918" s="12"/>
      <c r="E918" s="13"/>
    </row>
    <row r="919" spans="1:5" ht="11.1" hidden="1" customHeight="1" x14ac:dyDescent="0.25">
      <c r="A919" s="12" t="s">
        <v>1332</v>
      </c>
      <c r="B919" s="12" t="s">
        <v>116</v>
      </c>
      <c r="C919" s="14">
        <v>59.56</v>
      </c>
      <c r="D919" s="12"/>
      <c r="E919" s="13"/>
    </row>
    <row r="920" spans="1:5" ht="11.1" hidden="1" customHeight="1" x14ac:dyDescent="0.25">
      <c r="A920" s="12" t="s">
        <v>1333</v>
      </c>
      <c r="B920" s="12" t="s">
        <v>213</v>
      </c>
      <c r="C920" s="14">
        <v>0.06</v>
      </c>
      <c r="D920" s="12"/>
      <c r="E920" s="13"/>
    </row>
    <row r="921" spans="1:5" ht="11.1" hidden="1" customHeight="1" x14ac:dyDescent="0.25">
      <c r="A921" s="12" t="s">
        <v>1334</v>
      </c>
      <c r="B921" s="12" t="s">
        <v>213</v>
      </c>
      <c r="C921" s="14">
        <v>7.0000000000000007E-2</v>
      </c>
      <c r="D921" s="12"/>
      <c r="E921" s="13"/>
    </row>
    <row r="922" spans="1:5" ht="11.1" hidden="1" customHeight="1" x14ac:dyDescent="0.25">
      <c r="A922" s="12" t="s">
        <v>1335</v>
      </c>
      <c r="B922" s="12" t="s">
        <v>149</v>
      </c>
      <c r="C922" s="14">
        <v>0.08</v>
      </c>
      <c r="D922" s="12"/>
      <c r="E922" s="13"/>
    </row>
    <row r="923" spans="1:5" ht="11.1" hidden="1" customHeight="1" x14ac:dyDescent="0.25">
      <c r="A923" s="12" t="s">
        <v>1336</v>
      </c>
      <c r="B923" s="12" t="s">
        <v>149</v>
      </c>
      <c r="C923" s="14">
        <v>7.0000000000000007E-2</v>
      </c>
      <c r="D923" s="12"/>
      <c r="E923" s="13"/>
    </row>
    <row r="924" spans="1:5" ht="11.1" hidden="1" customHeight="1" x14ac:dyDescent="0.25">
      <c r="A924" s="12" t="s">
        <v>1337</v>
      </c>
      <c r="B924" s="12" t="s">
        <v>281</v>
      </c>
      <c r="C924" s="14">
        <v>0.08</v>
      </c>
      <c r="D924" s="12"/>
      <c r="E924" s="13"/>
    </row>
    <row r="925" spans="1:5" ht="11.1" hidden="1" customHeight="1" x14ac:dyDescent="0.25">
      <c r="A925" s="12" t="s">
        <v>1338</v>
      </c>
      <c r="B925" s="12" t="s">
        <v>281</v>
      </c>
      <c r="C925" s="14">
        <v>0.08</v>
      </c>
      <c r="D925" s="12"/>
      <c r="E925" s="13"/>
    </row>
    <row r="926" spans="1:5" ht="11.1" hidden="1" customHeight="1" x14ac:dyDescent="0.25">
      <c r="A926" s="12" t="s">
        <v>1339</v>
      </c>
      <c r="B926" s="12" t="s">
        <v>1340</v>
      </c>
      <c r="C926" s="14">
        <v>1.8</v>
      </c>
      <c r="D926" s="12"/>
      <c r="E926" s="13"/>
    </row>
    <row r="927" spans="1:5" ht="11.1" hidden="1" customHeight="1" x14ac:dyDescent="0.25">
      <c r="A927" s="12" t="s">
        <v>1341</v>
      </c>
      <c r="B927" s="12" t="s">
        <v>149</v>
      </c>
      <c r="C927" s="14">
        <v>0.15</v>
      </c>
      <c r="D927" s="12"/>
      <c r="E927" s="13"/>
    </row>
    <row r="928" spans="1:5" ht="11.1" hidden="1" customHeight="1" x14ac:dyDescent="0.25">
      <c r="A928" s="12" t="s">
        <v>1342</v>
      </c>
      <c r="B928" s="12" t="s">
        <v>149</v>
      </c>
      <c r="C928" s="14">
        <v>0.08</v>
      </c>
      <c r="D928" s="12"/>
      <c r="E928" s="13"/>
    </row>
    <row r="929" spans="1:5" ht="11.1" hidden="1" customHeight="1" x14ac:dyDescent="0.25">
      <c r="A929" s="12" t="s">
        <v>1343</v>
      </c>
      <c r="B929" s="12" t="s">
        <v>281</v>
      </c>
      <c r="C929" s="14">
        <v>0.11</v>
      </c>
      <c r="D929" s="12"/>
      <c r="E929" s="13"/>
    </row>
    <row r="930" spans="1:5" ht="11.1" hidden="1" customHeight="1" x14ac:dyDescent="0.25">
      <c r="A930" s="12" t="s">
        <v>1344</v>
      </c>
      <c r="B930" s="12" t="s">
        <v>149</v>
      </c>
      <c r="C930" s="14">
        <v>0.08</v>
      </c>
      <c r="D930" s="12"/>
      <c r="E930" s="13"/>
    </row>
    <row r="931" spans="1:5" ht="11.1" hidden="1" customHeight="1" x14ac:dyDescent="0.25">
      <c r="A931" s="12" t="s">
        <v>1345</v>
      </c>
      <c r="B931" s="12" t="s">
        <v>149</v>
      </c>
      <c r="C931" s="14">
        <v>0.09</v>
      </c>
      <c r="D931" s="12"/>
      <c r="E931" s="13"/>
    </row>
    <row r="932" spans="1:5" ht="11.1" hidden="1" customHeight="1" x14ac:dyDescent="0.25">
      <c r="A932" s="12" t="s">
        <v>1346</v>
      </c>
      <c r="B932" s="12" t="s">
        <v>149</v>
      </c>
      <c r="C932" s="14">
        <v>0.08</v>
      </c>
      <c r="D932" s="12"/>
      <c r="E932" s="13"/>
    </row>
    <row r="933" spans="1:5" ht="11.1" hidden="1" customHeight="1" x14ac:dyDescent="0.25">
      <c r="A933" s="12" t="s">
        <v>1347</v>
      </c>
      <c r="B933" s="12" t="s">
        <v>213</v>
      </c>
      <c r="C933" s="14">
        <v>7.0000000000000007E-2</v>
      </c>
      <c r="D933" s="12"/>
      <c r="E933" s="13"/>
    </row>
    <row r="934" spans="1:5" ht="11.1" hidden="1" customHeight="1" x14ac:dyDescent="0.25">
      <c r="A934" s="12" t="s">
        <v>1348</v>
      </c>
      <c r="B934" s="12" t="s">
        <v>149</v>
      </c>
      <c r="C934" s="14">
        <v>0.08</v>
      </c>
      <c r="D934" s="12"/>
      <c r="E934" s="13"/>
    </row>
    <row r="935" spans="1:5" ht="11.1" hidden="1" customHeight="1" x14ac:dyDescent="0.25">
      <c r="A935" s="12" t="s">
        <v>1349</v>
      </c>
      <c r="B935" s="12" t="s">
        <v>149</v>
      </c>
      <c r="C935" s="14">
        <v>0.15</v>
      </c>
      <c r="D935" s="12"/>
      <c r="E935" s="13"/>
    </row>
    <row r="936" spans="1:5" ht="11.1" hidden="1" customHeight="1" x14ac:dyDescent="0.25">
      <c r="A936" s="12" t="s">
        <v>1350</v>
      </c>
      <c r="B936" s="12" t="s">
        <v>281</v>
      </c>
      <c r="C936" s="14">
        <v>0.1</v>
      </c>
      <c r="D936" s="12"/>
      <c r="E936" s="13"/>
    </row>
    <row r="937" spans="1:5" ht="11.1" hidden="1" customHeight="1" x14ac:dyDescent="0.25">
      <c r="A937" s="12" t="s">
        <v>1351</v>
      </c>
      <c r="B937" s="12" t="s">
        <v>149</v>
      </c>
      <c r="C937" s="14">
        <v>0.08</v>
      </c>
      <c r="D937" s="12"/>
      <c r="E937" s="13"/>
    </row>
    <row r="938" spans="1:5" ht="11.1" hidden="1" customHeight="1" x14ac:dyDescent="0.25">
      <c r="A938" s="12" t="s">
        <v>1352</v>
      </c>
      <c r="B938" s="12" t="s">
        <v>213</v>
      </c>
      <c r="C938" s="14">
        <v>0.1</v>
      </c>
      <c r="D938" s="12"/>
      <c r="E938" s="13"/>
    </row>
    <row r="939" spans="1:5" ht="11.1" hidden="1" customHeight="1" x14ac:dyDescent="0.25">
      <c r="A939" s="12" t="s">
        <v>1353</v>
      </c>
      <c r="B939" s="12" t="s">
        <v>136</v>
      </c>
      <c r="C939" s="14">
        <v>7.99</v>
      </c>
      <c r="D939" s="12"/>
      <c r="E939" s="13"/>
    </row>
    <row r="940" spans="1:5" ht="11.1" hidden="1" customHeight="1" x14ac:dyDescent="0.25">
      <c r="A940" s="12" t="s">
        <v>1354</v>
      </c>
      <c r="B940" s="12" t="s">
        <v>262</v>
      </c>
      <c r="C940" s="14">
        <v>1090</v>
      </c>
      <c r="D940" s="12"/>
      <c r="E940" s="14"/>
    </row>
    <row r="941" spans="1:5" ht="11.1" hidden="1" customHeight="1" x14ac:dyDescent="0.25">
      <c r="A941" s="12" t="s">
        <v>1355</v>
      </c>
      <c r="B941" s="12" t="s">
        <v>80</v>
      </c>
      <c r="C941" s="14">
        <v>150</v>
      </c>
      <c r="D941" s="12"/>
      <c r="E941" s="13"/>
    </row>
    <row r="942" spans="1:5" ht="11.1" hidden="1" customHeight="1" x14ac:dyDescent="0.25">
      <c r="A942" s="12" t="s">
        <v>1356</v>
      </c>
      <c r="B942" s="12" t="s">
        <v>80</v>
      </c>
      <c r="C942" s="14">
        <v>433.33</v>
      </c>
      <c r="D942" s="12"/>
      <c r="E942" s="13"/>
    </row>
    <row r="943" spans="1:5" ht="11.1" hidden="1" customHeight="1" x14ac:dyDescent="0.25">
      <c r="A943" s="12" t="s">
        <v>1357</v>
      </c>
      <c r="B943" s="12" t="s">
        <v>80</v>
      </c>
      <c r="C943" s="14">
        <v>9033.33</v>
      </c>
      <c r="D943" s="12"/>
      <c r="E943" s="14"/>
    </row>
    <row r="944" spans="1:5" ht="11.1" hidden="1" customHeight="1" x14ac:dyDescent="0.25">
      <c r="A944" s="12" t="s">
        <v>1358</v>
      </c>
      <c r="B944" s="12" t="s">
        <v>1359</v>
      </c>
      <c r="C944" s="14">
        <v>342.5</v>
      </c>
      <c r="D944" s="12"/>
      <c r="E944" s="13"/>
    </row>
    <row r="945" spans="1:5" ht="11.1" hidden="1" customHeight="1" x14ac:dyDescent="0.25">
      <c r="A945" s="12" t="s">
        <v>1360</v>
      </c>
      <c r="B945" s="12" t="s">
        <v>497</v>
      </c>
      <c r="C945" s="14">
        <v>310.83</v>
      </c>
      <c r="D945" s="12"/>
      <c r="E945" s="13"/>
    </row>
    <row r="946" spans="1:5" ht="11.1" hidden="1" customHeight="1" x14ac:dyDescent="0.25">
      <c r="A946" s="12" t="s">
        <v>1361</v>
      </c>
      <c r="B946" s="12" t="s">
        <v>1362</v>
      </c>
      <c r="C946" s="14">
        <v>464.17</v>
      </c>
      <c r="D946" s="12"/>
      <c r="E946" s="13"/>
    </row>
    <row r="947" spans="1:5" ht="11.1" hidden="1" customHeight="1" x14ac:dyDescent="0.25">
      <c r="A947" s="12" t="s">
        <v>1363</v>
      </c>
      <c r="B947" s="12" t="s">
        <v>1362</v>
      </c>
      <c r="C947" s="14">
        <v>760.83</v>
      </c>
      <c r="D947" s="12"/>
      <c r="E947" s="13"/>
    </row>
    <row r="948" spans="1:5" ht="11.1" hidden="1" customHeight="1" x14ac:dyDescent="0.25">
      <c r="A948" s="12" t="s">
        <v>1364</v>
      </c>
      <c r="B948" s="12" t="s">
        <v>497</v>
      </c>
      <c r="C948" s="14">
        <v>524.16999999999996</v>
      </c>
      <c r="D948" s="12"/>
      <c r="E948" s="13"/>
    </row>
    <row r="949" spans="1:5" ht="11.1" hidden="1" customHeight="1" x14ac:dyDescent="0.25">
      <c r="A949" s="12" t="s">
        <v>1365</v>
      </c>
      <c r="B949" s="12" t="s">
        <v>1366</v>
      </c>
      <c r="C949" s="14">
        <v>1002.5</v>
      </c>
      <c r="D949" s="12"/>
      <c r="E949" s="14"/>
    </row>
    <row r="950" spans="1:5" ht="11.1" hidden="1" customHeight="1" x14ac:dyDescent="0.25">
      <c r="A950" s="12" t="s">
        <v>1367</v>
      </c>
      <c r="B950" s="12" t="s">
        <v>1368</v>
      </c>
      <c r="C950" s="14">
        <v>420</v>
      </c>
      <c r="D950" s="12"/>
      <c r="E950" s="13"/>
    </row>
    <row r="951" spans="1:5" ht="11.1" hidden="1" customHeight="1" x14ac:dyDescent="0.25">
      <c r="A951" s="12" t="s">
        <v>1369</v>
      </c>
      <c r="B951" s="12" t="s">
        <v>497</v>
      </c>
      <c r="C951" s="14">
        <v>233.33</v>
      </c>
      <c r="D951" s="12"/>
      <c r="E951" s="13"/>
    </row>
    <row r="952" spans="1:5" ht="11.1" hidden="1" customHeight="1" x14ac:dyDescent="0.25">
      <c r="A952" s="12" t="s">
        <v>1370</v>
      </c>
      <c r="B952" s="12" t="s">
        <v>536</v>
      </c>
      <c r="C952" s="14">
        <v>132.5</v>
      </c>
      <c r="D952" s="12"/>
      <c r="E952" s="13"/>
    </row>
    <row r="953" spans="1:5" ht="11.1" hidden="1" customHeight="1" x14ac:dyDescent="0.25">
      <c r="A953" s="12" t="s">
        <v>1371</v>
      </c>
      <c r="B953" s="12" t="s">
        <v>387</v>
      </c>
      <c r="C953" s="14">
        <v>145</v>
      </c>
      <c r="D953" s="12"/>
      <c r="E953" s="13"/>
    </row>
    <row r="954" spans="1:5" ht="23.1" hidden="1" customHeight="1" x14ac:dyDescent="0.25">
      <c r="A954" s="12" t="s">
        <v>1372</v>
      </c>
      <c r="B954" s="12" t="s">
        <v>497</v>
      </c>
      <c r="C954" s="14">
        <v>15.84</v>
      </c>
      <c r="D954" s="12"/>
      <c r="E954" s="13"/>
    </row>
    <row r="955" spans="1:5" ht="11.1" hidden="1" customHeight="1" x14ac:dyDescent="0.25">
      <c r="A955" s="12" t="s">
        <v>1373</v>
      </c>
      <c r="B955" s="12" t="s">
        <v>180</v>
      </c>
      <c r="C955" s="14">
        <v>887.5</v>
      </c>
      <c r="D955" s="12"/>
      <c r="E955" s="13"/>
    </row>
    <row r="956" spans="1:5" ht="11.1" hidden="1" customHeight="1" x14ac:dyDescent="0.25">
      <c r="A956" s="12" t="s">
        <v>1374</v>
      </c>
      <c r="B956" s="12" t="s">
        <v>389</v>
      </c>
      <c r="C956" s="14">
        <v>527.5</v>
      </c>
      <c r="D956" s="12"/>
      <c r="E956" s="13"/>
    </row>
    <row r="957" spans="1:5" ht="23.1" hidden="1" customHeight="1" x14ac:dyDescent="0.25">
      <c r="A957" s="12" t="s">
        <v>1375</v>
      </c>
      <c r="B957" s="12" t="s">
        <v>1184</v>
      </c>
      <c r="C957" s="14">
        <v>1001.67</v>
      </c>
      <c r="D957" s="12"/>
      <c r="E957" s="14"/>
    </row>
    <row r="958" spans="1:5" ht="11.1" hidden="1" customHeight="1" x14ac:dyDescent="0.25">
      <c r="A958" s="12" t="s">
        <v>1376</v>
      </c>
      <c r="B958" s="12" t="s">
        <v>1377</v>
      </c>
      <c r="C958" s="14">
        <v>11774.17</v>
      </c>
      <c r="D958" s="12"/>
      <c r="E958" s="14"/>
    </row>
    <row r="959" spans="1:5" ht="11.1" hidden="1" customHeight="1" x14ac:dyDescent="0.25">
      <c r="A959" s="12" t="s">
        <v>1378</v>
      </c>
      <c r="B959" s="12" t="s">
        <v>180</v>
      </c>
      <c r="C959" s="14">
        <v>683.33</v>
      </c>
      <c r="D959" s="12"/>
      <c r="E959" s="13"/>
    </row>
    <row r="960" spans="1:5" ht="11.1" hidden="1" customHeight="1" x14ac:dyDescent="0.25">
      <c r="A960" s="12" t="s">
        <v>1379</v>
      </c>
      <c r="B960" s="12" t="s">
        <v>1380</v>
      </c>
      <c r="C960" s="14">
        <v>1250</v>
      </c>
      <c r="D960" s="12"/>
      <c r="E960" s="14"/>
    </row>
    <row r="961" spans="1:5" ht="11.1" hidden="1" customHeight="1" x14ac:dyDescent="0.25">
      <c r="A961" s="12" t="s">
        <v>1381</v>
      </c>
      <c r="B961" s="12" t="s">
        <v>497</v>
      </c>
      <c r="C961" s="14">
        <v>1345</v>
      </c>
      <c r="D961" s="12"/>
      <c r="E961" s="14"/>
    </row>
    <row r="962" spans="1:5" ht="11.1" hidden="1" customHeight="1" x14ac:dyDescent="0.25">
      <c r="A962" s="12" t="s">
        <v>1382</v>
      </c>
      <c r="B962" s="12" t="s">
        <v>180</v>
      </c>
      <c r="C962" s="14">
        <v>211.67</v>
      </c>
      <c r="D962" s="12"/>
      <c r="E962" s="13"/>
    </row>
    <row r="963" spans="1:5" ht="11.1" hidden="1" customHeight="1" x14ac:dyDescent="0.25">
      <c r="A963" s="12" t="s">
        <v>1383</v>
      </c>
      <c r="B963" s="12" t="s">
        <v>387</v>
      </c>
      <c r="C963" s="14">
        <v>189.17</v>
      </c>
      <c r="D963" s="12"/>
      <c r="E963" s="13"/>
    </row>
    <row r="964" spans="1:5" ht="11.1" hidden="1" customHeight="1" x14ac:dyDescent="0.25">
      <c r="A964" s="12" t="s">
        <v>1384</v>
      </c>
      <c r="B964" s="12" t="s">
        <v>525</v>
      </c>
      <c r="C964" s="14">
        <v>182.5</v>
      </c>
      <c r="D964" s="12"/>
      <c r="E964" s="13"/>
    </row>
    <row r="965" spans="1:5" ht="23.1" hidden="1" customHeight="1" x14ac:dyDescent="0.25">
      <c r="A965" s="12" t="s">
        <v>1385</v>
      </c>
      <c r="B965" s="12" t="s">
        <v>497</v>
      </c>
      <c r="C965" s="14">
        <v>276.67</v>
      </c>
      <c r="D965" s="12"/>
      <c r="E965" s="13"/>
    </row>
    <row r="966" spans="1:5" ht="11.1" hidden="1" customHeight="1" x14ac:dyDescent="0.25">
      <c r="A966" s="12" t="s">
        <v>1386</v>
      </c>
      <c r="B966" s="12" t="s">
        <v>1387</v>
      </c>
      <c r="C966" s="14">
        <v>264.7</v>
      </c>
      <c r="D966" s="12"/>
      <c r="E966" s="13"/>
    </row>
    <row r="967" spans="1:5" ht="11.1" hidden="1" customHeight="1" x14ac:dyDescent="0.25">
      <c r="A967" s="12" t="s">
        <v>1388</v>
      </c>
      <c r="B967" s="12" t="s">
        <v>582</v>
      </c>
      <c r="C967" s="14">
        <v>115.83</v>
      </c>
      <c r="D967" s="12"/>
      <c r="E967" s="13"/>
    </row>
    <row r="968" spans="1:5" ht="11.1" hidden="1" customHeight="1" x14ac:dyDescent="0.25">
      <c r="A968" s="12" t="s">
        <v>1389</v>
      </c>
      <c r="B968" s="12" t="s">
        <v>582</v>
      </c>
      <c r="C968" s="14">
        <v>117.5</v>
      </c>
      <c r="D968" s="12"/>
      <c r="E968" s="13"/>
    </row>
    <row r="969" spans="1:5" ht="11.1" hidden="1" customHeight="1" x14ac:dyDescent="0.25">
      <c r="A969" s="12" t="s">
        <v>1390</v>
      </c>
      <c r="B969" s="12" t="s">
        <v>582</v>
      </c>
      <c r="C969" s="14">
        <v>156.66999999999999</v>
      </c>
      <c r="D969" s="12"/>
      <c r="E969" s="13"/>
    </row>
    <row r="970" spans="1:5" ht="11.1" hidden="1" customHeight="1" x14ac:dyDescent="0.25">
      <c r="A970" s="12" t="s">
        <v>1391</v>
      </c>
      <c r="B970" s="12" t="s">
        <v>528</v>
      </c>
      <c r="C970" s="14">
        <v>70</v>
      </c>
      <c r="D970" s="12"/>
      <c r="E970" s="13"/>
    </row>
    <row r="971" spans="1:5" ht="11.1" hidden="1" customHeight="1" x14ac:dyDescent="0.25">
      <c r="A971" s="12" t="s">
        <v>1392</v>
      </c>
      <c r="B971" s="12" t="s">
        <v>536</v>
      </c>
      <c r="C971" s="14">
        <v>147.5</v>
      </c>
      <c r="D971" s="12"/>
      <c r="E971" s="13"/>
    </row>
    <row r="972" spans="1:5" ht="23.1" hidden="1" customHeight="1" x14ac:dyDescent="0.25">
      <c r="A972" s="12" t="s">
        <v>1393</v>
      </c>
      <c r="B972" s="12" t="s">
        <v>387</v>
      </c>
      <c r="C972" s="14">
        <v>279.17</v>
      </c>
      <c r="D972" s="12"/>
      <c r="E972" s="13"/>
    </row>
    <row r="973" spans="1:5" ht="11.1" hidden="1" customHeight="1" x14ac:dyDescent="0.25">
      <c r="A973" s="12" t="s">
        <v>1394</v>
      </c>
      <c r="B973" s="12" t="s">
        <v>1395</v>
      </c>
      <c r="C973" s="14">
        <v>1568.34</v>
      </c>
      <c r="D973" s="12"/>
      <c r="E973" s="14"/>
    </row>
    <row r="974" spans="1:5" ht="11.1" hidden="1" customHeight="1" x14ac:dyDescent="0.25">
      <c r="A974" s="12" t="s">
        <v>1396</v>
      </c>
      <c r="B974" s="12" t="s">
        <v>780</v>
      </c>
      <c r="C974" s="14">
        <v>208.33</v>
      </c>
      <c r="D974" s="12"/>
      <c r="E974" s="13"/>
    </row>
    <row r="975" spans="1:5" ht="23.1" hidden="1" customHeight="1" x14ac:dyDescent="0.25">
      <c r="A975" s="12" t="s">
        <v>1397</v>
      </c>
      <c r="B975" s="12" t="s">
        <v>288</v>
      </c>
      <c r="C975" s="14">
        <v>333.33</v>
      </c>
      <c r="D975" s="12"/>
      <c r="E975" s="13"/>
    </row>
    <row r="976" spans="1:5" ht="23.1" hidden="1" customHeight="1" x14ac:dyDescent="0.25">
      <c r="A976" s="12" t="s">
        <v>1398</v>
      </c>
      <c r="B976" s="12" t="s">
        <v>497</v>
      </c>
      <c r="C976" s="14">
        <v>385.83</v>
      </c>
      <c r="D976" s="12"/>
      <c r="E976" s="13"/>
    </row>
    <row r="977" spans="1:5" ht="11.1" hidden="1" customHeight="1" x14ac:dyDescent="0.25">
      <c r="A977" s="12" t="s">
        <v>1399</v>
      </c>
      <c r="B977" s="12" t="s">
        <v>387</v>
      </c>
      <c r="C977" s="14">
        <v>1849.17</v>
      </c>
      <c r="D977" s="12"/>
      <c r="E977" s="14"/>
    </row>
    <row r="978" spans="1:5" ht="11.1" hidden="1" customHeight="1" x14ac:dyDescent="0.25">
      <c r="A978" s="12" t="s">
        <v>1400</v>
      </c>
      <c r="B978" s="12" t="s">
        <v>387</v>
      </c>
      <c r="C978" s="14">
        <v>212.5</v>
      </c>
      <c r="D978" s="12"/>
      <c r="E978" s="13"/>
    </row>
    <row r="979" spans="1:5" ht="11.1" hidden="1" customHeight="1" x14ac:dyDescent="0.25">
      <c r="A979" s="12" t="s">
        <v>1401</v>
      </c>
      <c r="B979" s="12" t="s">
        <v>497</v>
      </c>
      <c r="C979" s="14">
        <v>247.5</v>
      </c>
      <c r="D979" s="12"/>
      <c r="E979" s="13"/>
    </row>
    <row r="980" spans="1:5" ht="11.1" hidden="1" customHeight="1" x14ac:dyDescent="0.25">
      <c r="A980" s="12" t="s">
        <v>1402</v>
      </c>
      <c r="B980" s="12" t="s">
        <v>180</v>
      </c>
      <c r="C980" s="14">
        <v>933.33</v>
      </c>
      <c r="D980" s="12"/>
      <c r="E980" s="13"/>
    </row>
    <row r="981" spans="1:5" ht="23.1" hidden="1" customHeight="1" x14ac:dyDescent="0.25">
      <c r="A981" s="12" t="s">
        <v>1403</v>
      </c>
      <c r="B981" s="12" t="s">
        <v>523</v>
      </c>
      <c r="C981" s="14">
        <v>89.17</v>
      </c>
      <c r="D981" s="12"/>
      <c r="E981" s="13"/>
    </row>
    <row r="982" spans="1:5" ht="23.1" hidden="1" customHeight="1" x14ac:dyDescent="0.25">
      <c r="A982" s="12" t="s">
        <v>1404</v>
      </c>
      <c r="B982" s="12" t="s">
        <v>1405</v>
      </c>
      <c r="C982" s="14">
        <v>133.33000000000001</v>
      </c>
      <c r="D982" s="12"/>
      <c r="E982" s="13"/>
    </row>
    <row r="983" spans="1:5" ht="23.1" hidden="1" customHeight="1" x14ac:dyDescent="0.25">
      <c r="A983" s="12" t="s">
        <v>1406</v>
      </c>
      <c r="B983" s="12" t="s">
        <v>309</v>
      </c>
      <c r="C983" s="14">
        <v>178.33</v>
      </c>
      <c r="D983" s="12"/>
      <c r="E983" s="13"/>
    </row>
    <row r="984" spans="1:5" ht="23.1" hidden="1" customHeight="1" x14ac:dyDescent="0.25">
      <c r="A984" s="12" t="s">
        <v>1407</v>
      </c>
      <c r="B984" s="12" t="s">
        <v>309</v>
      </c>
      <c r="C984" s="14">
        <v>106.67</v>
      </c>
      <c r="D984" s="12"/>
      <c r="E984" s="13"/>
    </row>
    <row r="985" spans="1:5" ht="23.1" hidden="1" customHeight="1" x14ac:dyDescent="0.25">
      <c r="A985" s="12" t="s">
        <v>1408</v>
      </c>
      <c r="B985" s="12" t="s">
        <v>1409</v>
      </c>
      <c r="C985" s="14">
        <v>361.67</v>
      </c>
      <c r="D985" s="12"/>
      <c r="E985" s="13"/>
    </row>
    <row r="986" spans="1:5" ht="11.1" hidden="1" customHeight="1" x14ac:dyDescent="0.25">
      <c r="A986" s="12" t="s">
        <v>1410</v>
      </c>
      <c r="B986" s="12" t="s">
        <v>205</v>
      </c>
      <c r="C986" s="14">
        <v>296.67</v>
      </c>
      <c r="D986" s="12"/>
      <c r="E986" s="13"/>
    </row>
    <row r="987" spans="1:5" ht="23.1" hidden="1" customHeight="1" x14ac:dyDescent="0.25">
      <c r="A987" s="12" t="s">
        <v>1411</v>
      </c>
      <c r="B987" s="12" t="s">
        <v>1412</v>
      </c>
      <c r="C987" s="14">
        <v>1191.67</v>
      </c>
      <c r="D987" s="12"/>
      <c r="E987" s="14"/>
    </row>
    <row r="988" spans="1:5" ht="11.1" hidden="1" customHeight="1" x14ac:dyDescent="0.25">
      <c r="A988" s="12" t="s">
        <v>1413</v>
      </c>
      <c r="B988" s="12" t="s">
        <v>1414</v>
      </c>
      <c r="C988" s="14">
        <v>425000</v>
      </c>
      <c r="D988" s="12"/>
      <c r="E988" s="14"/>
    </row>
    <row r="989" spans="1:5" ht="11.1" hidden="1" customHeight="1" x14ac:dyDescent="0.25">
      <c r="A989" s="12" t="s">
        <v>1415</v>
      </c>
      <c r="B989" s="12" t="s">
        <v>1414</v>
      </c>
      <c r="C989" s="14">
        <v>519166.67</v>
      </c>
      <c r="D989" s="12"/>
      <c r="E989" s="14"/>
    </row>
    <row r="990" spans="1:5" ht="11.1" hidden="1" customHeight="1" x14ac:dyDescent="0.25">
      <c r="A990" s="12" t="s">
        <v>1416</v>
      </c>
      <c r="B990" s="12" t="s">
        <v>1417</v>
      </c>
      <c r="C990" s="14">
        <v>783.33</v>
      </c>
      <c r="D990" s="12"/>
      <c r="E990" s="13"/>
    </row>
    <row r="991" spans="1:5" ht="23.1" hidden="1" customHeight="1" x14ac:dyDescent="0.25">
      <c r="A991" s="12" t="s">
        <v>1418</v>
      </c>
      <c r="B991" s="12" t="s">
        <v>1419</v>
      </c>
      <c r="C991" s="14">
        <v>148.91</v>
      </c>
      <c r="D991" s="12"/>
      <c r="E991" s="13"/>
    </row>
    <row r="992" spans="1:5" ht="11.1" hidden="1" customHeight="1" x14ac:dyDescent="0.25">
      <c r="A992" s="12" t="s">
        <v>1420</v>
      </c>
      <c r="B992" s="12" t="s">
        <v>136</v>
      </c>
      <c r="C992" s="14">
        <v>2214.7399999999998</v>
      </c>
      <c r="D992" s="12"/>
      <c r="E992" s="14"/>
    </row>
    <row r="993" spans="1:5" ht="23.1" hidden="1" customHeight="1" x14ac:dyDescent="0.25">
      <c r="A993" s="12" t="s">
        <v>1421</v>
      </c>
      <c r="B993" s="12" t="s">
        <v>136</v>
      </c>
      <c r="C993" s="14">
        <v>88.59</v>
      </c>
      <c r="D993" s="12"/>
      <c r="E993" s="13"/>
    </row>
    <row r="994" spans="1:5" ht="23.1" hidden="1" customHeight="1" x14ac:dyDescent="0.25">
      <c r="A994" s="12" t="s">
        <v>1422</v>
      </c>
      <c r="B994" s="12" t="s">
        <v>116</v>
      </c>
      <c r="C994" s="14">
        <v>119.97</v>
      </c>
      <c r="D994" s="12"/>
      <c r="E994" s="13"/>
    </row>
    <row r="995" spans="1:5" ht="11.1" hidden="1" customHeight="1" x14ac:dyDescent="0.25">
      <c r="A995" s="12" t="s">
        <v>1423</v>
      </c>
      <c r="B995" s="12" t="s">
        <v>86</v>
      </c>
      <c r="C995" s="14">
        <v>47.5</v>
      </c>
      <c r="D995" s="12"/>
      <c r="E995" s="13"/>
    </row>
    <row r="996" spans="1:5" ht="23.1" hidden="1" customHeight="1" x14ac:dyDescent="0.25">
      <c r="A996" s="12" t="s">
        <v>1424</v>
      </c>
      <c r="B996" s="12" t="s">
        <v>299</v>
      </c>
      <c r="C996" s="14">
        <v>216.67</v>
      </c>
      <c r="D996" s="12"/>
      <c r="E996" s="13"/>
    </row>
    <row r="997" spans="1:5" ht="23.1" hidden="1" customHeight="1" x14ac:dyDescent="0.25">
      <c r="A997" s="12" t="s">
        <v>1425</v>
      </c>
      <c r="B997" s="12" t="s">
        <v>769</v>
      </c>
      <c r="C997" s="14">
        <v>259.17</v>
      </c>
      <c r="D997" s="12"/>
      <c r="E997" s="13"/>
    </row>
    <row r="998" spans="1:5" ht="23.1" hidden="1" customHeight="1" x14ac:dyDescent="0.25">
      <c r="A998" s="12" t="s">
        <v>1426</v>
      </c>
      <c r="B998" s="12" t="s">
        <v>231</v>
      </c>
      <c r="C998" s="14">
        <v>9500</v>
      </c>
      <c r="D998" s="12"/>
      <c r="E998" s="14"/>
    </row>
    <row r="999" spans="1:5" ht="11.1" hidden="1" customHeight="1" x14ac:dyDescent="0.25">
      <c r="A999" s="12" t="s">
        <v>1427</v>
      </c>
      <c r="B999" s="12" t="s">
        <v>180</v>
      </c>
      <c r="C999" s="14">
        <v>1548.33</v>
      </c>
      <c r="D999" s="12"/>
      <c r="E999" s="14"/>
    </row>
    <row r="1000" spans="1:5" ht="11.1" hidden="1" customHeight="1" x14ac:dyDescent="0.25">
      <c r="A1000" s="12" t="s">
        <v>1428</v>
      </c>
      <c r="B1000" s="12" t="s">
        <v>1429</v>
      </c>
      <c r="C1000" s="14">
        <v>750.83</v>
      </c>
      <c r="D1000" s="12"/>
      <c r="E1000" s="13"/>
    </row>
    <row r="1001" spans="1:5" ht="11.1" hidden="1" customHeight="1" x14ac:dyDescent="0.25">
      <c r="A1001" s="12" t="s">
        <v>1430</v>
      </c>
      <c r="B1001" s="12" t="s">
        <v>1431</v>
      </c>
      <c r="C1001" s="14">
        <v>595.83000000000004</v>
      </c>
      <c r="D1001" s="12"/>
      <c r="E1001" s="13"/>
    </row>
    <row r="1002" spans="1:5" ht="11.1" hidden="1" customHeight="1" x14ac:dyDescent="0.25">
      <c r="A1002" s="12" t="s">
        <v>1432</v>
      </c>
      <c r="B1002" s="12" t="s">
        <v>1431</v>
      </c>
      <c r="C1002" s="14">
        <v>708.33</v>
      </c>
      <c r="D1002" s="12"/>
      <c r="E1002" s="13"/>
    </row>
    <row r="1003" spans="1:5" ht="11.1" hidden="1" customHeight="1" x14ac:dyDescent="0.25">
      <c r="A1003" s="12" t="s">
        <v>1433</v>
      </c>
      <c r="B1003" s="12" t="s">
        <v>1429</v>
      </c>
      <c r="C1003" s="14">
        <v>100.83</v>
      </c>
      <c r="D1003" s="12"/>
      <c r="E1003" s="13"/>
    </row>
    <row r="1004" spans="1:5" ht="11.1" hidden="1" customHeight="1" x14ac:dyDescent="0.25">
      <c r="A1004" s="12" t="s">
        <v>1434</v>
      </c>
      <c r="B1004" s="12" t="s">
        <v>1429</v>
      </c>
      <c r="C1004" s="14">
        <v>225</v>
      </c>
      <c r="D1004" s="12"/>
      <c r="E1004" s="13"/>
    </row>
    <row r="1005" spans="1:5" ht="11.1" hidden="1" customHeight="1" x14ac:dyDescent="0.25">
      <c r="A1005" s="12" t="s">
        <v>1435</v>
      </c>
      <c r="B1005" s="12" t="s">
        <v>1436</v>
      </c>
      <c r="C1005" s="14">
        <v>98.33</v>
      </c>
      <c r="D1005" s="12"/>
      <c r="E1005" s="13"/>
    </row>
    <row r="1006" spans="1:5" ht="11.1" hidden="1" customHeight="1" x14ac:dyDescent="0.25">
      <c r="A1006" s="12" t="s">
        <v>1437</v>
      </c>
      <c r="B1006" s="12" t="s">
        <v>213</v>
      </c>
      <c r="C1006" s="14">
        <v>16.61</v>
      </c>
      <c r="D1006" s="12"/>
      <c r="E1006" s="13"/>
    </row>
    <row r="1007" spans="1:5" ht="11.1" hidden="1" customHeight="1" x14ac:dyDescent="0.25">
      <c r="A1007" s="12" t="s">
        <v>1438</v>
      </c>
      <c r="B1007" s="12" t="s">
        <v>254</v>
      </c>
      <c r="C1007" s="14">
        <v>2.68</v>
      </c>
      <c r="D1007" s="12"/>
      <c r="E1007" s="13"/>
    </row>
    <row r="1008" spans="1:5" ht="11.1" hidden="1" customHeight="1" x14ac:dyDescent="0.25">
      <c r="A1008" s="12" t="s">
        <v>1439</v>
      </c>
      <c r="B1008" s="12" t="s">
        <v>136</v>
      </c>
      <c r="C1008" s="14">
        <v>86.23</v>
      </c>
      <c r="D1008" s="12"/>
      <c r="E1008" s="13"/>
    </row>
    <row r="1009" spans="1:5" ht="11.1" hidden="1" customHeight="1" x14ac:dyDescent="0.25">
      <c r="A1009" s="12" t="s">
        <v>1440</v>
      </c>
      <c r="B1009" s="12" t="s">
        <v>1441</v>
      </c>
      <c r="C1009" s="14">
        <v>9147.5</v>
      </c>
      <c r="D1009" s="12"/>
      <c r="E1009" s="14"/>
    </row>
    <row r="1010" spans="1:5" ht="11.1" hidden="1" customHeight="1" x14ac:dyDescent="0.25">
      <c r="A1010" s="12" t="s">
        <v>1442</v>
      </c>
      <c r="B1010" s="12" t="s">
        <v>1443</v>
      </c>
      <c r="C1010" s="14">
        <v>10020</v>
      </c>
      <c r="D1010" s="12"/>
      <c r="E1010" s="14"/>
    </row>
    <row r="1011" spans="1:5" ht="11.1" hidden="1" customHeight="1" x14ac:dyDescent="0.25">
      <c r="A1011" s="12" t="s">
        <v>1444</v>
      </c>
      <c r="B1011" s="12" t="s">
        <v>1445</v>
      </c>
      <c r="C1011" s="14">
        <v>10526.67</v>
      </c>
      <c r="D1011" s="12"/>
      <c r="E1011" s="14"/>
    </row>
    <row r="1012" spans="1:5" ht="11.1" hidden="1" customHeight="1" x14ac:dyDescent="0.25">
      <c r="A1012" s="12" t="s">
        <v>1446</v>
      </c>
      <c r="B1012" s="12" t="s">
        <v>1447</v>
      </c>
      <c r="C1012" s="14">
        <v>11708.34</v>
      </c>
      <c r="D1012" s="12"/>
      <c r="E1012" s="14"/>
    </row>
    <row r="1013" spans="1:5" ht="11.1" hidden="1" customHeight="1" x14ac:dyDescent="0.25">
      <c r="A1013" s="12" t="s">
        <v>1448</v>
      </c>
      <c r="B1013" s="12" t="s">
        <v>1449</v>
      </c>
      <c r="C1013" s="14">
        <v>11117.5</v>
      </c>
      <c r="D1013" s="12"/>
      <c r="E1013" s="14"/>
    </row>
    <row r="1014" spans="1:5" ht="11.1" hidden="1" customHeight="1" x14ac:dyDescent="0.25">
      <c r="A1014" s="12" t="s">
        <v>1450</v>
      </c>
      <c r="B1014" s="12" t="s">
        <v>650</v>
      </c>
      <c r="C1014" s="14">
        <v>311.67</v>
      </c>
      <c r="D1014" s="12"/>
      <c r="E1014" s="13"/>
    </row>
    <row r="1015" spans="1:5" ht="11.1" hidden="1" customHeight="1" x14ac:dyDescent="0.25">
      <c r="A1015" s="12" t="s">
        <v>1451</v>
      </c>
      <c r="B1015" s="12" t="s">
        <v>1452</v>
      </c>
      <c r="C1015" s="14">
        <v>155.83000000000001</v>
      </c>
      <c r="D1015" s="12"/>
      <c r="E1015" s="13"/>
    </row>
    <row r="1016" spans="1:5" ht="11.1" hidden="1" customHeight="1" x14ac:dyDescent="0.25">
      <c r="A1016" s="12" t="s">
        <v>1453</v>
      </c>
      <c r="B1016" s="12" t="s">
        <v>205</v>
      </c>
      <c r="C1016" s="14">
        <v>6800</v>
      </c>
      <c r="D1016" s="12"/>
      <c r="E1016" s="14"/>
    </row>
    <row r="1017" spans="1:5" ht="11.1" hidden="1" customHeight="1" x14ac:dyDescent="0.25">
      <c r="A1017" s="12" t="s">
        <v>1454</v>
      </c>
      <c r="B1017" s="12" t="s">
        <v>582</v>
      </c>
      <c r="C1017" s="14">
        <v>11126.67</v>
      </c>
      <c r="D1017" s="12"/>
      <c r="E1017" s="14"/>
    </row>
    <row r="1018" spans="1:5" ht="11.1" hidden="1" customHeight="1" x14ac:dyDescent="0.25">
      <c r="A1018" s="12" t="s">
        <v>1455</v>
      </c>
      <c r="B1018" s="12" t="s">
        <v>1456</v>
      </c>
      <c r="C1018" s="14">
        <v>7280</v>
      </c>
      <c r="D1018" s="12"/>
      <c r="E1018" s="14"/>
    </row>
    <row r="1019" spans="1:5" ht="11.1" hidden="1" customHeight="1" x14ac:dyDescent="0.25">
      <c r="A1019" s="12" t="s">
        <v>1457</v>
      </c>
      <c r="B1019" s="12" t="s">
        <v>582</v>
      </c>
      <c r="C1019" s="14">
        <v>759.17</v>
      </c>
      <c r="D1019" s="12"/>
      <c r="E1019" s="13"/>
    </row>
    <row r="1020" spans="1:5" ht="11.1" hidden="1" customHeight="1" x14ac:dyDescent="0.25">
      <c r="A1020" s="12" t="s">
        <v>1458</v>
      </c>
      <c r="B1020" s="12" t="s">
        <v>862</v>
      </c>
      <c r="C1020" s="14">
        <v>3615</v>
      </c>
      <c r="D1020" s="12"/>
      <c r="E1020" s="14"/>
    </row>
    <row r="1021" spans="1:5" ht="11.1" hidden="1" customHeight="1" x14ac:dyDescent="0.25">
      <c r="A1021" s="12" t="s">
        <v>1459</v>
      </c>
      <c r="B1021" s="12" t="s">
        <v>439</v>
      </c>
      <c r="C1021" s="14">
        <v>2052.3000000000002</v>
      </c>
      <c r="D1021" s="12"/>
      <c r="E1021" s="14"/>
    </row>
    <row r="1022" spans="1:5" ht="11.1" hidden="1" customHeight="1" x14ac:dyDescent="0.25">
      <c r="A1022" s="12" t="s">
        <v>1460</v>
      </c>
      <c r="B1022" s="12" t="s">
        <v>439</v>
      </c>
      <c r="C1022" s="14">
        <v>5743.5</v>
      </c>
      <c r="D1022" s="12"/>
      <c r="E1022" s="14"/>
    </row>
    <row r="1023" spans="1:5" ht="11.1" hidden="1" customHeight="1" x14ac:dyDescent="0.25">
      <c r="A1023" s="12" t="s">
        <v>1461</v>
      </c>
      <c r="B1023" s="12" t="s">
        <v>254</v>
      </c>
      <c r="C1023" s="14">
        <v>6.86</v>
      </c>
      <c r="D1023" s="12"/>
      <c r="E1023" s="13"/>
    </row>
    <row r="1024" spans="1:5" ht="11.1" hidden="1" customHeight="1" x14ac:dyDescent="0.25">
      <c r="A1024" s="12" t="s">
        <v>1462</v>
      </c>
      <c r="B1024" s="12" t="s">
        <v>254</v>
      </c>
      <c r="C1024" s="14">
        <v>30.78</v>
      </c>
      <c r="D1024" s="12"/>
      <c r="E1024" s="13"/>
    </row>
    <row r="1025" spans="1:5" ht="23.1" hidden="1" customHeight="1" x14ac:dyDescent="0.25">
      <c r="A1025" s="12" t="s">
        <v>1463</v>
      </c>
      <c r="B1025" s="12" t="s">
        <v>84</v>
      </c>
      <c r="C1025" s="14">
        <v>1.92</v>
      </c>
      <c r="D1025" s="12"/>
      <c r="E1025" s="13"/>
    </row>
    <row r="1026" spans="1:5" ht="23.1" hidden="1" customHeight="1" x14ac:dyDescent="0.25">
      <c r="A1026" s="12" t="s">
        <v>1464</v>
      </c>
      <c r="B1026" s="12" t="s">
        <v>84</v>
      </c>
      <c r="C1026" s="14">
        <v>1.92</v>
      </c>
      <c r="D1026" s="12"/>
      <c r="E1026" s="13"/>
    </row>
    <row r="1027" spans="1:5" ht="11.1" hidden="1" customHeight="1" x14ac:dyDescent="0.25">
      <c r="A1027" s="12" t="s">
        <v>1465</v>
      </c>
      <c r="B1027" s="12" t="s">
        <v>663</v>
      </c>
      <c r="C1027" s="14">
        <v>86.67</v>
      </c>
      <c r="D1027" s="12"/>
      <c r="E1027" s="13"/>
    </row>
    <row r="1028" spans="1:5" ht="23.1" hidden="1" customHeight="1" x14ac:dyDescent="0.25">
      <c r="A1028" s="12" t="s">
        <v>1466</v>
      </c>
      <c r="B1028" s="12" t="s">
        <v>663</v>
      </c>
      <c r="C1028" s="14">
        <v>86.67</v>
      </c>
      <c r="D1028" s="12"/>
      <c r="E1028" s="13"/>
    </row>
    <row r="1029" spans="1:5" ht="11.1" hidden="1" customHeight="1" x14ac:dyDescent="0.25">
      <c r="A1029" s="12" t="s">
        <v>1467</v>
      </c>
      <c r="B1029" s="12" t="s">
        <v>1468</v>
      </c>
      <c r="C1029" s="14">
        <v>172.5</v>
      </c>
      <c r="D1029" s="12"/>
      <c r="E1029" s="13"/>
    </row>
    <row r="1030" spans="1:5" ht="11.1" hidden="1" customHeight="1" x14ac:dyDescent="0.25">
      <c r="A1030" s="12" t="s">
        <v>1469</v>
      </c>
      <c r="B1030" s="12" t="s">
        <v>1470</v>
      </c>
      <c r="C1030" s="14">
        <v>133.33000000000001</v>
      </c>
      <c r="D1030" s="12"/>
      <c r="E1030" s="13"/>
    </row>
    <row r="1031" spans="1:5" ht="23.1" hidden="1" customHeight="1" x14ac:dyDescent="0.25">
      <c r="A1031" s="12" t="s">
        <v>1471</v>
      </c>
      <c r="B1031" s="12" t="s">
        <v>297</v>
      </c>
      <c r="C1031" s="14">
        <v>8241.67</v>
      </c>
      <c r="D1031" s="12"/>
      <c r="E1031" s="14"/>
    </row>
    <row r="1032" spans="1:5" ht="11.1" hidden="1" customHeight="1" x14ac:dyDescent="0.25">
      <c r="A1032" s="12" t="s">
        <v>1472</v>
      </c>
      <c r="B1032" s="12" t="s">
        <v>439</v>
      </c>
      <c r="C1032" s="14">
        <v>2138.4</v>
      </c>
      <c r="D1032" s="12"/>
      <c r="E1032" s="14"/>
    </row>
    <row r="1033" spans="1:5" ht="11.1" hidden="1" customHeight="1" x14ac:dyDescent="0.25">
      <c r="A1033" s="12" t="s">
        <v>1473</v>
      </c>
      <c r="B1033" s="12" t="s">
        <v>439</v>
      </c>
      <c r="C1033" s="14">
        <v>3645.5</v>
      </c>
      <c r="D1033" s="12"/>
      <c r="E1033" s="14"/>
    </row>
    <row r="1034" spans="1:5" ht="11.1" hidden="1" customHeight="1" x14ac:dyDescent="0.25">
      <c r="A1034" s="12" t="s">
        <v>1474</v>
      </c>
      <c r="B1034" s="12" t="s">
        <v>439</v>
      </c>
      <c r="C1034" s="14">
        <v>2396.6999999999998</v>
      </c>
      <c r="D1034" s="12"/>
      <c r="E1034" s="14"/>
    </row>
    <row r="1035" spans="1:5" ht="11.1" hidden="1" customHeight="1" x14ac:dyDescent="0.25">
      <c r="A1035" s="12" t="s">
        <v>1475</v>
      </c>
      <c r="B1035" s="12" t="s">
        <v>102</v>
      </c>
      <c r="C1035" s="14">
        <v>20</v>
      </c>
      <c r="D1035" s="12"/>
      <c r="E1035" s="13"/>
    </row>
    <row r="1036" spans="1:5" ht="11.1" hidden="1" customHeight="1" x14ac:dyDescent="0.25">
      <c r="A1036" s="12" t="s">
        <v>1476</v>
      </c>
      <c r="B1036" s="12" t="s">
        <v>439</v>
      </c>
      <c r="C1036" s="14">
        <v>686.9</v>
      </c>
      <c r="D1036" s="12"/>
      <c r="E1036" s="13"/>
    </row>
    <row r="1037" spans="1:5" ht="11.1" hidden="1" customHeight="1" x14ac:dyDescent="0.25">
      <c r="A1037" s="12" t="s">
        <v>1477</v>
      </c>
      <c r="B1037" s="12" t="s">
        <v>439</v>
      </c>
      <c r="C1037" s="14">
        <v>686.9</v>
      </c>
      <c r="D1037" s="12"/>
      <c r="E1037" s="13"/>
    </row>
    <row r="1038" spans="1:5" ht="11.1" hidden="1" customHeight="1" x14ac:dyDescent="0.25">
      <c r="A1038" s="12" t="s">
        <v>1478</v>
      </c>
      <c r="B1038" s="12" t="s">
        <v>439</v>
      </c>
      <c r="C1038" s="14">
        <v>1407.1</v>
      </c>
      <c r="D1038" s="12"/>
      <c r="E1038" s="14"/>
    </row>
    <row r="1039" spans="1:5" ht="11.1" hidden="1" customHeight="1" x14ac:dyDescent="0.25">
      <c r="A1039" s="12" t="s">
        <v>1479</v>
      </c>
      <c r="B1039" s="12" t="s">
        <v>439</v>
      </c>
      <c r="C1039" s="14">
        <v>1681</v>
      </c>
      <c r="D1039" s="12"/>
      <c r="E1039" s="14"/>
    </row>
    <row r="1040" spans="1:5" ht="11.1" hidden="1" customHeight="1" x14ac:dyDescent="0.25">
      <c r="A1040" s="12" t="s">
        <v>1480</v>
      </c>
      <c r="B1040" s="12" t="s">
        <v>439</v>
      </c>
      <c r="C1040" s="14">
        <v>1681</v>
      </c>
      <c r="D1040" s="12"/>
      <c r="E1040" s="14"/>
    </row>
    <row r="1041" spans="1:5" ht="11.1" hidden="1" customHeight="1" x14ac:dyDescent="0.25">
      <c r="A1041" s="12" t="s">
        <v>1481</v>
      </c>
      <c r="B1041" s="12" t="s">
        <v>439</v>
      </c>
      <c r="C1041" s="14">
        <v>4288</v>
      </c>
      <c r="D1041" s="12"/>
      <c r="E1041" s="14"/>
    </row>
    <row r="1042" spans="1:5" ht="11.1" hidden="1" customHeight="1" x14ac:dyDescent="0.25">
      <c r="A1042" s="12" t="s">
        <v>1482</v>
      </c>
      <c r="B1042" s="12" t="s">
        <v>80</v>
      </c>
      <c r="C1042" s="14">
        <v>52.5</v>
      </c>
      <c r="D1042" s="12"/>
      <c r="E1042" s="13"/>
    </row>
    <row r="1043" spans="1:5" ht="11.1" hidden="1" customHeight="1" x14ac:dyDescent="0.25">
      <c r="A1043" s="12" t="s">
        <v>1483</v>
      </c>
      <c r="B1043" s="12" t="s">
        <v>439</v>
      </c>
      <c r="C1043" s="14">
        <v>2245.8000000000002</v>
      </c>
      <c r="D1043" s="12"/>
      <c r="E1043" s="14"/>
    </row>
    <row r="1044" spans="1:5" ht="11.1" hidden="1" customHeight="1" x14ac:dyDescent="0.25">
      <c r="A1044" s="12" t="s">
        <v>1484</v>
      </c>
      <c r="B1044" s="12" t="s">
        <v>612</v>
      </c>
      <c r="C1044" s="14">
        <v>2980</v>
      </c>
      <c r="D1044" s="12"/>
      <c r="E1044" s="14"/>
    </row>
    <row r="1045" spans="1:5" ht="11.1" hidden="1" customHeight="1" x14ac:dyDescent="0.25">
      <c r="A1045" s="12" t="s">
        <v>1485</v>
      </c>
      <c r="B1045" s="12" t="s">
        <v>612</v>
      </c>
      <c r="C1045" s="14">
        <v>1239</v>
      </c>
      <c r="D1045" s="12"/>
      <c r="E1045" s="14"/>
    </row>
    <row r="1046" spans="1:5" ht="11.1" hidden="1" customHeight="1" x14ac:dyDescent="0.25">
      <c r="A1046" s="12" t="s">
        <v>1486</v>
      </c>
      <c r="B1046" s="12" t="s">
        <v>1470</v>
      </c>
      <c r="C1046" s="14">
        <v>292.5</v>
      </c>
      <c r="D1046" s="12"/>
      <c r="E1046" s="13"/>
    </row>
    <row r="1047" spans="1:5" ht="11.1" hidden="1" customHeight="1" x14ac:dyDescent="0.25">
      <c r="A1047" s="12" t="s">
        <v>1487</v>
      </c>
      <c r="B1047" s="12" t="s">
        <v>1488</v>
      </c>
      <c r="C1047" s="14">
        <v>5.28</v>
      </c>
      <c r="D1047" s="12"/>
      <c r="E1047" s="13"/>
    </row>
    <row r="1048" spans="1:5" ht="11.1" hidden="1" customHeight="1" x14ac:dyDescent="0.25">
      <c r="A1048" s="12" t="s">
        <v>1489</v>
      </c>
      <c r="B1048" s="12" t="s">
        <v>1490</v>
      </c>
      <c r="C1048" s="14">
        <v>695</v>
      </c>
      <c r="D1048" s="12"/>
      <c r="E1048" s="13"/>
    </row>
    <row r="1049" spans="1:5" ht="11.1" hidden="1" customHeight="1" x14ac:dyDescent="0.25">
      <c r="A1049" s="12" t="s">
        <v>1491</v>
      </c>
      <c r="B1049" s="12" t="s">
        <v>969</v>
      </c>
      <c r="C1049" s="14">
        <v>292.5</v>
      </c>
      <c r="D1049" s="12"/>
      <c r="E1049" s="13"/>
    </row>
    <row r="1050" spans="1:5" ht="11.1" hidden="1" customHeight="1" x14ac:dyDescent="0.25">
      <c r="A1050" s="12" t="s">
        <v>1492</v>
      </c>
      <c r="B1050" s="12" t="s">
        <v>497</v>
      </c>
      <c r="C1050" s="14">
        <v>296.67</v>
      </c>
      <c r="D1050" s="12"/>
      <c r="E1050" s="13"/>
    </row>
    <row r="1051" spans="1:5" ht="11.1" hidden="1" customHeight="1" x14ac:dyDescent="0.25">
      <c r="A1051" s="12" t="s">
        <v>1493</v>
      </c>
      <c r="B1051" s="12" t="s">
        <v>288</v>
      </c>
      <c r="C1051" s="14">
        <v>375</v>
      </c>
      <c r="D1051" s="12"/>
      <c r="E1051" s="13"/>
    </row>
    <row r="1052" spans="1:5" ht="11.1" hidden="1" customHeight="1" x14ac:dyDescent="0.25">
      <c r="A1052" s="12" t="s">
        <v>1494</v>
      </c>
      <c r="B1052" s="12" t="s">
        <v>254</v>
      </c>
      <c r="C1052" s="14">
        <v>20.57</v>
      </c>
      <c r="D1052" s="12"/>
      <c r="E1052" s="13"/>
    </row>
    <row r="1053" spans="1:5" ht="11.1" hidden="1" customHeight="1" x14ac:dyDescent="0.25">
      <c r="A1053" s="12" t="s">
        <v>1495</v>
      </c>
      <c r="B1053" s="12" t="s">
        <v>254</v>
      </c>
      <c r="C1053" s="14">
        <v>20.11</v>
      </c>
      <c r="D1053" s="12"/>
      <c r="E1053" s="13"/>
    </row>
    <row r="1054" spans="1:5" ht="11.1" hidden="1" customHeight="1" x14ac:dyDescent="0.25">
      <c r="A1054" s="12" t="s">
        <v>1496</v>
      </c>
      <c r="B1054" s="12" t="s">
        <v>1497</v>
      </c>
      <c r="C1054" s="14">
        <v>30106.67</v>
      </c>
      <c r="D1054" s="12"/>
      <c r="E1054" s="14"/>
    </row>
    <row r="1055" spans="1:5" ht="11.1" hidden="1" customHeight="1" x14ac:dyDescent="0.25">
      <c r="A1055" s="12" t="s">
        <v>1498</v>
      </c>
      <c r="B1055" s="12" t="s">
        <v>285</v>
      </c>
      <c r="C1055" s="14">
        <v>210.83</v>
      </c>
      <c r="D1055" s="12"/>
      <c r="E1055" s="13"/>
    </row>
    <row r="1056" spans="1:5" ht="11.1" hidden="1" customHeight="1" x14ac:dyDescent="0.25">
      <c r="A1056" s="12" t="s">
        <v>1499</v>
      </c>
      <c r="B1056" s="12" t="s">
        <v>1500</v>
      </c>
      <c r="C1056" s="14">
        <v>3775</v>
      </c>
      <c r="D1056" s="12"/>
      <c r="E1056" s="14"/>
    </row>
    <row r="1057" spans="1:5" ht="11.1" hidden="1" customHeight="1" x14ac:dyDescent="0.25">
      <c r="A1057" s="12" t="s">
        <v>1501</v>
      </c>
      <c r="B1057" s="12" t="s">
        <v>1502</v>
      </c>
      <c r="C1057" s="14">
        <v>3029.17</v>
      </c>
      <c r="D1057" s="12"/>
      <c r="E1057" s="14"/>
    </row>
    <row r="1058" spans="1:5" ht="11.1" hidden="1" customHeight="1" x14ac:dyDescent="0.25">
      <c r="A1058" s="12" t="s">
        <v>1503</v>
      </c>
      <c r="B1058" s="12" t="s">
        <v>66</v>
      </c>
      <c r="C1058" s="14">
        <v>31500</v>
      </c>
      <c r="D1058" s="12"/>
      <c r="E1058" s="14"/>
    </row>
    <row r="1059" spans="1:5" ht="11.1" hidden="1" customHeight="1" x14ac:dyDescent="0.25">
      <c r="A1059" s="12" t="s">
        <v>1504</v>
      </c>
      <c r="B1059" s="12" t="s">
        <v>1505</v>
      </c>
      <c r="C1059" s="14">
        <v>2701.4</v>
      </c>
      <c r="D1059" s="12"/>
      <c r="E1059" s="14"/>
    </row>
    <row r="1060" spans="1:5" ht="11.1" hidden="1" customHeight="1" x14ac:dyDescent="0.25">
      <c r="A1060" s="12" t="s">
        <v>1506</v>
      </c>
      <c r="B1060" s="12" t="s">
        <v>1505</v>
      </c>
      <c r="C1060" s="14">
        <v>2701.4</v>
      </c>
      <c r="D1060" s="12"/>
      <c r="E1060" s="14"/>
    </row>
    <row r="1061" spans="1:5" ht="11.1" hidden="1" customHeight="1" x14ac:dyDescent="0.25">
      <c r="A1061" s="12" t="s">
        <v>1507</v>
      </c>
      <c r="B1061" s="12" t="s">
        <v>1505</v>
      </c>
      <c r="C1061" s="14">
        <v>2701.4</v>
      </c>
      <c r="D1061" s="12"/>
      <c r="E1061" s="14"/>
    </row>
    <row r="1062" spans="1:5" ht="23.1" hidden="1" customHeight="1" x14ac:dyDescent="0.25">
      <c r="A1062" s="12" t="s">
        <v>1508</v>
      </c>
      <c r="B1062" s="12" t="s">
        <v>1505</v>
      </c>
      <c r="C1062" s="14">
        <v>4863.5</v>
      </c>
      <c r="D1062" s="12"/>
      <c r="E1062" s="14"/>
    </row>
    <row r="1063" spans="1:5" ht="11.1" hidden="1" customHeight="1" x14ac:dyDescent="0.25">
      <c r="A1063" s="12" t="s">
        <v>1509</v>
      </c>
      <c r="B1063" s="12" t="s">
        <v>136</v>
      </c>
      <c r="C1063" s="14">
        <v>10.11</v>
      </c>
      <c r="D1063" s="12"/>
      <c r="E1063" s="13"/>
    </row>
    <row r="1064" spans="1:5" ht="11.1" hidden="1" customHeight="1" x14ac:dyDescent="0.25">
      <c r="A1064" s="12" t="s">
        <v>1510</v>
      </c>
      <c r="B1064" s="12" t="s">
        <v>1511</v>
      </c>
      <c r="C1064" s="14">
        <v>23.12</v>
      </c>
      <c r="D1064" s="12"/>
      <c r="E1064" s="13"/>
    </row>
    <row r="1065" spans="1:5" ht="11.1" hidden="1" customHeight="1" x14ac:dyDescent="0.25">
      <c r="A1065" s="12" t="s">
        <v>1512</v>
      </c>
      <c r="B1065" s="12" t="s">
        <v>254</v>
      </c>
      <c r="C1065" s="14">
        <v>26.61</v>
      </c>
      <c r="D1065" s="12"/>
      <c r="E1065" s="13"/>
    </row>
    <row r="1066" spans="1:5" ht="11.1" hidden="1" customHeight="1" x14ac:dyDescent="0.25">
      <c r="A1066" s="12" t="s">
        <v>1513</v>
      </c>
      <c r="B1066" s="12" t="s">
        <v>136</v>
      </c>
      <c r="C1066" s="14">
        <v>12.19</v>
      </c>
      <c r="D1066" s="12"/>
      <c r="E1066" s="13"/>
    </row>
    <row r="1067" spans="1:5" ht="11.1" hidden="1" customHeight="1" x14ac:dyDescent="0.25">
      <c r="A1067" s="12" t="s">
        <v>1514</v>
      </c>
      <c r="B1067" s="12" t="s">
        <v>136</v>
      </c>
      <c r="C1067" s="14">
        <v>29.12</v>
      </c>
      <c r="D1067" s="12"/>
      <c r="E1067" s="13"/>
    </row>
    <row r="1068" spans="1:5" ht="11.1" hidden="1" customHeight="1" x14ac:dyDescent="0.25">
      <c r="A1068" s="12" t="s">
        <v>1515</v>
      </c>
      <c r="B1068" s="12" t="s">
        <v>254</v>
      </c>
      <c r="C1068" s="14">
        <v>15.99</v>
      </c>
      <c r="D1068" s="12"/>
      <c r="E1068" s="13"/>
    </row>
    <row r="1069" spans="1:5" ht="11.1" hidden="1" customHeight="1" x14ac:dyDescent="0.25">
      <c r="A1069" s="12" t="s">
        <v>1516</v>
      </c>
      <c r="B1069" s="12" t="s">
        <v>1517</v>
      </c>
      <c r="C1069" s="14">
        <v>466.67</v>
      </c>
      <c r="D1069" s="12"/>
      <c r="E1069" s="13"/>
    </row>
    <row r="1070" spans="1:5" ht="11.1" hidden="1" customHeight="1" x14ac:dyDescent="0.25">
      <c r="A1070" s="12" t="s">
        <v>1518</v>
      </c>
      <c r="B1070" s="12" t="s">
        <v>1519</v>
      </c>
      <c r="C1070" s="14">
        <v>833.33</v>
      </c>
      <c r="D1070" s="12"/>
      <c r="E1070" s="13"/>
    </row>
    <row r="1071" spans="1:5" ht="23.1" hidden="1" customHeight="1" x14ac:dyDescent="0.25">
      <c r="A1071" s="12" t="s">
        <v>1520</v>
      </c>
      <c r="B1071" s="12" t="s">
        <v>1521</v>
      </c>
      <c r="C1071" s="14">
        <v>405</v>
      </c>
      <c r="D1071" s="12"/>
      <c r="E1071" s="13"/>
    </row>
    <row r="1072" spans="1:5" ht="11.1" hidden="1" customHeight="1" x14ac:dyDescent="0.25">
      <c r="A1072" s="12" t="s">
        <v>1522</v>
      </c>
      <c r="B1072" s="12" t="s">
        <v>149</v>
      </c>
      <c r="C1072" s="14">
        <v>3.47</v>
      </c>
      <c r="D1072" s="12"/>
      <c r="E1072" s="13"/>
    </row>
    <row r="1073" spans="1:5" ht="11.1" hidden="1" customHeight="1" x14ac:dyDescent="0.25">
      <c r="A1073" s="42" t="s">
        <v>1523</v>
      </c>
      <c r="B1073" s="42" t="s">
        <v>1524</v>
      </c>
      <c r="C1073" s="43">
        <v>53.33</v>
      </c>
      <c r="D1073" s="12"/>
      <c r="E1073" s="13"/>
    </row>
    <row r="1074" spans="1:5" ht="11.1" hidden="1" customHeight="1" x14ac:dyDescent="0.25">
      <c r="A1074" s="42" t="s">
        <v>1525</v>
      </c>
      <c r="B1074" s="42" t="s">
        <v>1524</v>
      </c>
      <c r="C1074" s="43">
        <v>55.83</v>
      </c>
      <c r="D1074" s="12"/>
      <c r="E1074" s="13"/>
    </row>
    <row r="1075" spans="1:5" ht="11.1" hidden="1" customHeight="1" x14ac:dyDescent="0.25">
      <c r="A1075" s="42" t="s">
        <v>1526</v>
      </c>
      <c r="B1075" s="42" t="s">
        <v>1524</v>
      </c>
      <c r="C1075" s="43">
        <v>68.33</v>
      </c>
      <c r="D1075" s="12"/>
      <c r="E1075" s="13"/>
    </row>
    <row r="1076" spans="1:5" ht="11.1" hidden="1" customHeight="1" x14ac:dyDescent="0.25">
      <c r="A1076" s="12" t="s">
        <v>1527</v>
      </c>
      <c r="B1076" s="12" t="s">
        <v>116</v>
      </c>
      <c r="C1076" s="14">
        <v>164.3</v>
      </c>
      <c r="D1076" s="12"/>
      <c r="E1076" s="13"/>
    </row>
    <row r="1077" spans="1:5" ht="11.1" hidden="1" customHeight="1" x14ac:dyDescent="0.25">
      <c r="A1077" s="12" t="s">
        <v>1528</v>
      </c>
      <c r="B1077" s="12" t="s">
        <v>151</v>
      </c>
      <c r="C1077" s="14">
        <v>108.33</v>
      </c>
      <c r="D1077" s="12"/>
      <c r="E1077" s="13"/>
    </row>
    <row r="1078" spans="1:5" ht="11.1" hidden="1" customHeight="1" x14ac:dyDescent="0.25">
      <c r="A1078" s="12" t="s">
        <v>1529</v>
      </c>
      <c r="B1078" s="12" t="s">
        <v>1530</v>
      </c>
      <c r="C1078" s="14">
        <v>1101</v>
      </c>
      <c r="D1078" s="12"/>
      <c r="E1078" s="14"/>
    </row>
    <row r="1079" spans="1:5" ht="11.1" hidden="1" customHeight="1" x14ac:dyDescent="0.25">
      <c r="A1079" s="12" t="s">
        <v>1531</v>
      </c>
      <c r="B1079" s="12" t="s">
        <v>213</v>
      </c>
      <c r="C1079" s="14">
        <v>4.42</v>
      </c>
      <c r="D1079" s="12"/>
      <c r="E1079" s="13"/>
    </row>
    <row r="1080" spans="1:5" ht="11.1" hidden="1" customHeight="1" x14ac:dyDescent="0.25">
      <c r="A1080" s="12" t="s">
        <v>1532</v>
      </c>
      <c r="B1080" s="12" t="s">
        <v>1533</v>
      </c>
      <c r="C1080" s="14">
        <v>457.5</v>
      </c>
      <c r="D1080" s="12"/>
      <c r="E1080" s="13"/>
    </row>
    <row r="1081" spans="1:5" ht="11.1" hidden="1" customHeight="1" x14ac:dyDescent="0.25">
      <c r="A1081" s="12" t="s">
        <v>1534</v>
      </c>
      <c r="B1081" s="12" t="s">
        <v>1535</v>
      </c>
      <c r="C1081" s="14">
        <v>1805</v>
      </c>
      <c r="D1081" s="12"/>
      <c r="E1081" s="14"/>
    </row>
    <row r="1082" spans="1:5" ht="11.1" hidden="1" customHeight="1" x14ac:dyDescent="0.25">
      <c r="A1082" s="12" t="s">
        <v>1536</v>
      </c>
      <c r="B1082" s="12" t="s">
        <v>1537</v>
      </c>
      <c r="C1082" s="14">
        <v>666.67</v>
      </c>
      <c r="D1082" s="12"/>
      <c r="E1082" s="13"/>
    </row>
    <row r="1083" spans="1:5" ht="11.1" hidden="1" customHeight="1" x14ac:dyDescent="0.25">
      <c r="A1083" s="12" t="s">
        <v>1538</v>
      </c>
      <c r="B1083" s="12" t="s">
        <v>387</v>
      </c>
      <c r="C1083" s="14">
        <v>117.5</v>
      </c>
      <c r="D1083" s="12"/>
      <c r="E1083" s="13"/>
    </row>
    <row r="1084" spans="1:5" ht="11.1" hidden="1" customHeight="1" x14ac:dyDescent="0.25">
      <c r="A1084" s="12" t="s">
        <v>1539</v>
      </c>
      <c r="B1084" s="12" t="s">
        <v>1540</v>
      </c>
      <c r="C1084" s="14">
        <v>7093.92</v>
      </c>
      <c r="D1084" s="12"/>
      <c r="E1084" s="14"/>
    </row>
    <row r="1085" spans="1:5" ht="11.1" hidden="1" customHeight="1" x14ac:dyDescent="0.25">
      <c r="A1085" s="12" t="s">
        <v>1541</v>
      </c>
      <c r="B1085" s="12" t="s">
        <v>1540</v>
      </c>
      <c r="C1085" s="14">
        <v>6877.88</v>
      </c>
      <c r="D1085" s="12"/>
      <c r="E1085" s="14"/>
    </row>
    <row r="1086" spans="1:5" ht="11.1" hidden="1" customHeight="1" x14ac:dyDescent="0.25">
      <c r="A1086" s="12" t="s">
        <v>1542</v>
      </c>
      <c r="B1086" s="12" t="s">
        <v>80</v>
      </c>
      <c r="C1086" s="14">
        <v>541.66999999999996</v>
      </c>
      <c r="D1086" s="12"/>
      <c r="E1086" s="13"/>
    </row>
    <row r="1087" spans="1:5" ht="23.1" hidden="1" customHeight="1" x14ac:dyDescent="0.25">
      <c r="A1087" s="12" t="s">
        <v>1543</v>
      </c>
      <c r="B1087" s="12" t="s">
        <v>1223</v>
      </c>
      <c r="C1087" s="14">
        <v>1.1299999999999999</v>
      </c>
      <c r="D1087" s="12"/>
      <c r="E1087" s="13"/>
    </row>
    <row r="1088" spans="1:5" ht="23.1" hidden="1" customHeight="1" x14ac:dyDescent="0.25">
      <c r="A1088" s="12" t="s">
        <v>1544</v>
      </c>
      <c r="B1088" s="12" t="s">
        <v>213</v>
      </c>
      <c r="C1088" s="14">
        <v>15.19</v>
      </c>
      <c r="D1088" s="12"/>
      <c r="E1088" s="13"/>
    </row>
    <row r="1089" spans="1:5" ht="23.1" hidden="1" customHeight="1" x14ac:dyDescent="0.25">
      <c r="A1089" s="12" t="s">
        <v>1545</v>
      </c>
      <c r="B1089" s="12" t="s">
        <v>213</v>
      </c>
      <c r="C1089" s="14">
        <v>17.07</v>
      </c>
      <c r="D1089" s="12"/>
      <c r="E1089" s="13"/>
    </row>
    <row r="1090" spans="1:5" ht="11.1" hidden="1" customHeight="1" x14ac:dyDescent="0.25">
      <c r="A1090" s="12" t="s">
        <v>1546</v>
      </c>
      <c r="B1090" s="12" t="s">
        <v>213</v>
      </c>
      <c r="C1090" s="14">
        <v>16.89</v>
      </c>
      <c r="D1090" s="12"/>
      <c r="E1090" s="13"/>
    </row>
    <row r="1091" spans="1:5" ht="11.1" hidden="1" customHeight="1" x14ac:dyDescent="0.25">
      <c r="A1091" s="12" t="s">
        <v>1547</v>
      </c>
      <c r="B1091" s="12" t="s">
        <v>1540</v>
      </c>
      <c r="C1091" s="14">
        <v>25363.87</v>
      </c>
      <c r="D1091" s="12"/>
      <c r="E1091" s="14"/>
    </row>
    <row r="1092" spans="1:5" ht="11.1" hidden="1" customHeight="1" x14ac:dyDescent="0.25">
      <c r="A1092" s="12" t="s">
        <v>1548</v>
      </c>
      <c r="B1092" s="12" t="s">
        <v>1540</v>
      </c>
      <c r="C1092" s="14">
        <v>1427.99</v>
      </c>
      <c r="D1092" s="12"/>
      <c r="E1092" s="14"/>
    </row>
    <row r="1093" spans="1:5" ht="11.1" hidden="1" customHeight="1" x14ac:dyDescent="0.25">
      <c r="A1093" s="12" t="s">
        <v>1549</v>
      </c>
      <c r="B1093" s="12" t="s">
        <v>1540</v>
      </c>
      <c r="C1093" s="14">
        <v>13825.89</v>
      </c>
      <c r="D1093" s="12"/>
      <c r="E1093" s="14"/>
    </row>
    <row r="1094" spans="1:5" ht="11.1" hidden="1" customHeight="1" x14ac:dyDescent="0.25">
      <c r="A1094" s="12" t="s">
        <v>1550</v>
      </c>
      <c r="B1094" s="12" t="s">
        <v>213</v>
      </c>
      <c r="C1094" s="14">
        <v>20.59</v>
      </c>
      <c r="D1094" s="12"/>
      <c r="E1094" s="13"/>
    </row>
    <row r="1095" spans="1:5" ht="11.1" hidden="1" customHeight="1" x14ac:dyDescent="0.25">
      <c r="A1095" s="12" t="s">
        <v>1551</v>
      </c>
      <c r="B1095" s="12" t="s">
        <v>136</v>
      </c>
      <c r="C1095" s="14">
        <v>37.21</v>
      </c>
      <c r="D1095" s="12"/>
      <c r="E1095" s="13"/>
    </row>
    <row r="1096" spans="1:5" ht="11.1" hidden="1" customHeight="1" x14ac:dyDescent="0.25">
      <c r="A1096" s="12" t="s">
        <v>1552</v>
      </c>
      <c r="B1096" s="12" t="s">
        <v>136</v>
      </c>
      <c r="C1096" s="14">
        <v>2.54</v>
      </c>
      <c r="D1096" s="12"/>
      <c r="E1096" s="13"/>
    </row>
    <row r="1097" spans="1:5" ht="11.1" hidden="1" customHeight="1" x14ac:dyDescent="0.25">
      <c r="A1097" s="12" t="s">
        <v>1553</v>
      </c>
      <c r="B1097" s="12" t="s">
        <v>1554</v>
      </c>
      <c r="C1097" s="14">
        <v>3362.65</v>
      </c>
      <c r="D1097" s="12"/>
      <c r="E1097" s="14"/>
    </row>
    <row r="1098" spans="1:5" ht="11.1" hidden="1" customHeight="1" x14ac:dyDescent="0.25">
      <c r="A1098" s="12" t="s">
        <v>1555</v>
      </c>
      <c r="B1098" s="12" t="s">
        <v>1556</v>
      </c>
      <c r="C1098" s="14">
        <v>1950</v>
      </c>
      <c r="D1098" s="12"/>
      <c r="E1098" s="14"/>
    </row>
    <row r="1099" spans="1:5" ht="11.1" hidden="1" customHeight="1" x14ac:dyDescent="0.25">
      <c r="A1099" s="12" t="s">
        <v>1557</v>
      </c>
      <c r="B1099" s="12" t="s">
        <v>1558</v>
      </c>
      <c r="C1099" s="14">
        <v>2</v>
      </c>
      <c r="D1099" s="12"/>
      <c r="E1099" s="13"/>
    </row>
    <row r="1100" spans="1:5" ht="11.1" hidden="1" customHeight="1" x14ac:dyDescent="0.25">
      <c r="A1100" s="12" t="s">
        <v>1559</v>
      </c>
      <c r="B1100" s="12" t="s">
        <v>309</v>
      </c>
      <c r="C1100" s="14">
        <v>21.67</v>
      </c>
      <c r="D1100" s="12"/>
      <c r="E1100" s="13"/>
    </row>
    <row r="1101" spans="1:5" ht="11.1" hidden="1" customHeight="1" x14ac:dyDescent="0.25">
      <c r="A1101" s="12" t="s">
        <v>1560</v>
      </c>
      <c r="B1101" s="12" t="s">
        <v>299</v>
      </c>
      <c r="C1101" s="14">
        <v>17.5</v>
      </c>
      <c r="D1101" s="12"/>
      <c r="E1101" s="13"/>
    </row>
    <row r="1102" spans="1:5" ht="11.1" hidden="1" customHeight="1" x14ac:dyDescent="0.25">
      <c r="A1102" s="12" t="s">
        <v>1561</v>
      </c>
      <c r="B1102" s="12" t="s">
        <v>786</v>
      </c>
      <c r="C1102" s="14">
        <v>72.5</v>
      </c>
      <c r="D1102" s="12"/>
      <c r="E1102" s="13"/>
    </row>
    <row r="1103" spans="1:5" ht="11.1" hidden="1" customHeight="1" x14ac:dyDescent="0.25">
      <c r="A1103" s="12" t="s">
        <v>1562</v>
      </c>
      <c r="B1103" s="12" t="s">
        <v>656</v>
      </c>
      <c r="C1103" s="14">
        <v>1053.33</v>
      </c>
      <c r="D1103" s="12"/>
      <c r="E1103" s="14"/>
    </row>
    <row r="1104" spans="1:5" ht="11.1" hidden="1" customHeight="1" x14ac:dyDescent="0.25">
      <c r="A1104" s="12" t="s">
        <v>1563</v>
      </c>
      <c r="B1104" s="12" t="s">
        <v>713</v>
      </c>
      <c r="C1104" s="14">
        <v>797.5</v>
      </c>
      <c r="D1104" s="12"/>
      <c r="E1104" s="13"/>
    </row>
    <row r="1105" spans="1:5" ht="11.1" hidden="1" customHeight="1" x14ac:dyDescent="0.25">
      <c r="A1105" s="12" t="s">
        <v>1564</v>
      </c>
      <c r="B1105" s="12" t="s">
        <v>1565</v>
      </c>
      <c r="C1105" s="14">
        <v>1400</v>
      </c>
      <c r="D1105" s="12"/>
      <c r="E1105" s="14"/>
    </row>
    <row r="1106" spans="1:5" ht="11.1" hidden="1" customHeight="1" x14ac:dyDescent="0.25">
      <c r="A1106" s="12" t="s">
        <v>1566</v>
      </c>
      <c r="B1106" s="12" t="s">
        <v>1567</v>
      </c>
      <c r="C1106" s="14">
        <v>317.5</v>
      </c>
      <c r="D1106" s="12"/>
      <c r="E1106" s="13"/>
    </row>
    <row r="1107" spans="1:5" ht="11.1" hidden="1" customHeight="1" x14ac:dyDescent="0.25">
      <c r="A1107" s="12" t="s">
        <v>1568</v>
      </c>
      <c r="B1107" s="12" t="s">
        <v>332</v>
      </c>
      <c r="C1107" s="14">
        <v>169.17</v>
      </c>
      <c r="D1107" s="12"/>
      <c r="E1107" s="13"/>
    </row>
    <row r="1108" spans="1:5" ht="11.1" hidden="1" customHeight="1" x14ac:dyDescent="0.25">
      <c r="A1108" s="12" t="s">
        <v>1569</v>
      </c>
      <c r="B1108" s="12" t="s">
        <v>1570</v>
      </c>
      <c r="C1108" s="14">
        <v>397.5</v>
      </c>
      <c r="D1108" s="12"/>
      <c r="E1108" s="13"/>
    </row>
    <row r="1109" spans="1:5" ht="11.1" hidden="1" customHeight="1" x14ac:dyDescent="0.25">
      <c r="A1109" s="12" t="s">
        <v>1571</v>
      </c>
      <c r="B1109" s="12" t="s">
        <v>702</v>
      </c>
      <c r="C1109" s="14">
        <v>290.83</v>
      </c>
      <c r="D1109" s="12"/>
      <c r="E1109" s="13"/>
    </row>
    <row r="1110" spans="1:5" ht="11.1" hidden="1" customHeight="1" x14ac:dyDescent="0.25">
      <c r="A1110" s="12" t="s">
        <v>1572</v>
      </c>
      <c r="B1110" s="12" t="s">
        <v>1573</v>
      </c>
      <c r="C1110" s="14">
        <v>165</v>
      </c>
      <c r="D1110" s="12"/>
      <c r="E1110" s="13"/>
    </row>
    <row r="1111" spans="1:5" ht="11.1" hidden="1" customHeight="1" x14ac:dyDescent="0.25">
      <c r="A1111" s="12" t="s">
        <v>1574</v>
      </c>
      <c r="B1111" s="12" t="s">
        <v>561</v>
      </c>
      <c r="C1111" s="14">
        <v>449.17</v>
      </c>
      <c r="D1111" s="12"/>
      <c r="E1111" s="13"/>
    </row>
    <row r="1112" spans="1:5" ht="11.1" hidden="1" customHeight="1" x14ac:dyDescent="0.25">
      <c r="A1112" s="12" t="s">
        <v>1575</v>
      </c>
      <c r="B1112" s="12" t="s">
        <v>656</v>
      </c>
      <c r="C1112" s="14">
        <v>248.33</v>
      </c>
      <c r="D1112" s="12"/>
      <c r="E1112" s="13"/>
    </row>
    <row r="1113" spans="1:5" ht="11.1" hidden="1" customHeight="1" x14ac:dyDescent="0.25">
      <c r="A1113" s="12" t="s">
        <v>1576</v>
      </c>
      <c r="B1113" s="12" t="s">
        <v>656</v>
      </c>
      <c r="C1113" s="14">
        <v>261.67</v>
      </c>
      <c r="D1113" s="12"/>
      <c r="E1113" s="13"/>
    </row>
    <row r="1114" spans="1:5" ht="11.1" hidden="1" customHeight="1" x14ac:dyDescent="0.25">
      <c r="A1114" s="12" t="s">
        <v>1577</v>
      </c>
      <c r="B1114" s="12" t="s">
        <v>1441</v>
      </c>
      <c r="C1114" s="14">
        <v>745</v>
      </c>
      <c r="D1114" s="12"/>
      <c r="E1114" s="13"/>
    </row>
    <row r="1115" spans="1:5" ht="23.1" hidden="1" customHeight="1" x14ac:dyDescent="0.25">
      <c r="A1115" s="12" t="s">
        <v>1578</v>
      </c>
      <c r="B1115" s="12" t="s">
        <v>1579</v>
      </c>
      <c r="C1115" s="14">
        <v>725</v>
      </c>
      <c r="D1115" s="12"/>
      <c r="E1115" s="13"/>
    </row>
    <row r="1116" spans="1:5" ht="23.1" hidden="1" customHeight="1" x14ac:dyDescent="0.25">
      <c r="A1116" s="12" t="s">
        <v>1580</v>
      </c>
      <c r="B1116" s="12" t="s">
        <v>554</v>
      </c>
      <c r="C1116" s="14">
        <v>774</v>
      </c>
      <c r="D1116" s="12"/>
      <c r="E1116" s="13"/>
    </row>
    <row r="1117" spans="1:5" ht="11.1" hidden="1" customHeight="1" x14ac:dyDescent="0.25">
      <c r="A1117" s="12" t="s">
        <v>1581</v>
      </c>
      <c r="B1117" s="12" t="s">
        <v>136</v>
      </c>
      <c r="C1117" s="14">
        <v>154.85</v>
      </c>
      <c r="D1117" s="12"/>
      <c r="E1117" s="13"/>
    </row>
    <row r="1118" spans="1:5" ht="11.1" hidden="1" customHeight="1" x14ac:dyDescent="0.25">
      <c r="A1118" s="12" t="s">
        <v>1582</v>
      </c>
      <c r="B1118" s="12" t="s">
        <v>281</v>
      </c>
      <c r="C1118" s="14">
        <v>440.65</v>
      </c>
      <c r="D1118" s="12"/>
      <c r="E1118" s="13"/>
    </row>
    <row r="1119" spans="1:5" ht="11.1" hidden="1" customHeight="1" x14ac:dyDescent="0.25">
      <c r="A1119" s="12" t="s">
        <v>1583</v>
      </c>
      <c r="B1119" s="12" t="s">
        <v>254</v>
      </c>
      <c r="C1119" s="14">
        <v>3.62</v>
      </c>
      <c r="D1119" s="12"/>
      <c r="E1119" s="13"/>
    </row>
    <row r="1120" spans="1:5" ht="23.1" hidden="1" customHeight="1" x14ac:dyDescent="0.25">
      <c r="A1120" s="12" t="s">
        <v>1584</v>
      </c>
      <c r="B1120" s="12" t="s">
        <v>497</v>
      </c>
      <c r="C1120" s="14">
        <v>231.67</v>
      </c>
      <c r="D1120" s="12"/>
      <c r="E1120" s="13"/>
    </row>
    <row r="1121" spans="1:5" ht="11.1" hidden="1" customHeight="1" x14ac:dyDescent="0.25">
      <c r="A1121" s="12" t="s">
        <v>1585</v>
      </c>
      <c r="B1121" s="12" t="s">
        <v>1204</v>
      </c>
      <c r="C1121" s="14">
        <v>1318.33</v>
      </c>
      <c r="D1121" s="12"/>
      <c r="E1121" s="14"/>
    </row>
    <row r="1122" spans="1:5" ht="11.1" hidden="1" customHeight="1" x14ac:dyDescent="0.25">
      <c r="A1122" s="12" t="s">
        <v>1586</v>
      </c>
      <c r="B1122" s="12" t="s">
        <v>489</v>
      </c>
      <c r="C1122" s="14">
        <v>1335</v>
      </c>
      <c r="D1122" s="12"/>
      <c r="E1122" s="14"/>
    </row>
    <row r="1123" spans="1:5" ht="11.1" hidden="1" customHeight="1" x14ac:dyDescent="0.25">
      <c r="A1123" s="12" t="s">
        <v>1587</v>
      </c>
      <c r="B1123" s="12" t="s">
        <v>439</v>
      </c>
      <c r="C1123" s="14">
        <v>2396.6999999999998</v>
      </c>
      <c r="D1123" s="12"/>
      <c r="E1123" s="14"/>
    </row>
    <row r="1124" spans="1:5" ht="11.1" hidden="1" customHeight="1" x14ac:dyDescent="0.25">
      <c r="A1124" s="12" t="s">
        <v>1588</v>
      </c>
      <c r="B1124" s="12" t="s">
        <v>745</v>
      </c>
      <c r="C1124" s="14">
        <v>388.33</v>
      </c>
      <c r="D1124" s="12"/>
      <c r="E1124" s="13"/>
    </row>
    <row r="1125" spans="1:5" ht="23.1" hidden="1" customHeight="1" x14ac:dyDescent="0.25">
      <c r="A1125" s="12" t="s">
        <v>1589</v>
      </c>
      <c r="B1125" s="12" t="s">
        <v>254</v>
      </c>
      <c r="C1125" s="14">
        <v>8.85</v>
      </c>
      <c r="D1125" s="12"/>
      <c r="E1125" s="13"/>
    </row>
    <row r="1126" spans="1:5" ht="23.1" hidden="1" customHeight="1" x14ac:dyDescent="0.25">
      <c r="A1126" s="12" t="s">
        <v>1590</v>
      </c>
      <c r="B1126" s="12" t="s">
        <v>136</v>
      </c>
      <c r="C1126" s="14">
        <v>7.43</v>
      </c>
      <c r="D1126" s="12"/>
      <c r="E1126" s="13"/>
    </row>
    <row r="1127" spans="1:5" ht="11.1" hidden="1" customHeight="1" x14ac:dyDescent="0.25">
      <c r="A1127" s="12" t="s">
        <v>1591</v>
      </c>
      <c r="B1127" s="12" t="s">
        <v>136</v>
      </c>
      <c r="C1127" s="14">
        <v>7.4</v>
      </c>
      <c r="D1127" s="12"/>
      <c r="E1127" s="13"/>
    </row>
    <row r="1128" spans="1:5" ht="11.1" hidden="1" customHeight="1" x14ac:dyDescent="0.25">
      <c r="A1128" s="12" t="s">
        <v>1592</v>
      </c>
      <c r="B1128" s="12" t="s">
        <v>213</v>
      </c>
      <c r="C1128" s="14">
        <v>9.91</v>
      </c>
      <c r="D1128" s="12"/>
      <c r="E1128" s="13"/>
    </row>
    <row r="1129" spans="1:5" ht="11.1" hidden="1" customHeight="1" x14ac:dyDescent="0.25">
      <c r="A1129" s="12" t="s">
        <v>1593</v>
      </c>
      <c r="B1129" s="12" t="s">
        <v>337</v>
      </c>
      <c r="C1129" s="14">
        <v>94.49</v>
      </c>
      <c r="D1129" s="12"/>
      <c r="E1129" s="13"/>
    </row>
    <row r="1130" spans="1:5" ht="11.1" hidden="1" customHeight="1" x14ac:dyDescent="0.25">
      <c r="A1130" s="12" t="s">
        <v>1594</v>
      </c>
      <c r="B1130" s="12" t="s">
        <v>769</v>
      </c>
      <c r="C1130" s="14">
        <v>512.5</v>
      </c>
      <c r="D1130" s="12"/>
      <c r="E1130" s="13"/>
    </row>
    <row r="1131" spans="1:5" ht="11.1" hidden="1" customHeight="1" x14ac:dyDescent="0.25">
      <c r="A1131" s="12" t="s">
        <v>1595</v>
      </c>
      <c r="B1131" s="12" t="s">
        <v>299</v>
      </c>
      <c r="C1131" s="14">
        <v>433.33</v>
      </c>
      <c r="D1131" s="12"/>
      <c r="E1131" s="13"/>
    </row>
    <row r="1132" spans="1:5" ht="11.1" hidden="1" customHeight="1" x14ac:dyDescent="0.25">
      <c r="A1132" s="12" t="s">
        <v>1596</v>
      </c>
      <c r="B1132" s="12" t="s">
        <v>213</v>
      </c>
      <c r="C1132" s="14">
        <v>34.15</v>
      </c>
      <c r="D1132" s="12"/>
      <c r="E1132" s="13"/>
    </row>
    <row r="1133" spans="1:5" ht="11.1" hidden="1" customHeight="1" x14ac:dyDescent="0.25">
      <c r="A1133" s="12" t="s">
        <v>1597</v>
      </c>
      <c r="B1133" s="12" t="s">
        <v>213</v>
      </c>
      <c r="C1133" s="14">
        <v>29.04</v>
      </c>
      <c r="D1133" s="12"/>
      <c r="E1133" s="13"/>
    </row>
    <row r="1134" spans="1:5" ht="11.1" hidden="1" customHeight="1" x14ac:dyDescent="0.25">
      <c r="A1134" s="12" t="s">
        <v>1598</v>
      </c>
      <c r="B1134" s="12" t="s">
        <v>530</v>
      </c>
      <c r="C1134" s="14">
        <v>130</v>
      </c>
      <c r="D1134" s="12"/>
      <c r="E1134" s="13"/>
    </row>
    <row r="1135" spans="1:5" ht="11.1" hidden="1" customHeight="1" x14ac:dyDescent="0.25">
      <c r="A1135" s="12" t="s">
        <v>1599</v>
      </c>
      <c r="B1135" s="12" t="s">
        <v>525</v>
      </c>
      <c r="C1135" s="14">
        <v>335</v>
      </c>
      <c r="D1135" s="12"/>
      <c r="E1135" s="13"/>
    </row>
    <row r="1136" spans="1:5" ht="11.1" hidden="1" customHeight="1" x14ac:dyDescent="0.25">
      <c r="A1136" s="12" t="s">
        <v>1600</v>
      </c>
      <c r="B1136" s="12" t="s">
        <v>1601</v>
      </c>
      <c r="C1136" s="14">
        <v>481</v>
      </c>
      <c r="D1136" s="12"/>
      <c r="E1136" s="13"/>
    </row>
    <row r="1137" spans="1:5" ht="23.1" hidden="1" customHeight="1" x14ac:dyDescent="0.25">
      <c r="A1137" s="12" t="s">
        <v>1602</v>
      </c>
      <c r="B1137" s="12" t="s">
        <v>1601</v>
      </c>
      <c r="C1137" s="14">
        <v>603</v>
      </c>
      <c r="D1137" s="12"/>
      <c r="E1137" s="13"/>
    </row>
    <row r="1138" spans="1:5" ht="11.1" hidden="1" customHeight="1" x14ac:dyDescent="0.25">
      <c r="A1138" s="12" t="s">
        <v>1603</v>
      </c>
      <c r="B1138" s="12" t="s">
        <v>1601</v>
      </c>
      <c r="C1138" s="14">
        <v>569</v>
      </c>
      <c r="D1138" s="12"/>
      <c r="E1138" s="13"/>
    </row>
    <row r="1139" spans="1:5" ht="11.1" hidden="1" customHeight="1" x14ac:dyDescent="0.25">
      <c r="A1139" s="12" t="s">
        <v>1604</v>
      </c>
      <c r="B1139" s="12" t="s">
        <v>480</v>
      </c>
      <c r="C1139" s="14">
        <v>19.21</v>
      </c>
      <c r="D1139" s="12"/>
      <c r="E1139" s="13"/>
    </row>
    <row r="1140" spans="1:5" ht="11.1" hidden="1" customHeight="1" x14ac:dyDescent="0.25">
      <c r="A1140" s="12" t="s">
        <v>1605</v>
      </c>
      <c r="B1140" s="12" t="s">
        <v>213</v>
      </c>
      <c r="C1140" s="14">
        <v>6.28</v>
      </c>
      <c r="D1140" s="12"/>
      <c r="E1140" s="13"/>
    </row>
    <row r="1141" spans="1:5" ht="11.1" hidden="1" customHeight="1" x14ac:dyDescent="0.25">
      <c r="A1141" s="12" t="s">
        <v>1606</v>
      </c>
      <c r="B1141" s="12" t="s">
        <v>213</v>
      </c>
      <c r="C1141" s="14">
        <v>87.73</v>
      </c>
      <c r="D1141" s="12"/>
      <c r="E1141" s="13"/>
    </row>
    <row r="1142" spans="1:5" ht="11.1" hidden="1" customHeight="1" x14ac:dyDescent="0.25">
      <c r="A1142" s="12" t="s">
        <v>1607</v>
      </c>
      <c r="B1142" s="12" t="s">
        <v>1021</v>
      </c>
      <c r="C1142" s="14">
        <v>1012.5</v>
      </c>
      <c r="D1142" s="12"/>
      <c r="E1142" s="14"/>
    </row>
    <row r="1143" spans="1:5" ht="11.1" hidden="1" customHeight="1" x14ac:dyDescent="0.25">
      <c r="A1143" s="12" t="s">
        <v>1608</v>
      </c>
      <c r="B1143" s="12" t="s">
        <v>1609</v>
      </c>
      <c r="C1143" s="14">
        <v>91.67</v>
      </c>
      <c r="D1143" s="12"/>
      <c r="E1143" s="13"/>
    </row>
    <row r="1144" spans="1:5" ht="11.1" hidden="1" customHeight="1" x14ac:dyDescent="0.25">
      <c r="A1144" s="12" t="s">
        <v>1610</v>
      </c>
      <c r="B1144" s="12" t="s">
        <v>717</v>
      </c>
      <c r="C1144" s="14">
        <v>7.5</v>
      </c>
      <c r="D1144" s="12"/>
      <c r="E1144" s="13"/>
    </row>
    <row r="1145" spans="1:5" ht="23.1" hidden="1" customHeight="1" x14ac:dyDescent="0.25">
      <c r="A1145" s="12" t="s">
        <v>1611</v>
      </c>
      <c r="B1145" s="12" t="s">
        <v>622</v>
      </c>
      <c r="C1145" s="14">
        <v>588.33000000000004</v>
      </c>
      <c r="D1145" s="12"/>
      <c r="E1145" s="13"/>
    </row>
    <row r="1146" spans="1:5" ht="11.1" hidden="1" customHeight="1" x14ac:dyDescent="0.25">
      <c r="A1146" s="12" t="s">
        <v>1612</v>
      </c>
      <c r="B1146" s="12" t="s">
        <v>1613</v>
      </c>
      <c r="C1146" s="14">
        <v>174</v>
      </c>
      <c r="D1146" s="12"/>
      <c r="E1146" s="13"/>
    </row>
    <row r="1147" spans="1:5" ht="11.1" hidden="1" customHeight="1" x14ac:dyDescent="0.25">
      <c r="A1147" s="12" t="s">
        <v>1614</v>
      </c>
      <c r="B1147" s="12" t="s">
        <v>487</v>
      </c>
      <c r="C1147" s="14">
        <v>85</v>
      </c>
      <c r="D1147" s="12"/>
      <c r="E1147" s="13"/>
    </row>
    <row r="1148" spans="1:5" ht="11.1" hidden="1" customHeight="1" x14ac:dyDescent="0.25">
      <c r="A1148" s="12" t="s">
        <v>1615</v>
      </c>
      <c r="B1148" s="12" t="s">
        <v>1613</v>
      </c>
      <c r="C1148" s="14">
        <v>185</v>
      </c>
      <c r="D1148" s="12"/>
      <c r="E1148" s="13"/>
    </row>
    <row r="1149" spans="1:5" ht="23.1" hidden="1" customHeight="1" x14ac:dyDescent="0.25">
      <c r="A1149" s="12" t="s">
        <v>1616</v>
      </c>
      <c r="B1149" s="12" t="s">
        <v>180</v>
      </c>
      <c r="C1149" s="14">
        <v>425</v>
      </c>
      <c r="D1149" s="12"/>
      <c r="E1149" s="13"/>
    </row>
    <row r="1150" spans="1:5" ht="23.1" hidden="1" customHeight="1" x14ac:dyDescent="0.25">
      <c r="A1150" s="12" t="s">
        <v>1617</v>
      </c>
      <c r="B1150" s="12" t="s">
        <v>536</v>
      </c>
      <c r="C1150" s="14">
        <v>138.33000000000001</v>
      </c>
      <c r="D1150" s="12"/>
      <c r="E1150" s="13"/>
    </row>
    <row r="1151" spans="1:5" ht="11.1" hidden="1" customHeight="1" x14ac:dyDescent="0.25">
      <c r="A1151" s="42" t="s">
        <v>1618</v>
      </c>
      <c r="B1151" s="42" t="s">
        <v>1619</v>
      </c>
      <c r="C1151" s="43">
        <v>30</v>
      </c>
      <c r="D1151" s="12"/>
      <c r="E1151" s="13"/>
    </row>
    <row r="1152" spans="1:5" ht="11.1" hidden="1" customHeight="1" x14ac:dyDescent="0.25">
      <c r="A1152" s="12" t="s">
        <v>1620</v>
      </c>
      <c r="B1152" s="12" t="s">
        <v>136</v>
      </c>
      <c r="C1152" s="14">
        <v>21.04</v>
      </c>
      <c r="D1152" s="12"/>
      <c r="E1152" s="13"/>
    </row>
    <row r="1153" spans="1:5" ht="11.1" hidden="1" customHeight="1" x14ac:dyDescent="0.25">
      <c r="A1153" s="12" t="s">
        <v>1621</v>
      </c>
      <c r="B1153" s="12" t="s">
        <v>1622</v>
      </c>
      <c r="C1153" s="14">
        <v>1666.67</v>
      </c>
      <c r="D1153" s="12"/>
      <c r="E1153" s="14"/>
    </row>
    <row r="1154" spans="1:5" ht="11.1" hidden="1" customHeight="1" x14ac:dyDescent="0.25">
      <c r="A1154" s="12" t="s">
        <v>1623</v>
      </c>
      <c r="B1154" s="12" t="s">
        <v>439</v>
      </c>
      <c r="C1154" s="14">
        <v>996</v>
      </c>
      <c r="D1154" s="12"/>
      <c r="E1154" s="13"/>
    </row>
    <row r="1155" spans="1:5" ht="11.1" hidden="1" customHeight="1" x14ac:dyDescent="0.25">
      <c r="A1155" s="12" t="s">
        <v>1624</v>
      </c>
      <c r="B1155" s="12" t="s">
        <v>439</v>
      </c>
      <c r="C1155" s="14">
        <v>1203.2</v>
      </c>
      <c r="D1155" s="12"/>
      <c r="E1155" s="14"/>
    </row>
    <row r="1156" spans="1:5" ht="11.1" hidden="1" customHeight="1" x14ac:dyDescent="0.25">
      <c r="A1156" s="12" t="s">
        <v>1625</v>
      </c>
      <c r="B1156" s="12" t="s">
        <v>1626</v>
      </c>
      <c r="C1156" s="14">
        <v>14754.5</v>
      </c>
      <c r="D1156" s="12"/>
      <c r="E1156" s="14"/>
    </row>
    <row r="1157" spans="1:5" ht="11.1" hidden="1" customHeight="1" x14ac:dyDescent="0.25">
      <c r="A1157" s="12" t="s">
        <v>1627</v>
      </c>
      <c r="B1157" s="12" t="s">
        <v>1628</v>
      </c>
      <c r="C1157" s="14">
        <v>13847.15</v>
      </c>
      <c r="D1157" s="12"/>
      <c r="E1157" s="14"/>
    </row>
    <row r="1158" spans="1:5" ht="11.1" hidden="1" customHeight="1" x14ac:dyDescent="0.25">
      <c r="A1158" s="12" t="s">
        <v>1629</v>
      </c>
      <c r="B1158" s="12" t="s">
        <v>1630</v>
      </c>
      <c r="C1158" s="14">
        <v>45416.67</v>
      </c>
      <c r="D1158" s="12"/>
      <c r="E1158" s="14"/>
    </row>
    <row r="1159" spans="1:5" ht="11.1" hidden="1" customHeight="1" x14ac:dyDescent="0.25">
      <c r="A1159" s="12" t="s">
        <v>1631</v>
      </c>
      <c r="B1159" s="12" t="s">
        <v>1630</v>
      </c>
      <c r="C1159" s="14">
        <v>14916.67</v>
      </c>
      <c r="D1159" s="12"/>
      <c r="E1159" s="14"/>
    </row>
    <row r="1160" spans="1:5" ht="11.1" hidden="1" customHeight="1" x14ac:dyDescent="0.25">
      <c r="A1160" s="12" t="s">
        <v>1632</v>
      </c>
      <c r="B1160" s="12" t="s">
        <v>1633</v>
      </c>
      <c r="C1160" s="14">
        <v>6.25</v>
      </c>
      <c r="D1160" s="12"/>
      <c r="E1160" s="13"/>
    </row>
    <row r="1161" spans="1:5" ht="11.1" hidden="1" customHeight="1" x14ac:dyDescent="0.25">
      <c r="A1161" s="12" t="s">
        <v>1634</v>
      </c>
      <c r="B1161" s="12" t="s">
        <v>1635</v>
      </c>
      <c r="C1161" s="14">
        <v>96.67</v>
      </c>
      <c r="D1161" s="12"/>
      <c r="E1161" s="13"/>
    </row>
    <row r="1162" spans="1:5" ht="11.1" hidden="1" customHeight="1" x14ac:dyDescent="0.25">
      <c r="A1162" s="12" t="s">
        <v>1636</v>
      </c>
      <c r="B1162" s="12" t="s">
        <v>1635</v>
      </c>
      <c r="C1162" s="14">
        <v>57.5</v>
      </c>
      <c r="D1162" s="12"/>
      <c r="E1162" s="13"/>
    </row>
    <row r="1163" spans="1:5" ht="11.1" hidden="1" customHeight="1" x14ac:dyDescent="0.25">
      <c r="A1163" s="12" t="s">
        <v>1637</v>
      </c>
      <c r="B1163" s="12" t="s">
        <v>571</v>
      </c>
      <c r="C1163" s="14">
        <v>2945.84</v>
      </c>
      <c r="D1163" s="12"/>
      <c r="E1163" s="14"/>
    </row>
    <row r="1164" spans="1:5" ht="11.1" hidden="1" customHeight="1" x14ac:dyDescent="0.25">
      <c r="A1164" s="12" t="s">
        <v>1638</v>
      </c>
      <c r="B1164" s="12" t="s">
        <v>1639</v>
      </c>
      <c r="C1164" s="14">
        <v>22630</v>
      </c>
      <c r="D1164" s="12"/>
      <c r="E1164" s="14"/>
    </row>
    <row r="1165" spans="1:5" ht="11.1" hidden="1" customHeight="1" x14ac:dyDescent="0.25">
      <c r="A1165" s="12" t="s">
        <v>1640</v>
      </c>
      <c r="B1165" s="12" t="s">
        <v>571</v>
      </c>
      <c r="C1165" s="14">
        <v>514.16999999999996</v>
      </c>
      <c r="D1165" s="12"/>
      <c r="E1165" s="13"/>
    </row>
    <row r="1166" spans="1:5" ht="11.1" hidden="1" customHeight="1" x14ac:dyDescent="0.25">
      <c r="A1166" s="12" t="s">
        <v>1641</v>
      </c>
      <c r="B1166" s="12" t="s">
        <v>646</v>
      </c>
      <c r="C1166" s="14">
        <v>166.67</v>
      </c>
      <c r="D1166" s="12"/>
      <c r="E1166" s="13"/>
    </row>
    <row r="1167" spans="1:5" ht="11.1" hidden="1" customHeight="1" x14ac:dyDescent="0.25">
      <c r="A1167" s="12" t="s">
        <v>1642</v>
      </c>
      <c r="B1167" s="12" t="s">
        <v>1643</v>
      </c>
      <c r="C1167" s="14">
        <v>86.67</v>
      </c>
      <c r="D1167" s="12"/>
      <c r="E1167" s="13"/>
    </row>
    <row r="1168" spans="1:5" ht="11.1" hidden="1" customHeight="1" x14ac:dyDescent="0.25">
      <c r="A1168" s="12" t="s">
        <v>1644</v>
      </c>
      <c r="B1168" s="12" t="s">
        <v>1645</v>
      </c>
      <c r="C1168" s="14">
        <v>389.17</v>
      </c>
      <c r="D1168" s="12"/>
      <c r="E1168" s="13"/>
    </row>
    <row r="1169" spans="1:5" ht="11.1" hidden="1" customHeight="1" x14ac:dyDescent="0.25">
      <c r="A1169" s="12" t="s">
        <v>1646</v>
      </c>
      <c r="B1169" s="12" t="s">
        <v>1645</v>
      </c>
      <c r="C1169" s="14">
        <v>220.83</v>
      </c>
      <c r="D1169" s="12"/>
      <c r="E1169" s="13"/>
    </row>
    <row r="1170" spans="1:5" ht="11.1" hidden="1" customHeight="1" x14ac:dyDescent="0.25">
      <c r="A1170" s="12" t="s">
        <v>1647</v>
      </c>
      <c r="B1170" s="12" t="s">
        <v>1648</v>
      </c>
      <c r="C1170" s="14">
        <v>1535</v>
      </c>
      <c r="D1170" s="12"/>
      <c r="E1170" s="14"/>
    </row>
    <row r="1171" spans="1:5" ht="11.1" hidden="1" customHeight="1" x14ac:dyDescent="0.25">
      <c r="A1171" s="12" t="s">
        <v>1649</v>
      </c>
      <c r="B1171" s="12" t="s">
        <v>1648</v>
      </c>
      <c r="C1171" s="14">
        <v>3589.17</v>
      </c>
      <c r="D1171" s="12"/>
      <c r="E1171" s="14"/>
    </row>
    <row r="1172" spans="1:5" ht="11.1" hidden="1" customHeight="1" x14ac:dyDescent="0.25">
      <c r="A1172" s="12" t="s">
        <v>1650</v>
      </c>
      <c r="B1172" s="12" t="s">
        <v>149</v>
      </c>
      <c r="C1172" s="14">
        <v>42.26</v>
      </c>
      <c r="D1172" s="12"/>
      <c r="E1172" s="13"/>
    </row>
    <row r="1173" spans="1:5" ht="11.1" hidden="1" customHeight="1" x14ac:dyDescent="0.25">
      <c r="A1173" s="12" t="s">
        <v>1651</v>
      </c>
      <c r="B1173" s="12" t="s">
        <v>1652</v>
      </c>
      <c r="C1173" s="14">
        <v>3507.14</v>
      </c>
      <c r="D1173" s="12"/>
      <c r="E1173" s="14"/>
    </row>
    <row r="1174" spans="1:5" ht="11.1" hidden="1" customHeight="1" x14ac:dyDescent="0.25">
      <c r="A1174" s="12" t="s">
        <v>1653</v>
      </c>
      <c r="B1174" s="12" t="s">
        <v>1654</v>
      </c>
      <c r="C1174" s="14">
        <v>254.17</v>
      </c>
      <c r="D1174" s="12"/>
      <c r="E1174" s="13"/>
    </row>
    <row r="1175" spans="1:5" ht="11.1" hidden="1" customHeight="1" x14ac:dyDescent="0.25">
      <c r="A1175" s="12" t="s">
        <v>1655</v>
      </c>
      <c r="B1175" s="12" t="s">
        <v>1656</v>
      </c>
      <c r="C1175" s="14">
        <v>1372.5</v>
      </c>
      <c r="D1175" s="12"/>
      <c r="E1175" s="14"/>
    </row>
    <row r="1176" spans="1:5" ht="11.1" hidden="1" customHeight="1" x14ac:dyDescent="0.25">
      <c r="A1176" s="12" t="s">
        <v>1657</v>
      </c>
      <c r="B1176" s="12" t="s">
        <v>254</v>
      </c>
      <c r="C1176" s="14">
        <v>4.24</v>
      </c>
      <c r="D1176" s="12"/>
      <c r="E1176" s="13"/>
    </row>
    <row r="1177" spans="1:5" ht="11.1" hidden="1" customHeight="1" x14ac:dyDescent="0.25">
      <c r="A1177" s="12" t="s">
        <v>1658</v>
      </c>
      <c r="B1177" s="12" t="s">
        <v>151</v>
      </c>
      <c r="C1177" s="14">
        <v>10</v>
      </c>
      <c r="D1177" s="12"/>
      <c r="E1177" s="13"/>
    </row>
    <row r="1178" spans="1:5" ht="11.1" hidden="1" customHeight="1" x14ac:dyDescent="0.25">
      <c r="A1178" s="12" t="s">
        <v>1659</v>
      </c>
      <c r="B1178" s="12" t="s">
        <v>928</v>
      </c>
      <c r="C1178" s="14">
        <v>3441.67</v>
      </c>
      <c r="D1178" s="12"/>
      <c r="E1178" s="14"/>
    </row>
    <row r="1179" spans="1:5" ht="11.1" hidden="1" customHeight="1" x14ac:dyDescent="0.25">
      <c r="A1179" s="12" t="s">
        <v>1660</v>
      </c>
      <c r="B1179" s="12" t="s">
        <v>525</v>
      </c>
      <c r="C1179" s="14">
        <v>616.66999999999996</v>
      </c>
      <c r="D1179" s="12"/>
      <c r="E1179" s="13"/>
    </row>
    <row r="1180" spans="1:5" ht="11.1" hidden="1" customHeight="1" x14ac:dyDescent="0.25">
      <c r="A1180" s="12" t="s">
        <v>1661</v>
      </c>
      <c r="B1180" s="12" t="s">
        <v>525</v>
      </c>
      <c r="C1180" s="14">
        <v>618.33000000000004</v>
      </c>
      <c r="D1180" s="12"/>
      <c r="E1180" s="13"/>
    </row>
    <row r="1181" spans="1:5" ht="11.1" hidden="1" customHeight="1" x14ac:dyDescent="0.25">
      <c r="A1181" s="12" t="s">
        <v>1662</v>
      </c>
      <c r="B1181" s="12" t="s">
        <v>1663</v>
      </c>
      <c r="C1181" s="14">
        <v>800</v>
      </c>
      <c r="D1181" s="12"/>
      <c r="E1181" s="13"/>
    </row>
    <row r="1182" spans="1:5" ht="11.1" hidden="1" customHeight="1" x14ac:dyDescent="0.25">
      <c r="A1182" s="12" t="s">
        <v>1664</v>
      </c>
      <c r="B1182" s="12" t="s">
        <v>1663</v>
      </c>
      <c r="C1182" s="14">
        <v>800</v>
      </c>
      <c r="D1182" s="12"/>
      <c r="E1182" s="13"/>
    </row>
    <row r="1183" spans="1:5" ht="23.1" hidden="1" customHeight="1" x14ac:dyDescent="0.25">
      <c r="A1183" s="12" t="s">
        <v>1665</v>
      </c>
      <c r="B1183" s="12" t="s">
        <v>123</v>
      </c>
      <c r="C1183" s="14">
        <v>54.45</v>
      </c>
      <c r="D1183" s="12"/>
      <c r="E1183" s="13"/>
    </row>
    <row r="1184" spans="1:5" ht="11.1" hidden="1" customHeight="1" x14ac:dyDescent="0.25">
      <c r="A1184" s="12" t="s">
        <v>1666</v>
      </c>
      <c r="B1184" s="12" t="s">
        <v>123</v>
      </c>
      <c r="C1184" s="14">
        <v>27.29</v>
      </c>
      <c r="D1184" s="12"/>
      <c r="E1184" s="13"/>
    </row>
    <row r="1185" spans="1:5" ht="11.1" hidden="1" customHeight="1" x14ac:dyDescent="0.25">
      <c r="A1185" s="12" t="s">
        <v>1667</v>
      </c>
      <c r="B1185" s="12" t="s">
        <v>482</v>
      </c>
      <c r="C1185" s="14">
        <v>228.33</v>
      </c>
      <c r="D1185" s="12"/>
      <c r="E1185" s="13"/>
    </row>
    <row r="1186" spans="1:5" ht="11.1" hidden="1" customHeight="1" x14ac:dyDescent="0.25">
      <c r="A1186" s="12" t="s">
        <v>1668</v>
      </c>
      <c r="B1186" s="12" t="s">
        <v>482</v>
      </c>
      <c r="C1186" s="14">
        <v>194.17</v>
      </c>
      <c r="D1186" s="12"/>
      <c r="E1186" s="13"/>
    </row>
    <row r="1187" spans="1:5" ht="11.1" hidden="1" customHeight="1" x14ac:dyDescent="0.25">
      <c r="A1187" s="12" t="s">
        <v>1669</v>
      </c>
      <c r="B1187" s="12" t="s">
        <v>1670</v>
      </c>
      <c r="C1187" s="14">
        <v>37.65</v>
      </c>
      <c r="D1187" s="12"/>
      <c r="E1187" s="13"/>
    </row>
    <row r="1188" spans="1:5" ht="11.1" hidden="1" customHeight="1" x14ac:dyDescent="0.25">
      <c r="A1188" s="12" t="s">
        <v>1671</v>
      </c>
      <c r="B1188" s="12" t="s">
        <v>151</v>
      </c>
      <c r="C1188" s="14">
        <v>19.170000000000002</v>
      </c>
      <c r="D1188" s="12"/>
      <c r="E1188" s="13"/>
    </row>
    <row r="1189" spans="1:5" ht="11.1" hidden="1" customHeight="1" x14ac:dyDescent="0.25">
      <c r="A1189" s="12" t="s">
        <v>1672</v>
      </c>
      <c r="B1189" s="12" t="s">
        <v>1673</v>
      </c>
      <c r="C1189" s="14">
        <v>465</v>
      </c>
      <c r="D1189" s="12"/>
      <c r="E1189" s="13"/>
    </row>
    <row r="1190" spans="1:5" ht="11.1" hidden="1" customHeight="1" x14ac:dyDescent="0.25">
      <c r="A1190" s="12" t="s">
        <v>1674</v>
      </c>
      <c r="B1190" s="12" t="s">
        <v>174</v>
      </c>
      <c r="C1190" s="14">
        <v>472.5</v>
      </c>
      <c r="D1190" s="12"/>
      <c r="E1190" s="13"/>
    </row>
    <row r="1191" spans="1:5" ht="11.1" hidden="1" customHeight="1" x14ac:dyDescent="0.25">
      <c r="A1191" s="12" t="s">
        <v>1675</v>
      </c>
      <c r="B1191" s="12" t="s">
        <v>254</v>
      </c>
      <c r="C1191" s="14">
        <v>1.49</v>
      </c>
      <c r="D1191" s="12"/>
      <c r="E1191" s="13"/>
    </row>
    <row r="1192" spans="1:5" ht="11.1" hidden="1" customHeight="1" x14ac:dyDescent="0.25">
      <c r="A1192" s="12" t="s">
        <v>1676</v>
      </c>
      <c r="B1192" s="12" t="s">
        <v>80</v>
      </c>
      <c r="C1192" s="14">
        <v>30</v>
      </c>
      <c r="D1192" s="12"/>
      <c r="E1192" s="13"/>
    </row>
    <row r="1193" spans="1:5" ht="11.1" hidden="1" customHeight="1" x14ac:dyDescent="0.25">
      <c r="A1193" s="12" t="s">
        <v>1677</v>
      </c>
      <c r="B1193" s="12" t="s">
        <v>1678</v>
      </c>
      <c r="C1193" s="14">
        <v>3750</v>
      </c>
      <c r="D1193" s="12"/>
      <c r="E1193" s="14"/>
    </row>
    <row r="1194" spans="1:5" ht="11.1" hidden="1" customHeight="1" x14ac:dyDescent="0.25">
      <c r="A1194" s="12" t="s">
        <v>1679</v>
      </c>
      <c r="B1194" s="12" t="s">
        <v>1153</v>
      </c>
      <c r="C1194" s="14">
        <v>22583.33</v>
      </c>
      <c r="D1194" s="12"/>
      <c r="E1194" s="14"/>
    </row>
    <row r="1195" spans="1:5" ht="11.1" hidden="1" customHeight="1" x14ac:dyDescent="0.25">
      <c r="A1195" s="12" t="s">
        <v>1680</v>
      </c>
      <c r="B1195" s="12" t="s">
        <v>1086</v>
      </c>
      <c r="C1195" s="14">
        <v>362.5</v>
      </c>
      <c r="D1195" s="12"/>
      <c r="E1195" s="13"/>
    </row>
    <row r="1196" spans="1:5" ht="11.1" hidden="1" customHeight="1" x14ac:dyDescent="0.25">
      <c r="A1196" s="12" t="s">
        <v>1681</v>
      </c>
      <c r="B1196" s="12" t="s">
        <v>1682</v>
      </c>
      <c r="C1196" s="14">
        <v>684.06</v>
      </c>
      <c r="D1196" s="12"/>
      <c r="E1196" s="13"/>
    </row>
    <row r="1197" spans="1:5" ht="11.1" hidden="1" customHeight="1" x14ac:dyDescent="0.25">
      <c r="A1197" s="12" t="s">
        <v>1683</v>
      </c>
      <c r="B1197" s="12" t="s">
        <v>1684</v>
      </c>
      <c r="C1197" s="14">
        <v>1852.5</v>
      </c>
      <c r="D1197" s="12"/>
      <c r="E1197" s="14"/>
    </row>
    <row r="1198" spans="1:5" ht="11.1" hidden="1" customHeight="1" x14ac:dyDescent="0.25">
      <c r="A1198" s="12" t="s">
        <v>1685</v>
      </c>
      <c r="B1198" s="12" t="s">
        <v>472</v>
      </c>
      <c r="C1198" s="14">
        <v>510.84</v>
      </c>
      <c r="D1198" s="12"/>
      <c r="E1198" s="13"/>
    </row>
    <row r="1199" spans="1:5" ht="11.1" hidden="1" customHeight="1" x14ac:dyDescent="0.25">
      <c r="A1199" s="12" t="s">
        <v>1686</v>
      </c>
      <c r="B1199" s="12" t="s">
        <v>1687</v>
      </c>
      <c r="C1199" s="14">
        <v>215.83</v>
      </c>
      <c r="D1199" s="12"/>
      <c r="E1199" s="13"/>
    </row>
    <row r="1200" spans="1:5" ht="11.1" hidden="1" customHeight="1" x14ac:dyDescent="0.25">
      <c r="A1200" s="12" t="s">
        <v>1688</v>
      </c>
      <c r="B1200" s="12" t="s">
        <v>288</v>
      </c>
      <c r="C1200" s="14">
        <v>440</v>
      </c>
      <c r="D1200" s="12"/>
      <c r="E1200" s="13"/>
    </row>
    <row r="1201" spans="1:5" ht="11.1" hidden="1" customHeight="1" x14ac:dyDescent="0.25">
      <c r="A1201" s="12" t="s">
        <v>1689</v>
      </c>
      <c r="B1201" s="12" t="s">
        <v>1690</v>
      </c>
      <c r="C1201" s="14">
        <v>1333.33</v>
      </c>
      <c r="D1201" s="12"/>
      <c r="E1201" s="14"/>
    </row>
    <row r="1202" spans="1:5" ht="11.1" hidden="1" customHeight="1" x14ac:dyDescent="0.25">
      <c r="A1202" s="12" t="s">
        <v>1691</v>
      </c>
      <c r="B1202" s="12" t="s">
        <v>283</v>
      </c>
      <c r="C1202" s="14">
        <v>2349.17</v>
      </c>
      <c r="D1202" s="12"/>
      <c r="E1202" s="14"/>
    </row>
    <row r="1203" spans="1:5" ht="11.1" hidden="1" customHeight="1" x14ac:dyDescent="0.25">
      <c r="A1203" s="12" t="s">
        <v>1692</v>
      </c>
      <c r="B1203" s="12" t="s">
        <v>565</v>
      </c>
      <c r="C1203" s="14">
        <v>15327.5</v>
      </c>
      <c r="D1203" s="12"/>
      <c r="E1203" s="14"/>
    </row>
    <row r="1204" spans="1:5" ht="11.1" hidden="1" customHeight="1" x14ac:dyDescent="0.25">
      <c r="A1204" s="12" t="s">
        <v>1693</v>
      </c>
      <c r="B1204" s="12" t="s">
        <v>937</v>
      </c>
      <c r="C1204" s="14">
        <v>990</v>
      </c>
      <c r="D1204" s="12"/>
      <c r="E1204" s="13"/>
    </row>
    <row r="1205" spans="1:5" ht="23.1" hidden="1" customHeight="1" x14ac:dyDescent="0.25">
      <c r="A1205" s="12" t="s">
        <v>1694</v>
      </c>
      <c r="B1205" s="12" t="s">
        <v>1695</v>
      </c>
      <c r="C1205" s="14">
        <v>597.5</v>
      </c>
      <c r="D1205" s="12"/>
      <c r="E1205" s="13"/>
    </row>
    <row r="1206" spans="1:5" ht="11.1" hidden="1" customHeight="1" x14ac:dyDescent="0.25">
      <c r="A1206" s="12" t="s">
        <v>1696</v>
      </c>
      <c r="B1206" s="12" t="s">
        <v>1695</v>
      </c>
      <c r="C1206" s="14">
        <v>905.83</v>
      </c>
      <c r="D1206" s="12"/>
      <c r="E1206" s="13"/>
    </row>
    <row r="1207" spans="1:5" ht="11.1" hidden="1" customHeight="1" x14ac:dyDescent="0.25">
      <c r="A1207" s="12" t="s">
        <v>1697</v>
      </c>
      <c r="B1207" s="12" t="s">
        <v>561</v>
      </c>
      <c r="C1207" s="14">
        <v>320.83</v>
      </c>
      <c r="D1207" s="12"/>
      <c r="E1207" s="13"/>
    </row>
    <row r="1208" spans="1:5" ht="11.1" hidden="1" customHeight="1" x14ac:dyDescent="0.25">
      <c r="A1208" s="12" t="s">
        <v>1698</v>
      </c>
      <c r="B1208" s="12" t="s">
        <v>769</v>
      </c>
      <c r="C1208" s="14">
        <v>1041.67</v>
      </c>
      <c r="D1208" s="12"/>
      <c r="E1208" s="14"/>
    </row>
    <row r="1209" spans="1:5" ht="11.1" hidden="1" customHeight="1" x14ac:dyDescent="0.25">
      <c r="A1209" s="12" t="s">
        <v>1699</v>
      </c>
      <c r="B1209" s="12" t="s">
        <v>1063</v>
      </c>
      <c r="C1209" s="14">
        <v>7600</v>
      </c>
      <c r="D1209" s="12"/>
      <c r="E1209" s="14"/>
    </row>
    <row r="1210" spans="1:5" ht="11.1" hidden="1" customHeight="1" x14ac:dyDescent="0.25">
      <c r="A1210" s="12" t="s">
        <v>1700</v>
      </c>
      <c r="B1210" s="12" t="s">
        <v>1701</v>
      </c>
      <c r="C1210" s="14">
        <v>1686</v>
      </c>
      <c r="D1210" s="12"/>
      <c r="E1210" s="14"/>
    </row>
    <row r="1211" spans="1:5" ht="11.1" hidden="1" customHeight="1" x14ac:dyDescent="0.25">
      <c r="A1211" s="12" t="s">
        <v>1702</v>
      </c>
      <c r="B1211" s="12" t="s">
        <v>1556</v>
      </c>
      <c r="C1211" s="14">
        <v>1705.83</v>
      </c>
      <c r="D1211" s="12"/>
      <c r="E1211" s="14"/>
    </row>
    <row r="1212" spans="1:5" ht="11.1" hidden="1" customHeight="1" x14ac:dyDescent="0.25">
      <c r="A1212" s="12" t="s">
        <v>1703</v>
      </c>
      <c r="B1212" s="12" t="s">
        <v>1704</v>
      </c>
      <c r="C1212" s="14">
        <v>3029</v>
      </c>
      <c r="D1212" s="12"/>
      <c r="E1212" s="14"/>
    </row>
    <row r="1213" spans="1:5" ht="11.1" hidden="1" customHeight="1" x14ac:dyDescent="0.25">
      <c r="A1213" s="12" t="s">
        <v>1705</v>
      </c>
      <c r="B1213" s="12" t="s">
        <v>1706</v>
      </c>
      <c r="C1213" s="14">
        <v>2889.17</v>
      </c>
      <c r="D1213" s="12"/>
      <c r="E1213" s="14"/>
    </row>
    <row r="1214" spans="1:5" ht="11.1" hidden="1" customHeight="1" x14ac:dyDescent="0.25">
      <c r="A1214" s="12" t="s">
        <v>1707</v>
      </c>
      <c r="B1214" s="12" t="s">
        <v>1708</v>
      </c>
      <c r="C1214" s="14">
        <v>9437.5</v>
      </c>
      <c r="D1214" s="12"/>
      <c r="E1214" s="14"/>
    </row>
    <row r="1215" spans="1:5" ht="11.1" hidden="1" customHeight="1" x14ac:dyDescent="0.25">
      <c r="A1215" s="12" t="s">
        <v>1709</v>
      </c>
      <c r="B1215" s="12" t="s">
        <v>345</v>
      </c>
      <c r="C1215" s="14">
        <v>15.46</v>
      </c>
      <c r="D1215" s="12"/>
      <c r="E1215" s="13"/>
    </row>
    <row r="1216" spans="1:5" ht="23.1" hidden="1" customHeight="1" x14ac:dyDescent="0.25">
      <c r="A1216" s="12" t="s">
        <v>1710</v>
      </c>
      <c r="B1216" s="12" t="s">
        <v>281</v>
      </c>
      <c r="C1216" s="14">
        <v>6.97</v>
      </c>
      <c r="D1216" s="12"/>
      <c r="E1216" s="13"/>
    </row>
    <row r="1217" spans="1:5" ht="23.1" hidden="1" customHeight="1" x14ac:dyDescent="0.25">
      <c r="A1217" s="12" t="s">
        <v>1711</v>
      </c>
      <c r="B1217" s="12" t="s">
        <v>1556</v>
      </c>
      <c r="C1217" s="14">
        <v>2204.17</v>
      </c>
      <c r="D1217" s="12"/>
      <c r="E1217" s="14"/>
    </row>
    <row r="1218" spans="1:5" ht="11.1" hidden="1" customHeight="1" x14ac:dyDescent="0.25">
      <c r="A1218" s="12" t="s">
        <v>1712</v>
      </c>
      <c r="B1218" s="12" t="s">
        <v>1713</v>
      </c>
      <c r="C1218" s="14">
        <v>13916.67</v>
      </c>
      <c r="D1218" s="12"/>
      <c r="E1218" s="14"/>
    </row>
    <row r="1219" spans="1:5" ht="11.1" hidden="1" customHeight="1" x14ac:dyDescent="0.25">
      <c r="A1219" s="12" t="s">
        <v>1714</v>
      </c>
      <c r="B1219" s="12" t="s">
        <v>1715</v>
      </c>
      <c r="C1219" s="14">
        <v>9.9499999999999993</v>
      </c>
      <c r="D1219" s="12"/>
      <c r="E1219" s="13"/>
    </row>
    <row r="1220" spans="1:5" ht="11.1" hidden="1" customHeight="1" x14ac:dyDescent="0.25">
      <c r="A1220" s="12" t="s">
        <v>1716</v>
      </c>
      <c r="B1220" s="12" t="s">
        <v>1497</v>
      </c>
      <c r="C1220" s="14">
        <v>25</v>
      </c>
      <c r="D1220" s="12"/>
      <c r="E1220" s="13"/>
    </row>
    <row r="1221" spans="1:5" ht="23.1" hidden="1" customHeight="1" x14ac:dyDescent="0.25">
      <c r="A1221" s="12" t="s">
        <v>1717</v>
      </c>
      <c r="B1221" s="12" t="s">
        <v>439</v>
      </c>
      <c r="C1221" s="14">
        <v>753</v>
      </c>
      <c r="D1221" s="12"/>
      <c r="E1221" s="13"/>
    </row>
    <row r="1222" spans="1:5" ht="23.1" hidden="1" customHeight="1" x14ac:dyDescent="0.25">
      <c r="A1222" s="12" t="s">
        <v>1718</v>
      </c>
      <c r="B1222" s="12" t="s">
        <v>439</v>
      </c>
      <c r="C1222" s="14">
        <v>776.1</v>
      </c>
      <c r="D1222" s="12"/>
      <c r="E1222" s="13"/>
    </row>
    <row r="1223" spans="1:5" ht="11.1" hidden="1" customHeight="1" x14ac:dyDescent="0.25">
      <c r="A1223" s="12" t="s">
        <v>1719</v>
      </c>
      <c r="B1223" s="12" t="s">
        <v>1720</v>
      </c>
      <c r="C1223" s="14">
        <v>878.33</v>
      </c>
      <c r="D1223" s="12"/>
      <c r="E1223" s="13"/>
    </row>
    <row r="1224" spans="1:5" ht="11.1" hidden="1" customHeight="1" x14ac:dyDescent="0.25">
      <c r="A1224" s="12" t="s">
        <v>1721</v>
      </c>
      <c r="B1224" s="12" t="s">
        <v>821</v>
      </c>
      <c r="C1224" s="14">
        <v>511.67</v>
      </c>
      <c r="D1224" s="12"/>
      <c r="E1224" s="13"/>
    </row>
    <row r="1225" spans="1:5" ht="11.1" hidden="1" customHeight="1" x14ac:dyDescent="0.25">
      <c r="A1225" s="12" t="s">
        <v>1722</v>
      </c>
      <c r="B1225" s="12" t="s">
        <v>663</v>
      </c>
      <c r="C1225" s="14">
        <v>233.33</v>
      </c>
      <c r="D1225" s="12"/>
      <c r="E1225" s="13"/>
    </row>
    <row r="1226" spans="1:5" ht="11.1" hidden="1" customHeight="1" x14ac:dyDescent="0.25">
      <c r="A1226" s="12" t="s">
        <v>1723</v>
      </c>
      <c r="B1226" s="12" t="s">
        <v>326</v>
      </c>
      <c r="C1226" s="14">
        <v>110.83</v>
      </c>
      <c r="D1226" s="12"/>
      <c r="E1226" s="13"/>
    </row>
    <row r="1227" spans="1:5" ht="11.1" hidden="1" customHeight="1" x14ac:dyDescent="0.25">
      <c r="A1227" s="12" t="s">
        <v>1724</v>
      </c>
      <c r="B1227" s="12" t="s">
        <v>326</v>
      </c>
      <c r="C1227" s="14">
        <v>107.5</v>
      </c>
      <c r="D1227" s="12"/>
      <c r="E1227" s="13"/>
    </row>
    <row r="1228" spans="1:5" ht="11.1" hidden="1" customHeight="1" x14ac:dyDescent="0.25">
      <c r="A1228" s="12" t="s">
        <v>1725</v>
      </c>
      <c r="B1228" s="12" t="s">
        <v>745</v>
      </c>
      <c r="C1228" s="14">
        <v>425.83</v>
      </c>
      <c r="D1228" s="12"/>
      <c r="E1228" s="13"/>
    </row>
    <row r="1229" spans="1:5" ht="11.1" hidden="1" customHeight="1" x14ac:dyDescent="0.25">
      <c r="A1229" s="12" t="s">
        <v>1726</v>
      </c>
      <c r="B1229" s="12" t="s">
        <v>492</v>
      </c>
      <c r="C1229" s="14">
        <v>169.17</v>
      </c>
      <c r="D1229" s="12"/>
      <c r="E1229" s="13"/>
    </row>
    <row r="1230" spans="1:5" ht="11.1" hidden="1" customHeight="1" x14ac:dyDescent="0.25">
      <c r="A1230" s="12" t="s">
        <v>1727</v>
      </c>
      <c r="B1230" s="12" t="s">
        <v>729</v>
      </c>
      <c r="C1230" s="14">
        <v>110.83</v>
      </c>
      <c r="D1230" s="12"/>
      <c r="E1230" s="13"/>
    </row>
    <row r="1231" spans="1:5" ht="11.1" hidden="1" customHeight="1" x14ac:dyDescent="0.25">
      <c r="A1231" s="12" t="s">
        <v>1728</v>
      </c>
      <c r="B1231" s="12" t="s">
        <v>1245</v>
      </c>
      <c r="C1231" s="14">
        <v>71.67</v>
      </c>
      <c r="D1231" s="12"/>
      <c r="E1231" s="13"/>
    </row>
    <row r="1232" spans="1:5" ht="11.1" hidden="1" customHeight="1" x14ac:dyDescent="0.25">
      <c r="A1232" s="12" t="s">
        <v>1729</v>
      </c>
      <c r="B1232" s="12" t="s">
        <v>969</v>
      </c>
      <c r="C1232" s="14">
        <v>516.66999999999996</v>
      </c>
      <c r="D1232" s="12"/>
      <c r="E1232" s="13"/>
    </row>
    <row r="1233" spans="1:5" ht="11.1" hidden="1" customHeight="1" x14ac:dyDescent="0.25">
      <c r="A1233" s="12" t="s">
        <v>1730</v>
      </c>
      <c r="B1233" s="12" t="s">
        <v>563</v>
      </c>
      <c r="C1233" s="14">
        <v>1113.33</v>
      </c>
      <c r="D1233" s="12"/>
      <c r="E1233" s="14"/>
    </row>
    <row r="1234" spans="1:5" ht="11.1" hidden="1" customHeight="1" x14ac:dyDescent="0.25">
      <c r="A1234" s="12" t="s">
        <v>1731</v>
      </c>
      <c r="B1234" s="12" t="s">
        <v>1732</v>
      </c>
      <c r="C1234" s="14">
        <v>1915</v>
      </c>
      <c r="D1234" s="12"/>
      <c r="E1234" s="14"/>
    </row>
    <row r="1235" spans="1:5" ht="11.1" hidden="1" customHeight="1" x14ac:dyDescent="0.25">
      <c r="A1235" s="12" t="s">
        <v>1733</v>
      </c>
      <c r="B1235" s="12" t="s">
        <v>213</v>
      </c>
      <c r="C1235" s="14">
        <v>0.48</v>
      </c>
      <c r="D1235" s="12"/>
      <c r="E1235" s="13"/>
    </row>
    <row r="1236" spans="1:5" ht="11.1" hidden="1" customHeight="1" x14ac:dyDescent="0.25">
      <c r="A1236" s="12" t="s">
        <v>1734</v>
      </c>
      <c r="B1236" s="12" t="s">
        <v>474</v>
      </c>
      <c r="C1236" s="14">
        <v>870.84</v>
      </c>
      <c r="D1236" s="12"/>
      <c r="E1236" s="13"/>
    </row>
    <row r="1237" spans="1:5" ht="11.1" hidden="1" customHeight="1" x14ac:dyDescent="0.25">
      <c r="A1237" s="12" t="s">
        <v>1735</v>
      </c>
      <c r="B1237" s="12" t="s">
        <v>474</v>
      </c>
      <c r="C1237" s="14">
        <v>2264.17</v>
      </c>
      <c r="D1237" s="12"/>
      <c r="E1237" s="14"/>
    </row>
    <row r="1238" spans="1:5" ht="11.1" hidden="1" customHeight="1" x14ac:dyDescent="0.25">
      <c r="A1238" s="12" t="s">
        <v>1736</v>
      </c>
      <c r="B1238" s="12" t="s">
        <v>1737</v>
      </c>
      <c r="C1238" s="14">
        <v>120</v>
      </c>
      <c r="D1238" s="12"/>
      <c r="E1238" s="13"/>
    </row>
    <row r="1239" spans="1:5" ht="11.1" hidden="1" customHeight="1" x14ac:dyDescent="0.25">
      <c r="A1239" s="12" t="s">
        <v>1738</v>
      </c>
      <c r="B1239" s="12" t="s">
        <v>180</v>
      </c>
      <c r="C1239" s="14">
        <v>2378.33</v>
      </c>
      <c r="D1239" s="12"/>
      <c r="E1239" s="14"/>
    </row>
    <row r="1240" spans="1:5" ht="23.1" hidden="1" customHeight="1" x14ac:dyDescent="0.25">
      <c r="A1240" s="12" t="s">
        <v>1739</v>
      </c>
      <c r="B1240" s="12" t="s">
        <v>353</v>
      </c>
      <c r="C1240" s="14">
        <v>2589.17</v>
      </c>
      <c r="D1240" s="12"/>
      <c r="E1240" s="14"/>
    </row>
    <row r="1241" spans="1:5" ht="11.1" hidden="1" customHeight="1" x14ac:dyDescent="0.25">
      <c r="A1241" s="12" t="s">
        <v>1740</v>
      </c>
      <c r="B1241" s="12" t="s">
        <v>80</v>
      </c>
      <c r="C1241" s="14">
        <v>4.17</v>
      </c>
      <c r="D1241" s="12"/>
      <c r="E1241" s="13"/>
    </row>
    <row r="1242" spans="1:5" ht="11.1" hidden="1" customHeight="1" x14ac:dyDescent="0.25">
      <c r="A1242" s="12" t="s">
        <v>1741</v>
      </c>
      <c r="B1242" s="12" t="s">
        <v>1742</v>
      </c>
      <c r="C1242" s="14">
        <v>6833.33</v>
      </c>
      <c r="D1242" s="12"/>
      <c r="E1242" s="14"/>
    </row>
    <row r="1243" spans="1:5" ht="11.1" hidden="1" customHeight="1" x14ac:dyDescent="0.25">
      <c r="A1243" s="12" t="s">
        <v>1743</v>
      </c>
      <c r="B1243" s="12" t="s">
        <v>1744</v>
      </c>
      <c r="C1243" s="14">
        <v>2625</v>
      </c>
      <c r="D1243" s="12"/>
      <c r="E1243" s="14"/>
    </row>
    <row r="1244" spans="1:5" ht="11.1" hidden="1" customHeight="1" x14ac:dyDescent="0.25">
      <c r="A1244" s="12" t="s">
        <v>1745</v>
      </c>
      <c r="B1244" s="12" t="s">
        <v>1744</v>
      </c>
      <c r="C1244" s="14">
        <v>2625</v>
      </c>
      <c r="D1244" s="12"/>
      <c r="E1244" s="14"/>
    </row>
    <row r="1245" spans="1:5" ht="11.1" hidden="1" customHeight="1" x14ac:dyDescent="0.25">
      <c r="A1245" s="12" t="s">
        <v>1746</v>
      </c>
      <c r="B1245" s="12" t="s">
        <v>1744</v>
      </c>
      <c r="C1245" s="14">
        <v>2625</v>
      </c>
      <c r="D1245" s="12"/>
      <c r="E1245" s="14"/>
    </row>
    <row r="1246" spans="1:5" ht="11.1" hidden="1" customHeight="1" x14ac:dyDescent="0.25">
      <c r="A1246" s="12" t="s">
        <v>1747</v>
      </c>
      <c r="B1246" s="12" t="s">
        <v>1744</v>
      </c>
      <c r="C1246" s="14">
        <v>2625</v>
      </c>
      <c r="D1246" s="12"/>
      <c r="E1246" s="14"/>
    </row>
    <row r="1247" spans="1:5" ht="11.1" hidden="1" customHeight="1" x14ac:dyDescent="0.25">
      <c r="A1247" s="12" t="s">
        <v>1748</v>
      </c>
      <c r="B1247" s="12" t="s">
        <v>769</v>
      </c>
      <c r="C1247" s="14">
        <v>3219.17</v>
      </c>
      <c r="D1247" s="12"/>
      <c r="E1247" s="14"/>
    </row>
    <row r="1248" spans="1:5" ht="11.1" hidden="1" customHeight="1" x14ac:dyDescent="0.25">
      <c r="A1248" s="12" t="s">
        <v>1749</v>
      </c>
      <c r="B1248" s="12" t="s">
        <v>311</v>
      </c>
      <c r="C1248" s="14">
        <v>177</v>
      </c>
      <c r="D1248" s="12"/>
      <c r="E1248" s="13"/>
    </row>
    <row r="1249" spans="1:5" ht="11.1" hidden="1" customHeight="1" x14ac:dyDescent="0.25">
      <c r="A1249" s="12" t="s">
        <v>1750</v>
      </c>
      <c r="B1249" s="12" t="s">
        <v>309</v>
      </c>
      <c r="C1249" s="14">
        <v>1967.5</v>
      </c>
      <c r="D1249" s="12"/>
      <c r="E1249" s="14"/>
    </row>
    <row r="1250" spans="1:5" ht="11.1" hidden="1" customHeight="1" x14ac:dyDescent="0.25">
      <c r="A1250" s="12" t="s">
        <v>1751</v>
      </c>
      <c r="B1250" s="12" t="s">
        <v>1706</v>
      </c>
      <c r="C1250" s="14">
        <v>1550.83</v>
      </c>
      <c r="D1250" s="12"/>
      <c r="E1250" s="14"/>
    </row>
    <row r="1251" spans="1:5" ht="11.1" hidden="1" customHeight="1" x14ac:dyDescent="0.25">
      <c r="A1251" s="12" t="s">
        <v>1752</v>
      </c>
      <c r="B1251" s="12" t="s">
        <v>769</v>
      </c>
      <c r="C1251" s="14">
        <v>1624.17</v>
      </c>
      <c r="D1251" s="12"/>
      <c r="E1251" s="14"/>
    </row>
    <row r="1252" spans="1:5" ht="11.1" hidden="1" customHeight="1" x14ac:dyDescent="0.25">
      <c r="A1252" s="12" t="s">
        <v>1753</v>
      </c>
      <c r="B1252" s="12" t="s">
        <v>1754</v>
      </c>
      <c r="C1252" s="14">
        <v>507.5</v>
      </c>
      <c r="D1252" s="12"/>
      <c r="E1252" s="13"/>
    </row>
    <row r="1253" spans="1:5" ht="11.1" hidden="1" customHeight="1" x14ac:dyDescent="0.25">
      <c r="A1253" s="12" t="s">
        <v>1755</v>
      </c>
      <c r="B1253" s="12" t="s">
        <v>1756</v>
      </c>
      <c r="C1253" s="14">
        <v>1828.34</v>
      </c>
      <c r="D1253" s="12"/>
      <c r="E1253" s="14"/>
    </row>
    <row r="1254" spans="1:5" ht="11.1" hidden="1" customHeight="1" x14ac:dyDescent="0.25">
      <c r="A1254" s="12" t="s">
        <v>1757</v>
      </c>
      <c r="B1254" s="12" t="s">
        <v>1758</v>
      </c>
      <c r="C1254" s="14">
        <v>5575</v>
      </c>
      <c r="D1254" s="12"/>
      <c r="E1254" s="14"/>
    </row>
    <row r="1255" spans="1:5" ht="11.1" hidden="1" customHeight="1" x14ac:dyDescent="0.25">
      <c r="A1255" s="12" t="s">
        <v>1759</v>
      </c>
      <c r="B1255" s="12" t="s">
        <v>465</v>
      </c>
      <c r="C1255" s="14">
        <v>5945.84</v>
      </c>
      <c r="D1255" s="12"/>
      <c r="E1255" s="14"/>
    </row>
    <row r="1256" spans="1:5" ht="11.1" hidden="1" customHeight="1" x14ac:dyDescent="0.25">
      <c r="A1256" s="12" t="s">
        <v>1760</v>
      </c>
      <c r="B1256" s="12" t="s">
        <v>465</v>
      </c>
      <c r="C1256" s="14">
        <v>6791.67</v>
      </c>
      <c r="D1256" s="12"/>
      <c r="E1256" s="14"/>
    </row>
    <row r="1257" spans="1:5" ht="11.1" hidden="1" customHeight="1" x14ac:dyDescent="0.25">
      <c r="A1257" s="12" t="s">
        <v>1761</v>
      </c>
      <c r="B1257" s="12" t="s">
        <v>465</v>
      </c>
      <c r="C1257" s="14">
        <v>3891.67</v>
      </c>
      <c r="D1257" s="12"/>
      <c r="E1257" s="14"/>
    </row>
    <row r="1258" spans="1:5" ht="11.1" hidden="1" customHeight="1" x14ac:dyDescent="0.25">
      <c r="A1258" s="12" t="s">
        <v>1762</v>
      </c>
      <c r="B1258" s="12" t="s">
        <v>769</v>
      </c>
      <c r="C1258" s="14">
        <v>5718.33</v>
      </c>
      <c r="D1258" s="12"/>
      <c r="E1258" s="14"/>
    </row>
    <row r="1259" spans="1:5" ht="11.1" hidden="1" customHeight="1" x14ac:dyDescent="0.25">
      <c r="A1259" s="12" t="s">
        <v>1763</v>
      </c>
      <c r="B1259" s="12" t="s">
        <v>205</v>
      </c>
      <c r="C1259" s="14">
        <v>75</v>
      </c>
      <c r="D1259" s="12"/>
      <c r="E1259" s="13"/>
    </row>
    <row r="1260" spans="1:5" ht="11.1" hidden="1" customHeight="1" x14ac:dyDescent="0.25">
      <c r="A1260" s="12" t="s">
        <v>1764</v>
      </c>
      <c r="B1260" s="12" t="s">
        <v>1765</v>
      </c>
      <c r="C1260" s="14">
        <v>17191.669999999998</v>
      </c>
      <c r="D1260" s="12"/>
      <c r="E1260" s="14"/>
    </row>
    <row r="1261" spans="1:5" ht="11.1" hidden="1" customHeight="1" x14ac:dyDescent="0.25">
      <c r="A1261" s="12" t="s">
        <v>1766</v>
      </c>
      <c r="B1261" s="12" t="s">
        <v>1767</v>
      </c>
      <c r="C1261" s="14">
        <v>2122.5</v>
      </c>
      <c r="D1261" s="12"/>
      <c r="E1261" s="14"/>
    </row>
    <row r="1262" spans="1:5" ht="11.1" hidden="1" customHeight="1" x14ac:dyDescent="0.25">
      <c r="A1262" s="12" t="s">
        <v>1768</v>
      </c>
      <c r="B1262" s="12" t="s">
        <v>1769</v>
      </c>
      <c r="C1262" s="14">
        <v>2218.33</v>
      </c>
      <c r="D1262" s="12"/>
      <c r="E1262" s="14"/>
    </row>
    <row r="1263" spans="1:5" ht="11.1" hidden="1" customHeight="1" x14ac:dyDescent="0.25">
      <c r="A1263" s="12" t="s">
        <v>1770</v>
      </c>
      <c r="B1263" s="12" t="s">
        <v>769</v>
      </c>
      <c r="C1263" s="14">
        <v>420.84</v>
      </c>
      <c r="D1263" s="12"/>
      <c r="E1263" s="13"/>
    </row>
    <row r="1264" spans="1:5" ht="11.1" hidden="1" customHeight="1" x14ac:dyDescent="0.25">
      <c r="A1264" s="12" t="s">
        <v>1771</v>
      </c>
      <c r="B1264" s="12" t="s">
        <v>205</v>
      </c>
      <c r="C1264" s="14">
        <v>67.5</v>
      </c>
      <c r="D1264" s="12"/>
      <c r="E1264" s="13"/>
    </row>
    <row r="1265" spans="1:5" ht="11.1" hidden="1" customHeight="1" x14ac:dyDescent="0.25">
      <c r="A1265" s="12" t="s">
        <v>1772</v>
      </c>
      <c r="B1265" s="12" t="s">
        <v>1773</v>
      </c>
      <c r="C1265" s="14">
        <v>3640.83</v>
      </c>
      <c r="D1265" s="12"/>
      <c r="E1265" s="14"/>
    </row>
    <row r="1266" spans="1:5" ht="11.1" hidden="1" customHeight="1" x14ac:dyDescent="0.25">
      <c r="A1266" s="12" t="s">
        <v>1774</v>
      </c>
      <c r="B1266" s="12" t="s">
        <v>489</v>
      </c>
      <c r="C1266" s="14">
        <v>4261.67</v>
      </c>
      <c r="D1266" s="12"/>
      <c r="E1266" s="14"/>
    </row>
    <row r="1267" spans="1:5" ht="23.1" hidden="1" customHeight="1" x14ac:dyDescent="0.25">
      <c r="A1267" s="12" t="s">
        <v>1775</v>
      </c>
      <c r="B1267" s="12" t="s">
        <v>497</v>
      </c>
      <c r="C1267" s="14">
        <v>20.83</v>
      </c>
      <c r="D1267" s="12"/>
      <c r="E1267" s="13"/>
    </row>
    <row r="1268" spans="1:5" ht="11.1" hidden="1" customHeight="1" x14ac:dyDescent="0.25">
      <c r="A1268" s="12" t="s">
        <v>1776</v>
      </c>
      <c r="B1268" s="12" t="s">
        <v>786</v>
      </c>
      <c r="C1268" s="14">
        <v>574.16999999999996</v>
      </c>
      <c r="D1268" s="12"/>
      <c r="E1268" s="13"/>
    </row>
    <row r="1269" spans="1:5" ht="11.1" hidden="1" customHeight="1" x14ac:dyDescent="0.25">
      <c r="A1269" s="12" t="s">
        <v>1777</v>
      </c>
      <c r="B1269" s="12" t="s">
        <v>905</v>
      </c>
      <c r="C1269" s="14">
        <v>11754</v>
      </c>
      <c r="D1269" s="12"/>
      <c r="E1269" s="14"/>
    </row>
    <row r="1270" spans="1:5" ht="11.1" hidden="1" customHeight="1" x14ac:dyDescent="0.25">
      <c r="A1270" s="12" t="s">
        <v>1778</v>
      </c>
      <c r="B1270" s="12" t="s">
        <v>213</v>
      </c>
      <c r="C1270" s="14">
        <v>3.16</v>
      </c>
      <c r="D1270" s="12"/>
      <c r="E1270" s="13"/>
    </row>
    <row r="1271" spans="1:5" ht="11.1" hidden="1" customHeight="1" x14ac:dyDescent="0.25">
      <c r="A1271" s="12" t="s">
        <v>1779</v>
      </c>
      <c r="B1271" s="12" t="s">
        <v>136</v>
      </c>
      <c r="C1271" s="14">
        <v>6.74</v>
      </c>
      <c r="D1271" s="12"/>
      <c r="E1271" s="13"/>
    </row>
    <row r="1272" spans="1:5" ht="11.1" hidden="1" customHeight="1" x14ac:dyDescent="0.25">
      <c r="A1272" s="12" t="s">
        <v>1780</v>
      </c>
      <c r="B1272" s="12" t="s">
        <v>1781</v>
      </c>
      <c r="C1272" s="14">
        <v>20500</v>
      </c>
      <c r="D1272" s="12"/>
      <c r="E1272" s="14"/>
    </row>
    <row r="1273" spans="1:5" ht="11.1" hidden="1" customHeight="1" x14ac:dyDescent="0.25">
      <c r="A1273" s="12" t="s">
        <v>1782</v>
      </c>
      <c r="B1273" s="12" t="s">
        <v>536</v>
      </c>
      <c r="C1273" s="14">
        <v>328.33</v>
      </c>
      <c r="D1273" s="12"/>
      <c r="E1273" s="13"/>
    </row>
    <row r="1274" spans="1:5" ht="23.1" hidden="1" customHeight="1" x14ac:dyDescent="0.25">
      <c r="A1274" s="12" t="s">
        <v>1783</v>
      </c>
      <c r="B1274" s="12" t="s">
        <v>1784</v>
      </c>
      <c r="C1274" s="14">
        <v>3530</v>
      </c>
      <c r="D1274" s="12"/>
      <c r="E1274" s="14"/>
    </row>
    <row r="1275" spans="1:5" ht="23.1" hidden="1" customHeight="1" x14ac:dyDescent="0.25">
      <c r="A1275" s="12" t="s">
        <v>1785</v>
      </c>
      <c r="B1275" s="12" t="s">
        <v>151</v>
      </c>
      <c r="C1275" s="14">
        <v>33.33</v>
      </c>
      <c r="D1275" s="12"/>
      <c r="E1275" s="13"/>
    </row>
    <row r="1276" spans="1:5" ht="11.1" hidden="1" customHeight="1" x14ac:dyDescent="0.25">
      <c r="A1276" s="12" t="s">
        <v>1786</v>
      </c>
      <c r="B1276" s="12" t="s">
        <v>151</v>
      </c>
      <c r="C1276" s="14">
        <v>1.67</v>
      </c>
      <c r="D1276" s="12"/>
      <c r="E1276" s="13"/>
    </row>
    <row r="1277" spans="1:5" ht="11.1" hidden="1" customHeight="1" x14ac:dyDescent="0.25">
      <c r="A1277" s="12" t="s">
        <v>1787</v>
      </c>
      <c r="B1277" s="12" t="s">
        <v>151</v>
      </c>
      <c r="C1277" s="14">
        <v>1.67</v>
      </c>
      <c r="D1277" s="12"/>
      <c r="E1277" s="13"/>
    </row>
    <row r="1278" spans="1:5" ht="11.1" hidden="1" customHeight="1" x14ac:dyDescent="0.25">
      <c r="A1278" s="12" t="s">
        <v>1788</v>
      </c>
      <c r="B1278" s="12" t="s">
        <v>151</v>
      </c>
      <c r="C1278" s="14">
        <v>1.67</v>
      </c>
      <c r="D1278" s="12"/>
      <c r="E1278" s="13"/>
    </row>
    <row r="1279" spans="1:5" ht="23.1" hidden="1" customHeight="1" x14ac:dyDescent="0.25">
      <c r="A1279" s="12" t="s">
        <v>1789</v>
      </c>
      <c r="B1279" s="12" t="s">
        <v>151</v>
      </c>
      <c r="C1279" s="14">
        <v>1.67</v>
      </c>
      <c r="D1279" s="12"/>
      <c r="E1279" s="13"/>
    </row>
    <row r="1280" spans="1:5" ht="11.1" hidden="1" customHeight="1" x14ac:dyDescent="0.25">
      <c r="A1280" s="12" t="s">
        <v>1790</v>
      </c>
      <c r="B1280" s="12" t="s">
        <v>786</v>
      </c>
      <c r="C1280" s="14">
        <v>1849.17</v>
      </c>
      <c r="D1280" s="12"/>
      <c r="E1280" s="14"/>
    </row>
    <row r="1281" spans="1:5" ht="11.1" hidden="1" customHeight="1" x14ac:dyDescent="0.25">
      <c r="A1281" s="12" t="s">
        <v>1791</v>
      </c>
      <c r="B1281" s="12" t="s">
        <v>563</v>
      </c>
      <c r="C1281" s="14">
        <v>854.17</v>
      </c>
      <c r="D1281" s="12"/>
      <c r="E1281" s="13"/>
    </row>
    <row r="1282" spans="1:5" ht="11.1" hidden="1" customHeight="1" x14ac:dyDescent="0.25">
      <c r="A1282" s="12" t="s">
        <v>1792</v>
      </c>
      <c r="B1282" s="12" t="s">
        <v>489</v>
      </c>
      <c r="C1282" s="14">
        <v>218.33</v>
      </c>
      <c r="D1282" s="12"/>
      <c r="E1282" s="13"/>
    </row>
    <row r="1283" spans="1:5" ht="11.1" hidden="1" customHeight="1" x14ac:dyDescent="0.25">
      <c r="A1283" s="12" t="s">
        <v>1793</v>
      </c>
      <c r="B1283" s="12" t="s">
        <v>738</v>
      </c>
      <c r="C1283" s="14">
        <v>204.17</v>
      </c>
      <c r="D1283" s="12"/>
      <c r="E1283" s="13"/>
    </row>
    <row r="1284" spans="1:5" ht="11.1" hidden="1" customHeight="1" x14ac:dyDescent="0.25">
      <c r="A1284" s="12" t="s">
        <v>1794</v>
      </c>
      <c r="B1284" s="12" t="s">
        <v>104</v>
      </c>
      <c r="C1284" s="14">
        <v>23.47</v>
      </c>
      <c r="D1284" s="12"/>
      <c r="E1284" s="13"/>
    </row>
    <row r="1285" spans="1:5" ht="23.1" hidden="1" customHeight="1" x14ac:dyDescent="0.25">
      <c r="A1285" s="12" t="s">
        <v>1795</v>
      </c>
      <c r="B1285" s="12" t="s">
        <v>104</v>
      </c>
      <c r="C1285" s="14">
        <v>26.29</v>
      </c>
      <c r="D1285" s="12"/>
      <c r="E1285" s="13"/>
    </row>
    <row r="1286" spans="1:5" ht="11.1" hidden="1" customHeight="1" x14ac:dyDescent="0.25">
      <c r="A1286" s="12" t="s">
        <v>1796</v>
      </c>
      <c r="B1286" s="12" t="s">
        <v>399</v>
      </c>
      <c r="C1286" s="14">
        <v>22.16</v>
      </c>
      <c r="D1286" s="12"/>
      <c r="E1286" s="13"/>
    </row>
    <row r="1287" spans="1:5" ht="11.1" hidden="1" customHeight="1" x14ac:dyDescent="0.25">
      <c r="A1287" s="12" t="s">
        <v>1797</v>
      </c>
      <c r="B1287" s="12" t="s">
        <v>104</v>
      </c>
      <c r="C1287" s="14">
        <v>5.22</v>
      </c>
      <c r="D1287" s="12"/>
      <c r="E1287" s="13"/>
    </row>
    <row r="1288" spans="1:5" ht="11.1" hidden="1" customHeight="1" x14ac:dyDescent="0.25">
      <c r="A1288" s="12" t="s">
        <v>1798</v>
      </c>
      <c r="B1288" s="12" t="s">
        <v>439</v>
      </c>
      <c r="C1288" s="14">
        <v>827.4</v>
      </c>
      <c r="D1288" s="12"/>
      <c r="E1288" s="13"/>
    </row>
    <row r="1289" spans="1:5" ht="11.1" hidden="1" customHeight="1" x14ac:dyDescent="0.25">
      <c r="A1289" s="12" t="s">
        <v>1799</v>
      </c>
      <c r="B1289" s="12" t="s">
        <v>439</v>
      </c>
      <c r="C1289" s="14">
        <v>909.7</v>
      </c>
      <c r="D1289" s="12"/>
      <c r="E1289" s="13"/>
    </row>
    <row r="1290" spans="1:5" ht="11.1" hidden="1" customHeight="1" x14ac:dyDescent="0.25">
      <c r="A1290" s="12" t="s">
        <v>1800</v>
      </c>
      <c r="B1290" s="12" t="s">
        <v>439</v>
      </c>
      <c r="C1290" s="14">
        <v>888.5</v>
      </c>
      <c r="D1290" s="12"/>
      <c r="E1290" s="13"/>
    </row>
    <row r="1291" spans="1:5" ht="11.1" hidden="1" customHeight="1" x14ac:dyDescent="0.25">
      <c r="A1291" s="12" t="s">
        <v>1801</v>
      </c>
      <c r="B1291" s="12" t="s">
        <v>1802</v>
      </c>
      <c r="C1291" s="14">
        <v>458.34</v>
      </c>
      <c r="D1291" s="12"/>
      <c r="E1291" s="13"/>
    </row>
    <row r="1292" spans="1:5" ht="11.1" hidden="1" customHeight="1" x14ac:dyDescent="0.25">
      <c r="A1292" s="12" t="s">
        <v>1803</v>
      </c>
      <c r="B1292" s="12" t="s">
        <v>1804</v>
      </c>
      <c r="C1292" s="14">
        <v>41.48</v>
      </c>
      <c r="D1292" s="12"/>
      <c r="E1292" s="13"/>
    </row>
    <row r="1293" spans="1:5" ht="11.1" hidden="1" customHeight="1" x14ac:dyDescent="0.25">
      <c r="A1293" s="12" t="s">
        <v>1805</v>
      </c>
      <c r="B1293" s="12" t="s">
        <v>1806</v>
      </c>
      <c r="C1293" s="14">
        <v>2900</v>
      </c>
      <c r="D1293" s="12"/>
      <c r="E1293" s="14"/>
    </row>
    <row r="1294" spans="1:5" ht="11.1" hidden="1" customHeight="1" x14ac:dyDescent="0.25">
      <c r="A1294" s="12" t="s">
        <v>1807</v>
      </c>
      <c r="B1294" s="12" t="s">
        <v>1808</v>
      </c>
      <c r="C1294" s="14">
        <v>150</v>
      </c>
      <c r="D1294" s="12"/>
      <c r="E1294" s="13"/>
    </row>
    <row r="1295" spans="1:5" ht="11.1" hidden="1" customHeight="1" x14ac:dyDescent="0.25">
      <c r="A1295" s="12" t="s">
        <v>1809</v>
      </c>
      <c r="B1295" s="12" t="s">
        <v>1810</v>
      </c>
      <c r="C1295" s="14">
        <v>208.58</v>
      </c>
      <c r="D1295" s="12"/>
      <c r="E1295" s="13"/>
    </row>
    <row r="1296" spans="1:5" ht="11.1" hidden="1" customHeight="1" x14ac:dyDescent="0.25">
      <c r="A1296" s="12" t="s">
        <v>1811</v>
      </c>
      <c r="B1296" s="12" t="s">
        <v>1812</v>
      </c>
      <c r="C1296" s="14">
        <v>559</v>
      </c>
      <c r="D1296" s="12"/>
      <c r="E1296" s="13"/>
    </row>
    <row r="1297" spans="1:5" ht="11.1" hidden="1" customHeight="1" x14ac:dyDescent="0.25">
      <c r="A1297" s="12" t="s">
        <v>1813</v>
      </c>
      <c r="B1297" s="12" t="s">
        <v>1814</v>
      </c>
      <c r="C1297" s="14">
        <v>54998.75</v>
      </c>
      <c r="D1297" s="12"/>
      <c r="E1297" s="14"/>
    </row>
    <row r="1298" spans="1:5" ht="11.1" hidden="1" customHeight="1" x14ac:dyDescent="0.25">
      <c r="A1298" s="12" t="s">
        <v>1815</v>
      </c>
      <c r="B1298" s="12" t="s">
        <v>1816</v>
      </c>
      <c r="C1298" s="14">
        <v>23962</v>
      </c>
      <c r="D1298" s="12"/>
      <c r="E1298" s="14"/>
    </row>
    <row r="1299" spans="1:5" ht="11.1" hidden="1" customHeight="1" x14ac:dyDescent="0.25">
      <c r="A1299" s="12" t="s">
        <v>1817</v>
      </c>
      <c r="B1299" s="12" t="s">
        <v>1818</v>
      </c>
      <c r="C1299" s="14">
        <v>973.89</v>
      </c>
      <c r="D1299" s="12"/>
      <c r="E1299" s="13"/>
    </row>
    <row r="1300" spans="1:5" ht="11.1" hidden="1" customHeight="1" x14ac:dyDescent="0.25">
      <c r="A1300" s="12" t="s">
        <v>1819</v>
      </c>
      <c r="B1300" s="12" t="s">
        <v>1818</v>
      </c>
      <c r="C1300" s="14">
        <v>1524.68</v>
      </c>
      <c r="D1300" s="12"/>
      <c r="E1300" s="14"/>
    </row>
    <row r="1301" spans="1:5" ht="11.1" hidden="1" customHeight="1" x14ac:dyDescent="0.25">
      <c r="A1301" s="12" t="s">
        <v>1820</v>
      </c>
      <c r="B1301" s="12" t="s">
        <v>1821</v>
      </c>
      <c r="C1301" s="14">
        <v>382</v>
      </c>
      <c r="D1301" s="12"/>
      <c r="E1301" s="13"/>
    </row>
    <row r="1302" spans="1:5" ht="11.1" hidden="1" customHeight="1" x14ac:dyDescent="0.25">
      <c r="A1302" s="12" t="s">
        <v>1822</v>
      </c>
      <c r="B1302" s="12" t="s">
        <v>1821</v>
      </c>
      <c r="C1302" s="14">
        <v>343</v>
      </c>
      <c r="D1302" s="12"/>
      <c r="E1302" s="13"/>
    </row>
    <row r="1303" spans="1:5" ht="11.1" hidden="1" customHeight="1" x14ac:dyDescent="0.25">
      <c r="A1303" s="12" t="s">
        <v>1823</v>
      </c>
      <c r="B1303" s="12" t="s">
        <v>1821</v>
      </c>
      <c r="C1303" s="14">
        <v>353</v>
      </c>
      <c r="D1303" s="12"/>
      <c r="E1303" s="13"/>
    </row>
    <row r="1304" spans="1:5" ht="11.1" hidden="1" customHeight="1" x14ac:dyDescent="0.25">
      <c r="A1304" s="12" t="s">
        <v>1824</v>
      </c>
      <c r="B1304" s="12" t="s">
        <v>745</v>
      </c>
      <c r="C1304" s="14">
        <v>65.83</v>
      </c>
      <c r="D1304" s="12"/>
      <c r="E1304" s="13"/>
    </row>
    <row r="1305" spans="1:5" ht="11.1" hidden="1" customHeight="1" x14ac:dyDescent="0.25">
      <c r="A1305" s="12" t="s">
        <v>1825</v>
      </c>
      <c r="B1305" s="12" t="s">
        <v>745</v>
      </c>
      <c r="C1305" s="14">
        <v>74.17</v>
      </c>
      <c r="D1305" s="12"/>
      <c r="E1305" s="13"/>
    </row>
    <row r="1306" spans="1:5" ht="11.1" hidden="1" customHeight="1" x14ac:dyDescent="0.25">
      <c r="A1306" s="12" t="s">
        <v>1826</v>
      </c>
      <c r="B1306" s="12" t="s">
        <v>1827</v>
      </c>
      <c r="C1306" s="14">
        <v>2440</v>
      </c>
      <c r="D1306" s="12"/>
      <c r="E1306" s="14"/>
    </row>
    <row r="1307" spans="1:5" ht="11.1" hidden="1" customHeight="1" x14ac:dyDescent="0.25">
      <c r="A1307" s="12" t="s">
        <v>1828</v>
      </c>
      <c r="B1307" s="12" t="s">
        <v>1829</v>
      </c>
      <c r="C1307" s="14">
        <v>3347983.87</v>
      </c>
      <c r="D1307" s="12"/>
      <c r="E1307" s="14"/>
    </row>
    <row r="1308" spans="1:5" ht="11.1" hidden="1" customHeight="1" x14ac:dyDescent="0.25">
      <c r="A1308" s="12" t="s">
        <v>1830</v>
      </c>
      <c r="B1308" s="12" t="s">
        <v>309</v>
      </c>
      <c r="C1308" s="14">
        <v>153.33000000000001</v>
      </c>
      <c r="D1308" s="12"/>
      <c r="E1308" s="13"/>
    </row>
    <row r="1309" spans="1:5" ht="11.1" hidden="1" customHeight="1" x14ac:dyDescent="0.25">
      <c r="A1309" s="12" t="s">
        <v>1831</v>
      </c>
      <c r="B1309" s="12" t="s">
        <v>1832</v>
      </c>
      <c r="C1309" s="14">
        <v>134.9</v>
      </c>
      <c r="D1309" s="12"/>
      <c r="E1309" s="13"/>
    </row>
    <row r="1310" spans="1:5" ht="11.1" hidden="1" customHeight="1" x14ac:dyDescent="0.25">
      <c r="A1310" s="12" t="s">
        <v>1833</v>
      </c>
      <c r="B1310" s="12" t="s">
        <v>521</v>
      </c>
      <c r="C1310" s="14">
        <v>156.66999999999999</v>
      </c>
      <c r="D1310" s="12"/>
      <c r="E1310" s="13"/>
    </row>
    <row r="1311" spans="1:5" ht="11.1" hidden="1" customHeight="1" x14ac:dyDescent="0.25">
      <c r="A1311" s="12" t="s">
        <v>1834</v>
      </c>
      <c r="B1311" s="12" t="s">
        <v>515</v>
      </c>
      <c r="C1311" s="14">
        <v>97.63</v>
      </c>
      <c r="D1311" s="12"/>
      <c r="E1311" s="13"/>
    </row>
    <row r="1312" spans="1:5" ht="23.1" hidden="1" customHeight="1" x14ac:dyDescent="0.25">
      <c r="A1312" s="12" t="s">
        <v>1835</v>
      </c>
      <c r="B1312" s="12" t="s">
        <v>1832</v>
      </c>
      <c r="C1312" s="14">
        <v>115.09</v>
      </c>
      <c r="D1312" s="12"/>
      <c r="E1312" s="13"/>
    </row>
    <row r="1313" spans="1:5" ht="11.1" hidden="1" customHeight="1" x14ac:dyDescent="0.25">
      <c r="A1313" s="12" t="s">
        <v>1836</v>
      </c>
      <c r="B1313" s="12" t="s">
        <v>1832</v>
      </c>
      <c r="C1313" s="14">
        <v>394.81</v>
      </c>
      <c r="D1313" s="12"/>
      <c r="E1313" s="13"/>
    </row>
    <row r="1314" spans="1:5" ht="11.1" hidden="1" customHeight="1" x14ac:dyDescent="0.25">
      <c r="A1314" s="12" t="s">
        <v>1837</v>
      </c>
      <c r="B1314" s="12" t="s">
        <v>1832</v>
      </c>
      <c r="C1314" s="14">
        <v>410.24</v>
      </c>
      <c r="D1314" s="12"/>
      <c r="E1314" s="13"/>
    </row>
    <row r="1315" spans="1:5" ht="11.1" hidden="1" customHeight="1" x14ac:dyDescent="0.25">
      <c r="A1315" s="12" t="s">
        <v>1838</v>
      </c>
      <c r="B1315" s="12" t="s">
        <v>1832</v>
      </c>
      <c r="C1315" s="14">
        <v>160.47999999999999</v>
      </c>
      <c r="D1315" s="12"/>
      <c r="E1315" s="13"/>
    </row>
    <row r="1316" spans="1:5" ht="11.1" hidden="1" customHeight="1" x14ac:dyDescent="0.25">
      <c r="A1316" s="12" t="s">
        <v>1839</v>
      </c>
      <c r="B1316" s="12" t="s">
        <v>1832</v>
      </c>
      <c r="C1316" s="14">
        <v>497.68</v>
      </c>
      <c r="D1316" s="12"/>
      <c r="E1316" s="13"/>
    </row>
    <row r="1317" spans="1:5" ht="23.1" hidden="1" customHeight="1" x14ac:dyDescent="0.25">
      <c r="A1317" s="12" t="s">
        <v>1840</v>
      </c>
      <c r="B1317" s="12" t="s">
        <v>1841</v>
      </c>
      <c r="C1317" s="14">
        <v>2493883.0699999998</v>
      </c>
      <c r="D1317" s="12"/>
      <c r="E1317" s="14"/>
    </row>
    <row r="1318" spans="1:5" ht="23.1" hidden="1" customHeight="1" x14ac:dyDescent="0.25">
      <c r="A1318" s="12" t="s">
        <v>1842</v>
      </c>
      <c r="B1318" s="12" t="s">
        <v>1843</v>
      </c>
      <c r="C1318" s="14">
        <v>156939.17000000001</v>
      </c>
      <c r="D1318" s="12"/>
      <c r="E1318" s="14"/>
    </row>
    <row r="1319" spans="1:5" ht="23.1" hidden="1" customHeight="1" x14ac:dyDescent="0.25">
      <c r="A1319" s="12" t="s">
        <v>1844</v>
      </c>
      <c r="B1319" s="12" t="s">
        <v>1806</v>
      </c>
      <c r="C1319" s="14">
        <v>75.2</v>
      </c>
      <c r="D1319" s="12"/>
      <c r="E1319" s="13"/>
    </row>
    <row r="1320" spans="1:5" ht="11.1" hidden="1" customHeight="1" x14ac:dyDescent="0.25">
      <c r="A1320" s="12" t="s">
        <v>1845</v>
      </c>
      <c r="B1320" s="12" t="s">
        <v>1846</v>
      </c>
      <c r="C1320" s="14">
        <v>45.19</v>
      </c>
      <c r="D1320" s="12"/>
      <c r="E1320" s="13"/>
    </row>
    <row r="1321" spans="1:5" ht="11.1" hidden="1" customHeight="1" x14ac:dyDescent="0.25">
      <c r="A1321" s="12" t="s">
        <v>1847</v>
      </c>
      <c r="B1321" s="12" t="s">
        <v>1848</v>
      </c>
      <c r="C1321" s="14">
        <v>4894760.3499999996</v>
      </c>
      <c r="D1321" s="12"/>
      <c r="E1321" s="14"/>
    </row>
    <row r="1322" spans="1:5" ht="11.1" hidden="1" customHeight="1" x14ac:dyDescent="0.25">
      <c r="A1322" s="12" t="s">
        <v>1849</v>
      </c>
      <c r="B1322" s="12" t="s">
        <v>963</v>
      </c>
      <c r="C1322" s="14">
        <v>1463.34</v>
      </c>
      <c r="D1322" s="12"/>
      <c r="E1322" s="14"/>
    </row>
    <row r="1323" spans="1:5" ht="23.1" hidden="1" customHeight="1" x14ac:dyDescent="0.25">
      <c r="A1323" s="12" t="s">
        <v>1850</v>
      </c>
      <c r="B1323" s="12" t="s">
        <v>1851</v>
      </c>
      <c r="C1323" s="14">
        <v>4333.33</v>
      </c>
      <c r="D1323" s="12"/>
      <c r="E1323" s="14"/>
    </row>
    <row r="1324" spans="1:5" ht="11.1" hidden="1" customHeight="1" x14ac:dyDescent="0.25">
      <c r="A1324" s="12" t="s">
        <v>1852</v>
      </c>
      <c r="B1324" s="12" t="s">
        <v>1827</v>
      </c>
      <c r="C1324" s="14">
        <v>6580</v>
      </c>
      <c r="D1324" s="12"/>
      <c r="E1324" s="14"/>
    </row>
    <row r="1325" spans="1:5" ht="11.1" hidden="1" customHeight="1" x14ac:dyDescent="0.25">
      <c r="A1325" s="12" t="s">
        <v>1853</v>
      </c>
      <c r="B1325" s="12" t="s">
        <v>1854</v>
      </c>
      <c r="C1325" s="14">
        <v>93.75</v>
      </c>
      <c r="D1325" s="12"/>
      <c r="E1325" s="13"/>
    </row>
    <row r="1326" spans="1:5" ht="11.1" hidden="1" customHeight="1" x14ac:dyDescent="0.25">
      <c r="A1326" s="12" t="s">
        <v>1855</v>
      </c>
      <c r="B1326" s="12" t="s">
        <v>1856</v>
      </c>
      <c r="C1326" s="14">
        <v>76000</v>
      </c>
      <c r="D1326" s="12"/>
      <c r="E1326" s="14"/>
    </row>
    <row r="1327" spans="1:5" ht="23.1" hidden="1" customHeight="1" x14ac:dyDescent="0.25">
      <c r="A1327" s="12" t="s">
        <v>1857</v>
      </c>
      <c r="B1327" s="12" t="s">
        <v>1856</v>
      </c>
      <c r="C1327" s="14">
        <v>1310</v>
      </c>
      <c r="D1327" s="12"/>
      <c r="E1327" s="14"/>
    </row>
    <row r="1328" spans="1:5" ht="11.1" hidden="1" customHeight="1" x14ac:dyDescent="0.25">
      <c r="A1328" s="12" t="s">
        <v>1858</v>
      </c>
      <c r="B1328" s="12" t="s">
        <v>1856</v>
      </c>
      <c r="C1328" s="14">
        <v>20340</v>
      </c>
      <c r="D1328" s="12"/>
      <c r="E1328" s="14"/>
    </row>
    <row r="1329" spans="1:5" ht="11.1" hidden="1" customHeight="1" x14ac:dyDescent="0.25">
      <c r="A1329" s="12" t="s">
        <v>1859</v>
      </c>
      <c r="B1329" s="12" t="s">
        <v>1860</v>
      </c>
      <c r="C1329" s="14">
        <v>3108.34</v>
      </c>
      <c r="D1329" s="12"/>
      <c r="E1329" s="14"/>
    </row>
    <row r="1330" spans="1:5" ht="11.1" hidden="1" customHeight="1" x14ac:dyDescent="0.25">
      <c r="A1330" s="12" t="s">
        <v>1861</v>
      </c>
      <c r="B1330" s="12" t="s">
        <v>1862</v>
      </c>
      <c r="C1330" s="14">
        <v>1808</v>
      </c>
      <c r="D1330" s="12"/>
      <c r="E1330" s="14"/>
    </row>
    <row r="1331" spans="1:5" ht="11.1" hidden="1" customHeight="1" x14ac:dyDescent="0.25">
      <c r="A1331" s="12" t="s">
        <v>1863</v>
      </c>
      <c r="B1331" s="12" t="s">
        <v>1864</v>
      </c>
      <c r="C1331" s="14">
        <v>850</v>
      </c>
      <c r="D1331" s="12"/>
      <c r="E1331" s="13"/>
    </row>
    <row r="1332" spans="1:5" ht="11.1" hidden="1" customHeight="1" x14ac:dyDescent="0.25">
      <c r="A1332" s="12" t="s">
        <v>1865</v>
      </c>
      <c r="B1332" s="12" t="s">
        <v>1866</v>
      </c>
      <c r="C1332" s="14">
        <v>115.83</v>
      </c>
      <c r="D1332" s="12"/>
      <c r="E1332" s="13"/>
    </row>
    <row r="1333" spans="1:5" ht="23.1" hidden="1" customHeight="1" x14ac:dyDescent="0.25">
      <c r="A1333" s="12" t="s">
        <v>1867</v>
      </c>
      <c r="B1333" s="12" t="s">
        <v>188</v>
      </c>
      <c r="C1333" s="14">
        <v>30366.67</v>
      </c>
      <c r="D1333" s="12"/>
      <c r="E1333" s="14"/>
    </row>
    <row r="1334" spans="1:5" ht="11.1" hidden="1" customHeight="1" x14ac:dyDescent="0.25">
      <c r="A1334" s="12" t="s">
        <v>1868</v>
      </c>
      <c r="B1334" s="12" t="s">
        <v>168</v>
      </c>
      <c r="C1334" s="14">
        <v>635.55999999999995</v>
      </c>
      <c r="D1334" s="12"/>
      <c r="E1334" s="13"/>
    </row>
    <row r="1335" spans="1:5" ht="11.1" hidden="1" customHeight="1" x14ac:dyDescent="0.25">
      <c r="A1335" s="12" t="s">
        <v>1869</v>
      </c>
      <c r="B1335" s="12" t="s">
        <v>1870</v>
      </c>
      <c r="C1335" s="14">
        <v>36438.400000000001</v>
      </c>
      <c r="D1335" s="12"/>
      <c r="E1335" s="14"/>
    </row>
    <row r="1336" spans="1:5" ht="11.1" hidden="1" customHeight="1" x14ac:dyDescent="0.25">
      <c r="A1336" s="12" t="s">
        <v>1871</v>
      </c>
      <c r="B1336" s="12" t="s">
        <v>1872</v>
      </c>
      <c r="C1336" s="14">
        <v>3126</v>
      </c>
      <c r="D1336" s="12"/>
      <c r="E1336" s="14"/>
    </row>
    <row r="1337" spans="1:5" ht="23.1" hidden="1" customHeight="1" x14ac:dyDescent="0.25">
      <c r="A1337" s="12" t="s">
        <v>1873</v>
      </c>
      <c r="B1337" s="12" t="s">
        <v>288</v>
      </c>
      <c r="C1337" s="14">
        <v>145.83000000000001</v>
      </c>
      <c r="D1337" s="12"/>
      <c r="E1337" s="13"/>
    </row>
    <row r="1338" spans="1:5" ht="11.1" hidden="1" customHeight="1" x14ac:dyDescent="0.25">
      <c r="A1338" s="12" t="s">
        <v>1874</v>
      </c>
      <c r="B1338" s="12" t="s">
        <v>1875</v>
      </c>
      <c r="C1338" s="14">
        <v>33333.33</v>
      </c>
      <c r="D1338" s="12"/>
      <c r="E1338" s="14"/>
    </row>
    <row r="1339" spans="1:5" ht="11.1" hidden="1" customHeight="1" x14ac:dyDescent="0.25">
      <c r="A1339" s="12" t="s">
        <v>1876</v>
      </c>
      <c r="B1339" s="12" t="s">
        <v>1877</v>
      </c>
      <c r="C1339" s="14">
        <v>25500</v>
      </c>
      <c r="D1339" s="12"/>
      <c r="E1339" s="14"/>
    </row>
    <row r="1340" spans="1:5" ht="11.1" hidden="1" customHeight="1" x14ac:dyDescent="0.25">
      <c r="A1340" s="12" t="s">
        <v>1878</v>
      </c>
      <c r="B1340" s="12" t="s">
        <v>1879</v>
      </c>
      <c r="C1340" s="14">
        <v>6582.5</v>
      </c>
      <c r="D1340" s="12"/>
      <c r="E1340" s="14"/>
    </row>
    <row r="1341" spans="1:5" ht="11.1" hidden="1" customHeight="1" x14ac:dyDescent="0.25">
      <c r="A1341" s="12" t="s">
        <v>1880</v>
      </c>
      <c r="B1341" s="12" t="s">
        <v>1881</v>
      </c>
      <c r="C1341" s="14">
        <v>9634</v>
      </c>
      <c r="D1341" s="12"/>
      <c r="E1341" s="14"/>
    </row>
    <row r="1342" spans="1:5" ht="11.1" hidden="1" customHeight="1" x14ac:dyDescent="0.25">
      <c r="A1342" s="12" t="s">
        <v>1882</v>
      </c>
      <c r="B1342" s="12" t="s">
        <v>1883</v>
      </c>
      <c r="C1342" s="14">
        <v>2353</v>
      </c>
      <c r="D1342" s="12"/>
      <c r="E1342" s="14"/>
    </row>
    <row r="1343" spans="1:5" ht="11.1" hidden="1" customHeight="1" x14ac:dyDescent="0.25">
      <c r="A1343" s="12" t="s">
        <v>1884</v>
      </c>
      <c r="B1343" s="12" t="s">
        <v>1879</v>
      </c>
      <c r="C1343" s="14">
        <v>5541.67</v>
      </c>
      <c r="D1343" s="12"/>
      <c r="E1343" s="14"/>
    </row>
    <row r="1344" spans="1:5" ht="11.1" hidden="1" customHeight="1" x14ac:dyDescent="0.25">
      <c r="A1344" s="12" t="s">
        <v>1885</v>
      </c>
      <c r="B1344" s="12" t="s">
        <v>1879</v>
      </c>
      <c r="C1344" s="14">
        <v>12408.33</v>
      </c>
      <c r="D1344" s="12"/>
      <c r="E1344" s="14"/>
    </row>
    <row r="1345" spans="1:5" ht="11.1" hidden="1" customHeight="1" x14ac:dyDescent="0.25">
      <c r="A1345" s="12" t="s">
        <v>1886</v>
      </c>
      <c r="B1345" s="12" t="s">
        <v>1879</v>
      </c>
      <c r="C1345" s="14">
        <v>8793.75</v>
      </c>
      <c r="D1345" s="12"/>
      <c r="E1345" s="14"/>
    </row>
    <row r="1346" spans="1:5" ht="11.1" hidden="1" customHeight="1" x14ac:dyDescent="0.25">
      <c r="A1346" s="12" t="s">
        <v>1887</v>
      </c>
      <c r="B1346" s="12" t="s">
        <v>1888</v>
      </c>
      <c r="C1346" s="14">
        <v>541.66999999999996</v>
      </c>
      <c r="D1346" s="12"/>
      <c r="E1346" s="13"/>
    </row>
    <row r="1347" spans="1:5" ht="11.1" hidden="1" customHeight="1" x14ac:dyDescent="0.25">
      <c r="A1347" s="12" t="s">
        <v>1889</v>
      </c>
      <c r="B1347" s="12" t="s">
        <v>1890</v>
      </c>
      <c r="C1347" s="14">
        <v>1261.4000000000001</v>
      </c>
      <c r="D1347" s="12"/>
      <c r="E1347" s="14"/>
    </row>
    <row r="1348" spans="1:5" ht="11.1" hidden="1" customHeight="1" x14ac:dyDescent="0.25">
      <c r="A1348" s="12" t="s">
        <v>1891</v>
      </c>
      <c r="B1348" s="12" t="s">
        <v>146</v>
      </c>
      <c r="C1348" s="14">
        <v>424</v>
      </c>
      <c r="D1348" s="12"/>
      <c r="E1348" s="13"/>
    </row>
    <row r="1349" spans="1:5" ht="11.1" hidden="1" customHeight="1" x14ac:dyDescent="0.25">
      <c r="A1349" s="12" t="s">
        <v>1892</v>
      </c>
      <c r="B1349" s="12" t="s">
        <v>1893</v>
      </c>
      <c r="C1349" s="14">
        <v>3348</v>
      </c>
      <c r="D1349" s="12"/>
      <c r="E1349" s="14"/>
    </row>
    <row r="1350" spans="1:5" ht="11.1" hidden="1" customHeight="1" x14ac:dyDescent="0.25">
      <c r="A1350" s="12" t="s">
        <v>1894</v>
      </c>
      <c r="B1350" s="12" t="s">
        <v>1895</v>
      </c>
      <c r="C1350" s="14">
        <v>366.67</v>
      </c>
      <c r="D1350" s="12"/>
      <c r="E1350" s="13"/>
    </row>
    <row r="1351" spans="1:5" ht="11.1" hidden="1" customHeight="1" x14ac:dyDescent="0.25">
      <c r="A1351" s="12" t="s">
        <v>1896</v>
      </c>
      <c r="B1351" s="12" t="s">
        <v>1897</v>
      </c>
      <c r="C1351" s="14">
        <v>730</v>
      </c>
      <c r="D1351" s="12"/>
      <c r="E1351" s="13"/>
    </row>
    <row r="1352" spans="1:5" ht="11.1" hidden="1" customHeight="1" x14ac:dyDescent="0.25">
      <c r="A1352" s="12" t="s">
        <v>1898</v>
      </c>
      <c r="B1352" s="12" t="s">
        <v>1895</v>
      </c>
      <c r="C1352" s="14">
        <v>358.33</v>
      </c>
      <c r="D1352" s="12"/>
      <c r="E1352" s="13"/>
    </row>
    <row r="1353" spans="1:5" ht="11.1" hidden="1" customHeight="1" x14ac:dyDescent="0.25">
      <c r="A1353" s="12" t="s">
        <v>1899</v>
      </c>
      <c r="B1353" s="12" t="s">
        <v>1879</v>
      </c>
      <c r="C1353" s="14">
        <v>5665</v>
      </c>
      <c r="D1353" s="12"/>
      <c r="E1353" s="14"/>
    </row>
    <row r="1354" spans="1:5" ht="11.1" hidden="1" customHeight="1" x14ac:dyDescent="0.25">
      <c r="A1354" s="12" t="s">
        <v>1900</v>
      </c>
      <c r="B1354" s="12" t="s">
        <v>1879</v>
      </c>
      <c r="C1354" s="14">
        <v>14213.33</v>
      </c>
      <c r="D1354" s="12"/>
      <c r="E1354" s="14"/>
    </row>
    <row r="1355" spans="1:5" ht="11.1" hidden="1" customHeight="1" x14ac:dyDescent="0.25">
      <c r="A1355" s="12" t="s">
        <v>1901</v>
      </c>
      <c r="B1355" s="12" t="s">
        <v>1879</v>
      </c>
      <c r="C1355" s="14">
        <v>6285.83</v>
      </c>
      <c r="D1355" s="12"/>
      <c r="E1355" s="14"/>
    </row>
    <row r="1356" spans="1:5" ht="11.1" hidden="1" customHeight="1" x14ac:dyDescent="0.25">
      <c r="A1356" s="12" t="s">
        <v>1902</v>
      </c>
      <c r="B1356" s="12" t="s">
        <v>1903</v>
      </c>
      <c r="C1356" s="14">
        <v>1899</v>
      </c>
      <c r="D1356" s="12"/>
      <c r="E1356" s="14"/>
    </row>
    <row r="1357" spans="1:5" ht="11.1" hidden="1" customHeight="1" x14ac:dyDescent="0.25">
      <c r="A1357" s="12" t="s">
        <v>1904</v>
      </c>
      <c r="B1357" s="12" t="s">
        <v>193</v>
      </c>
      <c r="C1357" s="14">
        <v>252.87</v>
      </c>
      <c r="D1357" s="12"/>
      <c r="E1357" s="13"/>
    </row>
    <row r="1358" spans="1:5" ht="11.1" hidden="1" customHeight="1" x14ac:dyDescent="0.25">
      <c r="A1358" s="12" t="s">
        <v>1905</v>
      </c>
      <c r="B1358" s="12" t="s">
        <v>638</v>
      </c>
      <c r="C1358" s="14">
        <v>579.16999999999996</v>
      </c>
      <c r="D1358" s="12"/>
      <c r="E1358" s="13"/>
    </row>
    <row r="1359" spans="1:5" ht="11.1" hidden="1" customHeight="1" x14ac:dyDescent="0.25">
      <c r="A1359" s="12" t="s">
        <v>1906</v>
      </c>
      <c r="B1359" s="12" t="s">
        <v>1907</v>
      </c>
      <c r="C1359" s="14">
        <v>1590</v>
      </c>
      <c r="D1359" s="12"/>
      <c r="E1359" s="14"/>
    </row>
    <row r="1360" spans="1:5" ht="11.1" hidden="1" customHeight="1" x14ac:dyDescent="0.25">
      <c r="A1360" s="12" t="s">
        <v>1908</v>
      </c>
      <c r="B1360" s="12" t="s">
        <v>1909</v>
      </c>
      <c r="C1360" s="14">
        <v>34930</v>
      </c>
      <c r="D1360" s="12"/>
      <c r="E1360" s="14"/>
    </row>
    <row r="1361" spans="1:5" ht="11.1" hidden="1" customHeight="1" x14ac:dyDescent="0.25">
      <c r="A1361" s="12" t="s">
        <v>1910</v>
      </c>
      <c r="B1361" s="12" t="s">
        <v>1911</v>
      </c>
      <c r="C1361" s="14">
        <v>2899.52</v>
      </c>
      <c r="D1361" s="12"/>
      <c r="E1361" s="14"/>
    </row>
    <row r="1362" spans="1:5" ht="11.1" hidden="1" customHeight="1" x14ac:dyDescent="0.25">
      <c r="A1362" s="12" t="s">
        <v>1912</v>
      </c>
      <c r="B1362" s="12" t="s">
        <v>1913</v>
      </c>
      <c r="C1362" s="14">
        <v>2665.83</v>
      </c>
      <c r="D1362" s="12"/>
      <c r="E1362" s="14"/>
    </row>
    <row r="1363" spans="1:5" ht="11.1" hidden="1" customHeight="1" x14ac:dyDescent="0.25">
      <c r="A1363" s="12" t="s">
        <v>1914</v>
      </c>
      <c r="B1363" s="12" t="s">
        <v>1915</v>
      </c>
      <c r="C1363" s="14">
        <v>33500</v>
      </c>
      <c r="D1363" s="12"/>
      <c r="E1363" s="14"/>
    </row>
    <row r="1364" spans="1:5" ht="11.1" hidden="1" customHeight="1" x14ac:dyDescent="0.25">
      <c r="A1364" s="12" t="s">
        <v>1916</v>
      </c>
      <c r="B1364" s="12" t="s">
        <v>1917</v>
      </c>
      <c r="C1364" s="14">
        <v>27147.09</v>
      </c>
      <c r="D1364" s="12"/>
      <c r="E1364" s="14"/>
    </row>
    <row r="1365" spans="1:5" ht="11.1" hidden="1" customHeight="1" x14ac:dyDescent="0.25">
      <c r="A1365" s="12" t="s">
        <v>1918</v>
      </c>
      <c r="B1365" s="12" t="s">
        <v>1919</v>
      </c>
      <c r="C1365" s="14">
        <v>1222</v>
      </c>
      <c r="D1365" s="12"/>
      <c r="E1365" s="14"/>
    </row>
    <row r="1366" spans="1:5" ht="11.1" hidden="1" customHeight="1" x14ac:dyDescent="0.25">
      <c r="A1366" s="12" t="s">
        <v>1920</v>
      </c>
      <c r="B1366" s="12" t="s">
        <v>1921</v>
      </c>
      <c r="C1366" s="14">
        <v>89.17</v>
      </c>
      <c r="D1366" s="12"/>
      <c r="E1366" s="13"/>
    </row>
    <row r="1367" spans="1:5" ht="11.1" hidden="1" customHeight="1" x14ac:dyDescent="0.25">
      <c r="A1367" s="12" t="s">
        <v>1922</v>
      </c>
      <c r="B1367" s="12" t="s">
        <v>1923</v>
      </c>
      <c r="C1367" s="14">
        <v>361</v>
      </c>
      <c r="D1367" s="12"/>
      <c r="E1367" s="13"/>
    </row>
    <row r="1368" spans="1:5" ht="11.1" hidden="1" customHeight="1" x14ac:dyDescent="0.25">
      <c r="A1368" s="12" t="s">
        <v>1924</v>
      </c>
      <c r="B1368" s="12" t="s">
        <v>1925</v>
      </c>
      <c r="C1368" s="14">
        <v>2062</v>
      </c>
      <c r="D1368" s="12"/>
      <c r="E1368" s="14"/>
    </row>
    <row r="1369" spans="1:5" ht="11.1" hidden="1" customHeight="1" x14ac:dyDescent="0.25">
      <c r="A1369" s="12" t="s">
        <v>1926</v>
      </c>
      <c r="B1369" s="12" t="s">
        <v>1927</v>
      </c>
      <c r="C1369" s="14">
        <v>245</v>
      </c>
      <c r="D1369" s="12"/>
      <c r="E1369" s="13"/>
    </row>
    <row r="1370" spans="1:5" ht="11.1" hidden="1" customHeight="1" x14ac:dyDescent="0.25">
      <c r="A1370" s="12" t="s">
        <v>1928</v>
      </c>
      <c r="B1370" s="12" t="s">
        <v>1929</v>
      </c>
      <c r="C1370" s="14">
        <v>397</v>
      </c>
      <c r="D1370" s="12"/>
      <c r="E1370" s="13"/>
    </row>
    <row r="1371" spans="1:5" ht="11.1" hidden="1" customHeight="1" x14ac:dyDescent="0.25">
      <c r="A1371" s="12" t="s">
        <v>1930</v>
      </c>
      <c r="B1371" s="12" t="s">
        <v>1682</v>
      </c>
      <c r="C1371" s="14">
        <v>131.35</v>
      </c>
      <c r="D1371" s="12"/>
      <c r="E1371" s="13"/>
    </row>
    <row r="1372" spans="1:5" ht="11.1" hidden="1" customHeight="1" x14ac:dyDescent="0.25">
      <c r="A1372" s="12" t="s">
        <v>1931</v>
      </c>
      <c r="B1372" s="12" t="s">
        <v>1932</v>
      </c>
      <c r="C1372" s="14">
        <v>711</v>
      </c>
      <c r="D1372" s="12"/>
      <c r="E1372" s="13"/>
    </row>
    <row r="1373" spans="1:5" ht="11.1" hidden="1" customHeight="1" x14ac:dyDescent="0.25">
      <c r="A1373" s="12" t="s">
        <v>1933</v>
      </c>
      <c r="B1373" s="12" t="s">
        <v>1934</v>
      </c>
      <c r="C1373" s="14">
        <v>216.67</v>
      </c>
      <c r="D1373" s="12"/>
      <c r="E1373" s="13"/>
    </row>
    <row r="1374" spans="1:5" ht="11.1" hidden="1" customHeight="1" x14ac:dyDescent="0.25">
      <c r="A1374" s="12" t="s">
        <v>1935</v>
      </c>
      <c r="B1374" s="12" t="s">
        <v>264</v>
      </c>
      <c r="C1374" s="14">
        <v>1782</v>
      </c>
      <c r="D1374" s="12"/>
      <c r="E1374" s="14"/>
    </row>
    <row r="1375" spans="1:5" ht="11.1" hidden="1" customHeight="1" x14ac:dyDescent="0.25">
      <c r="A1375" s="12" t="s">
        <v>1936</v>
      </c>
      <c r="B1375" s="12" t="s">
        <v>1925</v>
      </c>
      <c r="C1375" s="14">
        <v>2100</v>
      </c>
      <c r="D1375" s="12"/>
      <c r="E1375" s="14"/>
    </row>
    <row r="1376" spans="1:5" ht="11.1" hidden="1" customHeight="1" x14ac:dyDescent="0.25">
      <c r="A1376" s="12" t="s">
        <v>1937</v>
      </c>
      <c r="B1376" s="12" t="s">
        <v>1938</v>
      </c>
      <c r="C1376" s="14">
        <v>435.83</v>
      </c>
      <c r="D1376" s="12"/>
      <c r="E1376" s="13"/>
    </row>
    <row r="1377" spans="1:5" ht="11.1" hidden="1" customHeight="1" x14ac:dyDescent="0.25">
      <c r="A1377" s="12" t="s">
        <v>1939</v>
      </c>
      <c r="B1377" s="12" t="s">
        <v>1940</v>
      </c>
      <c r="C1377" s="14">
        <v>56166.67</v>
      </c>
      <c r="D1377" s="12"/>
      <c r="E1377" s="14"/>
    </row>
    <row r="1378" spans="1:5" ht="11.1" hidden="1" customHeight="1" x14ac:dyDescent="0.25">
      <c r="A1378" s="12" t="s">
        <v>1941</v>
      </c>
      <c r="B1378" s="12" t="s">
        <v>299</v>
      </c>
      <c r="C1378" s="14">
        <v>205.83</v>
      </c>
      <c r="D1378" s="12"/>
      <c r="E1378" s="13"/>
    </row>
    <row r="1379" spans="1:5" ht="11.1" hidden="1" customHeight="1" x14ac:dyDescent="0.25">
      <c r="A1379" s="12" t="s">
        <v>1942</v>
      </c>
      <c r="B1379" s="12" t="s">
        <v>1943</v>
      </c>
      <c r="C1379" s="14">
        <v>110</v>
      </c>
      <c r="D1379" s="12"/>
      <c r="E1379" s="13"/>
    </row>
    <row r="1380" spans="1:5" ht="11.1" hidden="1" customHeight="1" x14ac:dyDescent="0.25">
      <c r="A1380" s="42" t="s">
        <v>1944</v>
      </c>
      <c r="B1380" s="42" t="s">
        <v>515</v>
      </c>
      <c r="C1380" s="43">
        <v>28.81</v>
      </c>
      <c r="D1380" s="12"/>
      <c r="E1380" s="13"/>
    </row>
    <row r="1381" spans="1:5" ht="11.1" hidden="1" customHeight="1" x14ac:dyDescent="0.25">
      <c r="A1381" s="12" t="s">
        <v>1945</v>
      </c>
      <c r="B1381" s="12" t="s">
        <v>1946</v>
      </c>
      <c r="C1381" s="14">
        <v>60.83</v>
      </c>
      <c r="D1381" s="12"/>
      <c r="E1381" s="13"/>
    </row>
    <row r="1382" spans="1:5" ht="11.1" hidden="1" customHeight="1" x14ac:dyDescent="0.25">
      <c r="A1382" s="12" t="s">
        <v>1947</v>
      </c>
      <c r="B1382" s="12" t="s">
        <v>1948</v>
      </c>
      <c r="C1382" s="14">
        <v>858.33</v>
      </c>
      <c r="D1382" s="12"/>
      <c r="E1382" s="13"/>
    </row>
    <row r="1383" spans="1:5" ht="11.1" hidden="1" customHeight="1" x14ac:dyDescent="0.25">
      <c r="A1383" s="12" t="s">
        <v>1949</v>
      </c>
      <c r="B1383" s="12" t="s">
        <v>1950</v>
      </c>
      <c r="C1383" s="14">
        <v>1780.5</v>
      </c>
      <c r="D1383" s="12"/>
      <c r="E1383" s="14"/>
    </row>
    <row r="1384" spans="1:5" ht="11.1" hidden="1" customHeight="1" x14ac:dyDescent="0.25">
      <c r="A1384" s="12" t="s">
        <v>1951</v>
      </c>
      <c r="B1384" s="12" t="s">
        <v>554</v>
      </c>
      <c r="C1384" s="14">
        <v>135.63</v>
      </c>
      <c r="D1384" s="12"/>
      <c r="E1384" s="13"/>
    </row>
    <row r="1385" spans="1:5" ht="11.1" hidden="1" customHeight="1" x14ac:dyDescent="0.25">
      <c r="A1385" s="12" t="s">
        <v>1952</v>
      </c>
      <c r="B1385" s="12" t="s">
        <v>1038</v>
      </c>
      <c r="C1385" s="14">
        <v>140</v>
      </c>
      <c r="D1385" s="12"/>
      <c r="E1385" s="13"/>
    </row>
    <row r="1386" spans="1:5" ht="11.1" hidden="1" customHeight="1" x14ac:dyDescent="0.25">
      <c r="A1386" s="12" t="s">
        <v>1953</v>
      </c>
      <c r="B1386" s="12" t="s">
        <v>1954</v>
      </c>
      <c r="C1386" s="14">
        <v>1371.23</v>
      </c>
      <c r="D1386" s="12"/>
      <c r="E1386" s="14"/>
    </row>
    <row r="1387" spans="1:5" ht="11.1" hidden="1" customHeight="1" x14ac:dyDescent="0.25">
      <c r="A1387" s="12" t="s">
        <v>1955</v>
      </c>
      <c r="B1387" s="12" t="s">
        <v>1954</v>
      </c>
      <c r="C1387" s="14">
        <v>1083.33</v>
      </c>
      <c r="D1387" s="12"/>
      <c r="E1387" s="14"/>
    </row>
    <row r="1388" spans="1:5" ht="11.1" hidden="1" customHeight="1" x14ac:dyDescent="0.25">
      <c r="A1388" s="12" t="s">
        <v>1956</v>
      </c>
      <c r="B1388" s="12" t="s">
        <v>1954</v>
      </c>
      <c r="C1388" s="14">
        <v>1666.67</v>
      </c>
      <c r="D1388" s="12"/>
      <c r="E1388" s="14"/>
    </row>
    <row r="1389" spans="1:5" ht="11.1" hidden="1" customHeight="1" x14ac:dyDescent="0.25">
      <c r="A1389" s="12" t="s">
        <v>1957</v>
      </c>
      <c r="B1389" s="12" t="s">
        <v>1958</v>
      </c>
      <c r="C1389" s="14">
        <v>2511.67</v>
      </c>
      <c r="D1389" s="12"/>
      <c r="E1389" s="14"/>
    </row>
    <row r="1390" spans="1:5" ht="11.1" hidden="1" customHeight="1" x14ac:dyDescent="0.25">
      <c r="A1390" s="12" t="s">
        <v>1959</v>
      </c>
      <c r="B1390" s="12" t="s">
        <v>1960</v>
      </c>
      <c r="C1390" s="14">
        <v>2435</v>
      </c>
      <c r="D1390" s="12"/>
      <c r="E1390" s="14"/>
    </row>
    <row r="1391" spans="1:5" ht="11.1" hidden="1" customHeight="1" x14ac:dyDescent="0.25">
      <c r="A1391" s="12" t="s">
        <v>1961</v>
      </c>
      <c r="B1391" s="12" t="s">
        <v>1962</v>
      </c>
      <c r="C1391" s="14">
        <v>1650</v>
      </c>
      <c r="D1391" s="12"/>
      <c r="E1391" s="14"/>
    </row>
    <row r="1392" spans="1:5" ht="11.1" hidden="1" customHeight="1" x14ac:dyDescent="0.25">
      <c r="A1392" s="12" t="s">
        <v>1963</v>
      </c>
      <c r="B1392" s="12" t="s">
        <v>1934</v>
      </c>
      <c r="C1392" s="14">
        <v>125</v>
      </c>
      <c r="D1392" s="12"/>
      <c r="E1392" s="13"/>
    </row>
    <row r="1393" spans="1:5" ht="11.1" hidden="1" customHeight="1" x14ac:dyDescent="0.25">
      <c r="A1393" s="12" t="s">
        <v>1964</v>
      </c>
      <c r="B1393" s="12" t="s">
        <v>1965</v>
      </c>
      <c r="C1393" s="14">
        <v>250</v>
      </c>
      <c r="D1393" s="12"/>
      <c r="E1393" s="13"/>
    </row>
    <row r="1394" spans="1:5" ht="11.1" hidden="1" customHeight="1" x14ac:dyDescent="0.25">
      <c r="A1394" s="12" t="s">
        <v>1966</v>
      </c>
      <c r="B1394" s="12" t="s">
        <v>1958</v>
      </c>
      <c r="C1394" s="14">
        <v>704</v>
      </c>
      <c r="D1394" s="12"/>
      <c r="E1394" s="13"/>
    </row>
    <row r="1395" spans="1:5" ht="11.1" hidden="1" customHeight="1" x14ac:dyDescent="0.25">
      <c r="A1395" s="12" t="s">
        <v>1967</v>
      </c>
      <c r="B1395" s="12" t="s">
        <v>1934</v>
      </c>
      <c r="C1395" s="14">
        <v>125</v>
      </c>
      <c r="D1395" s="12"/>
      <c r="E1395" s="13"/>
    </row>
    <row r="1396" spans="1:5" ht="11.1" hidden="1" customHeight="1" x14ac:dyDescent="0.25">
      <c r="A1396" s="12" t="s">
        <v>1968</v>
      </c>
      <c r="B1396" s="12" t="s">
        <v>1969</v>
      </c>
      <c r="C1396" s="14">
        <v>1664.65</v>
      </c>
      <c r="D1396" s="12"/>
      <c r="E1396" s="14"/>
    </row>
    <row r="1397" spans="1:5" ht="11.1" hidden="1" customHeight="1" x14ac:dyDescent="0.25">
      <c r="A1397" s="12" t="s">
        <v>1970</v>
      </c>
      <c r="B1397" s="12" t="s">
        <v>1971</v>
      </c>
      <c r="C1397" s="14">
        <v>500</v>
      </c>
      <c r="D1397" s="12"/>
      <c r="E1397" s="13"/>
    </row>
    <row r="1398" spans="1:5" ht="11.1" hidden="1" customHeight="1" x14ac:dyDescent="0.25">
      <c r="A1398" s="12" t="s">
        <v>1972</v>
      </c>
      <c r="B1398" s="12" t="s">
        <v>1973</v>
      </c>
      <c r="C1398" s="14">
        <v>780</v>
      </c>
      <c r="D1398" s="12"/>
      <c r="E1398" s="13"/>
    </row>
    <row r="1399" spans="1:5" ht="11.1" hidden="1" customHeight="1" x14ac:dyDescent="0.25">
      <c r="A1399" s="12" t="s">
        <v>1974</v>
      </c>
      <c r="B1399" s="12" t="s">
        <v>1975</v>
      </c>
      <c r="C1399" s="14">
        <v>2500</v>
      </c>
      <c r="D1399" s="12"/>
      <c r="E1399" s="14"/>
    </row>
    <row r="1400" spans="1:5" ht="11.1" hidden="1" customHeight="1" x14ac:dyDescent="0.25">
      <c r="A1400" s="12" t="s">
        <v>1976</v>
      </c>
      <c r="B1400" s="12" t="s">
        <v>1973</v>
      </c>
      <c r="C1400" s="14">
        <v>3197.5</v>
      </c>
      <c r="D1400" s="12"/>
      <c r="E1400" s="14"/>
    </row>
    <row r="1401" spans="1:5" ht="11.1" hidden="1" customHeight="1" x14ac:dyDescent="0.25">
      <c r="A1401" s="12" t="s">
        <v>1977</v>
      </c>
      <c r="B1401" s="12" t="s">
        <v>264</v>
      </c>
      <c r="C1401" s="14">
        <v>411</v>
      </c>
      <c r="D1401" s="12"/>
      <c r="E1401" s="13"/>
    </row>
    <row r="1402" spans="1:5" ht="11.1" hidden="1" customHeight="1" x14ac:dyDescent="0.25">
      <c r="A1402" s="12" t="s">
        <v>1978</v>
      </c>
      <c r="B1402" s="12" t="s">
        <v>1979</v>
      </c>
      <c r="C1402" s="14">
        <v>5500</v>
      </c>
      <c r="D1402" s="12"/>
      <c r="E1402" s="14"/>
    </row>
    <row r="1403" spans="1:5" ht="11.1" hidden="1" customHeight="1" x14ac:dyDescent="0.25">
      <c r="A1403" s="12" t="s">
        <v>1980</v>
      </c>
      <c r="B1403" s="12" t="s">
        <v>1981</v>
      </c>
      <c r="C1403" s="14">
        <v>96106</v>
      </c>
      <c r="D1403" s="12"/>
      <c r="E1403" s="14"/>
    </row>
    <row r="1404" spans="1:5" ht="11.1" hidden="1" customHeight="1" x14ac:dyDescent="0.25">
      <c r="A1404" s="12" t="s">
        <v>1982</v>
      </c>
      <c r="B1404" s="12" t="s">
        <v>1983</v>
      </c>
      <c r="C1404" s="14">
        <v>4117.38</v>
      </c>
      <c r="D1404" s="12"/>
      <c r="E1404" s="14"/>
    </row>
    <row r="1405" spans="1:5" ht="11.1" hidden="1" customHeight="1" x14ac:dyDescent="0.25">
      <c r="A1405" s="12" t="s">
        <v>1984</v>
      </c>
      <c r="B1405" s="12" t="s">
        <v>1985</v>
      </c>
      <c r="C1405" s="14">
        <v>34.75</v>
      </c>
      <c r="D1405" s="12"/>
      <c r="E1405" s="13"/>
    </row>
    <row r="1406" spans="1:5" ht="11.1" hidden="1" customHeight="1" x14ac:dyDescent="0.25">
      <c r="A1406" s="12" t="s">
        <v>1986</v>
      </c>
      <c r="B1406" s="12" t="s">
        <v>1987</v>
      </c>
      <c r="C1406" s="14">
        <v>48646.67</v>
      </c>
      <c r="D1406" s="12"/>
      <c r="E1406" s="14"/>
    </row>
    <row r="1407" spans="1:5" ht="11.1" hidden="1" customHeight="1" x14ac:dyDescent="0.25">
      <c r="A1407" s="12" t="s">
        <v>1988</v>
      </c>
      <c r="B1407" s="12" t="s">
        <v>1041</v>
      </c>
      <c r="C1407" s="14">
        <v>2399</v>
      </c>
      <c r="D1407" s="12"/>
      <c r="E1407" s="14"/>
    </row>
    <row r="1408" spans="1:5" ht="11.1" hidden="1" customHeight="1" x14ac:dyDescent="0.25">
      <c r="A1408" s="12" t="s">
        <v>1989</v>
      </c>
      <c r="B1408" s="12" t="s">
        <v>1990</v>
      </c>
      <c r="C1408" s="14">
        <v>1039.9000000000001</v>
      </c>
      <c r="D1408" s="12"/>
      <c r="E1408" s="14"/>
    </row>
    <row r="1409" spans="1:5" ht="11.1" hidden="1" customHeight="1" x14ac:dyDescent="0.25">
      <c r="A1409" s="12" t="s">
        <v>1991</v>
      </c>
      <c r="B1409" s="12" t="s">
        <v>1992</v>
      </c>
      <c r="C1409" s="14">
        <v>1660.83</v>
      </c>
      <c r="D1409" s="12"/>
      <c r="E1409" s="14"/>
    </row>
    <row r="1410" spans="1:5" ht="11.1" hidden="1" customHeight="1" x14ac:dyDescent="0.25">
      <c r="A1410" s="12" t="s">
        <v>1993</v>
      </c>
      <c r="B1410" s="12" t="s">
        <v>1994</v>
      </c>
      <c r="C1410" s="14">
        <v>12500</v>
      </c>
      <c r="D1410" s="12"/>
      <c r="E1410" s="14"/>
    </row>
    <row r="1411" spans="1:5" ht="11.1" hidden="1" customHeight="1" x14ac:dyDescent="0.25">
      <c r="A1411" s="12" t="s">
        <v>1995</v>
      </c>
      <c r="B1411" s="12" t="s">
        <v>1996</v>
      </c>
      <c r="C1411" s="14">
        <v>15268.7</v>
      </c>
      <c r="D1411" s="12"/>
      <c r="E1411" s="14"/>
    </row>
    <row r="1412" spans="1:5" ht="11.1" hidden="1" customHeight="1" x14ac:dyDescent="0.25">
      <c r="A1412" s="12" t="s">
        <v>1997</v>
      </c>
      <c r="B1412" s="12" t="s">
        <v>1998</v>
      </c>
      <c r="C1412" s="14">
        <v>822.5</v>
      </c>
      <c r="D1412" s="12"/>
      <c r="E1412" s="13"/>
    </row>
    <row r="1413" spans="1:5" ht="11.1" hidden="1" customHeight="1" x14ac:dyDescent="0.25">
      <c r="A1413" s="12" t="s">
        <v>1999</v>
      </c>
      <c r="B1413" s="12" t="s">
        <v>2000</v>
      </c>
      <c r="C1413" s="14">
        <v>3554250</v>
      </c>
      <c r="D1413" s="12"/>
      <c r="E1413" s="14"/>
    </row>
    <row r="1414" spans="1:5" ht="11.1" hidden="1" customHeight="1" x14ac:dyDescent="0.25">
      <c r="A1414" s="12" t="s">
        <v>2001</v>
      </c>
      <c r="B1414" s="12" t="s">
        <v>2002</v>
      </c>
      <c r="C1414" s="14">
        <v>4166666.67</v>
      </c>
      <c r="D1414" s="12"/>
      <c r="E1414" s="14"/>
    </row>
    <row r="1415" spans="1:5" ht="11.1" hidden="1" customHeight="1" x14ac:dyDescent="0.25">
      <c r="A1415" s="12" t="s">
        <v>2003</v>
      </c>
      <c r="B1415" s="12" t="s">
        <v>2004</v>
      </c>
      <c r="C1415" s="14">
        <v>4166666.67</v>
      </c>
      <c r="D1415" s="12"/>
      <c r="E1415" s="14"/>
    </row>
    <row r="1416" spans="1:5" ht="11.1" hidden="1" customHeight="1" x14ac:dyDescent="0.25">
      <c r="A1416" s="12" t="s">
        <v>2005</v>
      </c>
      <c r="B1416" s="12" t="s">
        <v>2006</v>
      </c>
      <c r="C1416" s="14">
        <v>68.8</v>
      </c>
      <c r="D1416" s="12"/>
      <c r="E1416" s="13"/>
    </row>
    <row r="1417" spans="1:5" ht="11.1" hidden="1" customHeight="1" x14ac:dyDescent="0.25">
      <c r="A1417" s="12" t="s">
        <v>2007</v>
      </c>
      <c r="B1417" s="12" t="s">
        <v>2008</v>
      </c>
      <c r="C1417" s="14">
        <v>91.67</v>
      </c>
      <c r="D1417" s="12"/>
      <c r="E1417" s="13"/>
    </row>
    <row r="1418" spans="1:5" ht="11.1" hidden="1" customHeight="1" x14ac:dyDescent="0.25">
      <c r="A1418" s="12" t="s">
        <v>2009</v>
      </c>
      <c r="B1418" s="12" t="s">
        <v>2010</v>
      </c>
      <c r="C1418" s="14">
        <v>27470</v>
      </c>
      <c r="D1418" s="12"/>
      <c r="E1418" s="14"/>
    </row>
    <row r="1419" spans="1:5" ht="11.1" hidden="1" customHeight="1" x14ac:dyDescent="0.25">
      <c r="A1419" s="12" t="s">
        <v>2011</v>
      </c>
      <c r="B1419" s="12" t="s">
        <v>1958</v>
      </c>
      <c r="C1419" s="14">
        <v>3265.17</v>
      </c>
      <c r="D1419" s="12"/>
      <c r="E1419" s="14"/>
    </row>
    <row r="1420" spans="1:5" ht="11.1" hidden="1" customHeight="1" x14ac:dyDescent="0.25">
      <c r="A1420" s="12" t="s">
        <v>2012</v>
      </c>
      <c r="B1420" s="12" t="s">
        <v>2013</v>
      </c>
      <c r="C1420" s="14">
        <v>2366.67</v>
      </c>
      <c r="D1420" s="12"/>
      <c r="E1420" s="14"/>
    </row>
    <row r="1421" spans="1:5" ht="11.1" hidden="1" customHeight="1" x14ac:dyDescent="0.25">
      <c r="A1421" s="12" t="s">
        <v>2014</v>
      </c>
      <c r="B1421" s="12" t="s">
        <v>2015</v>
      </c>
      <c r="C1421" s="14">
        <v>2007.86</v>
      </c>
      <c r="D1421" s="12"/>
      <c r="E1421" s="14"/>
    </row>
    <row r="1422" spans="1:5" ht="11.1" hidden="1" customHeight="1" x14ac:dyDescent="0.25">
      <c r="A1422" s="12" t="s">
        <v>2016</v>
      </c>
      <c r="B1422" s="12" t="s">
        <v>2017</v>
      </c>
      <c r="C1422" s="14">
        <v>360000</v>
      </c>
      <c r="D1422" s="12"/>
      <c r="E1422" s="14"/>
    </row>
    <row r="1423" spans="1:5" ht="11.1" hidden="1" customHeight="1" x14ac:dyDescent="0.25">
      <c r="A1423" s="12" t="s">
        <v>2018</v>
      </c>
      <c r="B1423" s="12" t="s">
        <v>2019</v>
      </c>
      <c r="C1423" s="14">
        <v>347</v>
      </c>
      <c r="D1423" s="12"/>
      <c r="E1423" s="13"/>
    </row>
    <row r="1424" spans="1:5" ht="11.1" hidden="1" customHeight="1" x14ac:dyDescent="0.25">
      <c r="A1424" s="12" t="s">
        <v>2020</v>
      </c>
      <c r="B1424" s="12" t="s">
        <v>2021</v>
      </c>
      <c r="C1424" s="14">
        <v>1132.08</v>
      </c>
      <c r="D1424" s="12"/>
      <c r="E1424" s="14"/>
    </row>
    <row r="1425" spans="1:5" ht="11.1" hidden="1" customHeight="1" x14ac:dyDescent="0.25">
      <c r="A1425" s="12" t="s">
        <v>2022</v>
      </c>
      <c r="B1425" s="12" t="s">
        <v>2023</v>
      </c>
      <c r="C1425" s="14">
        <v>277</v>
      </c>
      <c r="D1425" s="12"/>
      <c r="E1425" s="13"/>
    </row>
    <row r="1426" spans="1:5" ht="11.1" hidden="1" customHeight="1" x14ac:dyDescent="0.25">
      <c r="A1426" s="12" t="s">
        <v>2024</v>
      </c>
      <c r="B1426" s="12" t="s">
        <v>2025</v>
      </c>
      <c r="C1426" s="14">
        <v>534</v>
      </c>
      <c r="D1426" s="12"/>
      <c r="E1426" s="13"/>
    </row>
    <row r="1427" spans="1:5" ht="11.1" hidden="1" customHeight="1" x14ac:dyDescent="0.25">
      <c r="A1427" s="12" t="s">
        <v>2026</v>
      </c>
      <c r="B1427" s="12" t="s">
        <v>741</v>
      </c>
      <c r="C1427" s="14">
        <v>255</v>
      </c>
      <c r="D1427" s="12"/>
      <c r="E1427" s="13"/>
    </row>
    <row r="1428" spans="1:5" ht="11.1" hidden="1" customHeight="1" x14ac:dyDescent="0.25">
      <c r="A1428" s="12" t="s">
        <v>2027</v>
      </c>
      <c r="B1428" s="12" t="s">
        <v>2028</v>
      </c>
      <c r="C1428" s="14">
        <v>477.5</v>
      </c>
      <c r="D1428" s="12"/>
      <c r="E1428" s="13"/>
    </row>
    <row r="1429" spans="1:5" ht="11.1" hidden="1" customHeight="1" x14ac:dyDescent="0.25">
      <c r="A1429" s="12" t="s">
        <v>2029</v>
      </c>
      <c r="B1429" s="12" t="s">
        <v>2030</v>
      </c>
      <c r="C1429" s="14">
        <v>2928.44</v>
      </c>
      <c r="D1429" s="12"/>
      <c r="E1429" s="14"/>
    </row>
    <row r="1430" spans="1:5" ht="11.1" hidden="1" customHeight="1" x14ac:dyDescent="0.25">
      <c r="A1430" s="12" t="s">
        <v>2031</v>
      </c>
      <c r="B1430" s="12" t="s">
        <v>2032</v>
      </c>
      <c r="C1430" s="14">
        <v>548.86</v>
      </c>
      <c r="D1430" s="12"/>
      <c r="E1430" s="13"/>
    </row>
    <row r="1431" spans="1:5" ht="23.1" hidden="1" customHeight="1" x14ac:dyDescent="0.25">
      <c r="A1431" s="12" t="s">
        <v>2033</v>
      </c>
      <c r="B1431" s="12" t="s">
        <v>2030</v>
      </c>
      <c r="C1431" s="14">
        <v>1317.89</v>
      </c>
      <c r="D1431" s="12"/>
      <c r="E1431" s="14"/>
    </row>
    <row r="1432" spans="1:5" ht="23.1" hidden="1" customHeight="1" x14ac:dyDescent="0.25">
      <c r="A1432" s="12" t="s">
        <v>2034</v>
      </c>
      <c r="B1432" s="12" t="s">
        <v>2030</v>
      </c>
      <c r="C1432" s="14">
        <v>1669.14</v>
      </c>
      <c r="D1432" s="12"/>
      <c r="E1432" s="14"/>
    </row>
    <row r="1433" spans="1:5" ht="23.1" hidden="1" customHeight="1" x14ac:dyDescent="0.25">
      <c r="A1433" s="12" t="s">
        <v>2035</v>
      </c>
      <c r="B1433" s="12" t="s">
        <v>2030</v>
      </c>
      <c r="C1433" s="14">
        <v>2001.48</v>
      </c>
      <c r="D1433" s="12"/>
      <c r="E1433" s="14"/>
    </row>
    <row r="1434" spans="1:5" ht="11.1" hidden="1" customHeight="1" x14ac:dyDescent="0.25">
      <c r="A1434" s="12" t="s">
        <v>2036</v>
      </c>
      <c r="B1434" s="12" t="s">
        <v>2030</v>
      </c>
      <c r="C1434" s="14">
        <v>1918.33</v>
      </c>
      <c r="D1434" s="12"/>
      <c r="E1434" s="14"/>
    </row>
    <row r="1435" spans="1:5" ht="11.1" hidden="1" customHeight="1" x14ac:dyDescent="0.25">
      <c r="A1435" s="12" t="s">
        <v>2037</v>
      </c>
      <c r="B1435" s="12" t="s">
        <v>2038</v>
      </c>
      <c r="C1435" s="14">
        <v>7500</v>
      </c>
      <c r="D1435" s="12"/>
      <c r="E1435" s="14"/>
    </row>
    <row r="1436" spans="1:5" ht="11.1" hidden="1" customHeight="1" x14ac:dyDescent="0.25">
      <c r="A1436" s="12" t="s">
        <v>2039</v>
      </c>
      <c r="B1436" s="12" t="s">
        <v>2040</v>
      </c>
      <c r="C1436" s="14">
        <v>174.17</v>
      </c>
      <c r="D1436" s="12"/>
      <c r="E1436" s="13"/>
    </row>
    <row r="1437" spans="1:5" ht="11.1" hidden="1" customHeight="1" x14ac:dyDescent="0.25">
      <c r="A1437" s="12" t="s">
        <v>2041</v>
      </c>
      <c r="B1437" s="12" t="s">
        <v>2042</v>
      </c>
      <c r="C1437" s="14">
        <v>200.83</v>
      </c>
      <c r="D1437" s="12"/>
      <c r="E1437" s="13"/>
    </row>
    <row r="1438" spans="1:5" ht="11.1" hidden="1" customHeight="1" x14ac:dyDescent="0.25">
      <c r="A1438" s="12" t="s">
        <v>2043</v>
      </c>
      <c r="B1438" s="12" t="s">
        <v>2044</v>
      </c>
      <c r="C1438" s="14">
        <v>154.16999999999999</v>
      </c>
      <c r="D1438" s="12"/>
      <c r="E1438" s="13"/>
    </row>
    <row r="1439" spans="1:5" ht="11.1" hidden="1" customHeight="1" x14ac:dyDescent="0.25">
      <c r="A1439" s="12" t="s">
        <v>2045</v>
      </c>
      <c r="B1439" s="12" t="s">
        <v>1810</v>
      </c>
      <c r="C1439" s="14">
        <v>132.22999999999999</v>
      </c>
      <c r="D1439" s="12"/>
      <c r="E1439" s="13"/>
    </row>
    <row r="1440" spans="1:5" ht="11.1" hidden="1" customHeight="1" x14ac:dyDescent="0.25">
      <c r="A1440" s="12" t="s">
        <v>2046</v>
      </c>
      <c r="B1440" s="12" t="s">
        <v>2047</v>
      </c>
      <c r="C1440" s="14">
        <v>292.5</v>
      </c>
      <c r="D1440" s="12"/>
      <c r="E1440" s="13"/>
    </row>
    <row r="1441" spans="1:5" ht="11.1" hidden="1" customHeight="1" x14ac:dyDescent="0.25">
      <c r="A1441" s="12" t="s">
        <v>2048</v>
      </c>
      <c r="B1441" s="12" t="s">
        <v>2049</v>
      </c>
      <c r="C1441" s="14">
        <v>670</v>
      </c>
      <c r="D1441" s="12"/>
      <c r="E1441" s="13"/>
    </row>
    <row r="1442" spans="1:5" ht="11.1" hidden="1" customHeight="1" x14ac:dyDescent="0.25">
      <c r="A1442" s="12" t="s">
        <v>2050</v>
      </c>
      <c r="B1442" s="12" t="s">
        <v>309</v>
      </c>
      <c r="C1442" s="14">
        <v>180.83</v>
      </c>
      <c r="D1442" s="12"/>
      <c r="E1442" s="13"/>
    </row>
    <row r="1443" spans="1:5" ht="11.1" hidden="1" customHeight="1" x14ac:dyDescent="0.25">
      <c r="A1443" s="12" t="s">
        <v>2051</v>
      </c>
      <c r="B1443" s="12" t="s">
        <v>880</v>
      </c>
      <c r="C1443" s="14">
        <v>203.33</v>
      </c>
      <c r="D1443" s="12"/>
      <c r="E1443" s="13"/>
    </row>
    <row r="1444" spans="1:5" ht="11.1" hidden="1" customHeight="1" x14ac:dyDescent="0.25">
      <c r="A1444" s="12" t="s">
        <v>2052</v>
      </c>
      <c r="B1444" s="12" t="s">
        <v>2053</v>
      </c>
      <c r="C1444" s="14">
        <v>491.67</v>
      </c>
      <c r="D1444" s="12"/>
      <c r="E1444" s="13"/>
    </row>
    <row r="1445" spans="1:5" ht="11.1" hidden="1" customHeight="1" x14ac:dyDescent="0.25">
      <c r="A1445" s="12" t="s">
        <v>2054</v>
      </c>
      <c r="B1445" s="12" t="s">
        <v>2053</v>
      </c>
      <c r="C1445" s="14">
        <v>756.68</v>
      </c>
      <c r="D1445" s="12"/>
      <c r="E1445" s="13"/>
    </row>
    <row r="1446" spans="1:5" ht="11.1" hidden="1" customHeight="1" x14ac:dyDescent="0.25">
      <c r="A1446" s="12" t="s">
        <v>2055</v>
      </c>
      <c r="B1446" s="12" t="s">
        <v>2056</v>
      </c>
      <c r="C1446" s="14">
        <v>770.83</v>
      </c>
      <c r="D1446" s="12"/>
      <c r="E1446" s="13"/>
    </row>
    <row r="1447" spans="1:5" ht="11.1" hidden="1" customHeight="1" x14ac:dyDescent="0.25">
      <c r="A1447" s="12" t="s">
        <v>2057</v>
      </c>
      <c r="B1447" s="12" t="s">
        <v>2056</v>
      </c>
      <c r="C1447" s="14">
        <v>770.83</v>
      </c>
      <c r="D1447" s="12"/>
      <c r="E1447" s="13"/>
    </row>
    <row r="1448" spans="1:5" ht="11.1" hidden="1" customHeight="1" x14ac:dyDescent="0.25">
      <c r="A1448" s="12" t="s">
        <v>2058</v>
      </c>
      <c r="B1448" s="12" t="s">
        <v>2053</v>
      </c>
      <c r="C1448" s="14">
        <v>1053.33</v>
      </c>
      <c r="D1448" s="12"/>
      <c r="E1448" s="14"/>
    </row>
    <row r="1449" spans="1:5" ht="11.1" hidden="1" customHeight="1" x14ac:dyDescent="0.25">
      <c r="A1449" s="12" t="s">
        <v>2059</v>
      </c>
      <c r="B1449" s="12" t="s">
        <v>1405</v>
      </c>
      <c r="C1449" s="14">
        <v>292.5</v>
      </c>
      <c r="D1449" s="12"/>
      <c r="E1449" s="13"/>
    </row>
    <row r="1450" spans="1:5" ht="11.1" hidden="1" customHeight="1" x14ac:dyDescent="0.25">
      <c r="A1450" s="12" t="s">
        <v>2060</v>
      </c>
      <c r="B1450" s="12" t="s">
        <v>2061</v>
      </c>
      <c r="C1450" s="14">
        <v>890.83</v>
      </c>
      <c r="D1450" s="12"/>
      <c r="E1450" s="13"/>
    </row>
    <row r="1451" spans="1:5" ht="11.1" hidden="1" customHeight="1" x14ac:dyDescent="0.25">
      <c r="A1451" s="12" t="s">
        <v>2062</v>
      </c>
      <c r="B1451" s="12" t="s">
        <v>2063</v>
      </c>
      <c r="C1451" s="14">
        <v>424.17</v>
      </c>
      <c r="D1451" s="12"/>
      <c r="E1451" s="13"/>
    </row>
    <row r="1452" spans="1:5" ht="11.1" hidden="1" customHeight="1" x14ac:dyDescent="0.25">
      <c r="A1452" s="12" t="s">
        <v>2064</v>
      </c>
      <c r="B1452" s="12" t="s">
        <v>2065</v>
      </c>
      <c r="C1452" s="14">
        <v>91627.5</v>
      </c>
      <c r="D1452" s="12"/>
      <c r="E1452" s="14"/>
    </row>
    <row r="1453" spans="1:5" ht="11.1" hidden="1" customHeight="1" x14ac:dyDescent="0.25">
      <c r="A1453" s="12" t="s">
        <v>2066</v>
      </c>
      <c r="B1453" s="12" t="s">
        <v>2065</v>
      </c>
      <c r="C1453" s="14">
        <v>85600.06</v>
      </c>
      <c r="D1453" s="12"/>
      <c r="E1453" s="14"/>
    </row>
    <row r="1454" spans="1:5" ht="23.1" hidden="1" customHeight="1" x14ac:dyDescent="0.25">
      <c r="A1454" s="12" t="s">
        <v>2067</v>
      </c>
      <c r="B1454" s="12" t="s">
        <v>2068</v>
      </c>
      <c r="C1454" s="14">
        <v>7642.87</v>
      </c>
      <c r="D1454" s="12"/>
      <c r="E1454" s="14"/>
    </row>
    <row r="1455" spans="1:5" ht="11.1" hidden="1" customHeight="1" x14ac:dyDescent="0.25">
      <c r="A1455" s="12" t="s">
        <v>2069</v>
      </c>
      <c r="B1455" s="12" t="s">
        <v>2068</v>
      </c>
      <c r="C1455" s="14">
        <v>6141.7</v>
      </c>
      <c r="D1455" s="12"/>
      <c r="E1455" s="14"/>
    </row>
    <row r="1456" spans="1:5" ht="23.1" hidden="1" customHeight="1" x14ac:dyDescent="0.25">
      <c r="A1456" s="12" t="s">
        <v>2070</v>
      </c>
      <c r="B1456" s="12" t="s">
        <v>1359</v>
      </c>
      <c r="C1456" s="14">
        <v>2191.67</v>
      </c>
      <c r="D1456" s="12"/>
      <c r="E1456" s="14"/>
    </row>
    <row r="1457" spans="1:5" ht="11.1" hidden="1" customHeight="1" x14ac:dyDescent="0.25">
      <c r="A1457" s="12" t="s">
        <v>2071</v>
      </c>
      <c r="B1457" s="12" t="s">
        <v>2072</v>
      </c>
      <c r="C1457" s="14">
        <v>610</v>
      </c>
      <c r="D1457" s="12"/>
      <c r="E1457" s="13"/>
    </row>
    <row r="1458" spans="1:5" ht="11.1" hidden="1" customHeight="1" x14ac:dyDescent="0.25">
      <c r="A1458" s="12" t="s">
        <v>2073</v>
      </c>
      <c r="B1458" s="12" t="s">
        <v>2074</v>
      </c>
      <c r="C1458" s="14">
        <v>352.75</v>
      </c>
      <c r="D1458" s="12"/>
      <c r="E1458" s="13"/>
    </row>
    <row r="1459" spans="1:5" ht="11.1" hidden="1" customHeight="1" x14ac:dyDescent="0.25">
      <c r="A1459" s="12" t="s">
        <v>2075</v>
      </c>
      <c r="B1459" s="12" t="s">
        <v>2076</v>
      </c>
      <c r="C1459" s="14">
        <v>297.5</v>
      </c>
      <c r="D1459" s="12"/>
      <c r="E1459" s="13"/>
    </row>
    <row r="1460" spans="1:5" ht="11.1" hidden="1" customHeight="1" x14ac:dyDescent="0.25">
      <c r="A1460" s="12" t="s">
        <v>2077</v>
      </c>
      <c r="B1460" s="12" t="s">
        <v>72</v>
      </c>
      <c r="C1460" s="14">
        <v>352.75</v>
      </c>
      <c r="D1460" s="12"/>
      <c r="E1460" s="13"/>
    </row>
    <row r="1461" spans="1:5" ht="11.1" hidden="1" customHeight="1" x14ac:dyDescent="0.25">
      <c r="A1461" s="12" t="s">
        <v>2078</v>
      </c>
      <c r="B1461" s="12" t="s">
        <v>237</v>
      </c>
      <c r="C1461" s="14">
        <v>1696.67</v>
      </c>
      <c r="D1461" s="12"/>
      <c r="E1461" s="14"/>
    </row>
    <row r="1462" spans="1:5" ht="23.1" hidden="1" customHeight="1" x14ac:dyDescent="0.25">
      <c r="A1462" s="12" t="s">
        <v>2079</v>
      </c>
      <c r="B1462" s="12" t="s">
        <v>1806</v>
      </c>
      <c r="C1462" s="14">
        <v>56.33</v>
      </c>
      <c r="D1462" s="12"/>
      <c r="E1462" s="13"/>
    </row>
    <row r="1463" spans="1:5" ht="11.1" hidden="1" customHeight="1" x14ac:dyDescent="0.25">
      <c r="A1463" s="12" t="s">
        <v>2080</v>
      </c>
      <c r="B1463" s="12" t="s">
        <v>1806</v>
      </c>
      <c r="C1463" s="14">
        <v>62.49</v>
      </c>
      <c r="D1463" s="12"/>
      <c r="E1463" s="13"/>
    </row>
    <row r="1464" spans="1:5" ht="11.1" hidden="1" customHeight="1" x14ac:dyDescent="0.25">
      <c r="A1464" s="12" t="s">
        <v>2081</v>
      </c>
      <c r="B1464" s="12" t="s">
        <v>1754</v>
      </c>
      <c r="C1464" s="14">
        <v>22.5</v>
      </c>
      <c r="D1464" s="12"/>
      <c r="E1464" s="13"/>
    </row>
    <row r="1465" spans="1:5" ht="11.1" hidden="1" customHeight="1" x14ac:dyDescent="0.25">
      <c r="A1465" s="12" t="s">
        <v>2082</v>
      </c>
      <c r="B1465" s="12" t="s">
        <v>749</v>
      </c>
      <c r="C1465" s="14">
        <v>875.83</v>
      </c>
      <c r="D1465" s="12"/>
      <c r="E1465" s="13"/>
    </row>
    <row r="1466" spans="1:5" ht="11.1" hidden="1" customHeight="1" x14ac:dyDescent="0.25">
      <c r="A1466" s="12" t="s">
        <v>2083</v>
      </c>
      <c r="B1466" s="12" t="s">
        <v>638</v>
      </c>
      <c r="C1466" s="14">
        <v>1999.17</v>
      </c>
      <c r="D1466" s="12"/>
      <c r="E1466" s="14"/>
    </row>
    <row r="1467" spans="1:5" ht="11.1" hidden="1" customHeight="1" x14ac:dyDescent="0.25">
      <c r="A1467" s="12" t="s">
        <v>2084</v>
      </c>
      <c r="B1467" s="12" t="s">
        <v>2085</v>
      </c>
      <c r="C1467" s="14">
        <v>13458.33</v>
      </c>
      <c r="D1467" s="12"/>
      <c r="E1467" s="14"/>
    </row>
    <row r="1468" spans="1:5" ht="11.1" hidden="1" customHeight="1" x14ac:dyDescent="0.25">
      <c r="A1468" s="12" t="s">
        <v>2086</v>
      </c>
      <c r="B1468" s="12" t="s">
        <v>2087</v>
      </c>
      <c r="C1468" s="14">
        <v>22116.67</v>
      </c>
      <c r="D1468" s="12"/>
      <c r="E1468" s="14"/>
    </row>
    <row r="1469" spans="1:5" ht="11.1" hidden="1" customHeight="1" x14ac:dyDescent="0.25">
      <c r="A1469" s="12" t="s">
        <v>2088</v>
      </c>
      <c r="B1469" s="12" t="s">
        <v>2087</v>
      </c>
      <c r="C1469" s="14">
        <v>19500</v>
      </c>
      <c r="D1469" s="12"/>
      <c r="E1469" s="14"/>
    </row>
    <row r="1470" spans="1:5" ht="23.1" hidden="1" customHeight="1" x14ac:dyDescent="0.25">
      <c r="A1470" s="12" t="s">
        <v>2089</v>
      </c>
      <c r="B1470" s="12" t="s">
        <v>264</v>
      </c>
      <c r="C1470" s="14">
        <v>6999</v>
      </c>
      <c r="D1470" s="12"/>
      <c r="E1470" s="14"/>
    </row>
    <row r="1471" spans="1:5" ht="23.1" hidden="1" customHeight="1" x14ac:dyDescent="0.25">
      <c r="A1471" s="12" t="s">
        <v>2090</v>
      </c>
      <c r="B1471" s="12" t="s">
        <v>2091</v>
      </c>
      <c r="C1471" s="14">
        <v>5332.5</v>
      </c>
      <c r="D1471" s="12"/>
      <c r="E1471" s="14"/>
    </row>
    <row r="1472" spans="1:5" ht="11.1" hidden="1" customHeight="1" x14ac:dyDescent="0.25">
      <c r="A1472" s="12" t="s">
        <v>2092</v>
      </c>
      <c r="B1472" s="12" t="s">
        <v>2093</v>
      </c>
      <c r="C1472" s="14">
        <v>5305.83</v>
      </c>
      <c r="D1472" s="12"/>
      <c r="E1472" s="14"/>
    </row>
    <row r="1473" spans="1:5" ht="23.1" hidden="1" customHeight="1" x14ac:dyDescent="0.25">
      <c r="A1473" s="12" t="s">
        <v>2094</v>
      </c>
      <c r="B1473" s="12" t="s">
        <v>2095</v>
      </c>
      <c r="C1473" s="14">
        <v>7086.08</v>
      </c>
      <c r="D1473" s="12"/>
      <c r="E1473" s="14"/>
    </row>
    <row r="1474" spans="1:5" ht="11.1" hidden="1" customHeight="1" x14ac:dyDescent="0.25">
      <c r="A1474" s="12" t="s">
        <v>2096</v>
      </c>
      <c r="B1474" s="12" t="s">
        <v>120</v>
      </c>
      <c r="C1474" s="14">
        <v>9833.33</v>
      </c>
      <c r="D1474" s="12"/>
      <c r="E1474" s="14"/>
    </row>
    <row r="1475" spans="1:5" ht="11.1" hidden="1" customHeight="1" x14ac:dyDescent="0.25">
      <c r="A1475" s="12" t="s">
        <v>2097</v>
      </c>
      <c r="B1475" s="12" t="s">
        <v>2098</v>
      </c>
      <c r="C1475" s="14">
        <v>188</v>
      </c>
      <c r="D1475" s="12"/>
      <c r="E1475" s="13"/>
    </row>
    <row r="1476" spans="1:5" ht="11.1" hidden="1" customHeight="1" x14ac:dyDescent="0.25">
      <c r="A1476" s="12" t="s">
        <v>2099</v>
      </c>
      <c r="B1476" s="12" t="s">
        <v>2100</v>
      </c>
      <c r="C1476" s="14">
        <v>320</v>
      </c>
      <c r="D1476" s="12"/>
      <c r="E1476" s="13"/>
    </row>
    <row r="1477" spans="1:5" ht="23.1" hidden="1" customHeight="1" x14ac:dyDescent="0.25">
      <c r="A1477" s="12" t="s">
        <v>2101</v>
      </c>
      <c r="B1477" s="12" t="s">
        <v>2102</v>
      </c>
      <c r="C1477" s="14">
        <v>80</v>
      </c>
      <c r="D1477" s="12"/>
      <c r="E1477" s="13"/>
    </row>
    <row r="1478" spans="1:5" ht="11.1" hidden="1" customHeight="1" x14ac:dyDescent="0.25">
      <c r="A1478" s="12" t="s">
        <v>2103</v>
      </c>
      <c r="B1478" s="12" t="s">
        <v>1985</v>
      </c>
      <c r="C1478" s="14">
        <v>305.83</v>
      </c>
      <c r="D1478" s="12"/>
      <c r="E1478" s="13"/>
    </row>
    <row r="1479" spans="1:5" ht="23.1" hidden="1" customHeight="1" x14ac:dyDescent="0.25">
      <c r="A1479" s="12" t="s">
        <v>2104</v>
      </c>
      <c r="B1479" s="12" t="s">
        <v>2105</v>
      </c>
      <c r="C1479" s="14">
        <v>204</v>
      </c>
      <c r="D1479" s="12"/>
      <c r="E1479" s="13"/>
    </row>
    <row r="1480" spans="1:5" ht="11.1" hidden="1" customHeight="1" x14ac:dyDescent="0.25">
      <c r="A1480" s="12" t="s">
        <v>2106</v>
      </c>
      <c r="B1480" s="12" t="s">
        <v>2107</v>
      </c>
      <c r="C1480" s="14">
        <v>305.83</v>
      </c>
      <c r="D1480" s="12"/>
      <c r="E1480" s="13"/>
    </row>
    <row r="1481" spans="1:5" ht="23.1" hidden="1" customHeight="1" x14ac:dyDescent="0.25">
      <c r="A1481" s="12" t="s">
        <v>2108</v>
      </c>
      <c r="B1481" s="12" t="s">
        <v>2105</v>
      </c>
      <c r="C1481" s="14">
        <v>155</v>
      </c>
      <c r="D1481" s="12"/>
      <c r="E1481" s="13"/>
    </row>
    <row r="1482" spans="1:5" ht="11.1" hidden="1" customHeight="1" x14ac:dyDescent="0.25">
      <c r="A1482" s="12" t="s">
        <v>2109</v>
      </c>
      <c r="B1482" s="12" t="s">
        <v>2110</v>
      </c>
      <c r="C1482" s="14">
        <v>401.67</v>
      </c>
      <c r="D1482" s="12"/>
      <c r="E1482" s="13"/>
    </row>
    <row r="1483" spans="1:5" ht="11.1" hidden="1" customHeight="1" x14ac:dyDescent="0.25">
      <c r="A1483" s="12" t="s">
        <v>2111</v>
      </c>
      <c r="B1483" s="12" t="s">
        <v>2105</v>
      </c>
      <c r="C1483" s="14">
        <v>191</v>
      </c>
      <c r="D1483" s="12"/>
      <c r="E1483" s="13"/>
    </row>
    <row r="1484" spans="1:5" ht="11.1" hidden="1" customHeight="1" x14ac:dyDescent="0.25">
      <c r="A1484" s="12" t="s">
        <v>2112</v>
      </c>
      <c r="B1484" s="12" t="s">
        <v>2113</v>
      </c>
      <c r="C1484" s="14">
        <v>272.5</v>
      </c>
      <c r="D1484" s="12"/>
      <c r="E1484" s="13"/>
    </row>
    <row r="1485" spans="1:5" ht="11.1" hidden="1" customHeight="1" x14ac:dyDescent="0.25">
      <c r="A1485" s="12" t="s">
        <v>2114</v>
      </c>
      <c r="B1485" s="12" t="s">
        <v>2115</v>
      </c>
      <c r="C1485" s="14">
        <v>958.33</v>
      </c>
      <c r="D1485" s="12"/>
      <c r="E1485" s="13"/>
    </row>
    <row r="1486" spans="1:5" ht="11.1" hidden="1" customHeight="1" x14ac:dyDescent="0.25">
      <c r="A1486" s="12" t="s">
        <v>2116</v>
      </c>
      <c r="B1486" s="12" t="s">
        <v>2117</v>
      </c>
      <c r="C1486" s="14">
        <v>2.63</v>
      </c>
      <c r="D1486" s="12"/>
      <c r="E1486" s="13"/>
    </row>
    <row r="1487" spans="1:5" ht="11.1" hidden="1" customHeight="1" x14ac:dyDescent="0.25">
      <c r="A1487" s="12" t="s">
        <v>2118</v>
      </c>
      <c r="B1487" s="12" t="s">
        <v>2119</v>
      </c>
      <c r="C1487" s="14">
        <v>2.0499999999999998</v>
      </c>
      <c r="D1487" s="12"/>
      <c r="E1487" s="13"/>
    </row>
    <row r="1488" spans="1:5" ht="11.1" hidden="1" customHeight="1" x14ac:dyDescent="0.25">
      <c r="A1488" s="12" t="s">
        <v>2120</v>
      </c>
      <c r="B1488" s="12" t="s">
        <v>2121</v>
      </c>
      <c r="C1488" s="14">
        <v>450</v>
      </c>
      <c r="D1488" s="12"/>
      <c r="E1488" s="13"/>
    </row>
    <row r="1489" spans="1:5" ht="11.1" hidden="1" customHeight="1" x14ac:dyDescent="0.25">
      <c r="A1489" s="12" t="s">
        <v>2122</v>
      </c>
      <c r="B1489" s="12" t="s">
        <v>2123</v>
      </c>
      <c r="C1489" s="14">
        <v>40.83</v>
      </c>
      <c r="D1489" s="12"/>
      <c r="E1489" s="13"/>
    </row>
    <row r="1490" spans="1:5" ht="11.1" hidden="1" customHeight="1" x14ac:dyDescent="0.25">
      <c r="A1490" s="12" t="s">
        <v>2124</v>
      </c>
      <c r="B1490" s="12" t="s">
        <v>2125</v>
      </c>
      <c r="C1490" s="14">
        <v>41.65</v>
      </c>
      <c r="D1490" s="12"/>
      <c r="E1490" s="13"/>
    </row>
    <row r="1491" spans="1:5" ht="11.1" hidden="1" customHeight="1" x14ac:dyDescent="0.25">
      <c r="A1491" s="12" t="s">
        <v>2126</v>
      </c>
      <c r="B1491" s="12" t="s">
        <v>2125</v>
      </c>
      <c r="C1491" s="14">
        <v>39.130000000000003</v>
      </c>
      <c r="D1491" s="12"/>
      <c r="E1491" s="13"/>
    </row>
    <row r="1492" spans="1:5" ht="11.1" hidden="1" customHeight="1" x14ac:dyDescent="0.25">
      <c r="A1492" s="12" t="s">
        <v>2127</v>
      </c>
      <c r="B1492" s="12" t="s">
        <v>2125</v>
      </c>
      <c r="C1492" s="14">
        <v>441.99</v>
      </c>
      <c r="D1492" s="12"/>
      <c r="E1492" s="13"/>
    </row>
    <row r="1493" spans="1:5" ht="11.1" hidden="1" customHeight="1" x14ac:dyDescent="0.25">
      <c r="A1493" s="12" t="s">
        <v>2128</v>
      </c>
      <c r="B1493" s="12" t="s">
        <v>2129</v>
      </c>
      <c r="C1493" s="14">
        <v>83.33</v>
      </c>
      <c r="D1493" s="12"/>
      <c r="E1493" s="13"/>
    </row>
    <row r="1494" spans="1:5" ht="11.1" hidden="1" customHeight="1" x14ac:dyDescent="0.25">
      <c r="A1494" s="12" t="s">
        <v>2130</v>
      </c>
      <c r="B1494" s="12" t="s">
        <v>2131</v>
      </c>
      <c r="C1494" s="14">
        <v>381.67</v>
      </c>
      <c r="D1494" s="12"/>
      <c r="E1494" s="13"/>
    </row>
    <row r="1495" spans="1:5" ht="11.1" hidden="1" customHeight="1" x14ac:dyDescent="0.25">
      <c r="A1495" s="12" t="s">
        <v>2132</v>
      </c>
      <c r="B1495" s="12" t="s">
        <v>1134</v>
      </c>
      <c r="C1495" s="14">
        <v>540</v>
      </c>
      <c r="D1495" s="12"/>
      <c r="E1495" s="13"/>
    </row>
    <row r="1496" spans="1:5" ht="11.1" hidden="1" customHeight="1" x14ac:dyDescent="0.25">
      <c r="A1496" s="12" t="s">
        <v>2133</v>
      </c>
      <c r="B1496" s="12" t="s">
        <v>2134</v>
      </c>
      <c r="C1496" s="14">
        <v>100</v>
      </c>
      <c r="D1496" s="12"/>
      <c r="E1496" s="13"/>
    </row>
    <row r="1497" spans="1:5" ht="11.1" hidden="1" customHeight="1" x14ac:dyDescent="0.25">
      <c r="A1497" s="12" t="s">
        <v>2135</v>
      </c>
      <c r="B1497" s="12" t="s">
        <v>2136</v>
      </c>
      <c r="C1497" s="14">
        <v>450</v>
      </c>
      <c r="D1497" s="12"/>
      <c r="E1497" s="13"/>
    </row>
    <row r="1498" spans="1:5" ht="11.1" hidden="1" customHeight="1" x14ac:dyDescent="0.25">
      <c r="A1498" s="12" t="s">
        <v>2137</v>
      </c>
      <c r="B1498" s="12" t="s">
        <v>916</v>
      </c>
      <c r="C1498" s="14">
        <v>92.5</v>
      </c>
      <c r="D1498" s="12"/>
      <c r="E1498" s="13"/>
    </row>
    <row r="1499" spans="1:5" ht="11.1" hidden="1" customHeight="1" x14ac:dyDescent="0.25">
      <c r="A1499" s="12" t="s">
        <v>2138</v>
      </c>
      <c r="B1499" s="12" t="s">
        <v>727</v>
      </c>
      <c r="C1499" s="14">
        <v>143.33000000000001</v>
      </c>
      <c r="D1499" s="12"/>
      <c r="E1499" s="13"/>
    </row>
    <row r="1500" spans="1:5" ht="11.1" hidden="1" customHeight="1" x14ac:dyDescent="0.25">
      <c r="A1500" s="12" t="s">
        <v>2139</v>
      </c>
      <c r="B1500" s="12" t="s">
        <v>2140</v>
      </c>
      <c r="C1500" s="14">
        <v>31.67</v>
      </c>
      <c r="D1500" s="12"/>
      <c r="E1500" s="13"/>
    </row>
    <row r="1501" spans="1:5" ht="11.1" hidden="1" customHeight="1" x14ac:dyDescent="0.25">
      <c r="A1501" s="12" t="s">
        <v>2141</v>
      </c>
      <c r="B1501" s="12" t="s">
        <v>2142</v>
      </c>
      <c r="C1501" s="14">
        <v>88.33</v>
      </c>
      <c r="D1501" s="12"/>
      <c r="E1501" s="13"/>
    </row>
    <row r="1502" spans="1:5" ht="11.1" hidden="1" customHeight="1" x14ac:dyDescent="0.25">
      <c r="A1502" s="12" t="s">
        <v>2143</v>
      </c>
      <c r="B1502" s="12" t="s">
        <v>288</v>
      </c>
      <c r="C1502" s="14">
        <v>400.83</v>
      </c>
      <c r="D1502" s="12"/>
      <c r="E1502" s="13"/>
    </row>
    <row r="1503" spans="1:5" ht="11.1" hidden="1" customHeight="1" x14ac:dyDescent="0.25">
      <c r="A1503" s="12" t="s">
        <v>2144</v>
      </c>
      <c r="B1503" s="12" t="s">
        <v>2131</v>
      </c>
      <c r="C1503" s="14">
        <v>253.33</v>
      </c>
      <c r="D1503" s="12"/>
      <c r="E1503" s="13"/>
    </row>
    <row r="1504" spans="1:5" ht="11.1" hidden="1" customHeight="1" x14ac:dyDescent="0.25">
      <c r="A1504" s="12" t="s">
        <v>2145</v>
      </c>
      <c r="B1504" s="12" t="s">
        <v>288</v>
      </c>
      <c r="C1504" s="14">
        <v>94.17</v>
      </c>
      <c r="D1504" s="12"/>
      <c r="E1504" s="13"/>
    </row>
    <row r="1505" spans="1:5" ht="11.1" hidden="1" customHeight="1" x14ac:dyDescent="0.25">
      <c r="A1505" s="12" t="s">
        <v>2146</v>
      </c>
      <c r="B1505" s="12" t="s">
        <v>2056</v>
      </c>
      <c r="C1505" s="14">
        <v>466.67</v>
      </c>
      <c r="D1505" s="12"/>
      <c r="E1505" s="13"/>
    </row>
    <row r="1506" spans="1:5" ht="11.1" hidden="1" customHeight="1" x14ac:dyDescent="0.25">
      <c r="A1506" s="12" t="s">
        <v>2147</v>
      </c>
      <c r="B1506" s="12" t="s">
        <v>2148</v>
      </c>
      <c r="C1506" s="14">
        <v>94.17</v>
      </c>
      <c r="D1506" s="12"/>
      <c r="E1506" s="13"/>
    </row>
    <row r="1507" spans="1:5" ht="11.1" hidden="1" customHeight="1" x14ac:dyDescent="0.25">
      <c r="A1507" s="12" t="s">
        <v>2149</v>
      </c>
      <c r="B1507" s="12" t="s">
        <v>2150</v>
      </c>
      <c r="C1507" s="14">
        <v>4538.8999999999996</v>
      </c>
      <c r="D1507" s="12"/>
      <c r="E1507" s="14"/>
    </row>
    <row r="1508" spans="1:5" ht="11.1" hidden="1" customHeight="1" x14ac:dyDescent="0.25">
      <c r="A1508" s="12" t="s">
        <v>2151</v>
      </c>
      <c r="B1508" s="12" t="s">
        <v>2152</v>
      </c>
      <c r="C1508" s="14">
        <v>35581</v>
      </c>
      <c r="D1508" s="12"/>
      <c r="E1508" s="14"/>
    </row>
    <row r="1509" spans="1:5" ht="23.1" hidden="1" customHeight="1" x14ac:dyDescent="0.25">
      <c r="A1509" s="12" t="s">
        <v>2153</v>
      </c>
      <c r="B1509" s="12" t="s">
        <v>2110</v>
      </c>
      <c r="C1509" s="14">
        <v>20.49</v>
      </c>
      <c r="D1509" s="12"/>
      <c r="E1509" s="13"/>
    </row>
    <row r="1510" spans="1:5" ht="11.1" hidden="1" customHeight="1" x14ac:dyDescent="0.25">
      <c r="A1510" s="12" t="s">
        <v>2154</v>
      </c>
      <c r="B1510" s="12" t="s">
        <v>2113</v>
      </c>
      <c r="C1510" s="14">
        <v>97.25</v>
      </c>
      <c r="D1510" s="12"/>
      <c r="E1510" s="13"/>
    </row>
    <row r="1511" spans="1:5" ht="11.1" hidden="1" customHeight="1" x14ac:dyDescent="0.25">
      <c r="A1511" s="12" t="s">
        <v>2155</v>
      </c>
      <c r="B1511" s="12" t="s">
        <v>2156</v>
      </c>
      <c r="C1511" s="14">
        <v>102.5</v>
      </c>
      <c r="D1511" s="12"/>
      <c r="E1511" s="13"/>
    </row>
    <row r="1512" spans="1:5" ht="11.1" hidden="1" customHeight="1" x14ac:dyDescent="0.25">
      <c r="A1512" s="12" t="s">
        <v>2157</v>
      </c>
      <c r="B1512" s="12" t="s">
        <v>2110</v>
      </c>
      <c r="C1512" s="14">
        <v>42.25</v>
      </c>
      <c r="D1512" s="12"/>
      <c r="E1512" s="13"/>
    </row>
    <row r="1513" spans="1:5" ht="11.1" hidden="1" customHeight="1" x14ac:dyDescent="0.25">
      <c r="A1513" s="12" t="s">
        <v>2158</v>
      </c>
      <c r="B1513" s="12" t="s">
        <v>2105</v>
      </c>
      <c r="C1513" s="14">
        <v>55.5</v>
      </c>
      <c r="D1513" s="12"/>
      <c r="E1513" s="13"/>
    </row>
    <row r="1514" spans="1:5" ht="11.1" hidden="1" customHeight="1" x14ac:dyDescent="0.25">
      <c r="A1514" s="12" t="s">
        <v>2159</v>
      </c>
      <c r="B1514" s="12" t="s">
        <v>2105</v>
      </c>
      <c r="C1514" s="14">
        <v>101.01</v>
      </c>
      <c r="D1514" s="12"/>
      <c r="E1514" s="13"/>
    </row>
    <row r="1515" spans="1:5" ht="11.1" hidden="1" customHeight="1" x14ac:dyDescent="0.25">
      <c r="A1515" s="12" t="s">
        <v>2160</v>
      </c>
      <c r="B1515" s="12" t="s">
        <v>2107</v>
      </c>
      <c r="C1515" s="14">
        <v>106.67</v>
      </c>
      <c r="D1515" s="12"/>
      <c r="E1515" s="13"/>
    </row>
    <row r="1516" spans="1:5" ht="11.1" hidden="1" customHeight="1" x14ac:dyDescent="0.25">
      <c r="A1516" s="12" t="s">
        <v>2161</v>
      </c>
      <c r="B1516" s="12" t="s">
        <v>2162</v>
      </c>
      <c r="C1516" s="14">
        <v>326.67</v>
      </c>
      <c r="D1516" s="12"/>
      <c r="E1516" s="13"/>
    </row>
    <row r="1517" spans="1:5" ht="11.1" hidden="1" customHeight="1" x14ac:dyDescent="0.25">
      <c r="A1517" s="12" t="s">
        <v>2163</v>
      </c>
      <c r="B1517" s="12" t="s">
        <v>1540</v>
      </c>
      <c r="C1517" s="14">
        <v>2478.4499999999998</v>
      </c>
      <c r="D1517" s="12"/>
      <c r="E1517" s="14"/>
    </row>
    <row r="1518" spans="1:5" ht="11.1" hidden="1" customHeight="1" x14ac:dyDescent="0.25">
      <c r="A1518" s="12" t="s">
        <v>2164</v>
      </c>
      <c r="B1518" s="12" t="s">
        <v>1014</v>
      </c>
      <c r="C1518" s="14">
        <v>609.16999999999996</v>
      </c>
      <c r="D1518" s="12"/>
      <c r="E1518" s="13"/>
    </row>
    <row r="1519" spans="1:5" ht="11.1" hidden="1" customHeight="1" x14ac:dyDescent="0.25">
      <c r="A1519" s="12" t="s">
        <v>2165</v>
      </c>
      <c r="B1519" s="12" t="s">
        <v>2166</v>
      </c>
      <c r="C1519" s="14">
        <v>546.66999999999996</v>
      </c>
      <c r="D1519" s="12"/>
      <c r="E1519" s="13"/>
    </row>
    <row r="1520" spans="1:5" ht="11.1" hidden="1" customHeight="1" x14ac:dyDescent="0.25">
      <c r="A1520" s="12" t="s">
        <v>2167</v>
      </c>
      <c r="B1520" s="12" t="s">
        <v>1000</v>
      </c>
      <c r="C1520" s="14">
        <v>3380</v>
      </c>
      <c r="D1520" s="12"/>
      <c r="E1520" s="14"/>
    </row>
    <row r="1521" spans="1:5" ht="11.1" hidden="1" customHeight="1" x14ac:dyDescent="0.25">
      <c r="A1521" s="12" t="s">
        <v>2168</v>
      </c>
      <c r="B1521" s="12" t="s">
        <v>257</v>
      </c>
      <c r="C1521" s="14">
        <v>838.65</v>
      </c>
      <c r="D1521" s="12"/>
      <c r="E1521" s="13"/>
    </row>
    <row r="1522" spans="1:5" ht="11.1" hidden="1" customHeight="1" x14ac:dyDescent="0.25">
      <c r="A1522" s="12" t="s">
        <v>2169</v>
      </c>
      <c r="B1522" s="12" t="s">
        <v>2170</v>
      </c>
      <c r="C1522" s="14">
        <v>275</v>
      </c>
      <c r="D1522" s="12"/>
      <c r="E1522" s="13"/>
    </row>
    <row r="1523" spans="1:5" ht="11.1" hidden="1" customHeight="1" x14ac:dyDescent="0.25">
      <c r="A1523" s="12" t="s">
        <v>2171</v>
      </c>
      <c r="B1523" s="12" t="s">
        <v>2172</v>
      </c>
      <c r="C1523" s="14">
        <v>2300</v>
      </c>
      <c r="D1523" s="12"/>
      <c r="E1523" s="14"/>
    </row>
    <row r="1524" spans="1:5" ht="11.1" hidden="1" customHeight="1" x14ac:dyDescent="0.25">
      <c r="A1524" s="12" t="s">
        <v>2173</v>
      </c>
      <c r="B1524" s="12" t="s">
        <v>2174</v>
      </c>
      <c r="C1524" s="14">
        <v>217.8</v>
      </c>
      <c r="D1524" s="12"/>
      <c r="E1524" s="13"/>
    </row>
    <row r="1525" spans="1:5" ht="11.1" hidden="1" customHeight="1" x14ac:dyDescent="0.25">
      <c r="A1525" s="12" t="s">
        <v>2175</v>
      </c>
      <c r="B1525" s="12" t="s">
        <v>2176</v>
      </c>
      <c r="C1525" s="14">
        <v>4820</v>
      </c>
      <c r="D1525" s="12"/>
      <c r="E1525" s="14"/>
    </row>
    <row r="1526" spans="1:5" ht="11.1" hidden="1" customHeight="1" x14ac:dyDescent="0.25">
      <c r="A1526" s="12" t="s">
        <v>2177</v>
      </c>
      <c r="B1526" s="12" t="s">
        <v>2178</v>
      </c>
      <c r="C1526" s="14">
        <v>3075</v>
      </c>
      <c r="D1526" s="12"/>
      <c r="E1526" s="14"/>
    </row>
    <row r="1527" spans="1:5" ht="11.1" hidden="1" customHeight="1" x14ac:dyDescent="0.25">
      <c r="A1527" s="12" t="s">
        <v>2179</v>
      </c>
      <c r="B1527" s="12" t="s">
        <v>2178</v>
      </c>
      <c r="C1527" s="14">
        <v>4658.33</v>
      </c>
      <c r="D1527" s="12"/>
      <c r="E1527" s="14"/>
    </row>
    <row r="1528" spans="1:5" ht="11.1" hidden="1" customHeight="1" x14ac:dyDescent="0.25">
      <c r="A1528" s="12" t="s">
        <v>2180</v>
      </c>
      <c r="B1528" s="12" t="s">
        <v>2065</v>
      </c>
      <c r="C1528" s="14">
        <v>84823.2</v>
      </c>
      <c r="D1528" s="12"/>
      <c r="E1528" s="14"/>
    </row>
    <row r="1529" spans="1:5" ht="11.1" hidden="1" customHeight="1" x14ac:dyDescent="0.25">
      <c r="A1529" s="12" t="s">
        <v>2181</v>
      </c>
      <c r="B1529" s="12" t="s">
        <v>2182</v>
      </c>
      <c r="C1529" s="14">
        <v>11778.04</v>
      </c>
      <c r="D1529" s="12"/>
      <c r="E1529" s="14"/>
    </row>
    <row r="1530" spans="1:5" ht="11.1" hidden="1" customHeight="1" x14ac:dyDescent="0.25">
      <c r="A1530" s="12" t="s">
        <v>2183</v>
      </c>
      <c r="B1530" s="12" t="s">
        <v>2184</v>
      </c>
      <c r="C1530" s="14">
        <v>1546.67</v>
      </c>
      <c r="D1530" s="12"/>
      <c r="E1530" s="14"/>
    </row>
    <row r="1531" spans="1:5" ht="11.1" hidden="1" customHeight="1" x14ac:dyDescent="0.25">
      <c r="A1531" s="12" t="s">
        <v>2185</v>
      </c>
      <c r="B1531" s="12" t="s">
        <v>2186</v>
      </c>
      <c r="C1531" s="14">
        <v>730</v>
      </c>
      <c r="D1531" s="12"/>
      <c r="E1531" s="13"/>
    </row>
    <row r="1532" spans="1:5" ht="11.1" hidden="1" customHeight="1" x14ac:dyDescent="0.25">
      <c r="A1532" s="12" t="s">
        <v>2187</v>
      </c>
      <c r="B1532" s="12" t="s">
        <v>2188</v>
      </c>
      <c r="C1532" s="14">
        <v>8200</v>
      </c>
      <c r="D1532" s="12"/>
      <c r="E1532" s="14"/>
    </row>
    <row r="1533" spans="1:5" ht="11.1" hidden="1" customHeight="1" x14ac:dyDescent="0.25">
      <c r="A1533" s="12" t="s">
        <v>2189</v>
      </c>
      <c r="B1533" s="12" t="s">
        <v>2188</v>
      </c>
      <c r="C1533" s="14">
        <v>6500</v>
      </c>
      <c r="D1533" s="12"/>
      <c r="E1533" s="14"/>
    </row>
    <row r="1534" spans="1:5" ht="11.1" hidden="1" customHeight="1" x14ac:dyDescent="0.25">
      <c r="A1534" s="12" t="s">
        <v>2190</v>
      </c>
      <c r="B1534" s="12" t="s">
        <v>2188</v>
      </c>
      <c r="C1534" s="14">
        <v>11000</v>
      </c>
      <c r="D1534" s="12"/>
      <c r="E1534" s="14"/>
    </row>
    <row r="1535" spans="1:5" ht="11.1" hidden="1" customHeight="1" x14ac:dyDescent="0.25">
      <c r="A1535" s="12" t="s">
        <v>2191</v>
      </c>
      <c r="B1535" s="12" t="s">
        <v>2105</v>
      </c>
      <c r="C1535" s="14">
        <v>124</v>
      </c>
      <c r="D1535" s="12"/>
      <c r="E1535" s="13"/>
    </row>
    <row r="1536" spans="1:5" ht="11.1" hidden="1" customHeight="1" x14ac:dyDescent="0.25">
      <c r="A1536" s="12" t="s">
        <v>2192</v>
      </c>
      <c r="B1536" s="12" t="s">
        <v>2193</v>
      </c>
      <c r="C1536" s="14">
        <v>112.5</v>
      </c>
      <c r="D1536" s="12"/>
      <c r="E1536" s="13"/>
    </row>
    <row r="1537" spans="1:5" ht="11.1" hidden="1" customHeight="1" x14ac:dyDescent="0.25">
      <c r="A1537" s="12" t="s">
        <v>2194</v>
      </c>
      <c r="B1537" s="12" t="s">
        <v>2162</v>
      </c>
      <c r="C1537" s="14">
        <v>68.180000000000007</v>
      </c>
      <c r="D1537" s="12"/>
      <c r="E1537" s="13"/>
    </row>
    <row r="1538" spans="1:5" ht="11.1" hidden="1" customHeight="1" x14ac:dyDescent="0.25">
      <c r="A1538" s="12" t="s">
        <v>2195</v>
      </c>
      <c r="B1538" s="12" t="s">
        <v>2053</v>
      </c>
      <c r="C1538" s="14">
        <v>168.33</v>
      </c>
      <c r="D1538" s="12"/>
      <c r="E1538" s="13"/>
    </row>
    <row r="1539" spans="1:5" ht="11.1" hidden="1" customHeight="1" x14ac:dyDescent="0.25">
      <c r="A1539" s="12" t="s">
        <v>2196</v>
      </c>
      <c r="B1539" s="12" t="s">
        <v>2113</v>
      </c>
      <c r="C1539" s="14">
        <v>54.98</v>
      </c>
      <c r="D1539" s="12"/>
      <c r="E1539" s="13"/>
    </row>
    <row r="1540" spans="1:5" ht="11.1" hidden="1" customHeight="1" x14ac:dyDescent="0.25">
      <c r="A1540" s="12" t="s">
        <v>2197</v>
      </c>
      <c r="B1540" s="12" t="s">
        <v>2107</v>
      </c>
      <c r="C1540" s="14">
        <v>93.33</v>
      </c>
      <c r="D1540" s="12"/>
      <c r="E1540" s="13"/>
    </row>
    <row r="1541" spans="1:5" ht="11.1" hidden="1" customHeight="1" x14ac:dyDescent="0.25">
      <c r="A1541" s="12" t="s">
        <v>2198</v>
      </c>
      <c r="B1541" s="12" t="s">
        <v>1985</v>
      </c>
      <c r="C1541" s="14">
        <v>78.83</v>
      </c>
      <c r="D1541" s="12"/>
      <c r="E1541" s="13"/>
    </row>
    <row r="1542" spans="1:5" ht="11.1" hidden="1" customHeight="1" x14ac:dyDescent="0.25">
      <c r="A1542" s="12" t="s">
        <v>2199</v>
      </c>
      <c r="B1542" s="12" t="s">
        <v>2100</v>
      </c>
      <c r="C1542" s="14">
        <v>143.33000000000001</v>
      </c>
      <c r="D1542" s="12"/>
      <c r="E1542" s="13"/>
    </row>
    <row r="1543" spans="1:5" ht="11.1" hidden="1" customHeight="1" x14ac:dyDescent="0.25">
      <c r="A1543" s="12" t="s">
        <v>2200</v>
      </c>
      <c r="B1543" s="12" t="s">
        <v>2201</v>
      </c>
      <c r="C1543" s="14">
        <v>2354.17</v>
      </c>
      <c r="D1543" s="12"/>
      <c r="E1543" s="14"/>
    </row>
    <row r="1544" spans="1:5" ht="11.1" hidden="1" customHeight="1" x14ac:dyDescent="0.25">
      <c r="A1544" s="12" t="s">
        <v>2202</v>
      </c>
      <c r="B1544" s="12" t="s">
        <v>241</v>
      </c>
      <c r="C1544" s="14">
        <v>3275.83</v>
      </c>
      <c r="D1544" s="12"/>
      <c r="E1544" s="14"/>
    </row>
    <row r="1545" spans="1:5" ht="11.1" hidden="1" customHeight="1" x14ac:dyDescent="0.25">
      <c r="A1545" s="12" t="s">
        <v>2203</v>
      </c>
      <c r="B1545" s="12" t="s">
        <v>1267</v>
      </c>
      <c r="C1545" s="14">
        <v>1012.5</v>
      </c>
      <c r="D1545" s="12"/>
      <c r="E1545" s="14"/>
    </row>
    <row r="1546" spans="1:5" ht="11.1" hidden="1" customHeight="1" x14ac:dyDescent="0.25">
      <c r="A1546" s="12" t="s">
        <v>2204</v>
      </c>
      <c r="B1546" s="12" t="s">
        <v>489</v>
      </c>
      <c r="C1546" s="14">
        <v>365</v>
      </c>
      <c r="D1546" s="12"/>
      <c r="E1546" s="13"/>
    </row>
    <row r="1547" spans="1:5" ht="11.1" hidden="1" customHeight="1" x14ac:dyDescent="0.25">
      <c r="A1547" s="12" t="s">
        <v>2205</v>
      </c>
      <c r="B1547" s="12" t="s">
        <v>218</v>
      </c>
      <c r="C1547" s="14">
        <v>715</v>
      </c>
      <c r="D1547" s="12"/>
      <c r="E1547" s="13"/>
    </row>
    <row r="1548" spans="1:5" ht="11.1" hidden="1" customHeight="1" x14ac:dyDescent="0.25">
      <c r="A1548" s="12" t="s">
        <v>2206</v>
      </c>
      <c r="B1548" s="12" t="s">
        <v>993</v>
      </c>
      <c r="C1548" s="14">
        <v>2691.67</v>
      </c>
      <c r="D1548" s="12"/>
      <c r="E1548" s="14"/>
    </row>
    <row r="1549" spans="1:5" ht="23.1" hidden="1" customHeight="1" x14ac:dyDescent="0.25">
      <c r="A1549" s="12" t="s">
        <v>2207</v>
      </c>
      <c r="B1549" s="12" t="s">
        <v>2208</v>
      </c>
      <c r="C1549" s="14">
        <v>612.5</v>
      </c>
      <c r="D1549" s="12"/>
      <c r="E1549" s="13"/>
    </row>
    <row r="1550" spans="1:5" ht="23.1" hidden="1" customHeight="1" x14ac:dyDescent="0.25">
      <c r="A1550" s="12" t="s">
        <v>2209</v>
      </c>
      <c r="B1550" s="12" t="s">
        <v>2210</v>
      </c>
      <c r="C1550" s="14">
        <v>129.16999999999999</v>
      </c>
      <c r="D1550" s="12"/>
      <c r="E1550" s="13"/>
    </row>
    <row r="1551" spans="1:5" ht="11.1" hidden="1" customHeight="1" x14ac:dyDescent="0.25">
      <c r="A1551" s="12" t="s">
        <v>2211</v>
      </c>
      <c r="B1551" s="12" t="s">
        <v>2107</v>
      </c>
      <c r="C1551" s="14">
        <v>85</v>
      </c>
      <c r="D1551" s="12"/>
      <c r="E1551" s="13"/>
    </row>
    <row r="1552" spans="1:5" ht="11.1" hidden="1" customHeight="1" x14ac:dyDescent="0.25">
      <c r="A1552" s="12" t="s">
        <v>2212</v>
      </c>
      <c r="B1552" s="12" t="s">
        <v>2053</v>
      </c>
      <c r="C1552" s="14">
        <v>73.58</v>
      </c>
      <c r="D1552" s="12"/>
      <c r="E1552" s="13"/>
    </row>
    <row r="1553" spans="1:5" ht="11.1" hidden="1" customHeight="1" x14ac:dyDescent="0.25">
      <c r="A1553" s="12" t="s">
        <v>2213</v>
      </c>
      <c r="B1553" s="12" t="s">
        <v>2119</v>
      </c>
      <c r="C1553" s="14">
        <v>755.82</v>
      </c>
      <c r="D1553" s="12"/>
      <c r="E1553" s="13"/>
    </row>
    <row r="1554" spans="1:5" ht="11.1" hidden="1" customHeight="1" x14ac:dyDescent="0.25">
      <c r="A1554" s="12" t="s">
        <v>2214</v>
      </c>
      <c r="B1554" s="12" t="s">
        <v>2215</v>
      </c>
      <c r="C1554" s="14">
        <v>3.48</v>
      </c>
      <c r="D1554" s="12"/>
      <c r="E1554" s="13"/>
    </row>
    <row r="1555" spans="1:5" ht="11.1" hidden="1" customHeight="1" x14ac:dyDescent="0.25">
      <c r="A1555" s="12" t="s">
        <v>2216</v>
      </c>
      <c r="B1555" s="12" t="s">
        <v>2217</v>
      </c>
      <c r="C1555" s="14">
        <v>14.17</v>
      </c>
      <c r="D1555" s="12"/>
      <c r="E1555" s="13"/>
    </row>
    <row r="1556" spans="1:5" ht="11.1" hidden="1" customHeight="1" x14ac:dyDescent="0.25">
      <c r="A1556" s="12" t="s">
        <v>2218</v>
      </c>
      <c r="B1556" s="12" t="s">
        <v>2219</v>
      </c>
      <c r="C1556" s="14">
        <v>266.56</v>
      </c>
      <c r="D1556" s="12"/>
      <c r="E1556" s="13"/>
    </row>
    <row r="1557" spans="1:5" ht="11.1" hidden="1" customHeight="1" x14ac:dyDescent="0.25">
      <c r="A1557" s="12" t="s">
        <v>2220</v>
      </c>
      <c r="B1557" s="12" t="s">
        <v>2215</v>
      </c>
      <c r="C1557" s="14">
        <v>2.48</v>
      </c>
      <c r="D1557" s="12"/>
      <c r="E1557" s="13"/>
    </row>
    <row r="1558" spans="1:5" ht="11.1" hidden="1" customHeight="1" x14ac:dyDescent="0.25">
      <c r="A1558" s="12" t="s">
        <v>2221</v>
      </c>
      <c r="B1558" s="12" t="s">
        <v>2222</v>
      </c>
      <c r="C1558" s="14">
        <v>32.25</v>
      </c>
      <c r="D1558" s="12"/>
      <c r="E1558" s="13"/>
    </row>
    <row r="1559" spans="1:5" ht="11.1" hidden="1" customHeight="1" x14ac:dyDescent="0.25">
      <c r="A1559" s="12" t="s">
        <v>2223</v>
      </c>
      <c r="B1559" s="12" t="s">
        <v>2224</v>
      </c>
      <c r="C1559" s="14">
        <v>35.630000000000003</v>
      </c>
      <c r="D1559" s="12"/>
      <c r="E1559" s="13"/>
    </row>
    <row r="1560" spans="1:5" ht="11.1" hidden="1" customHeight="1" x14ac:dyDescent="0.25">
      <c r="A1560" s="12" t="s">
        <v>2225</v>
      </c>
      <c r="B1560" s="12" t="s">
        <v>2226</v>
      </c>
      <c r="C1560" s="14">
        <v>8.66</v>
      </c>
      <c r="D1560" s="12"/>
      <c r="E1560" s="13"/>
    </row>
    <row r="1561" spans="1:5" ht="11.1" hidden="1" customHeight="1" x14ac:dyDescent="0.25">
      <c r="A1561" s="12" t="s">
        <v>2227</v>
      </c>
      <c r="B1561" s="12" t="s">
        <v>2222</v>
      </c>
      <c r="C1561" s="14">
        <v>25.8</v>
      </c>
      <c r="D1561" s="12"/>
      <c r="E1561" s="13"/>
    </row>
    <row r="1562" spans="1:5" ht="11.1" hidden="1" customHeight="1" x14ac:dyDescent="0.25">
      <c r="A1562" s="12" t="s">
        <v>2228</v>
      </c>
      <c r="B1562" s="12" t="s">
        <v>2226</v>
      </c>
      <c r="C1562" s="14">
        <v>17.68</v>
      </c>
      <c r="D1562" s="12"/>
      <c r="E1562" s="13"/>
    </row>
    <row r="1563" spans="1:5" ht="11.1" hidden="1" customHeight="1" x14ac:dyDescent="0.25">
      <c r="A1563" s="12" t="s">
        <v>2229</v>
      </c>
      <c r="B1563" s="12" t="s">
        <v>523</v>
      </c>
      <c r="C1563" s="14">
        <v>61.67</v>
      </c>
      <c r="D1563" s="12"/>
      <c r="E1563" s="13"/>
    </row>
    <row r="1564" spans="1:5" ht="11.1" hidden="1" customHeight="1" x14ac:dyDescent="0.25">
      <c r="A1564" s="12" t="s">
        <v>2230</v>
      </c>
      <c r="B1564" s="12" t="s">
        <v>2231</v>
      </c>
      <c r="C1564" s="14">
        <v>294.17</v>
      </c>
      <c r="D1564" s="12"/>
      <c r="E1564" s="13"/>
    </row>
    <row r="1565" spans="1:5" ht="11.1" hidden="1" customHeight="1" x14ac:dyDescent="0.25">
      <c r="A1565" s="12" t="s">
        <v>2232</v>
      </c>
      <c r="B1565" s="12" t="s">
        <v>2233</v>
      </c>
      <c r="C1565" s="14">
        <v>17.5</v>
      </c>
      <c r="D1565" s="12"/>
      <c r="E1565" s="13"/>
    </row>
    <row r="1566" spans="1:5" ht="11.1" hidden="1" customHeight="1" x14ac:dyDescent="0.25">
      <c r="A1566" s="12" t="s">
        <v>2234</v>
      </c>
      <c r="B1566" s="12" t="s">
        <v>2235</v>
      </c>
      <c r="C1566" s="14">
        <v>1.88</v>
      </c>
      <c r="D1566" s="12"/>
      <c r="E1566" s="13"/>
    </row>
    <row r="1567" spans="1:5" ht="11.1" hidden="1" customHeight="1" x14ac:dyDescent="0.25">
      <c r="A1567" s="12" t="s">
        <v>2236</v>
      </c>
      <c r="B1567" s="12" t="s">
        <v>2237</v>
      </c>
      <c r="C1567" s="14">
        <v>4583.33</v>
      </c>
      <c r="D1567" s="12"/>
      <c r="E1567" s="14"/>
    </row>
    <row r="1568" spans="1:5" ht="11.1" hidden="1" customHeight="1" x14ac:dyDescent="0.25">
      <c r="A1568" s="12" t="s">
        <v>2238</v>
      </c>
      <c r="B1568" s="12" t="s">
        <v>2239</v>
      </c>
      <c r="C1568" s="14">
        <v>99.17</v>
      </c>
      <c r="D1568" s="12"/>
      <c r="E1568" s="13"/>
    </row>
    <row r="1569" spans="1:5" ht="11.1" hidden="1" customHeight="1" x14ac:dyDescent="0.25">
      <c r="A1569" s="12" t="s">
        <v>2240</v>
      </c>
      <c r="B1569" s="12" t="s">
        <v>2076</v>
      </c>
      <c r="C1569" s="14">
        <v>2690.25</v>
      </c>
      <c r="D1569" s="12"/>
      <c r="E1569" s="14"/>
    </row>
    <row r="1570" spans="1:5" ht="11.1" hidden="1" customHeight="1" x14ac:dyDescent="0.25">
      <c r="A1570" s="12" t="s">
        <v>2241</v>
      </c>
      <c r="B1570" s="12" t="s">
        <v>2076</v>
      </c>
      <c r="C1570" s="14">
        <v>2690.25</v>
      </c>
      <c r="D1570" s="12"/>
      <c r="E1570" s="14"/>
    </row>
    <row r="1571" spans="1:5" ht="11.1" hidden="1" customHeight="1" x14ac:dyDescent="0.25">
      <c r="A1571" s="12" t="s">
        <v>2242</v>
      </c>
      <c r="B1571" s="12" t="s">
        <v>2076</v>
      </c>
      <c r="C1571" s="14">
        <v>2690.25</v>
      </c>
      <c r="D1571" s="12"/>
      <c r="E1571" s="14"/>
    </row>
    <row r="1572" spans="1:5" ht="11.1" hidden="1" customHeight="1" x14ac:dyDescent="0.25">
      <c r="A1572" s="12" t="s">
        <v>2243</v>
      </c>
      <c r="B1572" s="12" t="s">
        <v>2244</v>
      </c>
      <c r="C1572" s="14">
        <v>2335.37</v>
      </c>
      <c r="D1572" s="12"/>
      <c r="E1572" s="14"/>
    </row>
    <row r="1573" spans="1:5" ht="11.1" hidden="1" customHeight="1" x14ac:dyDescent="0.25">
      <c r="A1573" s="12" t="s">
        <v>2245</v>
      </c>
      <c r="B1573" s="12" t="s">
        <v>2244</v>
      </c>
      <c r="C1573" s="14">
        <v>2335.37</v>
      </c>
      <c r="D1573" s="12"/>
      <c r="E1573" s="14"/>
    </row>
    <row r="1574" spans="1:5" ht="11.1" hidden="1" customHeight="1" x14ac:dyDescent="0.25">
      <c r="A1574" s="12" t="s">
        <v>2246</v>
      </c>
      <c r="B1574" s="12" t="s">
        <v>2023</v>
      </c>
      <c r="C1574" s="14">
        <v>1300</v>
      </c>
      <c r="D1574" s="12"/>
      <c r="E1574" s="14"/>
    </row>
    <row r="1575" spans="1:5" ht="11.1" hidden="1" customHeight="1" x14ac:dyDescent="0.25">
      <c r="A1575" s="12" t="s">
        <v>2247</v>
      </c>
      <c r="B1575" s="12" t="s">
        <v>2248</v>
      </c>
      <c r="C1575" s="14">
        <v>3260</v>
      </c>
      <c r="D1575" s="12"/>
      <c r="E1575" s="14"/>
    </row>
    <row r="1576" spans="1:5" ht="11.1" hidden="1" customHeight="1" x14ac:dyDescent="0.25">
      <c r="A1576" s="12" t="s">
        <v>2249</v>
      </c>
      <c r="B1576" s="12" t="s">
        <v>2250</v>
      </c>
      <c r="C1576" s="14">
        <v>409.5</v>
      </c>
      <c r="D1576" s="12"/>
      <c r="E1576" s="13"/>
    </row>
    <row r="1577" spans="1:5" ht="11.1" hidden="1" customHeight="1" x14ac:dyDescent="0.25">
      <c r="A1577" s="12" t="s">
        <v>2251</v>
      </c>
      <c r="B1577" s="12" t="s">
        <v>2252</v>
      </c>
      <c r="C1577" s="14">
        <v>76.8</v>
      </c>
      <c r="D1577" s="12"/>
      <c r="E1577" s="13"/>
    </row>
    <row r="1578" spans="1:5" ht="11.1" hidden="1" customHeight="1" x14ac:dyDescent="0.25">
      <c r="A1578" s="12" t="s">
        <v>2253</v>
      </c>
      <c r="B1578" s="12" t="s">
        <v>2030</v>
      </c>
      <c r="C1578" s="14">
        <v>703.65</v>
      </c>
      <c r="D1578" s="12"/>
      <c r="E1578" s="13"/>
    </row>
    <row r="1579" spans="1:5" ht="11.1" hidden="1" customHeight="1" x14ac:dyDescent="0.25">
      <c r="A1579" s="12" t="s">
        <v>2254</v>
      </c>
      <c r="B1579" s="12" t="s">
        <v>2030</v>
      </c>
      <c r="C1579" s="14">
        <v>1292.58</v>
      </c>
      <c r="D1579" s="12"/>
      <c r="E1579" s="14"/>
    </row>
    <row r="1580" spans="1:5" ht="11.1" hidden="1" customHeight="1" x14ac:dyDescent="0.25">
      <c r="A1580" s="12" t="s">
        <v>2255</v>
      </c>
      <c r="B1580" s="12" t="s">
        <v>2256</v>
      </c>
      <c r="C1580" s="14">
        <v>4196.88</v>
      </c>
      <c r="D1580" s="12"/>
      <c r="E1580" s="14"/>
    </row>
    <row r="1581" spans="1:5" ht="11.1" hidden="1" customHeight="1" x14ac:dyDescent="0.25">
      <c r="A1581" s="12" t="s">
        <v>2257</v>
      </c>
      <c r="B1581" s="12" t="s">
        <v>2258</v>
      </c>
      <c r="C1581" s="14">
        <v>4196.87</v>
      </c>
      <c r="D1581" s="12"/>
      <c r="E1581" s="14"/>
    </row>
    <row r="1582" spans="1:5" ht="11.1" hidden="1" customHeight="1" x14ac:dyDescent="0.25">
      <c r="A1582" s="12" t="s">
        <v>2259</v>
      </c>
      <c r="B1582" s="12" t="s">
        <v>2258</v>
      </c>
      <c r="C1582" s="14">
        <v>4196.87</v>
      </c>
      <c r="D1582" s="12"/>
      <c r="E1582" s="14"/>
    </row>
    <row r="1583" spans="1:5" ht="11.1" hidden="1" customHeight="1" x14ac:dyDescent="0.25">
      <c r="A1583" s="12" t="s">
        <v>2260</v>
      </c>
      <c r="B1583" s="12" t="s">
        <v>2256</v>
      </c>
      <c r="C1583" s="14">
        <v>4196.88</v>
      </c>
      <c r="D1583" s="12"/>
      <c r="E1583" s="14"/>
    </row>
    <row r="1584" spans="1:5" ht="11.1" hidden="1" customHeight="1" x14ac:dyDescent="0.25">
      <c r="A1584" s="12" t="s">
        <v>2261</v>
      </c>
      <c r="B1584" s="12" t="s">
        <v>72</v>
      </c>
      <c r="C1584" s="14">
        <v>2707.25</v>
      </c>
      <c r="D1584" s="12"/>
      <c r="E1584" s="14"/>
    </row>
    <row r="1585" spans="1:5" ht="11.1" hidden="1" customHeight="1" x14ac:dyDescent="0.25">
      <c r="A1585" s="12" t="s">
        <v>2262</v>
      </c>
      <c r="B1585" s="12" t="s">
        <v>2263</v>
      </c>
      <c r="C1585" s="14">
        <v>2707.25</v>
      </c>
      <c r="D1585" s="12"/>
      <c r="E1585" s="14"/>
    </row>
    <row r="1586" spans="1:5" ht="11.1" hidden="1" customHeight="1" x14ac:dyDescent="0.25">
      <c r="A1586" s="12" t="s">
        <v>2264</v>
      </c>
      <c r="B1586" s="12" t="s">
        <v>72</v>
      </c>
      <c r="C1586" s="14">
        <v>2707.25</v>
      </c>
      <c r="D1586" s="12"/>
      <c r="E1586" s="14"/>
    </row>
    <row r="1587" spans="1:5" ht="11.1" hidden="1" customHeight="1" x14ac:dyDescent="0.25">
      <c r="A1587" s="12" t="s">
        <v>2265</v>
      </c>
      <c r="B1587" s="12" t="s">
        <v>72</v>
      </c>
      <c r="C1587" s="14">
        <v>2707.25</v>
      </c>
      <c r="D1587" s="12"/>
      <c r="E1587" s="14"/>
    </row>
    <row r="1588" spans="1:5" ht="11.1" hidden="1" customHeight="1" x14ac:dyDescent="0.25">
      <c r="A1588" s="12" t="s">
        <v>2266</v>
      </c>
      <c r="B1588" s="12" t="s">
        <v>72</v>
      </c>
      <c r="C1588" s="14">
        <v>2707.25</v>
      </c>
      <c r="D1588" s="12"/>
      <c r="E1588" s="14"/>
    </row>
    <row r="1589" spans="1:5" ht="11.1" hidden="1" customHeight="1" x14ac:dyDescent="0.25">
      <c r="A1589" s="12" t="s">
        <v>2267</v>
      </c>
      <c r="B1589" s="12" t="s">
        <v>1985</v>
      </c>
      <c r="C1589" s="14">
        <v>577.5</v>
      </c>
      <c r="D1589" s="12"/>
      <c r="E1589" s="13"/>
    </row>
    <row r="1590" spans="1:5" ht="11.1" hidden="1" customHeight="1" x14ac:dyDescent="0.25">
      <c r="A1590" s="12" t="s">
        <v>2268</v>
      </c>
      <c r="B1590" s="12" t="s">
        <v>2107</v>
      </c>
      <c r="C1590" s="14">
        <v>292.5</v>
      </c>
      <c r="D1590" s="12"/>
      <c r="E1590" s="13"/>
    </row>
    <row r="1591" spans="1:5" ht="23.1" hidden="1" customHeight="1" x14ac:dyDescent="0.25">
      <c r="A1591" s="12" t="s">
        <v>2269</v>
      </c>
      <c r="B1591" s="12" t="s">
        <v>2056</v>
      </c>
      <c r="C1591" s="14">
        <v>110</v>
      </c>
      <c r="D1591" s="12"/>
      <c r="E1591" s="13"/>
    </row>
    <row r="1592" spans="1:5" ht="11.1" hidden="1" customHeight="1" x14ac:dyDescent="0.25">
      <c r="A1592" s="12" t="s">
        <v>2270</v>
      </c>
      <c r="B1592" s="12" t="s">
        <v>2053</v>
      </c>
      <c r="C1592" s="14">
        <v>172.5</v>
      </c>
      <c r="D1592" s="12"/>
      <c r="E1592" s="13"/>
    </row>
    <row r="1593" spans="1:5" ht="23.1" hidden="1" customHeight="1" x14ac:dyDescent="0.25">
      <c r="A1593" s="12" t="s">
        <v>2271</v>
      </c>
      <c r="B1593" s="12" t="s">
        <v>2056</v>
      </c>
      <c r="C1593" s="14">
        <v>189.17</v>
      </c>
      <c r="D1593" s="12"/>
      <c r="E1593" s="13"/>
    </row>
    <row r="1594" spans="1:5" ht="11.1" hidden="1" customHeight="1" x14ac:dyDescent="0.25">
      <c r="A1594" s="12" t="s">
        <v>2272</v>
      </c>
      <c r="B1594" s="12" t="s">
        <v>1843</v>
      </c>
      <c r="C1594" s="14">
        <v>1125</v>
      </c>
      <c r="D1594" s="12"/>
      <c r="E1594" s="14"/>
    </row>
    <row r="1595" spans="1:5" ht="23.1" hidden="1" customHeight="1" x14ac:dyDescent="0.25">
      <c r="A1595" s="12" t="s">
        <v>2273</v>
      </c>
      <c r="B1595" s="12" t="s">
        <v>2105</v>
      </c>
      <c r="C1595" s="14">
        <v>559.27</v>
      </c>
      <c r="D1595" s="12"/>
      <c r="E1595" s="13"/>
    </row>
    <row r="1596" spans="1:5" ht="11.1" hidden="1" customHeight="1" x14ac:dyDescent="0.25">
      <c r="A1596" s="12" t="s">
        <v>2274</v>
      </c>
      <c r="B1596" s="12" t="s">
        <v>2053</v>
      </c>
      <c r="C1596" s="14">
        <v>565.83000000000004</v>
      </c>
      <c r="D1596" s="12"/>
      <c r="E1596" s="13"/>
    </row>
    <row r="1597" spans="1:5" ht="23.1" hidden="1" customHeight="1" x14ac:dyDescent="0.25">
      <c r="A1597" s="12" t="s">
        <v>2275</v>
      </c>
      <c r="B1597" s="12" t="s">
        <v>2113</v>
      </c>
      <c r="C1597" s="14">
        <v>290.83</v>
      </c>
      <c r="D1597" s="12"/>
      <c r="E1597" s="13"/>
    </row>
    <row r="1598" spans="1:5" ht="11.1" hidden="1" customHeight="1" x14ac:dyDescent="0.25">
      <c r="A1598" s="12" t="s">
        <v>2276</v>
      </c>
      <c r="B1598" s="12" t="s">
        <v>2277</v>
      </c>
      <c r="C1598" s="14">
        <v>254.17</v>
      </c>
      <c r="D1598" s="12"/>
      <c r="E1598" s="13"/>
    </row>
    <row r="1599" spans="1:5" ht="23.1" hidden="1" customHeight="1" x14ac:dyDescent="0.25">
      <c r="A1599" s="12" t="s">
        <v>2278</v>
      </c>
      <c r="B1599" s="12" t="s">
        <v>2279</v>
      </c>
      <c r="C1599" s="14">
        <v>926.17</v>
      </c>
      <c r="D1599" s="12"/>
      <c r="E1599" s="13"/>
    </row>
    <row r="1600" spans="1:5" ht="11.1" hidden="1" customHeight="1" x14ac:dyDescent="0.25">
      <c r="A1600" s="12" t="s">
        <v>2280</v>
      </c>
      <c r="B1600" s="12" t="s">
        <v>563</v>
      </c>
      <c r="C1600" s="14">
        <v>4312.5</v>
      </c>
      <c r="D1600" s="12"/>
      <c r="E1600" s="14"/>
    </row>
    <row r="1601" spans="1:5" ht="11.1" hidden="1" customHeight="1" x14ac:dyDescent="0.25">
      <c r="A1601" s="12" t="s">
        <v>2281</v>
      </c>
      <c r="B1601" s="12" t="s">
        <v>2282</v>
      </c>
      <c r="C1601" s="14">
        <v>1666.63</v>
      </c>
      <c r="D1601" s="12"/>
      <c r="E1601" s="14"/>
    </row>
    <row r="1602" spans="1:5" ht="23.1" hidden="1" customHeight="1" x14ac:dyDescent="0.25">
      <c r="A1602" s="12" t="s">
        <v>2283</v>
      </c>
      <c r="B1602" s="12" t="s">
        <v>2284</v>
      </c>
      <c r="C1602" s="14">
        <v>143.33000000000001</v>
      </c>
      <c r="D1602" s="12"/>
      <c r="E1602" s="13"/>
    </row>
    <row r="1603" spans="1:5" ht="11.1" hidden="1" customHeight="1" x14ac:dyDescent="0.25">
      <c r="A1603" s="12" t="s">
        <v>2285</v>
      </c>
      <c r="B1603" s="12" t="s">
        <v>2286</v>
      </c>
      <c r="C1603" s="14">
        <v>86.23</v>
      </c>
      <c r="D1603" s="12"/>
      <c r="E1603" s="13"/>
    </row>
    <row r="1604" spans="1:5" ht="11.1" hidden="1" customHeight="1" x14ac:dyDescent="0.25">
      <c r="A1604" s="12" t="s">
        <v>2287</v>
      </c>
      <c r="B1604" s="12" t="s">
        <v>2288</v>
      </c>
      <c r="C1604" s="14">
        <v>100000</v>
      </c>
      <c r="D1604" s="12"/>
      <c r="E1604" s="14"/>
    </row>
    <row r="1605" spans="1:5" ht="11.1" hidden="1" customHeight="1" x14ac:dyDescent="0.25">
      <c r="A1605" s="12" t="s">
        <v>2289</v>
      </c>
      <c r="B1605" s="12" t="s">
        <v>2290</v>
      </c>
      <c r="C1605" s="14">
        <v>34127</v>
      </c>
      <c r="D1605" s="12"/>
      <c r="E1605" s="14"/>
    </row>
    <row r="1606" spans="1:5" ht="11.1" hidden="1" customHeight="1" x14ac:dyDescent="0.25">
      <c r="A1606" s="12" t="s">
        <v>2291</v>
      </c>
      <c r="B1606" s="12" t="s">
        <v>2292</v>
      </c>
      <c r="C1606" s="14">
        <v>0.83</v>
      </c>
      <c r="D1606" s="12"/>
      <c r="E1606" s="13"/>
    </row>
    <row r="1607" spans="1:5" ht="11.1" hidden="1" customHeight="1" x14ac:dyDescent="0.25">
      <c r="A1607" s="12" t="s">
        <v>2293</v>
      </c>
      <c r="B1607" s="12" t="s">
        <v>2294</v>
      </c>
      <c r="C1607" s="14">
        <v>3531.67</v>
      </c>
      <c r="D1607" s="12"/>
      <c r="E1607" s="14"/>
    </row>
    <row r="1608" spans="1:5" ht="11.1" hidden="1" customHeight="1" x14ac:dyDescent="0.25">
      <c r="A1608" s="12" t="s">
        <v>2295</v>
      </c>
      <c r="B1608" s="12" t="s">
        <v>489</v>
      </c>
      <c r="C1608" s="14">
        <v>3430</v>
      </c>
      <c r="D1608" s="12"/>
      <c r="E1608" s="14"/>
    </row>
    <row r="1609" spans="1:5" ht="23.1" hidden="1" customHeight="1" x14ac:dyDescent="0.25">
      <c r="A1609" s="12" t="s">
        <v>2296</v>
      </c>
      <c r="B1609" s="12" t="s">
        <v>1773</v>
      </c>
      <c r="C1609" s="14">
        <v>3270.83</v>
      </c>
      <c r="D1609" s="12"/>
      <c r="E1609" s="14"/>
    </row>
    <row r="1610" spans="1:5" ht="23.1" hidden="1" customHeight="1" x14ac:dyDescent="0.25">
      <c r="A1610" s="12" t="s">
        <v>2297</v>
      </c>
      <c r="B1610" s="12" t="s">
        <v>2298</v>
      </c>
      <c r="C1610" s="14">
        <v>1131.8399999999999</v>
      </c>
      <c r="D1610" s="12"/>
      <c r="E1610" s="14"/>
    </row>
    <row r="1611" spans="1:5" ht="11.1" hidden="1" customHeight="1" x14ac:dyDescent="0.25">
      <c r="A1611" s="12" t="s">
        <v>2299</v>
      </c>
      <c r="B1611" s="12" t="s">
        <v>120</v>
      </c>
      <c r="C1611" s="14">
        <v>7375</v>
      </c>
      <c r="D1611" s="12"/>
      <c r="E1611" s="14"/>
    </row>
    <row r="1612" spans="1:5" ht="11.1" hidden="1" customHeight="1" x14ac:dyDescent="0.25">
      <c r="A1612" s="12" t="s">
        <v>2300</v>
      </c>
      <c r="B1612" s="12" t="s">
        <v>2301</v>
      </c>
      <c r="C1612" s="14">
        <v>4466.67</v>
      </c>
      <c r="D1612" s="12"/>
      <c r="E1612" s="14"/>
    </row>
    <row r="1613" spans="1:5" ht="23.1" hidden="1" customHeight="1" x14ac:dyDescent="0.25">
      <c r="A1613" s="12" t="s">
        <v>2302</v>
      </c>
      <c r="B1613" s="12" t="s">
        <v>2301</v>
      </c>
      <c r="C1613" s="14">
        <v>5149.17</v>
      </c>
      <c r="D1613" s="12"/>
      <c r="E1613" s="14"/>
    </row>
    <row r="1614" spans="1:5" ht="23.1" hidden="1" customHeight="1" x14ac:dyDescent="0.25">
      <c r="A1614" s="12" t="s">
        <v>2303</v>
      </c>
      <c r="B1614" s="12" t="s">
        <v>2304</v>
      </c>
      <c r="C1614" s="14">
        <v>40455</v>
      </c>
      <c r="D1614" s="12"/>
      <c r="E1614" s="14"/>
    </row>
    <row r="1615" spans="1:5" ht="11.1" hidden="1" customHeight="1" x14ac:dyDescent="0.25">
      <c r="A1615" s="12" t="s">
        <v>2305</v>
      </c>
      <c r="B1615" s="12" t="s">
        <v>2304</v>
      </c>
      <c r="C1615" s="14">
        <v>18755</v>
      </c>
      <c r="D1615" s="12"/>
      <c r="E1615" s="14"/>
    </row>
    <row r="1616" spans="1:5" ht="11.1" hidden="1" customHeight="1" x14ac:dyDescent="0.25">
      <c r="A1616" s="12" t="s">
        <v>2306</v>
      </c>
      <c r="B1616" s="12" t="s">
        <v>2304</v>
      </c>
      <c r="C1616" s="14">
        <v>12400</v>
      </c>
      <c r="D1616" s="12"/>
      <c r="E1616" s="14"/>
    </row>
    <row r="1617" spans="1:5" ht="23.1" hidden="1" customHeight="1" x14ac:dyDescent="0.25">
      <c r="A1617" s="12" t="s">
        <v>2307</v>
      </c>
      <c r="B1617" s="12" t="s">
        <v>2304</v>
      </c>
      <c r="C1617" s="14">
        <v>12400</v>
      </c>
      <c r="D1617" s="12"/>
      <c r="E1617" s="14"/>
    </row>
    <row r="1618" spans="1:5" ht="11.1" hidden="1" customHeight="1" x14ac:dyDescent="0.25">
      <c r="A1618" s="12" t="s">
        <v>2308</v>
      </c>
      <c r="B1618" s="12" t="s">
        <v>2304</v>
      </c>
      <c r="C1618" s="14">
        <v>12400</v>
      </c>
      <c r="D1618" s="12"/>
      <c r="E1618" s="14"/>
    </row>
    <row r="1619" spans="1:5" ht="23.1" hidden="1" customHeight="1" x14ac:dyDescent="0.25">
      <c r="A1619" s="12" t="s">
        <v>2309</v>
      </c>
      <c r="B1619" s="12" t="s">
        <v>2304</v>
      </c>
      <c r="C1619" s="14">
        <v>12400</v>
      </c>
      <c r="D1619" s="12"/>
      <c r="E1619" s="14"/>
    </row>
    <row r="1620" spans="1:5" ht="11.1" hidden="1" customHeight="1" x14ac:dyDescent="0.25">
      <c r="A1620" s="12" t="s">
        <v>2310</v>
      </c>
      <c r="B1620" s="12" t="s">
        <v>2304</v>
      </c>
      <c r="C1620" s="14">
        <v>12400</v>
      </c>
      <c r="D1620" s="12"/>
      <c r="E1620" s="14"/>
    </row>
    <row r="1621" spans="1:5" ht="23.1" hidden="1" customHeight="1" x14ac:dyDescent="0.25">
      <c r="A1621" s="12" t="s">
        <v>2311</v>
      </c>
      <c r="B1621" s="12" t="s">
        <v>2304</v>
      </c>
      <c r="C1621" s="14">
        <v>12400</v>
      </c>
      <c r="D1621" s="12"/>
      <c r="E1621" s="14"/>
    </row>
    <row r="1622" spans="1:5" ht="11.1" hidden="1" customHeight="1" x14ac:dyDescent="0.25">
      <c r="A1622" s="12" t="s">
        <v>2312</v>
      </c>
      <c r="B1622" s="12" t="s">
        <v>2304</v>
      </c>
      <c r="C1622" s="14">
        <v>12400</v>
      </c>
      <c r="D1622" s="12"/>
      <c r="E1622" s="14"/>
    </row>
    <row r="1623" spans="1:5" ht="23.1" hidden="1" customHeight="1" x14ac:dyDescent="0.25">
      <c r="A1623" s="12" t="s">
        <v>2313</v>
      </c>
      <c r="B1623" s="12" t="s">
        <v>2314</v>
      </c>
      <c r="C1623" s="14">
        <v>18370.63</v>
      </c>
      <c r="D1623" s="12"/>
      <c r="E1623" s="14"/>
    </row>
    <row r="1624" spans="1:5" ht="11.1" hidden="1" customHeight="1" x14ac:dyDescent="0.25">
      <c r="A1624" s="12" t="s">
        <v>2315</v>
      </c>
      <c r="B1624" s="12" t="s">
        <v>2314</v>
      </c>
      <c r="C1624" s="14">
        <v>26184.37</v>
      </c>
      <c r="D1624" s="12"/>
      <c r="E1624" s="14"/>
    </row>
    <row r="1625" spans="1:5" ht="23.1" hidden="1" customHeight="1" x14ac:dyDescent="0.25">
      <c r="A1625" s="12" t="s">
        <v>2316</v>
      </c>
      <c r="B1625" s="12" t="s">
        <v>2317</v>
      </c>
      <c r="C1625" s="14">
        <v>1249.17</v>
      </c>
      <c r="D1625" s="12"/>
      <c r="E1625" s="14"/>
    </row>
    <row r="1626" spans="1:5" ht="11.1" hidden="1" customHeight="1" x14ac:dyDescent="0.25">
      <c r="A1626" s="12" t="s">
        <v>2318</v>
      </c>
      <c r="B1626" s="12" t="s">
        <v>503</v>
      </c>
      <c r="C1626" s="14">
        <v>704.17</v>
      </c>
      <c r="D1626" s="12"/>
      <c r="E1626" s="13"/>
    </row>
    <row r="1627" spans="1:5" ht="11.1" hidden="1" customHeight="1" x14ac:dyDescent="0.25">
      <c r="A1627" s="12" t="s">
        <v>2319</v>
      </c>
      <c r="B1627" s="12" t="s">
        <v>2320</v>
      </c>
      <c r="C1627" s="14">
        <v>1107.5</v>
      </c>
      <c r="D1627" s="12"/>
      <c r="E1627" s="14"/>
    </row>
    <row r="1628" spans="1:5" ht="11.1" hidden="1" customHeight="1" x14ac:dyDescent="0.25">
      <c r="A1628" s="12" t="s">
        <v>2321</v>
      </c>
      <c r="B1628" s="12" t="s">
        <v>2322</v>
      </c>
      <c r="C1628" s="14">
        <v>326.67</v>
      </c>
      <c r="D1628" s="12"/>
      <c r="E1628" s="13"/>
    </row>
    <row r="1629" spans="1:5" ht="11.1" hidden="1" customHeight="1" x14ac:dyDescent="0.25">
      <c r="A1629" s="12" t="s">
        <v>2323</v>
      </c>
      <c r="B1629" s="12" t="s">
        <v>2324</v>
      </c>
      <c r="C1629" s="14">
        <v>45.83</v>
      </c>
      <c r="D1629" s="12"/>
      <c r="E1629" s="13"/>
    </row>
    <row r="1630" spans="1:5" ht="11.1" hidden="1" customHeight="1" x14ac:dyDescent="0.25">
      <c r="A1630" s="12" t="s">
        <v>2325</v>
      </c>
      <c r="B1630" s="12" t="s">
        <v>2326</v>
      </c>
      <c r="C1630" s="14">
        <v>156.66999999999999</v>
      </c>
      <c r="D1630" s="12"/>
      <c r="E1630" s="13"/>
    </row>
    <row r="1631" spans="1:5" ht="11.1" hidden="1" customHeight="1" x14ac:dyDescent="0.25">
      <c r="A1631" s="12" t="s">
        <v>2327</v>
      </c>
      <c r="B1631" s="12" t="s">
        <v>2328</v>
      </c>
      <c r="C1631" s="14">
        <v>92.48</v>
      </c>
      <c r="D1631" s="12"/>
      <c r="E1631" s="13"/>
    </row>
    <row r="1632" spans="1:5" ht="11.1" hidden="1" customHeight="1" x14ac:dyDescent="0.25">
      <c r="A1632" s="12" t="s">
        <v>2329</v>
      </c>
      <c r="B1632" s="12" t="s">
        <v>2028</v>
      </c>
      <c r="C1632" s="14">
        <v>233.33</v>
      </c>
      <c r="D1632" s="12"/>
      <c r="E1632" s="13"/>
    </row>
    <row r="1633" spans="1:5" ht="11.1" hidden="1" customHeight="1" x14ac:dyDescent="0.25">
      <c r="A1633" s="12" t="s">
        <v>2330</v>
      </c>
      <c r="B1633" s="12" t="s">
        <v>2331</v>
      </c>
      <c r="C1633" s="14">
        <v>861</v>
      </c>
      <c r="D1633" s="12"/>
      <c r="E1633" s="13"/>
    </row>
    <row r="1634" spans="1:5" ht="11.1" hidden="1" customHeight="1" x14ac:dyDescent="0.25">
      <c r="A1634" s="12" t="s">
        <v>2332</v>
      </c>
      <c r="B1634" s="12" t="s">
        <v>2333</v>
      </c>
      <c r="C1634" s="14">
        <v>510</v>
      </c>
      <c r="D1634" s="12"/>
      <c r="E1634" s="13"/>
    </row>
    <row r="1635" spans="1:5" ht="11.1" hidden="1" customHeight="1" x14ac:dyDescent="0.25">
      <c r="A1635" s="12" t="s">
        <v>2334</v>
      </c>
      <c r="B1635" s="12" t="s">
        <v>2335</v>
      </c>
      <c r="C1635" s="14">
        <v>261.39</v>
      </c>
      <c r="D1635" s="12"/>
      <c r="E1635" s="13"/>
    </row>
    <row r="1636" spans="1:5" ht="11.1" hidden="1" customHeight="1" x14ac:dyDescent="0.25">
      <c r="A1636" s="12" t="s">
        <v>2336</v>
      </c>
      <c r="B1636" s="12" t="s">
        <v>2337</v>
      </c>
      <c r="C1636" s="14">
        <v>116.67</v>
      </c>
      <c r="D1636" s="12"/>
      <c r="E1636" s="13"/>
    </row>
    <row r="1637" spans="1:5" ht="11.1" hidden="1" customHeight="1" x14ac:dyDescent="0.25">
      <c r="A1637" s="12" t="s">
        <v>2338</v>
      </c>
      <c r="B1637" s="12" t="s">
        <v>2339</v>
      </c>
      <c r="C1637" s="14">
        <v>279.17</v>
      </c>
      <c r="D1637" s="12"/>
      <c r="E1637" s="13"/>
    </row>
    <row r="1638" spans="1:5" ht="11.1" hidden="1" customHeight="1" x14ac:dyDescent="0.25">
      <c r="A1638" s="12" t="s">
        <v>2340</v>
      </c>
      <c r="B1638" s="12" t="s">
        <v>1000</v>
      </c>
      <c r="C1638" s="14">
        <v>270</v>
      </c>
      <c r="D1638" s="12"/>
      <c r="E1638" s="13"/>
    </row>
    <row r="1639" spans="1:5" ht="11.1" hidden="1" customHeight="1" x14ac:dyDescent="0.25">
      <c r="A1639" s="12" t="s">
        <v>2341</v>
      </c>
      <c r="B1639" s="12" t="s">
        <v>2342</v>
      </c>
      <c r="C1639" s="14">
        <v>13236.67</v>
      </c>
      <c r="D1639" s="12"/>
      <c r="E1639" s="14"/>
    </row>
    <row r="1640" spans="1:5" ht="11.1" hidden="1" customHeight="1" x14ac:dyDescent="0.25">
      <c r="A1640" s="12" t="s">
        <v>2343</v>
      </c>
      <c r="B1640" s="12" t="s">
        <v>2344</v>
      </c>
      <c r="C1640" s="14">
        <v>712.5</v>
      </c>
      <c r="D1640" s="12"/>
      <c r="E1640" s="13"/>
    </row>
    <row r="1641" spans="1:5" ht="11.1" hidden="1" customHeight="1" x14ac:dyDescent="0.25">
      <c r="A1641" s="12" t="s">
        <v>2345</v>
      </c>
      <c r="B1641" s="12" t="s">
        <v>2346</v>
      </c>
      <c r="C1641" s="14">
        <v>302</v>
      </c>
      <c r="D1641" s="12"/>
      <c r="E1641" s="13"/>
    </row>
    <row r="1642" spans="1:5" ht="11.1" hidden="1" customHeight="1" x14ac:dyDescent="0.25">
      <c r="A1642" s="12" t="s">
        <v>2347</v>
      </c>
      <c r="B1642" s="12" t="s">
        <v>2348</v>
      </c>
      <c r="C1642" s="14">
        <v>29607.99</v>
      </c>
      <c r="D1642" s="12"/>
      <c r="E1642" s="14"/>
    </row>
    <row r="1643" spans="1:5" ht="11.1" hidden="1" customHeight="1" x14ac:dyDescent="0.25">
      <c r="A1643" s="12" t="s">
        <v>2349</v>
      </c>
      <c r="B1643" s="12" t="s">
        <v>2350</v>
      </c>
      <c r="C1643" s="14">
        <v>21291.67</v>
      </c>
      <c r="D1643" s="12"/>
      <c r="E1643" s="14"/>
    </row>
    <row r="1644" spans="1:5" ht="23.1" hidden="1" customHeight="1" x14ac:dyDescent="0.25">
      <c r="A1644" s="12" t="s">
        <v>2351</v>
      </c>
      <c r="B1644" s="12" t="s">
        <v>2352</v>
      </c>
      <c r="C1644" s="14">
        <v>43750</v>
      </c>
      <c r="D1644" s="12"/>
      <c r="E1644" s="14"/>
    </row>
    <row r="1645" spans="1:5" ht="23.1" hidden="1" customHeight="1" x14ac:dyDescent="0.25">
      <c r="A1645" s="12" t="s">
        <v>2353</v>
      </c>
      <c r="B1645" s="12" t="s">
        <v>2354</v>
      </c>
      <c r="C1645" s="14">
        <v>46792.5</v>
      </c>
      <c r="D1645" s="12"/>
      <c r="E1645" s="14"/>
    </row>
    <row r="1646" spans="1:5" ht="23.1" hidden="1" customHeight="1" x14ac:dyDescent="0.25">
      <c r="A1646" s="12" t="s">
        <v>2355</v>
      </c>
      <c r="B1646" s="12" t="s">
        <v>2356</v>
      </c>
      <c r="C1646" s="14">
        <v>7325</v>
      </c>
      <c r="D1646" s="12"/>
      <c r="E1646" s="14"/>
    </row>
    <row r="1647" spans="1:5" ht="11.1" hidden="1" customHeight="1" x14ac:dyDescent="0.25">
      <c r="A1647" s="12" t="s">
        <v>2357</v>
      </c>
      <c r="B1647" s="12" t="s">
        <v>2358</v>
      </c>
      <c r="C1647" s="14">
        <v>376</v>
      </c>
      <c r="D1647" s="12"/>
      <c r="E1647" s="13"/>
    </row>
    <row r="1648" spans="1:5" ht="11.1" hidden="1" customHeight="1" x14ac:dyDescent="0.25">
      <c r="A1648" s="12" t="s">
        <v>2359</v>
      </c>
      <c r="B1648" s="12" t="s">
        <v>2360</v>
      </c>
      <c r="C1648" s="14">
        <v>4120</v>
      </c>
      <c r="D1648" s="12"/>
      <c r="E1648" s="14"/>
    </row>
    <row r="1649" spans="1:5" ht="11.1" hidden="1" customHeight="1" x14ac:dyDescent="0.25">
      <c r="A1649" s="12" t="s">
        <v>2361</v>
      </c>
      <c r="B1649" s="12" t="s">
        <v>2362</v>
      </c>
      <c r="C1649" s="14">
        <v>11416.67</v>
      </c>
      <c r="D1649" s="12"/>
      <c r="E1649" s="14"/>
    </row>
    <row r="1650" spans="1:5" ht="11.1" hidden="1" customHeight="1" x14ac:dyDescent="0.25">
      <c r="A1650" s="12" t="s">
        <v>2363</v>
      </c>
      <c r="B1650" s="12" t="s">
        <v>2364</v>
      </c>
      <c r="C1650" s="14">
        <v>429.45</v>
      </c>
      <c r="D1650" s="12"/>
      <c r="E1650" s="13"/>
    </row>
    <row r="1651" spans="1:5" ht="11.1" hidden="1" customHeight="1" x14ac:dyDescent="0.25">
      <c r="A1651" s="12" t="s">
        <v>2365</v>
      </c>
      <c r="B1651" s="12" t="s">
        <v>2366</v>
      </c>
      <c r="C1651" s="14">
        <v>2824.17</v>
      </c>
      <c r="D1651" s="12"/>
      <c r="E1651" s="14"/>
    </row>
    <row r="1652" spans="1:5" ht="11.1" hidden="1" customHeight="1" x14ac:dyDescent="0.25">
      <c r="A1652" s="12" t="s">
        <v>2367</v>
      </c>
      <c r="B1652" s="12" t="s">
        <v>2368</v>
      </c>
      <c r="C1652" s="14">
        <v>2881.67</v>
      </c>
      <c r="D1652" s="12"/>
      <c r="E1652" s="14"/>
    </row>
    <row r="1653" spans="1:5" ht="11.1" hidden="1" customHeight="1" x14ac:dyDescent="0.25">
      <c r="A1653" s="12" t="s">
        <v>2369</v>
      </c>
      <c r="B1653" s="12" t="s">
        <v>2368</v>
      </c>
      <c r="C1653" s="14">
        <v>2881.67</v>
      </c>
      <c r="D1653" s="12"/>
      <c r="E1653" s="14"/>
    </row>
    <row r="1654" spans="1:5" ht="11.1" hidden="1" customHeight="1" x14ac:dyDescent="0.25">
      <c r="A1654" s="12" t="s">
        <v>2370</v>
      </c>
      <c r="B1654" s="12" t="s">
        <v>2371</v>
      </c>
      <c r="C1654" s="14">
        <v>5409.17</v>
      </c>
      <c r="D1654" s="12"/>
      <c r="E1654" s="14"/>
    </row>
    <row r="1655" spans="1:5" ht="11.1" hidden="1" customHeight="1" x14ac:dyDescent="0.25">
      <c r="A1655" s="12" t="s">
        <v>2372</v>
      </c>
      <c r="B1655" s="12" t="s">
        <v>2373</v>
      </c>
      <c r="C1655" s="14">
        <v>2733.34</v>
      </c>
      <c r="D1655" s="12"/>
      <c r="E1655" s="14"/>
    </row>
    <row r="1656" spans="1:5" ht="11.1" hidden="1" customHeight="1" x14ac:dyDescent="0.25">
      <c r="A1656" s="12" t="s">
        <v>2374</v>
      </c>
      <c r="B1656" s="12" t="s">
        <v>2375</v>
      </c>
      <c r="C1656" s="14">
        <v>380.83</v>
      </c>
      <c r="D1656" s="12"/>
      <c r="E1656" s="13"/>
    </row>
    <row r="1657" spans="1:5" ht="11.1" hidden="1" customHeight="1" x14ac:dyDescent="0.25">
      <c r="A1657" s="12" t="s">
        <v>2376</v>
      </c>
      <c r="B1657" s="12" t="s">
        <v>2377</v>
      </c>
      <c r="C1657" s="14">
        <v>2891.67</v>
      </c>
      <c r="D1657" s="12"/>
      <c r="E1657" s="14"/>
    </row>
    <row r="1658" spans="1:5" ht="11.1" hidden="1" customHeight="1" x14ac:dyDescent="0.25">
      <c r="A1658" s="12" t="s">
        <v>2378</v>
      </c>
      <c r="B1658" s="12" t="s">
        <v>2239</v>
      </c>
      <c r="C1658" s="14">
        <v>1542.5</v>
      </c>
      <c r="D1658" s="12"/>
      <c r="E1658" s="14"/>
    </row>
    <row r="1659" spans="1:5" ht="11.1" hidden="1" customHeight="1" x14ac:dyDescent="0.25">
      <c r="A1659" s="12" t="s">
        <v>2379</v>
      </c>
      <c r="B1659" s="12" t="s">
        <v>786</v>
      </c>
      <c r="C1659" s="14">
        <v>1095.83</v>
      </c>
      <c r="D1659" s="12"/>
      <c r="E1659" s="14"/>
    </row>
    <row r="1660" spans="1:5" ht="11.1" hidden="1" customHeight="1" x14ac:dyDescent="0.25">
      <c r="A1660" s="12" t="s">
        <v>2380</v>
      </c>
      <c r="B1660" s="12" t="s">
        <v>2381</v>
      </c>
      <c r="C1660" s="14">
        <v>1266.67</v>
      </c>
      <c r="D1660" s="12"/>
      <c r="E1660" s="14"/>
    </row>
    <row r="1661" spans="1:5" ht="11.1" hidden="1" customHeight="1" x14ac:dyDescent="0.25">
      <c r="A1661" s="12" t="s">
        <v>2382</v>
      </c>
      <c r="B1661" s="12" t="s">
        <v>2056</v>
      </c>
      <c r="C1661" s="14">
        <v>410.83</v>
      </c>
      <c r="D1661" s="12"/>
      <c r="E1661" s="13"/>
    </row>
    <row r="1662" spans="1:5" ht="11.1" hidden="1" customHeight="1" x14ac:dyDescent="0.25">
      <c r="A1662" s="12" t="s">
        <v>2383</v>
      </c>
      <c r="B1662" s="12" t="s">
        <v>2384</v>
      </c>
      <c r="C1662" s="14">
        <v>386.67</v>
      </c>
      <c r="D1662" s="12"/>
      <c r="E1662" s="13"/>
    </row>
    <row r="1663" spans="1:5" ht="11.1" hidden="1" customHeight="1" x14ac:dyDescent="0.25">
      <c r="A1663" s="12" t="s">
        <v>2385</v>
      </c>
      <c r="B1663" s="12" t="s">
        <v>1829</v>
      </c>
      <c r="C1663" s="14">
        <v>213051.46</v>
      </c>
      <c r="D1663" s="12"/>
      <c r="E1663" s="14"/>
    </row>
    <row r="1664" spans="1:5" ht="11.1" hidden="1" customHeight="1" x14ac:dyDescent="0.25">
      <c r="A1664" s="12" t="s">
        <v>2386</v>
      </c>
      <c r="B1664" s="12" t="s">
        <v>188</v>
      </c>
      <c r="C1664" s="14">
        <v>10520</v>
      </c>
      <c r="D1664" s="12"/>
      <c r="E1664" s="14"/>
    </row>
    <row r="1665" spans="1:5" ht="11.1" hidden="1" customHeight="1" x14ac:dyDescent="0.25">
      <c r="A1665" s="12" t="s">
        <v>2387</v>
      </c>
      <c r="B1665" s="12" t="s">
        <v>2339</v>
      </c>
      <c r="C1665" s="14">
        <v>15754.17</v>
      </c>
      <c r="D1665" s="12"/>
      <c r="E1665" s="14"/>
    </row>
    <row r="1666" spans="1:5" ht="11.1" hidden="1" customHeight="1" x14ac:dyDescent="0.25">
      <c r="A1666" s="12" t="s">
        <v>2388</v>
      </c>
      <c r="B1666" s="12" t="s">
        <v>2389</v>
      </c>
      <c r="C1666" s="14">
        <v>15350</v>
      </c>
      <c r="D1666" s="12"/>
      <c r="E1666" s="14"/>
    </row>
    <row r="1667" spans="1:5" ht="11.1" hidden="1" customHeight="1" x14ac:dyDescent="0.25">
      <c r="A1667" s="12" t="s">
        <v>2390</v>
      </c>
      <c r="B1667" s="12" t="s">
        <v>1000</v>
      </c>
      <c r="C1667" s="14">
        <v>15458.33</v>
      </c>
      <c r="D1667" s="12"/>
      <c r="E1667" s="14"/>
    </row>
    <row r="1668" spans="1:5" ht="11.1" hidden="1" customHeight="1" x14ac:dyDescent="0.25">
      <c r="A1668" s="12" t="s">
        <v>2391</v>
      </c>
      <c r="B1668" s="12" t="s">
        <v>2392</v>
      </c>
      <c r="C1668" s="14">
        <v>21366.67</v>
      </c>
      <c r="D1668" s="12"/>
      <c r="E1668" s="14"/>
    </row>
    <row r="1669" spans="1:5" ht="11.1" hidden="1" customHeight="1" x14ac:dyDescent="0.25">
      <c r="A1669" s="12" t="s">
        <v>2393</v>
      </c>
      <c r="B1669" s="12" t="s">
        <v>1554</v>
      </c>
      <c r="C1669" s="14">
        <v>14582.33</v>
      </c>
      <c r="D1669" s="12"/>
      <c r="E1669" s="14"/>
    </row>
    <row r="1670" spans="1:5" ht="11.1" hidden="1" customHeight="1" x14ac:dyDescent="0.25">
      <c r="A1670" s="12" t="s">
        <v>2394</v>
      </c>
      <c r="B1670" s="12" t="s">
        <v>2395</v>
      </c>
      <c r="C1670" s="14">
        <v>2781.13</v>
      </c>
      <c r="D1670" s="12"/>
      <c r="E1670" s="14"/>
    </row>
    <row r="1671" spans="1:5" ht="11.1" hidden="1" customHeight="1" x14ac:dyDescent="0.25">
      <c r="A1671" s="12" t="s">
        <v>2396</v>
      </c>
      <c r="B1671" s="12" t="s">
        <v>1962</v>
      </c>
      <c r="C1671" s="14">
        <v>7813.33</v>
      </c>
      <c r="D1671" s="12"/>
      <c r="E1671" s="14"/>
    </row>
    <row r="1672" spans="1:5" ht="11.1" hidden="1" customHeight="1" x14ac:dyDescent="0.25">
      <c r="A1672" s="12" t="s">
        <v>2397</v>
      </c>
      <c r="B1672" s="12" t="s">
        <v>2398</v>
      </c>
      <c r="C1672" s="14">
        <v>9165</v>
      </c>
      <c r="D1672" s="12"/>
      <c r="E1672" s="14"/>
    </row>
    <row r="1673" spans="1:5" ht="11.1" hidden="1" customHeight="1" x14ac:dyDescent="0.25">
      <c r="A1673" s="12" t="s">
        <v>2399</v>
      </c>
      <c r="B1673" s="12" t="s">
        <v>2400</v>
      </c>
      <c r="C1673" s="14">
        <v>13</v>
      </c>
      <c r="D1673" s="12"/>
      <c r="E1673" s="13"/>
    </row>
    <row r="1674" spans="1:5" ht="11.1" hidden="1" customHeight="1" x14ac:dyDescent="0.25">
      <c r="A1674" s="12" t="s">
        <v>2401</v>
      </c>
      <c r="B1674" s="12" t="s">
        <v>309</v>
      </c>
      <c r="C1674" s="14">
        <v>794.17</v>
      </c>
      <c r="D1674" s="12"/>
      <c r="E1674" s="13"/>
    </row>
    <row r="1675" spans="1:5" ht="11.1" hidden="1" customHeight="1" x14ac:dyDescent="0.25">
      <c r="A1675" s="12" t="s">
        <v>2402</v>
      </c>
      <c r="B1675" s="12" t="s">
        <v>2105</v>
      </c>
      <c r="C1675" s="14">
        <v>2639.01</v>
      </c>
      <c r="D1675" s="12"/>
      <c r="E1675" s="14"/>
    </row>
    <row r="1676" spans="1:5" ht="11.1" hidden="1" customHeight="1" x14ac:dyDescent="0.25">
      <c r="A1676" s="12" t="s">
        <v>2403</v>
      </c>
      <c r="B1676" s="12" t="s">
        <v>309</v>
      </c>
      <c r="C1676" s="14">
        <v>146.66999999999999</v>
      </c>
      <c r="D1676" s="12"/>
      <c r="E1676" s="13"/>
    </row>
    <row r="1677" spans="1:5" ht="11.1" hidden="1" customHeight="1" x14ac:dyDescent="0.25">
      <c r="A1677" s="12" t="s">
        <v>2404</v>
      </c>
      <c r="B1677" s="12" t="s">
        <v>370</v>
      </c>
      <c r="C1677" s="14">
        <v>82.5</v>
      </c>
      <c r="D1677" s="12"/>
      <c r="E1677" s="13"/>
    </row>
    <row r="1678" spans="1:5" ht="11.1" hidden="1" customHeight="1" x14ac:dyDescent="0.25">
      <c r="A1678" s="12" t="s">
        <v>2405</v>
      </c>
      <c r="B1678" s="12" t="s">
        <v>2335</v>
      </c>
      <c r="C1678" s="14">
        <v>4612.5</v>
      </c>
      <c r="D1678" s="12"/>
      <c r="E1678" s="14"/>
    </row>
    <row r="1679" spans="1:5" ht="11.1" hidden="1" customHeight="1" x14ac:dyDescent="0.25">
      <c r="A1679" s="12" t="s">
        <v>2406</v>
      </c>
      <c r="B1679" s="12" t="s">
        <v>2407</v>
      </c>
      <c r="C1679" s="14">
        <v>71.67</v>
      </c>
      <c r="D1679" s="12"/>
      <c r="E1679" s="13"/>
    </row>
    <row r="1680" spans="1:5" ht="11.1" hidden="1" customHeight="1" x14ac:dyDescent="0.25">
      <c r="A1680" s="12" t="s">
        <v>2408</v>
      </c>
      <c r="B1680" s="12" t="s">
        <v>2409</v>
      </c>
      <c r="C1680" s="14">
        <v>2970000</v>
      </c>
      <c r="D1680" s="12"/>
      <c r="E1680" s="14"/>
    </row>
    <row r="1681" spans="1:5" ht="11.1" hidden="1" customHeight="1" x14ac:dyDescent="0.25">
      <c r="A1681" s="12" t="s">
        <v>2410</v>
      </c>
      <c r="B1681" s="12" t="s">
        <v>1810</v>
      </c>
      <c r="C1681" s="14">
        <v>316.05</v>
      </c>
      <c r="D1681" s="12"/>
      <c r="E1681" s="13"/>
    </row>
    <row r="1682" spans="1:5" ht="11.1" hidden="1" customHeight="1" x14ac:dyDescent="0.25">
      <c r="A1682" s="12" t="s">
        <v>2411</v>
      </c>
      <c r="B1682" s="12" t="s">
        <v>1810</v>
      </c>
      <c r="C1682" s="14">
        <v>399.09</v>
      </c>
      <c r="D1682" s="12"/>
      <c r="E1682" s="13"/>
    </row>
    <row r="1683" spans="1:5" ht="11.1" hidden="1" customHeight="1" x14ac:dyDescent="0.25">
      <c r="A1683" s="12" t="s">
        <v>2412</v>
      </c>
      <c r="B1683" s="12" t="s">
        <v>2413</v>
      </c>
      <c r="C1683" s="14">
        <v>0.28999999999999998</v>
      </c>
      <c r="D1683" s="12"/>
      <c r="E1683" s="13"/>
    </row>
    <row r="1684" spans="1:5" ht="11.1" hidden="1" customHeight="1" x14ac:dyDescent="0.25">
      <c r="A1684" s="12" t="s">
        <v>2414</v>
      </c>
      <c r="B1684" s="12" t="s">
        <v>2415</v>
      </c>
      <c r="C1684" s="14">
        <v>0.5</v>
      </c>
      <c r="D1684" s="12"/>
      <c r="E1684" s="13"/>
    </row>
    <row r="1685" spans="1:5" ht="11.1" hidden="1" customHeight="1" x14ac:dyDescent="0.25">
      <c r="A1685" s="12" t="s">
        <v>2416</v>
      </c>
      <c r="B1685" s="12" t="s">
        <v>2417</v>
      </c>
      <c r="C1685" s="14">
        <v>1.08</v>
      </c>
      <c r="D1685" s="12"/>
      <c r="E1685" s="13"/>
    </row>
    <row r="1686" spans="1:5" ht="11.1" hidden="1" customHeight="1" x14ac:dyDescent="0.25">
      <c r="A1686" s="12" t="s">
        <v>2418</v>
      </c>
      <c r="B1686" s="12" t="s">
        <v>2419</v>
      </c>
      <c r="C1686" s="14">
        <v>2.33</v>
      </c>
      <c r="D1686" s="12"/>
      <c r="E1686" s="13"/>
    </row>
    <row r="1687" spans="1:5" ht="11.1" hidden="1" customHeight="1" x14ac:dyDescent="0.25">
      <c r="A1687" s="12" t="s">
        <v>2420</v>
      </c>
      <c r="B1687" s="12" t="s">
        <v>2419</v>
      </c>
      <c r="C1687" s="14">
        <v>2.08</v>
      </c>
      <c r="D1687" s="12"/>
      <c r="E1687" s="13"/>
    </row>
    <row r="1688" spans="1:5" ht="11.1" hidden="1" customHeight="1" x14ac:dyDescent="0.25">
      <c r="A1688" s="12" t="s">
        <v>2421</v>
      </c>
      <c r="B1688" s="12" t="s">
        <v>2422</v>
      </c>
      <c r="C1688" s="14">
        <v>469.17</v>
      </c>
      <c r="D1688" s="12"/>
      <c r="E1688" s="13"/>
    </row>
    <row r="1689" spans="1:5" ht="11.1" hidden="1" customHeight="1" x14ac:dyDescent="0.25">
      <c r="A1689" s="12" t="s">
        <v>2423</v>
      </c>
      <c r="B1689" s="12" t="s">
        <v>2424</v>
      </c>
      <c r="C1689" s="14">
        <v>3.13</v>
      </c>
      <c r="D1689" s="12"/>
      <c r="E1689" s="13"/>
    </row>
    <row r="1690" spans="1:5" ht="11.1" hidden="1" customHeight="1" x14ac:dyDescent="0.25">
      <c r="A1690" s="12" t="s">
        <v>2425</v>
      </c>
      <c r="B1690" s="12" t="s">
        <v>2426</v>
      </c>
      <c r="C1690" s="14">
        <v>607.5</v>
      </c>
      <c r="D1690" s="12"/>
      <c r="E1690" s="13"/>
    </row>
    <row r="1691" spans="1:5" ht="11.1" hidden="1" customHeight="1" x14ac:dyDescent="0.25">
      <c r="A1691" s="12" t="s">
        <v>2427</v>
      </c>
      <c r="B1691" s="12" t="s">
        <v>2215</v>
      </c>
      <c r="C1691" s="14">
        <v>0.18</v>
      </c>
      <c r="D1691" s="12"/>
      <c r="E1691" s="13"/>
    </row>
    <row r="1692" spans="1:5" ht="11.1" hidden="1" customHeight="1" x14ac:dyDescent="0.25">
      <c r="A1692" s="12" t="s">
        <v>2428</v>
      </c>
      <c r="B1692" s="12" t="s">
        <v>600</v>
      </c>
      <c r="C1692" s="14">
        <v>5650</v>
      </c>
      <c r="D1692" s="12"/>
      <c r="E1692" s="14"/>
    </row>
    <row r="1693" spans="1:5" ht="11.1" hidden="1" customHeight="1" x14ac:dyDescent="0.25">
      <c r="A1693" s="12" t="s">
        <v>2429</v>
      </c>
      <c r="B1693" s="12" t="s">
        <v>2430</v>
      </c>
      <c r="C1693" s="14">
        <v>0.78</v>
      </c>
      <c r="D1693" s="12"/>
      <c r="E1693" s="13"/>
    </row>
    <row r="1694" spans="1:5" ht="11.1" hidden="1" customHeight="1" x14ac:dyDescent="0.25">
      <c r="A1694" s="12" t="s">
        <v>2431</v>
      </c>
      <c r="B1694" s="12" t="s">
        <v>2224</v>
      </c>
      <c r="C1694" s="14">
        <v>21.25</v>
      </c>
      <c r="D1694" s="12"/>
      <c r="E1694" s="13"/>
    </row>
    <row r="1695" spans="1:5" ht="11.1" hidden="1" customHeight="1" x14ac:dyDescent="0.25">
      <c r="A1695" s="12" t="s">
        <v>2432</v>
      </c>
      <c r="B1695" s="12" t="s">
        <v>2433</v>
      </c>
      <c r="C1695" s="14">
        <v>1.87</v>
      </c>
      <c r="D1695" s="12"/>
      <c r="E1695" s="13"/>
    </row>
    <row r="1696" spans="1:5" ht="11.1" hidden="1" customHeight="1" x14ac:dyDescent="0.25">
      <c r="A1696" s="12" t="s">
        <v>2434</v>
      </c>
      <c r="B1696" s="12" t="s">
        <v>2435</v>
      </c>
      <c r="C1696" s="14">
        <v>0.76</v>
      </c>
      <c r="D1696" s="12"/>
      <c r="E1696" s="13"/>
    </row>
    <row r="1697" spans="1:5" ht="11.1" hidden="1" customHeight="1" x14ac:dyDescent="0.25">
      <c r="A1697" s="12" t="s">
        <v>2436</v>
      </c>
      <c r="B1697" s="12" t="s">
        <v>2437</v>
      </c>
      <c r="C1697" s="14">
        <v>6.75</v>
      </c>
      <c r="D1697" s="12"/>
      <c r="E1697" s="13"/>
    </row>
    <row r="1698" spans="1:5" ht="11.1" hidden="1" customHeight="1" x14ac:dyDescent="0.25">
      <c r="A1698" s="12" t="s">
        <v>2438</v>
      </c>
      <c r="B1698" s="12" t="s">
        <v>146</v>
      </c>
      <c r="C1698" s="14">
        <v>143</v>
      </c>
      <c r="D1698" s="12"/>
      <c r="E1698" s="13"/>
    </row>
    <row r="1699" spans="1:5" ht="11.1" hidden="1" customHeight="1" x14ac:dyDescent="0.25">
      <c r="A1699" s="12" t="s">
        <v>2439</v>
      </c>
      <c r="B1699" s="12" t="s">
        <v>2440</v>
      </c>
      <c r="C1699" s="14">
        <v>0.74</v>
      </c>
      <c r="D1699" s="12"/>
      <c r="E1699" s="13"/>
    </row>
    <row r="1700" spans="1:5" ht="11.1" hidden="1" customHeight="1" x14ac:dyDescent="0.25">
      <c r="A1700" s="12" t="s">
        <v>2441</v>
      </c>
      <c r="B1700" s="12" t="s">
        <v>2284</v>
      </c>
      <c r="C1700" s="14">
        <v>368.33</v>
      </c>
      <c r="D1700" s="12"/>
      <c r="E1700" s="13"/>
    </row>
    <row r="1701" spans="1:5" ht="11.1" hidden="1" customHeight="1" x14ac:dyDescent="0.25">
      <c r="A1701" s="12" t="s">
        <v>2442</v>
      </c>
      <c r="B1701" s="12" t="s">
        <v>1129</v>
      </c>
      <c r="C1701" s="14">
        <v>475.84</v>
      </c>
      <c r="D1701" s="12"/>
      <c r="E1701" s="13"/>
    </row>
    <row r="1702" spans="1:5" ht="11.1" hidden="1" customHeight="1" x14ac:dyDescent="0.25">
      <c r="A1702" s="12" t="s">
        <v>2443</v>
      </c>
      <c r="B1702" s="12" t="s">
        <v>2444</v>
      </c>
      <c r="C1702" s="14">
        <v>0.95</v>
      </c>
      <c r="D1702" s="12"/>
      <c r="E1702" s="13"/>
    </row>
    <row r="1703" spans="1:5" ht="11.1" hidden="1" customHeight="1" x14ac:dyDescent="0.25">
      <c r="A1703" s="12" t="s">
        <v>2445</v>
      </c>
      <c r="B1703" s="12" t="s">
        <v>2446</v>
      </c>
      <c r="C1703" s="14">
        <v>0.83</v>
      </c>
      <c r="D1703" s="12"/>
      <c r="E1703" s="13"/>
    </row>
    <row r="1704" spans="1:5" ht="23.1" hidden="1" customHeight="1" x14ac:dyDescent="0.25">
      <c r="A1704" s="12" t="s">
        <v>2447</v>
      </c>
      <c r="B1704" s="12" t="s">
        <v>2448</v>
      </c>
      <c r="C1704" s="14">
        <v>1.07</v>
      </c>
      <c r="D1704" s="12"/>
      <c r="E1704" s="13"/>
    </row>
    <row r="1705" spans="1:5" ht="11.1" hidden="1" customHeight="1" x14ac:dyDescent="0.25">
      <c r="A1705" s="12" t="s">
        <v>2449</v>
      </c>
      <c r="B1705" s="12" t="s">
        <v>2450</v>
      </c>
      <c r="C1705" s="14">
        <v>7.24</v>
      </c>
      <c r="D1705" s="12"/>
      <c r="E1705" s="13"/>
    </row>
    <row r="1706" spans="1:5" ht="11.1" hidden="1" customHeight="1" x14ac:dyDescent="0.25">
      <c r="A1706" s="12" t="s">
        <v>2451</v>
      </c>
      <c r="B1706" s="12" t="s">
        <v>2452</v>
      </c>
      <c r="C1706" s="14">
        <v>1.67</v>
      </c>
      <c r="D1706" s="12"/>
      <c r="E1706" s="13"/>
    </row>
    <row r="1707" spans="1:5" ht="11.1" hidden="1" customHeight="1" x14ac:dyDescent="0.25">
      <c r="A1707" s="12" t="s">
        <v>2453</v>
      </c>
      <c r="B1707" s="12" t="s">
        <v>2452</v>
      </c>
      <c r="C1707" s="14">
        <v>1.67</v>
      </c>
      <c r="D1707" s="12"/>
      <c r="E1707" s="13"/>
    </row>
    <row r="1708" spans="1:5" ht="11.1" hidden="1" customHeight="1" x14ac:dyDescent="0.25">
      <c r="A1708" s="12" t="s">
        <v>2454</v>
      </c>
      <c r="B1708" s="12" t="s">
        <v>2455</v>
      </c>
      <c r="C1708" s="14">
        <v>4.17</v>
      </c>
      <c r="D1708" s="12"/>
      <c r="E1708" s="13"/>
    </row>
    <row r="1709" spans="1:5" ht="11.1" hidden="1" customHeight="1" x14ac:dyDescent="0.25">
      <c r="A1709" s="12" t="s">
        <v>2456</v>
      </c>
      <c r="B1709" s="12" t="s">
        <v>2457</v>
      </c>
      <c r="C1709" s="14">
        <v>2.98</v>
      </c>
      <c r="D1709" s="12"/>
      <c r="E1709" s="13"/>
    </row>
    <row r="1710" spans="1:5" ht="11.1" hidden="1" customHeight="1" x14ac:dyDescent="0.25">
      <c r="A1710" s="12" t="s">
        <v>2458</v>
      </c>
      <c r="B1710" s="12" t="s">
        <v>2459</v>
      </c>
      <c r="C1710" s="14">
        <v>3.17</v>
      </c>
      <c r="D1710" s="12"/>
      <c r="E1710" s="13"/>
    </row>
    <row r="1711" spans="1:5" ht="11.1" hidden="1" customHeight="1" x14ac:dyDescent="0.25">
      <c r="A1711" s="12" t="s">
        <v>2460</v>
      </c>
      <c r="B1711" s="12" t="s">
        <v>2461</v>
      </c>
      <c r="C1711" s="14">
        <v>0.49</v>
      </c>
      <c r="D1711" s="12"/>
      <c r="E1711" s="13"/>
    </row>
    <row r="1712" spans="1:5" ht="11.1" hidden="1" customHeight="1" x14ac:dyDescent="0.25">
      <c r="A1712" s="12" t="s">
        <v>2462</v>
      </c>
      <c r="B1712" s="12" t="s">
        <v>2459</v>
      </c>
      <c r="C1712" s="14">
        <v>0.57999999999999996</v>
      </c>
      <c r="D1712" s="12"/>
      <c r="E1712" s="13"/>
    </row>
    <row r="1713" spans="1:5" ht="11.1" hidden="1" customHeight="1" x14ac:dyDescent="0.25">
      <c r="A1713" s="12" t="s">
        <v>2463</v>
      </c>
      <c r="B1713" s="12" t="s">
        <v>2459</v>
      </c>
      <c r="C1713" s="14">
        <v>0.96</v>
      </c>
      <c r="D1713" s="12"/>
      <c r="E1713" s="13"/>
    </row>
    <row r="1714" spans="1:5" ht="11.1" hidden="1" customHeight="1" x14ac:dyDescent="0.25">
      <c r="A1714" s="12" t="s">
        <v>2464</v>
      </c>
      <c r="B1714" s="12" t="s">
        <v>2465</v>
      </c>
      <c r="C1714" s="14">
        <v>0.81</v>
      </c>
      <c r="D1714" s="12"/>
      <c r="E1714" s="13"/>
    </row>
    <row r="1715" spans="1:5" ht="11.1" hidden="1" customHeight="1" x14ac:dyDescent="0.25">
      <c r="A1715" s="12" t="s">
        <v>2466</v>
      </c>
      <c r="B1715" s="12" t="s">
        <v>2461</v>
      </c>
      <c r="C1715" s="14">
        <v>1.72</v>
      </c>
      <c r="D1715" s="12"/>
      <c r="E1715" s="13"/>
    </row>
    <row r="1716" spans="1:5" ht="11.1" hidden="1" customHeight="1" x14ac:dyDescent="0.25">
      <c r="A1716" s="12" t="s">
        <v>2467</v>
      </c>
      <c r="B1716" s="12" t="s">
        <v>2468</v>
      </c>
      <c r="C1716" s="14">
        <v>0.87</v>
      </c>
      <c r="D1716" s="12"/>
      <c r="E1716" s="13"/>
    </row>
    <row r="1717" spans="1:5" ht="23.1" hidden="1" customHeight="1" x14ac:dyDescent="0.25">
      <c r="A1717" s="12" t="s">
        <v>2469</v>
      </c>
      <c r="B1717" s="12" t="s">
        <v>2470</v>
      </c>
      <c r="C1717" s="14">
        <v>0.67</v>
      </c>
      <c r="D1717" s="12"/>
      <c r="E1717" s="13"/>
    </row>
    <row r="1718" spans="1:5" ht="11.1" hidden="1" customHeight="1" x14ac:dyDescent="0.25">
      <c r="A1718" s="12" t="s">
        <v>2471</v>
      </c>
      <c r="B1718" s="12" t="s">
        <v>2472</v>
      </c>
      <c r="C1718" s="14">
        <v>0.83</v>
      </c>
      <c r="D1718" s="12"/>
      <c r="E1718" s="13"/>
    </row>
    <row r="1719" spans="1:5" ht="11.1" hidden="1" customHeight="1" x14ac:dyDescent="0.25">
      <c r="A1719" s="12" t="s">
        <v>2473</v>
      </c>
      <c r="B1719" s="12" t="s">
        <v>2474</v>
      </c>
      <c r="C1719" s="14">
        <v>0.92</v>
      </c>
      <c r="D1719" s="12"/>
      <c r="E1719" s="13"/>
    </row>
    <row r="1720" spans="1:5" ht="11.1" hidden="1" customHeight="1" x14ac:dyDescent="0.25">
      <c r="A1720" s="12" t="s">
        <v>2475</v>
      </c>
      <c r="B1720" s="12" t="s">
        <v>2476</v>
      </c>
      <c r="C1720" s="14">
        <v>1.88</v>
      </c>
      <c r="D1720" s="12"/>
      <c r="E1720" s="13"/>
    </row>
    <row r="1721" spans="1:5" ht="11.1" hidden="1" customHeight="1" x14ac:dyDescent="0.25">
      <c r="A1721" s="12" t="s">
        <v>2477</v>
      </c>
      <c r="B1721" s="12" t="s">
        <v>2478</v>
      </c>
      <c r="C1721" s="14">
        <v>2.15</v>
      </c>
      <c r="D1721" s="12"/>
      <c r="E1721" s="13"/>
    </row>
    <row r="1722" spans="1:5" ht="11.1" hidden="1" customHeight="1" x14ac:dyDescent="0.25">
      <c r="A1722" s="12" t="s">
        <v>2479</v>
      </c>
      <c r="B1722" s="12" t="s">
        <v>2480</v>
      </c>
      <c r="C1722" s="14">
        <v>2.83</v>
      </c>
      <c r="D1722" s="12"/>
      <c r="E1722" s="13"/>
    </row>
    <row r="1723" spans="1:5" ht="11.1" hidden="1" customHeight="1" x14ac:dyDescent="0.25">
      <c r="A1723" s="12" t="s">
        <v>2481</v>
      </c>
      <c r="B1723" s="12" t="s">
        <v>2452</v>
      </c>
      <c r="C1723" s="14">
        <v>1.67</v>
      </c>
      <c r="D1723" s="12"/>
      <c r="E1723" s="13"/>
    </row>
    <row r="1724" spans="1:5" ht="11.1" hidden="1" customHeight="1" x14ac:dyDescent="0.25">
      <c r="A1724" s="12" t="s">
        <v>2482</v>
      </c>
      <c r="B1724" s="12" t="s">
        <v>2483</v>
      </c>
      <c r="C1724" s="14">
        <v>0.48</v>
      </c>
      <c r="D1724" s="12"/>
      <c r="E1724" s="13"/>
    </row>
    <row r="1725" spans="1:5" ht="11.1" hidden="1" customHeight="1" x14ac:dyDescent="0.25">
      <c r="A1725" s="12" t="s">
        <v>2484</v>
      </c>
      <c r="B1725" s="12" t="s">
        <v>2485</v>
      </c>
      <c r="C1725" s="14">
        <v>0.81</v>
      </c>
      <c r="D1725" s="12"/>
      <c r="E1725" s="13"/>
    </row>
    <row r="1726" spans="1:5" ht="11.1" hidden="1" customHeight="1" x14ac:dyDescent="0.25">
      <c r="A1726" s="12" t="s">
        <v>2486</v>
      </c>
      <c r="B1726" s="12" t="s">
        <v>2487</v>
      </c>
      <c r="C1726" s="14">
        <v>1.35</v>
      </c>
      <c r="D1726" s="12"/>
      <c r="E1726" s="13"/>
    </row>
    <row r="1727" spans="1:5" ht="11.1" hidden="1" customHeight="1" x14ac:dyDescent="0.25">
      <c r="A1727" s="12" t="s">
        <v>2488</v>
      </c>
      <c r="B1727" s="12" t="s">
        <v>2452</v>
      </c>
      <c r="C1727" s="14">
        <v>2.42</v>
      </c>
      <c r="D1727" s="12"/>
      <c r="E1727" s="13"/>
    </row>
    <row r="1728" spans="1:5" ht="11.1" hidden="1" customHeight="1" x14ac:dyDescent="0.25">
      <c r="A1728" s="12" t="s">
        <v>2489</v>
      </c>
      <c r="B1728" s="12" t="s">
        <v>2490</v>
      </c>
      <c r="C1728" s="14">
        <v>0.67</v>
      </c>
      <c r="D1728" s="12"/>
      <c r="E1728" s="13"/>
    </row>
    <row r="1729" spans="1:5" ht="11.1" hidden="1" customHeight="1" x14ac:dyDescent="0.25">
      <c r="A1729" s="12" t="s">
        <v>2491</v>
      </c>
      <c r="B1729" s="12" t="s">
        <v>2487</v>
      </c>
      <c r="C1729" s="14">
        <v>1.1200000000000001</v>
      </c>
      <c r="D1729" s="12"/>
      <c r="E1729" s="13"/>
    </row>
    <row r="1730" spans="1:5" ht="11.1" hidden="1" customHeight="1" x14ac:dyDescent="0.25">
      <c r="A1730" s="12" t="s">
        <v>2492</v>
      </c>
      <c r="B1730" s="12" t="s">
        <v>2493</v>
      </c>
      <c r="C1730" s="14">
        <v>3.17</v>
      </c>
      <c r="D1730" s="12"/>
      <c r="E1730" s="13"/>
    </row>
    <row r="1731" spans="1:5" ht="11.1" hidden="1" customHeight="1" x14ac:dyDescent="0.25">
      <c r="A1731" s="12" t="s">
        <v>2494</v>
      </c>
      <c r="B1731" s="12" t="s">
        <v>2495</v>
      </c>
      <c r="C1731" s="14">
        <v>0.5</v>
      </c>
      <c r="D1731" s="12"/>
      <c r="E1731" s="13"/>
    </row>
    <row r="1732" spans="1:5" ht="11.1" hidden="1" customHeight="1" x14ac:dyDescent="0.25">
      <c r="A1732" s="12" t="s">
        <v>2496</v>
      </c>
      <c r="B1732" s="12" t="s">
        <v>2497</v>
      </c>
      <c r="C1732" s="14">
        <v>0.82</v>
      </c>
      <c r="D1732" s="12"/>
      <c r="E1732" s="13"/>
    </row>
    <row r="1733" spans="1:5" ht="11.1" hidden="1" customHeight="1" x14ac:dyDescent="0.25">
      <c r="A1733" s="12" t="s">
        <v>2498</v>
      </c>
      <c r="B1733" s="12" t="s">
        <v>2499</v>
      </c>
      <c r="C1733" s="14">
        <v>1.99</v>
      </c>
      <c r="D1733" s="12"/>
      <c r="E1733" s="13"/>
    </row>
    <row r="1734" spans="1:5" ht="11.1" hidden="1" customHeight="1" x14ac:dyDescent="0.25">
      <c r="A1734" s="12" t="s">
        <v>2500</v>
      </c>
      <c r="B1734" s="12" t="s">
        <v>2493</v>
      </c>
      <c r="C1734" s="14">
        <v>2.0299999999999998</v>
      </c>
      <c r="D1734" s="12"/>
      <c r="E1734" s="13"/>
    </row>
    <row r="1735" spans="1:5" ht="11.1" hidden="1" customHeight="1" x14ac:dyDescent="0.25">
      <c r="A1735" s="12" t="s">
        <v>2501</v>
      </c>
      <c r="B1735" s="12" t="s">
        <v>2502</v>
      </c>
      <c r="C1735" s="14">
        <v>0.7</v>
      </c>
      <c r="D1735" s="12"/>
      <c r="E1735" s="13"/>
    </row>
    <row r="1736" spans="1:5" ht="11.1" hidden="1" customHeight="1" x14ac:dyDescent="0.25">
      <c r="A1736" s="12" t="s">
        <v>2503</v>
      </c>
      <c r="B1736" s="12" t="s">
        <v>2413</v>
      </c>
      <c r="C1736" s="14">
        <v>1.96</v>
      </c>
      <c r="D1736" s="12"/>
      <c r="E1736" s="13"/>
    </row>
    <row r="1737" spans="1:5" ht="11.1" hidden="1" customHeight="1" x14ac:dyDescent="0.25">
      <c r="A1737" s="12" t="s">
        <v>2504</v>
      </c>
      <c r="B1737" s="12" t="s">
        <v>2030</v>
      </c>
      <c r="C1737" s="14">
        <v>6.76</v>
      </c>
      <c r="D1737" s="12"/>
      <c r="E1737" s="13"/>
    </row>
    <row r="1738" spans="1:5" ht="11.1" hidden="1" customHeight="1" x14ac:dyDescent="0.25">
      <c r="A1738" s="12" t="s">
        <v>2505</v>
      </c>
      <c r="B1738" s="12" t="s">
        <v>2030</v>
      </c>
      <c r="C1738" s="14">
        <v>11.32</v>
      </c>
      <c r="D1738" s="12"/>
      <c r="E1738" s="13"/>
    </row>
    <row r="1739" spans="1:5" ht="11.1" hidden="1" customHeight="1" x14ac:dyDescent="0.25">
      <c r="A1739" s="12" t="s">
        <v>2506</v>
      </c>
      <c r="B1739" s="12" t="s">
        <v>2030</v>
      </c>
      <c r="C1739" s="14">
        <v>8.31</v>
      </c>
      <c r="D1739" s="12"/>
      <c r="E1739" s="13"/>
    </row>
    <row r="1740" spans="1:5" ht="11.1" hidden="1" customHeight="1" x14ac:dyDescent="0.25">
      <c r="A1740" s="12" t="s">
        <v>2507</v>
      </c>
      <c r="B1740" s="12" t="s">
        <v>2030</v>
      </c>
      <c r="C1740" s="14">
        <v>17.940000000000001</v>
      </c>
      <c r="D1740" s="12"/>
      <c r="E1740" s="13"/>
    </row>
    <row r="1741" spans="1:5" ht="11.1" hidden="1" customHeight="1" x14ac:dyDescent="0.25">
      <c r="A1741" s="12" t="s">
        <v>2508</v>
      </c>
      <c r="B1741" s="12" t="s">
        <v>2509</v>
      </c>
      <c r="C1741" s="14">
        <v>4.78</v>
      </c>
      <c r="D1741" s="12"/>
      <c r="E1741" s="13"/>
    </row>
    <row r="1742" spans="1:5" ht="11.1" hidden="1" customHeight="1" x14ac:dyDescent="0.25">
      <c r="A1742" s="12" t="s">
        <v>2510</v>
      </c>
      <c r="B1742" s="12" t="s">
        <v>2413</v>
      </c>
      <c r="C1742" s="14">
        <v>1.1399999999999999</v>
      </c>
      <c r="D1742" s="12"/>
      <c r="E1742" s="13"/>
    </row>
    <row r="1743" spans="1:5" ht="11.1" hidden="1" customHeight="1" x14ac:dyDescent="0.25">
      <c r="A1743" s="12" t="s">
        <v>2511</v>
      </c>
      <c r="B1743" s="12" t="s">
        <v>2502</v>
      </c>
      <c r="C1743" s="14">
        <v>1.27</v>
      </c>
      <c r="D1743" s="12"/>
      <c r="E1743" s="13"/>
    </row>
    <row r="1744" spans="1:5" ht="11.1" hidden="1" customHeight="1" x14ac:dyDescent="0.25">
      <c r="A1744" s="12" t="s">
        <v>2512</v>
      </c>
      <c r="B1744" s="12" t="s">
        <v>2513</v>
      </c>
      <c r="C1744" s="14">
        <v>6.8</v>
      </c>
      <c r="D1744" s="12"/>
      <c r="E1744" s="13"/>
    </row>
    <row r="1745" spans="1:5" ht="11.1" hidden="1" customHeight="1" x14ac:dyDescent="0.25">
      <c r="A1745" s="12" t="s">
        <v>2514</v>
      </c>
      <c r="B1745" s="12" t="s">
        <v>2452</v>
      </c>
      <c r="C1745" s="14">
        <v>3.58</v>
      </c>
      <c r="D1745" s="12"/>
      <c r="E1745" s="13"/>
    </row>
    <row r="1746" spans="1:5" ht="11.1" hidden="1" customHeight="1" x14ac:dyDescent="0.25">
      <c r="A1746" s="12" t="s">
        <v>2515</v>
      </c>
      <c r="B1746" s="12" t="s">
        <v>2452</v>
      </c>
      <c r="C1746" s="14">
        <v>3.58</v>
      </c>
      <c r="D1746" s="12"/>
      <c r="E1746" s="13"/>
    </row>
    <row r="1747" spans="1:5" ht="11.1" hidden="1" customHeight="1" x14ac:dyDescent="0.25">
      <c r="A1747" s="12" t="s">
        <v>2516</v>
      </c>
      <c r="B1747" s="12" t="s">
        <v>2450</v>
      </c>
      <c r="C1747" s="14">
        <v>1.45</v>
      </c>
      <c r="D1747" s="12"/>
      <c r="E1747" s="13"/>
    </row>
    <row r="1748" spans="1:5" ht="11.1" hidden="1" customHeight="1" x14ac:dyDescent="0.25">
      <c r="A1748" s="12" t="s">
        <v>2517</v>
      </c>
      <c r="B1748" s="12" t="s">
        <v>2518</v>
      </c>
      <c r="C1748" s="14">
        <v>3.63</v>
      </c>
      <c r="D1748" s="12"/>
      <c r="E1748" s="13"/>
    </row>
    <row r="1749" spans="1:5" ht="11.1" hidden="1" customHeight="1" x14ac:dyDescent="0.25">
      <c r="A1749" s="12" t="s">
        <v>2519</v>
      </c>
      <c r="B1749" s="12" t="s">
        <v>2487</v>
      </c>
      <c r="C1749" s="14">
        <v>1.6</v>
      </c>
      <c r="D1749" s="12"/>
      <c r="E1749" s="13"/>
    </row>
    <row r="1750" spans="1:5" ht="11.1" hidden="1" customHeight="1" x14ac:dyDescent="0.25">
      <c r="A1750" s="12" t="s">
        <v>2520</v>
      </c>
      <c r="B1750" s="12" t="s">
        <v>2521</v>
      </c>
      <c r="C1750" s="14">
        <v>1.63</v>
      </c>
      <c r="D1750" s="12"/>
      <c r="E1750" s="13"/>
    </row>
    <row r="1751" spans="1:5" ht="11.1" hidden="1" customHeight="1" x14ac:dyDescent="0.25">
      <c r="A1751" s="12" t="s">
        <v>2522</v>
      </c>
      <c r="B1751" s="12" t="s">
        <v>2523</v>
      </c>
      <c r="C1751" s="14">
        <v>1.63</v>
      </c>
      <c r="D1751" s="12"/>
      <c r="E1751" s="13"/>
    </row>
    <row r="1752" spans="1:5" ht="11.1" hidden="1" customHeight="1" x14ac:dyDescent="0.25">
      <c r="A1752" s="12" t="s">
        <v>2524</v>
      </c>
      <c r="B1752" s="12" t="s">
        <v>2487</v>
      </c>
      <c r="C1752" s="14">
        <v>1.55</v>
      </c>
      <c r="D1752" s="12"/>
      <c r="E1752" s="13"/>
    </row>
    <row r="1753" spans="1:5" ht="11.1" hidden="1" customHeight="1" x14ac:dyDescent="0.25">
      <c r="A1753" s="12" t="s">
        <v>2525</v>
      </c>
      <c r="B1753" s="12" t="s">
        <v>2487</v>
      </c>
      <c r="C1753" s="14">
        <v>1.99</v>
      </c>
      <c r="D1753" s="12"/>
      <c r="E1753" s="13"/>
    </row>
    <row r="1754" spans="1:5" ht="11.1" hidden="1" customHeight="1" x14ac:dyDescent="0.25">
      <c r="A1754" s="12" t="s">
        <v>2526</v>
      </c>
      <c r="B1754" s="12" t="s">
        <v>2523</v>
      </c>
      <c r="C1754" s="14">
        <v>2.92</v>
      </c>
      <c r="D1754" s="12"/>
      <c r="E1754" s="13"/>
    </row>
    <row r="1755" spans="1:5" ht="11.1" hidden="1" customHeight="1" x14ac:dyDescent="0.25">
      <c r="A1755" s="12" t="s">
        <v>2527</v>
      </c>
      <c r="B1755" s="12" t="s">
        <v>2518</v>
      </c>
      <c r="C1755" s="14">
        <v>3.88</v>
      </c>
      <c r="D1755" s="12"/>
      <c r="E1755" s="13"/>
    </row>
    <row r="1756" spans="1:5" ht="11.1" hidden="1" customHeight="1" x14ac:dyDescent="0.25">
      <c r="A1756" s="12" t="s">
        <v>2528</v>
      </c>
      <c r="B1756" s="12" t="s">
        <v>2529</v>
      </c>
      <c r="C1756" s="14">
        <v>7.71</v>
      </c>
      <c r="D1756" s="12"/>
      <c r="E1756" s="13"/>
    </row>
    <row r="1757" spans="1:5" ht="11.1" hidden="1" customHeight="1" x14ac:dyDescent="0.25">
      <c r="A1757" s="12" t="s">
        <v>2530</v>
      </c>
      <c r="B1757" s="12" t="s">
        <v>2250</v>
      </c>
      <c r="C1757" s="14">
        <v>40.200000000000003</v>
      </c>
      <c r="D1757" s="12"/>
      <c r="E1757" s="13"/>
    </row>
    <row r="1758" spans="1:5" ht="11.1" hidden="1" customHeight="1" x14ac:dyDescent="0.25">
      <c r="A1758" s="12" t="s">
        <v>2531</v>
      </c>
      <c r="B1758" s="12" t="s">
        <v>2532</v>
      </c>
      <c r="C1758" s="14">
        <v>14.17</v>
      </c>
      <c r="D1758" s="12"/>
      <c r="E1758" s="13"/>
    </row>
    <row r="1759" spans="1:5" ht="11.1" hidden="1" customHeight="1" x14ac:dyDescent="0.25">
      <c r="A1759" s="12" t="s">
        <v>2533</v>
      </c>
      <c r="B1759" s="12" t="s">
        <v>2534</v>
      </c>
      <c r="C1759" s="14">
        <v>30.68</v>
      </c>
      <c r="D1759" s="12"/>
      <c r="E1759" s="13"/>
    </row>
    <row r="1760" spans="1:5" ht="11.1" hidden="1" customHeight="1" x14ac:dyDescent="0.25">
      <c r="A1760" s="12" t="s">
        <v>2535</v>
      </c>
      <c r="B1760" s="12" t="s">
        <v>2536</v>
      </c>
      <c r="C1760" s="14">
        <v>2.0099999999999998</v>
      </c>
      <c r="D1760" s="12"/>
      <c r="E1760" s="13"/>
    </row>
    <row r="1761" spans="1:5" ht="11.1" hidden="1" customHeight="1" x14ac:dyDescent="0.25">
      <c r="A1761" s="12" t="s">
        <v>2537</v>
      </c>
      <c r="B1761" s="12" t="s">
        <v>2538</v>
      </c>
      <c r="C1761" s="14">
        <v>67.53</v>
      </c>
      <c r="D1761" s="12"/>
      <c r="E1761" s="13"/>
    </row>
    <row r="1762" spans="1:5" ht="11.1" hidden="1" customHeight="1" x14ac:dyDescent="0.25">
      <c r="A1762" s="12" t="s">
        <v>2539</v>
      </c>
      <c r="B1762" s="12" t="s">
        <v>2540</v>
      </c>
      <c r="C1762" s="14">
        <v>2.2400000000000002</v>
      </c>
      <c r="D1762" s="12"/>
      <c r="E1762" s="13"/>
    </row>
    <row r="1763" spans="1:5" ht="11.1" hidden="1" customHeight="1" x14ac:dyDescent="0.25">
      <c r="A1763" s="12" t="s">
        <v>2541</v>
      </c>
      <c r="B1763" s="12" t="s">
        <v>2542</v>
      </c>
      <c r="C1763" s="14">
        <v>2.5299999999999998</v>
      </c>
      <c r="D1763" s="12"/>
      <c r="E1763" s="13"/>
    </row>
    <row r="1764" spans="1:5" ht="11.1" hidden="1" customHeight="1" x14ac:dyDescent="0.25">
      <c r="A1764" s="12" t="s">
        <v>2543</v>
      </c>
      <c r="B1764" s="12" t="s">
        <v>2461</v>
      </c>
      <c r="C1764" s="14">
        <v>1.2</v>
      </c>
      <c r="D1764" s="12"/>
      <c r="E1764" s="13"/>
    </row>
    <row r="1765" spans="1:5" ht="11.1" hidden="1" customHeight="1" x14ac:dyDescent="0.25">
      <c r="A1765" s="12" t="s">
        <v>2544</v>
      </c>
      <c r="B1765" s="12" t="s">
        <v>2461</v>
      </c>
      <c r="C1765" s="14">
        <v>1.38</v>
      </c>
      <c r="D1765" s="12"/>
      <c r="E1765" s="13"/>
    </row>
    <row r="1766" spans="1:5" ht="11.1" hidden="1" customHeight="1" x14ac:dyDescent="0.25">
      <c r="A1766" s="12" t="s">
        <v>2545</v>
      </c>
      <c r="B1766" s="12" t="s">
        <v>2474</v>
      </c>
      <c r="C1766" s="14">
        <v>2.58</v>
      </c>
      <c r="D1766" s="12"/>
      <c r="E1766" s="13"/>
    </row>
    <row r="1767" spans="1:5" ht="11.1" hidden="1" customHeight="1" x14ac:dyDescent="0.25">
      <c r="A1767" s="12" t="s">
        <v>2546</v>
      </c>
      <c r="B1767" s="12" t="s">
        <v>2547</v>
      </c>
      <c r="C1767" s="14">
        <v>1.87</v>
      </c>
      <c r="D1767" s="12"/>
      <c r="E1767" s="13"/>
    </row>
    <row r="1768" spans="1:5" ht="11.1" hidden="1" customHeight="1" x14ac:dyDescent="0.25">
      <c r="A1768" s="12" t="s">
        <v>2548</v>
      </c>
      <c r="B1768" s="12" t="s">
        <v>2549</v>
      </c>
      <c r="C1768" s="14">
        <v>0.73</v>
      </c>
      <c r="D1768" s="12"/>
      <c r="E1768" s="13"/>
    </row>
    <row r="1769" spans="1:5" ht="11.1" hidden="1" customHeight="1" x14ac:dyDescent="0.25">
      <c r="A1769" s="12" t="s">
        <v>2550</v>
      </c>
      <c r="B1769" s="12" t="s">
        <v>2532</v>
      </c>
      <c r="C1769" s="14">
        <v>0.92</v>
      </c>
      <c r="D1769" s="12"/>
      <c r="E1769" s="13"/>
    </row>
    <row r="1770" spans="1:5" ht="11.1" hidden="1" customHeight="1" x14ac:dyDescent="0.25">
      <c r="A1770" s="12" t="s">
        <v>2551</v>
      </c>
      <c r="B1770" s="12" t="s">
        <v>2552</v>
      </c>
      <c r="C1770" s="14">
        <v>1.3</v>
      </c>
      <c r="D1770" s="12"/>
      <c r="E1770" s="13"/>
    </row>
    <row r="1771" spans="1:5" ht="11.1" hidden="1" customHeight="1" x14ac:dyDescent="0.25">
      <c r="A1771" s="12" t="s">
        <v>2553</v>
      </c>
      <c r="B1771" s="12" t="s">
        <v>2461</v>
      </c>
      <c r="C1771" s="14">
        <v>2.2599999999999998</v>
      </c>
      <c r="D1771" s="12"/>
      <c r="E1771" s="13"/>
    </row>
    <row r="1772" spans="1:5" ht="11.1" hidden="1" customHeight="1" x14ac:dyDescent="0.25">
      <c r="A1772" s="12" t="s">
        <v>2554</v>
      </c>
      <c r="B1772" s="12" t="s">
        <v>2555</v>
      </c>
      <c r="C1772" s="14">
        <v>1.21</v>
      </c>
      <c r="D1772" s="12"/>
      <c r="E1772" s="13"/>
    </row>
    <row r="1773" spans="1:5" ht="11.1" hidden="1" customHeight="1" x14ac:dyDescent="0.25">
      <c r="A1773" s="12" t="s">
        <v>2556</v>
      </c>
      <c r="B1773" s="12" t="s">
        <v>2497</v>
      </c>
      <c r="C1773" s="14">
        <v>0.7</v>
      </c>
      <c r="D1773" s="12"/>
      <c r="E1773" s="13"/>
    </row>
    <row r="1774" spans="1:5" ht="23.1" hidden="1" customHeight="1" x14ac:dyDescent="0.25">
      <c r="A1774" s="12" t="s">
        <v>2557</v>
      </c>
      <c r="B1774" s="12" t="s">
        <v>2499</v>
      </c>
      <c r="C1774" s="14">
        <v>0.98</v>
      </c>
      <c r="D1774" s="12"/>
      <c r="E1774" s="13"/>
    </row>
    <row r="1775" spans="1:5" ht="23.1" hidden="1" customHeight="1" x14ac:dyDescent="0.25">
      <c r="A1775" s="12" t="s">
        <v>2558</v>
      </c>
      <c r="B1775" s="12" t="s">
        <v>2284</v>
      </c>
      <c r="C1775" s="14">
        <v>57.5</v>
      </c>
      <c r="D1775" s="12"/>
      <c r="E1775" s="13"/>
    </row>
    <row r="1776" spans="1:5" ht="11.1" hidden="1" customHeight="1" x14ac:dyDescent="0.25">
      <c r="A1776" s="12" t="s">
        <v>2559</v>
      </c>
      <c r="B1776" s="12" t="s">
        <v>2560</v>
      </c>
      <c r="C1776" s="14">
        <v>16.25</v>
      </c>
      <c r="D1776" s="12"/>
      <c r="E1776" s="13"/>
    </row>
    <row r="1777" spans="1:5" ht="11.1" hidden="1" customHeight="1" x14ac:dyDescent="0.25">
      <c r="A1777" s="12" t="s">
        <v>2561</v>
      </c>
      <c r="B1777" s="12" t="s">
        <v>2560</v>
      </c>
      <c r="C1777" s="14">
        <v>67.52</v>
      </c>
      <c r="D1777" s="12"/>
      <c r="E1777" s="13"/>
    </row>
    <row r="1778" spans="1:5" ht="11.1" hidden="1" customHeight="1" x14ac:dyDescent="0.25">
      <c r="A1778" s="12" t="s">
        <v>2562</v>
      </c>
      <c r="B1778" s="12" t="s">
        <v>2563</v>
      </c>
      <c r="C1778" s="14">
        <v>208.33</v>
      </c>
      <c r="D1778" s="12"/>
      <c r="E1778" s="13"/>
    </row>
    <row r="1779" spans="1:5" ht="11.1" hidden="1" customHeight="1" x14ac:dyDescent="0.25">
      <c r="A1779" s="12" t="s">
        <v>2564</v>
      </c>
      <c r="B1779" s="12" t="s">
        <v>2565</v>
      </c>
      <c r="C1779" s="14">
        <v>361.67</v>
      </c>
      <c r="D1779" s="12"/>
      <c r="E1779" s="13"/>
    </row>
    <row r="1780" spans="1:5" ht="11.1" hidden="1" customHeight="1" x14ac:dyDescent="0.25">
      <c r="A1780" s="12" t="s">
        <v>2566</v>
      </c>
      <c r="B1780" s="12" t="s">
        <v>2063</v>
      </c>
      <c r="C1780" s="14">
        <v>134.16999999999999</v>
      </c>
      <c r="D1780" s="12"/>
      <c r="E1780" s="13"/>
    </row>
    <row r="1781" spans="1:5" ht="11.1" hidden="1" customHeight="1" x14ac:dyDescent="0.25">
      <c r="A1781" s="12" t="s">
        <v>2567</v>
      </c>
      <c r="B1781" s="12" t="s">
        <v>729</v>
      </c>
      <c r="C1781" s="14">
        <v>2922.5</v>
      </c>
      <c r="D1781" s="12"/>
      <c r="E1781" s="14"/>
    </row>
    <row r="1782" spans="1:5" ht="11.1" hidden="1" customHeight="1" x14ac:dyDescent="0.25">
      <c r="A1782" s="12" t="s">
        <v>2568</v>
      </c>
      <c r="B1782" s="12" t="s">
        <v>2348</v>
      </c>
      <c r="C1782" s="14">
        <v>163.61000000000001</v>
      </c>
      <c r="D1782" s="12"/>
      <c r="E1782" s="13"/>
    </row>
    <row r="1783" spans="1:5" ht="11.1" hidden="1" customHeight="1" x14ac:dyDescent="0.25">
      <c r="A1783" s="12" t="s">
        <v>2569</v>
      </c>
      <c r="B1783" s="12" t="s">
        <v>299</v>
      </c>
      <c r="C1783" s="14">
        <v>582.5</v>
      </c>
      <c r="D1783" s="12"/>
      <c r="E1783" s="13"/>
    </row>
    <row r="1784" spans="1:5" ht="11.1" hidden="1" customHeight="1" x14ac:dyDescent="0.25">
      <c r="A1784" s="12" t="s">
        <v>2570</v>
      </c>
      <c r="B1784" s="12" t="s">
        <v>391</v>
      </c>
      <c r="C1784" s="14">
        <v>552.5</v>
      </c>
      <c r="D1784" s="12"/>
      <c r="E1784" s="13"/>
    </row>
    <row r="1785" spans="1:5" ht="11.1" hidden="1" customHeight="1" x14ac:dyDescent="0.25">
      <c r="A1785" s="12" t="s">
        <v>2571</v>
      </c>
      <c r="B1785" s="12" t="s">
        <v>2572</v>
      </c>
      <c r="C1785" s="14">
        <v>261.25</v>
      </c>
      <c r="D1785" s="12"/>
      <c r="E1785" s="13"/>
    </row>
    <row r="1786" spans="1:5" ht="11.1" hidden="1" customHeight="1" x14ac:dyDescent="0.25">
      <c r="A1786" s="12" t="s">
        <v>2573</v>
      </c>
      <c r="B1786" s="12" t="s">
        <v>2572</v>
      </c>
      <c r="C1786" s="14">
        <v>261.25</v>
      </c>
      <c r="D1786" s="12"/>
      <c r="E1786" s="13"/>
    </row>
    <row r="1787" spans="1:5" ht="11.1" hidden="1" customHeight="1" x14ac:dyDescent="0.25">
      <c r="A1787" s="12" t="s">
        <v>2574</v>
      </c>
      <c r="B1787" s="12" t="s">
        <v>2575</v>
      </c>
      <c r="C1787" s="14">
        <v>5999.17</v>
      </c>
      <c r="D1787" s="12"/>
      <c r="E1787" s="14"/>
    </row>
    <row r="1788" spans="1:5" ht="11.1" hidden="1" customHeight="1" x14ac:dyDescent="0.25">
      <c r="A1788" s="12" t="s">
        <v>2576</v>
      </c>
      <c r="B1788" s="12" t="s">
        <v>2577</v>
      </c>
      <c r="C1788" s="14">
        <v>4024.04</v>
      </c>
      <c r="D1788" s="12"/>
      <c r="E1788" s="14"/>
    </row>
    <row r="1789" spans="1:5" ht="11.1" hidden="1" customHeight="1" x14ac:dyDescent="0.25">
      <c r="A1789" s="12" t="s">
        <v>2578</v>
      </c>
      <c r="B1789" s="12" t="s">
        <v>2579</v>
      </c>
      <c r="C1789" s="14">
        <v>3805.83</v>
      </c>
      <c r="D1789" s="12"/>
      <c r="E1789" s="14"/>
    </row>
    <row r="1790" spans="1:5" ht="11.1" hidden="1" customHeight="1" x14ac:dyDescent="0.25">
      <c r="A1790" s="12" t="s">
        <v>2580</v>
      </c>
      <c r="B1790" s="12" t="s">
        <v>2581</v>
      </c>
      <c r="C1790" s="14">
        <v>3805.83</v>
      </c>
      <c r="D1790" s="12"/>
      <c r="E1790" s="14"/>
    </row>
    <row r="1791" spans="1:5" ht="11.1" hidden="1" customHeight="1" x14ac:dyDescent="0.25">
      <c r="A1791" s="12" t="s">
        <v>2582</v>
      </c>
      <c r="B1791" s="12" t="s">
        <v>2583</v>
      </c>
      <c r="C1791" s="14">
        <v>1582.5</v>
      </c>
      <c r="D1791" s="12"/>
      <c r="E1791" s="14"/>
    </row>
    <row r="1792" spans="1:5" ht="11.1" hidden="1" customHeight="1" x14ac:dyDescent="0.25">
      <c r="A1792" s="12" t="s">
        <v>2584</v>
      </c>
      <c r="B1792" s="12" t="s">
        <v>1556</v>
      </c>
      <c r="C1792" s="14">
        <v>4074.17</v>
      </c>
      <c r="D1792" s="12"/>
      <c r="E1792" s="14"/>
    </row>
    <row r="1793" spans="1:5" ht="11.1" hidden="1" customHeight="1" x14ac:dyDescent="0.25">
      <c r="A1793" s="12" t="s">
        <v>2585</v>
      </c>
      <c r="B1793" s="12" t="s">
        <v>2586</v>
      </c>
      <c r="C1793" s="14">
        <v>195.83</v>
      </c>
      <c r="D1793" s="12"/>
      <c r="E1793" s="13"/>
    </row>
    <row r="1794" spans="1:5" ht="11.1" hidden="1" customHeight="1" x14ac:dyDescent="0.25">
      <c r="A1794" s="12" t="s">
        <v>2587</v>
      </c>
      <c r="B1794" s="12" t="s">
        <v>2588</v>
      </c>
      <c r="C1794" s="14">
        <v>1170</v>
      </c>
      <c r="D1794" s="12"/>
      <c r="E1794" s="14"/>
    </row>
    <row r="1795" spans="1:5" ht="11.1" hidden="1" customHeight="1" x14ac:dyDescent="0.25">
      <c r="A1795" s="12" t="s">
        <v>2589</v>
      </c>
      <c r="B1795" s="12" t="s">
        <v>2590</v>
      </c>
      <c r="C1795" s="14">
        <v>8.33</v>
      </c>
      <c r="D1795" s="12"/>
      <c r="E1795" s="13"/>
    </row>
    <row r="1796" spans="1:5" ht="11.1" hidden="1" customHeight="1" x14ac:dyDescent="0.25">
      <c r="A1796" s="12" t="s">
        <v>2591</v>
      </c>
      <c r="B1796" s="12" t="s">
        <v>2592</v>
      </c>
      <c r="C1796" s="14">
        <v>515.83000000000004</v>
      </c>
      <c r="D1796" s="12"/>
      <c r="E1796" s="13"/>
    </row>
    <row r="1797" spans="1:5" ht="11.1" hidden="1" customHeight="1" x14ac:dyDescent="0.25">
      <c r="A1797" s="12" t="s">
        <v>2593</v>
      </c>
      <c r="B1797" s="12" t="s">
        <v>2594</v>
      </c>
      <c r="C1797" s="14">
        <v>195.83</v>
      </c>
      <c r="D1797" s="12"/>
      <c r="E1797" s="13"/>
    </row>
    <row r="1798" spans="1:5" ht="11.1" hidden="1" customHeight="1" x14ac:dyDescent="0.25">
      <c r="A1798" s="12" t="s">
        <v>2595</v>
      </c>
      <c r="B1798" s="12" t="s">
        <v>2596</v>
      </c>
      <c r="C1798" s="14">
        <v>54.08</v>
      </c>
      <c r="D1798" s="12"/>
      <c r="E1798" s="13"/>
    </row>
    <row r="1799" spans="1:5" ht="11.1" hidden="1" customHeight="1" x14ac:dyDescent="0.25">
      <c r="A1799" s="12" t="s">
        <v>2597</v>
      </c>
      <c r="B1799" s="12" t="s">
        <v>2598</v>
      </c>
      <c r="C1799" s="14">
        <v>31.24</v>
      </c>
      <c r="D1799" s="12"/>
      <c r="E1799" s="13"/>
    </row>
    <row r="1800" spans="1:5" ht="11.1" hidden="1" customHeight="1" x14ac:dyDescent="0.25">
      <c r="A1800" s="12" t="s">
        <v>2599</v>
      </c>
      <c r="B1800" s="12" t="s">
        <v>2598</v>
      </c>
      <c r="C1800" s="14">
        <v>42.42</v>
      </c>
      <c r="D1800" s="12"/>
      <c r="E1800" s="13"/>
    </row>
    <row r="1801" spans="1:5" ht="11.1" hidden="1" customHeight="1" x14ac:dyDescent="0.25">
      <c r="A1801" s="12" t="s">
        <v>2600</v>
      </c>
      <c r="B1801" s="12" t="s">
        <v>118</v>
      </c>
      <c r="C1801" s="14">
        <v>249.17</v>
      </c>
      <c r="D1801" s="12"/>
      <c r="E1801" s="13"/>
    </row>
    <row r="1802" spans="1:5" ht="11.1" hidden="1" customHeight="1" x14ac:dyDescent="0.25">
      <c r="A1802" s="12" t="s">
        <v>2601</v>
      </c>
      <c r="B1802" s="12" t="s">
        <v>1041</v>
      </c>
      <c r="C1802" s="14">
        <v>165</v>
      </c>
      <c r="D1802" s="12"/>
      <c r="E1802" s="13"/>
    </row>
    <row r="1803" spans="1:5" ht="11.1" hidden="1" customHeight="1" x14ac:dyDescent="0.25">
      <c r="A1803" s="12" t="s">
        <v>2602</v>
      </c>
      <c r="B1803" s="12" t="s">
        <v>2284</v>
      </c>
      <c r="C1803" s="14">
        <v>229.17</v>
      </c>
      <c r="D1803" s="12"/>
      <c r="E1803" s="13"/>
    </row>
    <row r="1804" spans="1:5" ht="11.1" hidden="1" customHeight="1" x14ac:dyDescent="0.25">
      <c r="A1804" s="12" t="s">
        <v>2603</v>
      </c>
      <c r="B1804" s="12" t="s">
        <v>2604</v>
      </c>
      <c r="C1804" s="14">
        <v>2675</v>
      </c>
      <c r="D1804" s="12"/>
      <c r="E1804" s="14"/>
    </row>
    <row r="1805" spans="1:5" ht="11.1" hidden="1" customHeight="1" x14ac:dyDescent="0.25">
      <c r="A1805" s="12" t="s">
        <v>2605</v>
      </c>
      <c r="B1805" s="12" t="s">
        <v>509</v>
      </c>
      <c r="C1805" s="14">
        <v>1219.17</v>
      </c>
      <c r="D1805" s="12"/>
      <c r="E1805" s="14"/>
    </row>
    <row r="1806" spans="1:5" ht="11.1" hidden="1" customHeight="1" x14ac:dyDescent="0.25">
      <c r="A1806" s="12" t="s">
        <v>2606</v>
      </c>
      <c r="B1806" s="12" t="s">
        <v>2607</v>
      </c>
      <c r="C1806" s="14">
        <v>650</v>
      </c>
      <c r="D1806" s="12"/>
      <c r="E1806" s="13"/>
    </row>
    <row r="1807" spans="1:5" ht="11.1" hidden="1" customHeight="1" x14ac:dyDescent="0.25">
      <c r="A1807" s="12" t="s">
        <v>2608</v>
      </c>
      <c r="B1807" s="12" t="s">
        <v>2609</v>
      </c>
      <c r="C1807" s="14">
        <v>10685</v>
      </c>
      <c r="D1807" s="12"/>
      <c r="E1807" s="14"/>
    </row>
    <row r="1808" spans="1:5" ht="11.1" hidden="1" customHeight="1" x14ac:dyDescent="0.25">
      <c r="A1808" s="12" t="s">
        <v>2610</v>
      </c>
      <c r="B1808" s="12" t="s">
        <v>2609</v>
      </c>
      <c r="C1808" s="14">
        <v>11965</v>
      </c>
      <c r="D1808" s="12"/>
      <c r="E1808" s="14"/>
    </row>
    <row r="1809" spans="1:5" ht="11.1" hidden="1" customHeight="1" x14ac:dyDescent="0.25">
      <c r="A1809" s="12" t="s">
        <v>2611</v>
      </c>
      <c r="B1809" s="12" t="s">
        <v>2612</v>
      </c>
      <c r="C1809" s="14">
        <v>13700</v>
      </c>
      <c r="D1809" s="12"/>
      <c r="E1809" s="14"/>
    </row>
    <row r="1810" spans="1:5" ht="11.1" hidden="1" customHeight="1" x14ac:dyDescent="0.25">
      <c r="A1810" s="12" t="s">
        <v>2613</v>
      </c>
      <c r="B1810" s="12" t="s">
        <v>2609</v>
      </c>
      <c r="C1810" s="14">
        <v>20116.669999999998</v>
      </c>
      <c r="D1810" s="12"/>
      <c r="E1810" s="14"/>
    </row>
    <row r="1811" spans="1:5" ht="11.1" hidden="1" customHeight="1" x14ac:dyDescent="0.25">
      <c r="A1811" s="12" t="s">
        <v>2614</v>
      </c>
      <c r="B1811" s="12" t="s">
        <v>2609</v>
      </c>
      <c r="C1811" s="14">
        <v>25070</v>
      </c>
      <c r="D1811" s="12"/>
      <c r="E1811" s="14"/>
    </row>
    <row r="1812" spans="1:5" ht="11.1" hidden="1" customHeight="1" x14ac:dyDescent="0.25">
      <c r="A1812" s="12" t="s">
        <v>2615</v>
      </c>
      <c r="B1812" s="12" t="s">
        <v>2609</v>
      </c>
      <c r="C1812" s="14">
        <v>1643.33</v>
      </c>
      <c r="D1812" s="12"/>
      <c r="E1812" s="14"/>
    </row>
    <row r="1813" spans="1:5" ht="11.1" hidden="1" customHeight="1" x14ac:dyDescent="0.25">
      <c r="A1813" s="12" t="s">
        <v>2616</v>
      </c>
      <c r="B1813" s="12" t="s">
        <v>2609</v>
      </c>
      <c r="C1813" s="14">
        <v>4291.67</v>
      </c>
      <c r="D1813" s="12"/>
      <c r="E1813" s="14"/>
    </row>
    <row r="1814" spans="1:5" ht="11.1" hidden="1" customHeight="1" x14ac:dyDescent="0.25">
      <c r="A1814" s="12" t="s">
        <v>2617</v>
      </c>
      <c r="B1814" s="12" t="s">
        <v>2609</v>
      </c>
      <c r="C1814" s="14">
        <v>4611.67</v>
      </c>
      <c r="D1814" s="12"/>
      <c r="E1814" s="14"/>
    </row>
    <row r="1815" spans="1:5" ht="11.1" hidden="1" customHeight="1" x14ac:dyDescent="0.25">
      <c r="A1815" s="12" t="s">
        <v>2618</v>
      </c>
      <c r="B1815" s="12" t="s">
        <v>2609</v>
      </c>
      <c r="C1815" s="14">
        <v>5251.67</v>
      </c>
      <c r="D1815" s="12"/>
      <c r="E1815" s="14"/>
    </row>
    <row r="1816" spans="1:5" ht="11.1" hidden="1" customHeight="1" x14ac:dyDescent="0.25">
      <c r="A1816" s="12" t="s">
        <v>2619</v>
      </c>
      <c r="B1816" s="12" t="s">
        <v>2620</v>
      </c>
      <c r="C1816" s="14">
        <v>4980</v>
      </c>
      <c r="D1816" s="12"/>
      <c r="E1816" s="14"/>
    </row>
    <row r="1817" spans="1:5" ht="11.1" hidden="1" customHeight="1" x14ac:dyDescent="0.25">
      <c r="A1817" s="12" t="s">
        <v>2621</v>
      </c>
      <c r="B1817" s="12" t="s">
        <v>2620</v>
      </c>
      <c r="C1817" s="14">
        <v>4980</v>
      </c>
      <c r="D1817" s="12"/>
      <c r="E1817" s="14"/>
    </row>
    <row r="1818" spans="1:5" ht="11.1" hidden="1" customHeight="1" x14ac:dyDescent="0.25">
      <c r="A1818" s="12" t="s">
        <v>2622</v>
      </c>
      <c r="B1818" s="12" t="s">
        <v>1934</v>
      </c>
      <c r="C1818" s="14">
        <v>2250</v>
      </c>
      <c r="D1818" s="12"/>
      <c r="E1818" s="14"/>
    </row>
    <row r="1819" spans="1:5" ht="11.1" hidden="1" customHeight="1" x14ac:dyDescent="0.25">
      <c r="A1819" s="12" t="s">
        <v>2623</v>
      </c>
      <c r="B1819" s="12" t="s">
        <v>2624</v>
      </c>
      <c r="C1819" s="14">
        <v>4583.33</v>
      </c>
      <c r="D1819" s="12"/>
      <c r="E1819" s="14"/>
    </row>
    <row r="1820" spans="1:5" ht="11.1" hidden="1" customHeight="1" x14ac:dyDescent="0.25">
      <c r="A1820" s="12" t="s">
        <v>2625</v>
      </c>
      <c r="B1820" s="12" t="s">
        <v>810</v>
      </c>
      <c r="C1820" s="14">
        <v>5916.67</v>
      </c>
      <c r="D1820" s="12"/>
      <c r="E1820" s="14"/>
    </row>
    <row r="1821" spans="1:5" ht="11.1" hidden="1" customHeight="1" x14ac:dyDescent="0.25">
      <c r="A1821" s="12" t="s">
        <v>2626</v>
      </c>
      <c r="B1821" s="12" t="s">
        <v>2612</v>
      </c>
      <c r="C1821" s="14">
        <v>27983.33</v>
      </c>
      <c r="D1821" s="12"/>
      <c r="E1821" s="14"/>
    </row>
    <row r="1822" spans="1:5" ht="11.1" hidden="1" customHeight="1" x14ac:dyDescent="0.25">
      <c r="A1822" s="12" t="s">
        <v>2627</v>
      </c>
      <c r="B1822" s="12" t="s">
        <v>2628</v>
      </c>
      <c r="C1822" s="14">
        <v>22225</v>
      </c>
      <c r="D1822" s="12"/>
      <c r="E1822" s="14"/>
    </row>
    <row r="1823" spans="1:5" ht="11.1" hidden="1" customHeight="1" x14ac:dyDescent="0.25">
      <c r="A1823" s="12" t="s">
        <v>2629</v>
      </c>
      <c r="B1823" s="12" t="s">
        <v>2630</v>
      </c>
      <c r="C1823" s="14">
        <v>1106.8800000000001</v>
      </c>
      <c r="D1823" s="12"/>
      <c r="E1823" s="14"/>
    </row>
    <row r="1824" spans="1:5" ht="11.1" hidden="1" customHeight="1" x14ac:dyDescent="0.25">
      <c r="A1824" s="12" t="s">
        <v>2631</v>
      </c>
      <c r="B1824" s="12" t="s">
        <v>2630</v>
      </c>
      <c r="C1824" s="14">
        <v>1106.8800000000001</v>
      </c>
      <c r="D1824" s="12"/>
      <c r="E1824" s="14"/>
    </row>
    <row r="1825" spans="1:5" ht="11.1" hidden="1" customHeight="1" x14ac:dyDescent="0.25">
      <c r="A1825" s="12" t="s">
        <v>2632</v>
      </c>
      <c r="B1825" s="12" t="s">
        <v>2633</v>
      </c>
      <c r="C1825" s="14">
        <v>21758.33</v>
      </c>
      <c r="D1825" s="12"/>
      <c r="E1825" s="14"/>
    </row>
    <row r="1826" spans="1:5" ht="11.1" hidden="1" customHeight="1" x14ac:dyDescent="0.25">
      <c r="A1826" s="12" t="s">
        <v>2634</v>
      </c>
      <c r="B1826" s="12" t="s">
        <v>2635</v>
      </c>
      <c r="C1826" s="14">
        <v>600</v>
      </c>
      <c r="D1826" s="12"/>
      <c r="E1826" s="13"/>
    </row>
    <row r="1827" spans="1:5" ht="11.1" hidden="1" customHeight="1" x14ac:dyDescent="0.25">
      <c r="A1827" s="12" t="s">
        <v>2636</v>
      </c>
      <c r="B1827" s="12" t="s">
        <v>2637</v>
      </c>
      <c r="C1827" s="14">
        <v>22225</v>
      </c>
      <c r="D1827" s="12"/>
      <c r="E1827" s="14"/>
    </row>
    <row r="1828" spans="1:5" ht="11.1" hidden="1" customHeight="1" x14ac:dyDescent="0.25">
      <c r="A1828" s="12" t="s">
        <v>2638</v>
      </c>
      <c r="B1828" s="12" t="s">
        <v>2620</v>
      </c>
      <c r="C1828" s="14">
        <v>4760</v>
      </c>
      <c r="D1828" s="12"/>
      <c r="E1828" s="14"/>
    </row>
    <row r="1829" spans="1:5" ht="11.1" hidden="1" customHeight="1" x14ac:dyDescent="0.25">
      <c r="A1829" s="12" t="s">
        <v>2639</v>
      </c>
      <c r="B1829" s="12" t="s">
        <v>2640</v>
      </c>
      <c r="C1829" s="14">
        <v>281.67</v>
      </c>
      <c r="D1829" s="12"/>
      <c r="E1829" s="13"/>
    </row>
    <row r="1830" spans="1:5" ht="11.1" hidden="1" customHeight="1" x14ac:dyDescent="0.25">
      <c r="A1830" s="12" t="s">
        <v>2641</v>
      </c>
      <c r="B1830" s="12" t="s">
        <v>2642</v>
      </c>
      <c r="C1830" s="14">
        <v>950</v>
      </c>
      <c r="D1830" s="12"/>
      <c r="E1830" s="13"/>
    </row>
    <row r="1831" spans="1:5" ht="11.1" hidden="1" customHeight="1" x14ac:dyDescent="0.25">
      <c r="A1831" s="12" t="s">
        <v>2643</v>
      </c>
      <c r="B1831" s="12" t="s">
        <v>2644</v>
      </c>
      <c r="C1831" s="14">
        <v>1833.33</v>
      </c>
      <c r="D1831" s="12"/>
      <c r="E1831" s="14"/>
    </row>
    <row r="1832" spans="1:5" ht="11.1" hidden="1" customHeight="1" x14ac:dyDescent="0.25">
      <c r="A1832" s="12" t="s">
        <v>2645</v>
      </c>
      <c r="B1832" s="12" t="s">
        <v>2644</v>
      </c>
      <c r="C1832" s="14">
        <v>2000</v>
      </c>
      <c r="D1832" s="12"/>
      <c r="E1832" s="14"/>
    </row>
    <row r="1833" spans="1:5" ht="11.1" hidden="1" customHeight="1" x14ac:dyDescent="0.25">
      <c r="A1833" s="12" t="s">
        <v>2646</v>
      </c>
      <c r="B1833" s="12" t="s">
        <v>979</v>
      </c>
      <c r="C1833" s="14">
        <v>60.83</v>
      </c>
      <c r="D1833" s="12"/>
      <c r="E1833" s="13"/>
    </row>
    <row r="1834" spans="1:5" ht="11.1" hidden="1" customHeight="1" x14ac:dyDescent="0.25">
      <c r="A1834" s="12" t="s">
        <v>2647</v>
      </c>
      <c r="B1834" s="12" t="s">
        <v>2563</v>
      </c>
      <c r="C1834" s="14">
        <v>53.33</v>
      </c>
      <c r="D1834" s="12"/>
      <c r="E1834" s="13"/>
    </row>
    <row r="1835" spans="1:5" ht="23.1" hidden="1" customHeight="1" x14ac:dyDescent="0.25">
      <c r="A1835" s="12" t="s">
        <v>2648</v>
      </c>
      <c r="B1835" s="12" t="s">
        <v>2563</v>
      </c>
      <c r="C1835" s="14">
        <v>53.33</v>
      </c>
      <c r="D1835" s="12"/>
      <c r="E1835" s="13"/>
    </row>
    <row r="1836" spans="1:5" ht="23.1" hidden="1" customHeight="1" x14ac:dyDescent="0.25">
      <c r="A1836" s="12" t="s">
        <v>2649</v>
      </c>
      <c r="B1836" s="12" t="s">
        <v>2650</v>
      </c>
      <c r="C1836" s="14">
        <v>433.33</v>
      </c>
      <c r="D1836" s="12"/>
      <c r="E1836" s="13"/>
    </row>
    <row r="1837" spans="1:5" ht="23.1" hidden="1" customHeight="1" x14ac:dyDescent="0.25">
      <c r="A1837" s="12" t="s">
        <v>2651</v>
      </c>
      <c r="B1837" s="12" t="s">
        <v>1925</v>
      </c>
      <c r="C1837" s="14">
        <v>520</v>
      </c>
      <c r="D1837" s="12"/>
      <c r="E1837" s="13"/>
    </row>
    <row r="1838" spans="1:5" ht="23.1" hidden="1" customHeight="1" x14ac:dyDescent="0.25">
      <c r="A1838" s="12" t="s">
        <v>2652</v>
      </c>
      <c r="B1838" s="12" t="s">
        <v>2653</v>
      </c>
      <c r="C1838" s="14">
        <v>3.14</v>
      </c>
      <c r="D1838" s="12"/>
      <c r="E1838" s="13"/>
    </row>
    <row r="1839" spans="1:5" ht="11.1" hidden="1" customHeight="1" x14ac:dyDescent="0.25">
      <c r="A1839" s="12" t="s">
        <v>2654</v>
      </c>
      <c r="B1839" s="12" t="s">
        <v>2655</v>
      </c>
      <c r="C1839" s="14">
        <v>24.69</v>
      </c>
      <c r="D1839" s="12"/>
      <c r="E1839" s="13"/>
    </row>
    <row r="1840" spans="1:5" ht="11.1" hidden="1" customHeight="1" x14ac:dyDescent="0.25">
      <c r="A1840" s="12" t="s">
        <v>2656</v>
      </c>
      <c r="B1840" s="12" t="s">
        <v>2657</v>
      </c>
      <c r="C1840" s="14">
        <v>6</v>
      </c>
      <c r="D1840" s="12"/>
      <c r="E1840" s="13"/>
    </row>
    <row r="1841" spans="1:5" ht="11.1" hidden="1" customHeight="1" x14ac:dyDescent="0.25">
      <c r="A1841" s="12" t="s">
        <v>2658</v>
      </c>
      <c r="B1841" s="12" t="s">
        <v>1932</v>
      </c>
      <c r="C1841" s="14">
        <v>231</v>
      </c>
      <c r="D1841" s="12"/>
      <c r="E1841" s="13"/>
    </row>
    <row r="1842" spans="1:5" ht="11.1" hidden="1" customHeight="1" x14ac:dyDescent="0.25">
      <c r="A1842" s="12" t="s">
        <v>2659</v>
      </c>
      <c r="B1842" s="12" t="s">
        <v>2660</v>
      </c>
      <c r="C1842" s="14">
        <v>5733</v>
      </c>
      <c r="D1842" s="12"/>
      <c r="E1842" s="14"/>
    </row>
    <row r="1843" spans="1:5" ht="11.1" hidden="1" customHeight="1" x14ac:dyDescent="0.25">
      <c r="A1843" s="12" t="s">
        <v>2661</v>
      </c>
      <c r="B1843" s="12" t="s">
        <v>2662</v>
      </c>
      <c r="C1843" s="14">
        <v>4583.33</v>
      </c>
      <c r="D1843" s="12"/>
      <c r="E1843" s="14"/>
    </row>
    <row r="1844" spans="1:5" ht="11.1" hidden="1" customHeight="1" x14ac:dyDescent="0.25">
      <c r="A1844" s="12" t="s">
        <v>2663</v>
      </c>
      <c r="B1844" s="12" t="s">
        <v>2664</v>
      </c>
      <c r="C1844" s="14">
        <v>482</v>
      </c>
      <c r="D1844" s="12"/>
      <c r="E1844" s="13"/>
    </row>
    <row r="1845" spans="1:5" ht="11.1" hidden="1" customHeight="1" x14ac:dyDescent="0.25">
      <c r="A1845" s="12" t="s">
        <v>2665</v>
      </c>
      <c r="B1845" s="12" t="s">
        <v>2666</v>
      </c>
      <c r="C1845" s="14">
        <v>20.83</v>
      </c>
      <c r="D1845" s="12"/>
      <c r="E1845" s="13"/>
    </row>
    <row r="1846" spans="1:5" ht="11.1" hidden="1" customHeight="1" x14ac:dyDescent="0.25">
      <c r="A1846" s="12" t="s">
        <v>2667</v>
      </c>
      <c r="B1846" s="12" t="s">
        <v>2668</v>
      </c>
      <c r="C1846" s="14">
        <v>9500</v>
      </c>
      <c r="D1846" s="12"/>
      <c r="E1846" s="14"/>
    </row>
    <row r="1847" spans="1:5" ht="11.1" hidden="1" customHeight="1" x14ac:dyDescent="0.25">
      <c r="A1847" s="12" t="s">
        <v>2669</v>
      </c>
      <c r="B1847" s="12" t="s">
        <v>2670</v>
      </c>
      <c r="C1847" s="14">
        <v>50</v>
      </c>
      <c r="D1847" s="12"/>
      <c r="E1847" s="13"/>
    </row>
    <row r="1848" spans="1:5" ht="11.1" hidden="1" customHeight="1" x14ac:dyDescent="0.25">
      <c r="A1848" s="12" t="s">
        <v>2671</v>
      </c>
      <c r="B1848" s="12" t="s">
        <v>2670</v>
      </c>
      <c r="C1848" s="14">
        <v>50</v>
      </c>
      <c r="D1848" s="12"/>
      <c r="E1848" s="13"/>
    </row>
    <row r="1849" spans="1:5" ht="11.1" hidden="1" customHeight="1" x14ac:dyDescent="0.25">
      <c r="A1849" s="12" t="s">
        <v>2672</v>
      </c>
      <c r="B1849" s="12" t="s">
        <v>663</v>
      </c>
      <c r="C1849" s="14">
        <v>158.34</v>
      </c>
      <c r="D1849" s="12"/>
      <c r="E1849" s="13"/>
    </row>
    <row r="1850" spans="1:5" ht="11.1" hidden="1" customHeight="1" x14ac:dyDescent="0.25">
      <c r="A1850" s="12" t="s">
        <v>2673</v>
      </c>
      <c r="B1850" s="12" t="s">
        <v>2674</v>
      </c>
      <c r="C1850" s="14">
        <v>269.17</v>
      </c>
      <c r="D1850" s="12"/>
      <c r="E1850" s="13"/>
    </row>
    <row r="1851" spans="1:5" ht="11.1" hidden="1" customHeight="1" x14ac:dyDescent="0.25">
      <c r="A1851" s="12" t="s">
        <v>2675</v>
      </c>
      <c r="B1851" s="12" t="s">
        <v>268</v>
      </c>
      <c r="C1851" s="14">
        <v>194.17</v>
      </c>
      <c r="D1851" s="12"/>
      <c r="E1851" s="13"/>
    </row>
    <row r="1852" spans="1:5" ht="11.1" hidden="1" customHeight="1" x14ac:dyDescent="0.25">
      <c r="A1852" s="12" t="s">
        <v>2676</v>
      </c>
      <c r="B1852" s="12" t="s">
        <v>2119</v>
      </c>
      <c r="C1852" s="14">
        <v>133.5</v>
      </c>
      <c r="D1852" s="12"/>
      <c r="E1852" s="13"/>
    </row>
    <row r="1853" spans="1:5" ht="11.1" hidden="1" customHeight="1" x14ac:dyDescent="0.25">
      <c r="A1853" s="12" t="s">
        <v>2677</v>
      </c>
      <c r="B1853" s="12" t="s">
        <v>2119</v>
      </c>
      <c r="C1853" s="14">
        <v>112.13</v>
      </c>
      <c r="D1853" s="12"/>
      <c r="E1853" s="13"/>
    </row>
    <row r="1854" spans="1:5" ht="11.1" hidden="1" customHeight="1" x14ac:dyDescent="0.25">
      <c r="A1854" s="12" t="s">
        <v>2678</v>
      </c>
      <c r="B1854" s="12" t="s">
        <v>2119</v>
      </c>
      <c r="C1854" s="14">
        <v>133.88</v>
      </c>
      <c r="D1854" s="12"/>
      <c r="E1854" s="13"/>
    </row>
    <row r="1855" spans="1:5" ht="11.1" hidden="1" customHeight="1" x14ac:dyDescent="0.25">
      <c r="A1855" s="12" t="s">
        <v>2679</v>
      </c>
      <c r="B1855" s="12" t="s">
        <v>494</v>
      </c>
      <c r="C1855" s="14">
        <v>155.83000000000001</v>
      </c>
      <c r="D1855" s="12"/>
      <c r="E1855" s="13"/>
    </row>
    <row r="1856" spans="1:5" ht="11.1" hidden="1" customHeight="1" x14ac:dyDescent="0.25">
      <c r="A1856" s="12" t="s">
        <v>2680</v>
      </c>
      <c r="B1856" s="12" t="s">
        <v>2119</v>
      </c>
      <c r="C1856" s="14">
        <v>1027.5</v>
      </c>
      <c r="D1856" s="12"/>
      <c r="E1856" s="14"/>
    </row>
    <row r="1857" spans="1:5" ht="11.1" hidden="1" customHeight="1" x14ac:dyDescent="0.25">
      <c r="A1857" s="12" t="s">
        <v>2681</v>
      </c>
      <c r="B1857" s="12" t="s">
        <v>2682</v>
      </c>
      <c r="C1857" s="14">
        <v>1083.33</v>
      </c>
      <c r="D1857" s="12"/>
      <c r="E1857" s="14"/>
    </row>
    <row r="1858" spans="1:5" ht="11.1" hidden="1" customHeight="1" x14ac:dyDescent="0.25">
      <c r="A1858" s="12" t="s">
        <v>2683</v>
      </c>
      <c r="B1858" s="12" t="s">
        <v>309</v>
      </c>
      <c r="C1858" s="14">
        <v>2062.5</v>
      </c>
      <c r="D1858" s="12"/>
      <c r="E1858" s="14"/>
    </row>
    <row r="1859" spans="1:5" ht="11.1" hidden="1" customHeight="1" x14ac:dyDescent="0.25">
      <c r="A1859" s="12" t="s">
        <v>2684</v>
      </c>
      <c r="B1859" s="12" t="s">
        <v>309</v>
      </c>
      <c r="C1859" s="14">
        <v>2072.5</v>
      </c>
      <c r="D1859" s="12"/>
      <c r="E1859" s="14"/>
    </row>
    <row r="1860" spans="1:5" ht="11.1" hidden="1" customHeight="1" x14ac:dyDescent="0.25">
      <c r="A1860" s="12" t="s">
        <v>2685</v>
      </c>
      <c r="B1860" s="12" t="s">
        <v>515</v>
      </c>
      <c r="C1860" s="14">
        <v>10445.299999999999</v>
      </c>
      <c r="D1860" s="12"/>
      <c r="E1860" s="14"/>
    </row>
    <row r="1861" spans="1:5" ht="11.1" hidden="1" customHeight="1" x14ac:dyDescent="0.25">
      <c r="A1861" s="12" t="s">
        <v>2686</v>
      </c>
      <c r="B1861" s="12" t="s">
        <v>2687</v>
      </c>
      <c r="C1861" s="14">
        <v>100.98</v>
      </c>
      <c r="D1861" s="12"/>
      <c r="E1861" s="13"/>
    </row>
    <row r="1862" spans="1:5" ht="11.1" hidden="1" customHeight="1" x14ac:dyDescent="0.25">
      <c r="A1862" s="12" t="s">
        <v>2688</v>
      </c>
      <c r="B1862" s="12" t="s">
        <v>494</v>
      </c>
      <c r="C1862" s="14">
        <v>1798.33</v>
      </c>
      <c r="D1862" s="12"/>
      <c r="E1862" s="14"/>
    </row>
    <row r="1863" spans="1:5" ht="11.1" hidden="1" customHeight="1" x14ac:dyDescent="0.25">
      <c r="A1863" s="12" t="s">
        <v>2689</v>
      </c>
      <c r="B1863" s="12" t="s">
        <v>1405</v>
      </c>
      <c r="C1863" s="14">
        <v>448.33</v>
      </c>
      <c r="D1863" s="12"/>
      <c r="E1863" s="13"/>
    </row>
    <row r="1864" spans="1:5" ht="11.1" hidden="1" customHeight="1" x14ac:dyDescent="0.25">
      <c r="A1864" s="12" t="s">
        <v>2690</v>
      </c>
      <c r="B1864" s="12" t="s">
        <v>2691</v>
      </c>
      <c r="C1864" s="14">
        <v>79046.73</v>
      </c>
      <c r="D1864" s="12"/>
      <c r="E1864" s="14"/>
    </row>
    <row r="1865" spans="1:5" ht="11.1" hidden="1" customHeight="1" x14ac:dyDescent="0.25">
      <c r="A1865" s="12" t="s">
        <v>2692</v>
      </c>
      <c r="B1865" s="12" t="s">
        <v>2693</v>
      </c>
      <c r="C1865" s="14">
        <v>1029</v>
      </c>
      <c r="D1865" s="12"/>
      <c r="E1865" s="14"/>
    </row>
    <row r="1866" spans="1:5" ht="11.1" hidden="1" customHeight="1" x14ac:dyDescent="0.25">
      <c r="A1866" s="12" t="s">
        <v>2694</v>
      </c>
      <c r="B1866" s="12" t="s">
        <v>2695</v>
      </c>
      <c r="C1866" s="14">
        <v>7097605</v>
      </c>
      <c r="D1866" s="12"/>
      <c r="E1866" s="14"/>
    </row>
    <row r="1867" spans="1:5" ht="11.1" hidden="1" customHeight="1" x14ac:dyDescent="0.25">
      <c r="A1867" s="12" t="s">
        <v>2696</v>
      </c>
      <c r="B1867" s="12" t="s">
        <v>2697</v>
      </c>
      <c r="C1867" s="14">
        <v>813.33</v>
      </c>
      <c r="D1867" s="12"/>
      <c r="E1867" s="13"/>
    </row>
    <row r="1868" spans="1:5" ht="11.1" hidden="1" customHeight="1" x14ac:dyDescent="0.25">
      <c r="A1868" s="12" t="s">
        <v>2698</v>
      </c>
      <c r="B1868" s="12" t="s">
        <v>2699</v>
      </c>
      <c r="C1868" s="14">
        <v>23868</v>
      </c>
      <c r="D1868" s="12"/>
      <c r="E1868" s="14"/>
    </row>
    <row r="1869" spans="1:5" ht="11.1" hidden="1" customHeight="1" x14ac:dyDescent="0.25">
      <c r="A1869" s="12" t="s">
        <v>2700</v>
      </c>
      <c r="B1869" s="12" t="s">
        <v>2701</v>
      </c>
      <c r="C1869" s="14">
        <v>4802</v>
      </c>
      <c r="D1869" s="12"/>
      <c r="E1869" s="14"/>
    </row>
    <row r="1870" spans="1:5" ht="11.1" hidden="1" customHeight="1" x14ac:dyDescent="0.25">
      <c r="A1870" s="12" t="s">
        <v>2702</v>
      </c>
      <c r="B1870" s="12" t="s">
        <v>2703</v>
      </c>
      <c r="C1870" s="14">
        <v>25000</v>
      </c>
      <c r="D1870" s="12"/>
      <c r="E1870" s="14"/>
    </row>
    <row r="1871" spans="1:5" ht="11.1" hidden="1" customHeight="1" x14ac:dyDescent="0.25">
      <c r="A1871" s="12" t="s">
        <v>2704</v>
      </c>
      <c r="B1871" s="12" t="s">
        <v>1613</v>
      </c>
      <c r="C1871" s="14">
        <v>2.67</v>
      </c>
      <c r="D1871" s="12"/>
      <c r="E1871" s="13"/>
    </row>
    <row r="1872" spans="1:5" ht="11.1" hidden="1" customHeight="1" x14ac:dyDescent="0.25">
      <c r="A1872" s="12" t="s">
        <v>2705</v>
      </c>
      <c r="B1872" s="12" t="s">
        <v>2538</v>
      </c>
      <c r="C1872" s="14">
        <v>2.29</v>
      </c>
      <c r="D1872" s="12"/>
      <c r="E1872" s="13"/>
    </row>
    <row r="1873" spans="1:5" ht="11.1" hidden="1" customHeight="1" x14ac:dyDescent="0.25">
      <c r="A1873" s="12" t="s">
        <v>2706</v>
      </c>
      <c r="B1873" s="12" t="s">
        <v>2215</v>
      </c>
      <c r="C1873" s="14">
        <v>183.4</v>
      </c>
      <c r="D1873" s="12"/>
      <c r="E1873" s="13"/>
    </row>
    <row r="1874" spans="1:5" ht="11.1" hidden="1" customHeight="1" x14ac:dyDescent="0.25">
      <c r="A1874" s="12" t="s">
        <v>2707</v>
      </c>
      <c r="B1874" s="12" t="s">
        <v>2708</v>
      </c>
      <c r="C1874" s="14">
        <v>197.5</v>
      </c>
      <c r="D1874" s="12"/>
      <c r="E1874" s="13"/>
    </row>
    <row r="1875" spans="1:5" ht="11.1" hidden="1" customHeight="1" x14ac:dyDescent="0.25">
      <c r="A1875" s="12" t="s">
        <v>2709</v>
      </c>
      <c r="B1875" s="12" t="s">
        <v>2468</v>
      </c>
      <c r="C1875" s="14">
        <v>267.07</v>
      </c>
      <c r="D1875" s="12"/>
      <c r="E1875" s="13"/>
    </row>
    <row r="1876" spans="1:5" ht="11.1" hidden="1" customHeight="1" x14ac:dyDescent="0.25">
      <c r="A1876" s="12" t="s">
        <v>2710</v>
      </c>
      <c r="B1876" s="12" t="s">
        <v>2437</v>
      </c>
      <c r="C1876" s="14">
        <v>3.2</v>
      </c>
      <c r="D1876" s="12"/>
      <c r="E1876" s="13"/>
    </row>
    <row r="1877" spans="1:5" ht="11.1" hidden="1" customHeight="1" x14ac:dyDescent="0.25">
      <c r="A1877" s="12" t="s">
        <v>2711</v>
      </c>
      <c r="B1877" s="12" t="s">
        <v>1613</v>
      </c>
      <c r="C1877" s="14">
        <v>1.4</v>
      </c>
      <c r="D1877" s="12"/>
      <c r="E1877" s="13"/>
    </row>
    <row r="1878" spans="1:5" ht="11.1" hidden="1" customHeight="1" x14ac:dyDescent="0.25">
      <c r="A1878" s="12" t="s">
        <v>2712</v>
      </c>
      <c r="B1878" s="12" t="s">
        <v>2560</v>
      </c>
      <c r="C1878" s="14">
        <v>2.29</v>
      </c>
      <c r="D1878" s="12"/>
      <c r="E1878" s="13"/>
    </row>
    <row r="1879" spans="1:5" ht="23.1" hidden="1" customHeight="1" x14ac:dyDescent="0.25">
      <c r="A1879" s="12" t="s">
        <v>2713</v>
      </c>
      <c r="B1879" s="12" t="s">
        <v>2215</v>
      </c>
      <c r="C1879" s="14">
        <v>0.5</v>
      </c>
      <c r="D1879" s="12"/>
      <c r="E1879" s="13"/>
    </row>
    <row r="1880" spans="1:5" ht="11.1" hidden="1" customHeight="1" x14ac:dyDescent="0.25">
      <c r="A1880" s="12" t="s">
        <v>2714</v>
      </c>
      <c r="B1880" s="12" t="s">
        <v>2715</v>
      </c>
      <c r="C1880" s="14">
        <v>3.68</v>
      </c>
      <c r="D1880" s="12"/>
      <c r="E1880" s="13"/>
    </row>
    <row r="1881" spans="1:5" ht="11.1" hidden="1" customHeight="1" x14ac:dyDescent="0.25">
      <c r="A1881" s="12" t="s">
        <v>2716</v>
      </c>
      <c r="B1881" s="12" t="s">
        <v>2452</v>
      </c>
      <c r="C1881" s="14">
        <v>1.08</v>
      </c>
      <c r="D1881" s="12"/>
      <c r="E1881" s="13"/>
    </row>
    <row r="1882" spans="1:5" ht="11.1" hidden="1" customHeight="1" x14ac:dyDescent="0.25">
      <c r="A1882" s="12" t="s">
        <v>2717</v>
      </c>
      <c r="B1882" s="12" t="s">
        <v>2224</v>
      </c>
      <c r="C1882" s="14">
        <v>18.899999999999999</v>
      </c>
      <c r="D1882" s="12"/>
      <c r="E1882" s="13"/>
    </row>
    <row r="1883" spans="1:5" ht="11.1" hidden="1" customHeight="1" x14ac:dyDescent="0.25">
      <c r="A1883" s="12" t="s">
        <v>2718</v>
      </c>
      <c r="B1883" s="12" t="s">
        <v>2719</v>
      </c>
      <c r="C1883" s="14">
        <v>0.76</v>
      </c>
      <c r="D1883" s="12"/>
      <c r="E1883" s="13"/>
    </row>
    <row r="1884" spans="1:5" ht="11.1" hidden="1" customHeight="1" x14ac:dyDescent="0.25">
      <c r="A1884" s="12" t="s">
        <v>2720</v>
      </c>
      <c r="B1884" s="12" t="s">
        <v>2715</v>
      </c>
      <c r="C1884" s="14">
        <v>1.64</v>
      </c>
      <c r="D1884" s="12"/>
      <c r="E1884" s="13"/>
    </row>
    <row r="1885" spans="1:5" ht="11.1" hidden="1" customHeight="1" x14ac:dyDescent="0.25">
      <c r="A1885" s="12" t="s">
        <v>2721</v>
      </c>
      <c r="B1885" s="12" t="s">
        <v>2722</v>
      </c>
      <c r="C1885" s="14">
        <v>717.5</v>
      </c>
      <c r="D1885" s="12"/>
      <c r="E1885" s="13"/>
    </row>
    <row r="1886" spans="1:5" ht="11.1" hidden="1" customHeight="1" x14ac:dyDescent="0.25">
      <c r="A1886" s="12" t="s">
        <v>2723</v>
      </c>
      <c r="B1886" s="12" t="s">
        <v>2724</v>
      </c>
      <c r="C1886" s="14">
        <v>0.77</v>
      </c>
      <c r="D1886" s="12"/>
      <c r="E1886" s="13"/>
    </row>
    <row r="1887" spans="1:5" ht="11.1" hidden="1" customHeight="1" x14ac:dyDescent="0.25">
      <c r="A1887" s="12" t="s">
        <v>2725</v>
      </c>
      <c r="B1887" s="12" t="s">
        <v>2485</v>
      </c>
      <c r="C1887" s="14">
        <v>4.08</v>
      </c>
      <c r="D1887" s="12"/>
      <c r="E1887" s="13"/>
    </row>
    <row r="1888" spans="1:5" ht="11.1" hidden="1" customHeight="1" x14ac:dyDescent="0.25">
      <c r="A1888" s="12" t="s">
        <v>2726</v>
      </c>
      <c r="B1888" s="12" t="s">
        <v>2727</v>
      </c>
      <c r="C1888" s="14">
        <v>18.329999999999998</v>
      </c>
      <c r="D1888" s="12"/>
      <c r="E1888" s="13"/>
    </row>
    <row r="1889" spans="1:5" ht="11.1" hidden="1" customHeight="1" x14ac:dyDescent="0.25">
      <c r="A1889" s="12" t="s">
        <v>2728</v>
      </c>
      <c r="B1889" s="12" t="s">
        <v>2729</v>
      </c>
      <c r="C1889" s="14">
        <v>0.31</v>
      </c>
      <c r="D1889" s="12"/>
      <c r="E1889" s="13"/>
    </row>
    <row r="1890" spans="1:5" ht="11.1" hidden="1" customHeight="1" x14ac:dyDescent="0.25">
      <c r="A1890" s="12" t="s">
        <v>2730</v>
      </c>
      <c r="B1890" s="12" t="s">
        <v>2417</v>
      </c>
      <c r="C1890" s="14">
        <v>1.4</v>
      </c>
      <c r="D1890" s="12"/>
      <c r="E1890" s="13"/>
    </row>
    <row r="1891" spans="1:5" ht="11.1" hidden="1" customHeight="1" x14ac:dyDescent="0.25">
      <c r="A1891" s="12" t="s">
        <v>2731</v>
      </c>
      <c r="B1891" s="12" t="s">
        <v>2732</v>
      </c>
      <c r="C1891" s="14">
        <v>7</v>
      </c>
      <c r="D1891" s="12"/>
      <c r="E1891" s="13"/>
    </row>
    <row r="1892" spans="1:5" ht="11.1" hidden="1" customHeight="1" x14ac:dyDescent="0.25">
      <c r="A1892" s="12" t="s">
        <v>2733</v>
      </c>
      <c r="B1892" s="12" t="s">
        <v>2734</v>
      </c>
      <c r="C1892" s="14">
        <v>368.33</v>
      </c>
      <c r="D1892" s="12"/>
      <c r="E1892" s="13"/>
    </row>
    <row r="1893" spans="1:5" ht="11.1" hidden="1" customHeight="1" x14ac:dyDescent="0.25">
      <c r="A1893" s="12" t="s">
        <v>2735</v>
      </c>
      <c r="B1893" s="12" t="s">
        <v>2452</v>
      </c>
      <c r="C1893" s="14">
        <v>2.58</v>
      </c>
      <c r="D1893" s="12"/>
      <c r="E1893" s="13"/>
    </row>
    <row r="1894" spans="1:5" ht="11.1" hidden="1" customHeight="1" x14ac:dyDescent="0.25">
      <c r="A1894" s="12" t="s">
        <v>2736</v>
      </c>
      <c r="B1894" s="12" t="s">
        <v>2737</v>
      </c>
      <c r="C1894" s="14">
        <v>0.13</v>
      </c>
      <c r="D1894" s="12"/>
      <c r="E1894" s="13"/>
    </row>
    <row r="1895" spans="1:5" ht="11.1" hidden="1" customHeight="1" x14ac:dyDescent="0.25">
      <c r="A1895" s="12" t="s">
        <v>2738</v>
      </c>
      <c r="B1895" s="12" t="s">
        <v>2737</v>
      </c>
      <c r="C1895" s="14">
        <v>0.11</v>
      </c>
      <c r="D1895" s="12"/>
      <c r="E1895" s="13"/>
    </row>
    <row r="1896" spans="1:5" ht="11.1" hidden="1" customHeight="1" x14ac:dyDescent="0.25">
      <c r="A1896" s="12" t="s">
        <v>2739</v>
      </c>
      <c r="B1896" s="12" t="s">
        <v>2502</v>
      </c>
      <c r="C1896" s="14">
        <v>3.01</v>
      </c>
      <c r="D1896" s="12"/>
      <c r="E1896" s="13"/>
    </row>
    <row r="1897" spans="1:5" ht="11.1" hidden="1" customHeight="1" x14ac:dyDescent="0.25">
      <c r="A1897" s="12" t="s">
        <v>2740</v>
      </c>
      <c r="B1897" s="12" t="s">
        <v>2741</v>
      </c>
      <c r="C1897" s="14">
        <v>2.0099999999999998</v>
      </c>
      <c r="D1897" s="12"/>
      <c r="E1897" s="13"/>
    </row>
    <row r="1898" spans="1:5" ht="11.1" hidden="1" customHeight="1" x14ac:dyDescent="0.25">
      <c r="A1898" s="12" t="s">
        <v>2742</v>
      </c>
      <c r="B1898" s="12" t="s">
        <v>2030</v>
      </c>
      <c r="C1898" s="14">
        <v>3.85</v>
      </c>
      <c r="D1898" s="12"/>
      <c r="E1898" s="13"/>
    </row>
    <row r="1899" spans="1:5" ht="11.1" hidden="1" customHeight="1" x14ac:dyDescent="0.25">
      <c r="A1899" s="12" t="s">
        <v>2743</v>
      </c>
      <c r="B1899" s="12" t="s">
        <v>2030</v>
      </c>
      <c r="C1899" s="14">
        <v>4.45</v>
      </c>
      <c r="D1899" s="12"/>
      <c r="E1899" s="13"/>
    </row>
    <row r="1900" spans="1:5" ht="11.1" hidden="1" customHeight="1" x14ac:dyDescent="0.25">
      <c r="A1900" s="12" t="s">
        <v>2744</v>
      </c>
      <c r="B1900" s="12" t="s">
        <v>2745</v>
      </c>
      <c r="C1900" s="14">
        <v>25441.67</v>
      </c>
      <c r="D1900" s="12"/>
      <c r="E1900" s="14"/>
    </row>
    <row r="1901" spans="1:5" ht="23.1" hidden="1" customHeight="1" x14ac:dyDescent="0.25">
      <c r="A1901" s="12" t="s">
        <v>2746</v>
      </c>
      <c r="B1901" s="12" t="s">
        <v>2747</v>
      </c>
      <c r="C1901" s="14">
        <v>490847.7</v>
      </c>
      <c r="D1901" s="12"/>
      <c r="E1901" s="14"/>
    </row>
    <row r="1902" spans="1:5" ht="23.1" hidden="1" customHeight="1" x14ac:dyDescent="0.25">
      <c r="A1902" s="12" t="s">
        <v>2748</v>
      </c>
      <c r="B1902" s="12" t="s">
        <v>2749</v>
      </c>
      <c r="C1902" s="14">
        <v>1348</v>
      </c>
      <c r="D1902" s="12"/>
      <c r="E1902" s="14"/>
    </row>
    <row r="1903" spans="1:5" ht="23.1" hidden="1" customHeight="1" x14ac:dyDescent="0.25">
      <c r="A1903" s="12" t="s">
        <v>2750</v>
      </c>
      <c r="B1903" s="12" t="s">
        <v>2751</v>
      </c>
      <c r="C1903" s="14">
        <v>1605</v>
      </c>
      <c r="D1903" s="12"/>
      <c r="E1903" s="14"/>
    </row>
    <row r="1904" spans="1:5" ht="11.1" hidden="1" customHeight="1" x14ac:dyDescent="0.25">
      <c r="A1904" s="12" t="s">
        <v>2752</v>
      </c>
      <c r="B1904" s="12" t="s">
        <v>2753</v>
      </c>
      <c r="C1904" s="14">
        <v>183</v>
      </c>
      <c r="D1904" s="12"/>
      <c r="E1904" s="13"/>
    </row>
    <row r="1905" spans="1:5" ht="11.1" hidden="1" customHeight="1" x14ac:dyDescent="0.25">
      <c r="A1905" s="12" t="s">
        <v>2754</v>
      </c>
      <c r="B1905" s="12" t="s">
        <v>2755</v>
      </c>
      <c r="C1905" s="14">
        <v>282.5</v>
      </c>
      <c r="D1905" s="12"/>
      <c r="E1905" s="13"/>
    </row>
    <row r="1906" spans="1:5" ht="11.1" hidden="1" customHeight="1" x14ac:dyDescent="0.25">
      <c r="A1906" s="12" t="s">
        <v>2756</v>
      </c>
      <c r="B1906" s="12" t="s">
        <v>2757</v>
      </c>
      <c r="C1906" s="14">
        <v>400</v>
      </c>
      <c r="D1906" s="12"/>
      <c r="E1906" s="13"/>
    </row>
    <row r="1907" spans="1:5" ht="11.1" hidden="1" customHeight="1" x14ac:dyDescent="0.25">
      <c r="A1907" s="12" t="s">
        <v>2758</v>
      </c>
      <c r="B1907" s="12" t="s">
        <v>2759</v>
      </c>
      <c r="C1907" s="14">
        <v>11626.72</v>
      </c>
      <c r="D1907" s="12"/>
      <c r="E1907" s="14"/>
    </row>
    <row r="1908" spans="1:5" ht="11.1" hidden="1" customHeight="1" x14ac:dyDescent="0.25">
      <c r="A1908" s="12" t="s">
        <v>2760</v>
      </c>
      <c r="B1908" s="12" t="s">
        <v>2761</v>
      </c>
      <c r="C1908" s="14">
        <v>1758.33</v>
      </c>
      <c r="D1908" s="12"/>
      <c r="E1908" s="14"/>
    </row>
    <row r="1909" spans="1:5" ht="11.1" hidden="1" customHeight="1" x14ac:dyDescent="0.25">
      <c r="A1909" s="12" t="s">
        <v>2762</v>
      </c>
      <c r="B1909" s="12" t="s">
        <v>2763</v>
      </c>
      <c r="C1909" s="14">
        <v>3120</v>
      </c>
      <c r="D1909" s="12"/>
      <c r="E1909" s="14"/>
    </row>
    <row r="1910" spans="1:5" ht="11.1" hidden="1" customHeight="1" x14ac:dyDescent="0.25">
      <c r="A1910" s="12" t="s">
        <v>2764</v>
      </c>
      <c r="B1910" s="12" t="s">
        <v>146</v>
      </c>
      <c r="C1910" s="14">
        <v>8.18</v>
      </c>
      <c r="D1910" s="12"/>
      <c r="E1910" s="13"/>
    </row>
    <row r="1911" spans="1:5" ht="11.1" hidden="1" customHeight="1" x14ac:dyDescent="0.25">
      <c r="A1911" s="12" t="s">
        <v>2765</v>
      </c>
      <c r="B1911" s="12" t="s">
        <v>2766</v>
      </c>
      <c r="C1911" s="14">
        <v>14333.34</v>
      </c>
      <c r="D1911" s="12"/>
      <c r="E1911" s="14"/>
    </row>
    <row r="1912" spans="1:5" ht="11.1" hidden="1" customHeight="1" x14ac:dyDescent="0.25">
      <c r="A1912" s="12" t="s">
        <v>2767</v>
      </c>
      <c r="B1912" s="12" t="s">
        <v>2768</v>
      </c>
      <c r="C1912" s="14">
        <v>15683.33</v>
      </c>
      <c r="D1912" s="12"/>
      <c r="E1912" s="14"/>
    </row>
    <row r="1913" spans="1:5" ht="11.1" hidden="1" customHeight="1" x14ac:dyDescent="0.25">
      <c r="A1913" s="12" t="s">
        <v>2769</v>
      </c>
      <c r="B1913" s="12" t="s">
        <v>2770</v>
      </c>
      <c r="C1913" s="14">
        <v>14991.67</v>
      </c>
      <c r="D1913" s="12"/>
      <c r="E1913" s="14"/>
    </row>
    <row r="1914" spans="1:5" ht="11.1" hidden="1" customHeight="1" x14ac:dyDescent="0.25">
      <c r="A1914" s="12" t="s">
        <v>2771</v>
      </c>
      <c r="B1914" s="12" t="s">
        <v>2772</v>
      </c>
      <c r="C1914" s="14">
        <v>3493.77</v>
      </c>
      <c r="D1914" s="12"/>
      <c r="E1914" s="14"/>
    </row>
    <row r="1915" spans="1:5" ht="11.1" hidden="1" customHeight="1" x14ac:dyDescent="0.25">
      <c r="A1915" s="12" t="s">
        <v>2773</v>
      </c>
      <c r="B1915" s="12" t="s">
        <v>182</v>
      </c>
      <c r="C1915" s="14">
        <v>666.67</v>
      </c>
      <c r="D1915" s="12"/>
      <c r="E1915" s="13"/>
    </row>
    <row r="1916" spans="1:5" ht="11.1" hidden="1" customHeight="1" x14ac:dyDescent="0.25">
      <c r="A1916" s="12" t="s">
        <v>2774</v>
      </c>
      <c r="B1916" s="12" t="s">
        <v>1810</v>
      </c>
      <c r="C1916" s="14">
        <v>317.27999999999997</v>
      </c>
      <c r="D1916" s="12"/>
      <c r="E1916" s="13"/>
    </row>
    <row r="1917" spans="1:5" ht="11.1" hidden="1" customHeight="1" x14ac:dyDescent="0.25">
      <c r="A1917" s="12" t="s">
        <v>2775</v>
      </c>
      <c r="B1917" s="12" t="s">
        <v>2030</v>
      </c>
      <c r="C1917" s="14">
        <v>155.74</v>
      </c>
      <c r="D1917" s="12"/>
      <c r="E1917" s="13"/>
    </row>
    <row r="1918" spans="1:5" ht="11.1" hidden="1" customHeight="1" x14ac:dyDescent="0.25">
      <c r="A1918" s="12" t="s">
        <v>2776</v>
      </c>
      <c r="B1918" s="12" t="s">
        <v>2777</v>
      </c>
      <c r="C1918" s="14">
        <v>1115</v>
      </c>
      <c r="D1918" s="12"/>
      <c r="E1918" s="14"/>
    </row>
    <row r="1919" spans="1:5" ht="11.1" hidden="1" customHeight="1" x14ac:dyDescent="0.25">
      <c r="A1919" s="12" t="s">
        <v>2778</v>
      </c>
      <c r="B1919" s="12" t="s">
        <v>2777</v>
      </c>
      <c r="C1919" s="14">
        <v>605.83000000000004</v>
      </c>
      <c r="D1919" s="12"/>
      <c r="E1919" s="13"/>
    </row>
    <row r="1920" spans="1:5" ht="11.1" hidden="1" customHeight="1" x14ac:dyDescent="0.25">
      <c r="A1920" s="12" t="s">
        <v>2779</v>
      </c>
      <c r="B1920" s="12" t="s">
        <v>2780</v>
      </c>
      <c r="C1920" s="14">
        <v>312.5</v>
      </c>
      <c r="D1920" s="12"/>
      <c r="E1920" s="13"/>
    </row>
    <row r="1921" spans="1:5" ht="11.1" hidden="1" customHeight="1" x14ac:dyDescent="0.25">
      <c r="A1921" s="12" t="s">
        <v>2781</v>
      </c>
      <c r="B1921" s="12" t="s">
        <v>2782</v>
      </c>
      <c r="C1921" s="14">
        <v>1618.86</v>
      </c>
      <c r="D1921" s="12"/>
      <c r="E1921" s="14"/>
    </row>
    <row r="1922" spans="1:5" ht="11.1" hidden="1" customHeight="1" x14ac:dyDescent="0.25">
      <c r="A1922" s="12" t="s">
        <v>2783</v>
      </c>
      <c r="B1922" s="12" t="s">
        <v>2784</v>
      </c>
      <c r="C1922" s="14">
        <v>73.569999999999993</v>
      </c>
      <c r="D1922" s="12"/>
      <c r="E1922" s="13"/>
    </row>
    <row r="1923" spans="1:5" ht="11.1" hidden="1" customHeight="1" x14ac:dyDescent="0.25">
      <c r="A1923" s="12" t="s">
        <v>2785</v>
      </c>
      <c r="B1923" s="12" t="s">
        <v>738</v>
      </c>
      <c r="C1923" s="14">
        <v>5166.67</v>
      </c>
      <c r="D1923" s="12"/>
      <c r="E1923" s="14"/>
    </row>
    <row r="1924" spans="1:5" ht="11.1" hidden="1" customHeight="1" x14ac:dyDescent="0.25">
      <c r="A1924" s="12" t="s">
        <v>2786</v>
      </c>
      <c r="B1924" s="12" t="s">
        <v>780</v>
      </c>
      <c r="C1924" s="14">
        <v>2821.67</v>
      </c>
      <c r="D1924" s="12"/>
      <c r="E1924" s="14"/>
    </row>
    <row r="1925" spans="1:5" ht="11.1" hidden="1" customHeight="1" x14ac:dyDescent="0.25">
      <c r="A1925" s="12" t="s">
        <v>2787</v>
      </c>
      <c r="B1925" s="12" t="s">
        <v>663</v>
      </c>
      <c r="C1925" s="14">
        <v>342.5</v>
      </c>
      <c r="D1925" s="12"/>
      <c r="E1925" s="13"/>
    </row>
    <row r="1926" spans="1:5" ht="11.1" hidden="1" customHeight="1" x14ac:dyDescent="0.25">
      <c r="A1926" s="12" t="s">
        <v>2788</v>
      </c>
      <c r="B1926" s="12" t="s">
        <v>2789</v>
      </c>
      <c r="C1926" s="14">
        <v>1102.5</v>
      </c>
      <c r="D1926" s="12"/>
      <c r="E1926" s="14"/>
    </row>
    <row r="1927" spans="1:5" ht="11.1" hidden="1" customHeight="1" x14ac:dyDescent="0.25">
      <c r="A1927" s="12" t="s">
        <v>2790</v>
      </c>
      <c r="B1927" s="12" t="s">
        <v>733</v>
      </c>
      <c r="C1927" s="14">
        <v>185.42</v>
      </c>
      <c r="D1927" s="12"/>
      <c r="E1927" s="13"/>
    </row>
    <row r="1928" spans="1:5" ht="11.1" hidden="1" customHeight="1" x14ac:dyDescent="0.25">
      <c r="A1928" s="12" t="s">
        <v>2791</v>
      </c>
      <c r="B1928" s="12" t="s">
        <v>2792</v>
      </c>
      <c r="C1928" s="14">
        <v>165</v>
      </c>
      <c r="D1928" s="12"/>
      <c r="E1928" s="13"/>
    </row>
    <row r="1929" spans="1:5" ht="11.1" hidden="1" customHeight="1" x14ac:dyDescent="0.25">
      <c r="A1929" s="12" t="s">
        <v>2793</v>
      </c>
      <c r="B1929" s="12" t="s">
        <v>2794</v>
      </c>
      <c r="C1929" s="14">
        <v>1166.67</v>
      </c>
      <c r="D1929" s="12"/>
      <c r="E1929" s="14"/>
    </row>
    <row r="1930" spans="1:5" ht="11.1" hidden="1" customHeight="1" x14ac:dyDescent="0.25">
      <c r="A1930" s="12" t="s">
        <v>2795</v>
      </c>
      <c r="B1930" s="12" t="s">
        <v>2796</v>
      </c>
      <c r="C1930" s="14">
        <v>351.67</v>
      </c>
      <c r="D1930" s="12"/>
      <c r="E1930" s="13"/>
    </row>
    <row r="1931" spans="1:5" ht="11.1" hidden="1" customHeight="1" x14ac:dyDescent="0.25">
      <c r="A1931" s="12" t="s">
        <v>2797</v>
      </c>
      <c r="B1931" s="12" t="s">
        <v>2798</v>
      </c>
      <c r="C1931" s="14">
        <v>1464.17</v>
      </c>
      <c r="D1931" s="12"/>
      <c r="E1931" s="14"/>
    </row>
    <row r="1932" spans="1:5" ht="11.1" hidden="1" customHeight="1" x14ac:dyDescent="0.25">
      <c r="A1932" s="12" t="s">
        <v>2799</v>
      </c>
      <c r="B1932" s="12" t="s">
        <v>2800</v>
      </c>
      <c r="C1932" s="14">
        <v>2242</v>
      </c>
      <c r="D1932" s="12"/>
      <c r="E1932" s="14"/>
    </row>
    <row r="1933" spans="1:5" ht="11.1" hidden="1" customHeight="1" x14ac:dyDescent="0.25">
      <c r="A1933" s="12" t="s">
        <v>2801</v>
      </c>
      <c r="B1933" s="12" t="s">
        <v>2802</v>
      </c>
      <c r="C1933" s="14">
        <v>776.67</v>
      </c>
      <c r="D1933" s="12"/>
      <c r="E1933" s="13"/>
    </row>
    <row r="1934" spans="1:5" ht="11.1" hidden="1" customHeight="1" x14ac:dyDescent="0.25">
      <c r="A1934" s="12" t="s">
        <v>2803</v>
      </c>
      <c r="B1934" s="12" t="s">
        <v>2804</v>
      </c>
      <c r="C1934" s="14">
        <v>816.66</v>
      </c>
      <c r="D1934" s="12"/>
      <c r="E1934" s="13"/>
    </row>
    <row r="1935" spans="1:5" ht="11.1" hidden="1" customHeight="1" x14ac:dyDescent="0.25">
      <c r="A1935" s="12" t="s">
        <v>2805</v>
      </c>
      <c r="B1935" s="12" t="s">
        <v>2806</v>
      </c>
      <c r="C1935" s="14">
        <v>153.33000000000001</v>
      </c>
      <c r="D1935" s="12"/>
      <c r="E1935" s="13"/>
    </row>
    <row r="1936" spans="1:5" ht="11.1" hidden="1" customHeight="1" x14ac:dyDescent="0.25">
      <c r="A1936" s="12" t="s">
        <v>2807</v>
      </c>
      <c r="B1936" s="12" t="s">
        <v>2808</v>
      </c>
      <c r="C1936" s="14">
        <v>208.33</v>
      </c>
      <c r="D1936" s="12"/>
      <c r="E1936" s="13"/>
    </row>
    <row r="1937" spans="1:5" ht="11.1" hidden="1" customHeight="1" x14ac:dyDescent="0.25">
      <c r="A1937" s="12" t="s">
        <v>2809</v>
      </c>
      <c r="B1937" s="12" t="s">
        <v>1810</v>
      </c>
      <c r="C1937" s="14">
        <v>208.18</v>
      </c>
      <c r="D1937" s="12"/>
      <c r="E1937" s="13"/>
    </row>
    <row r="1938" spans="1:5" ht="11.1" hidden="1" customHeight="1" x14ac:dyDescent="0.25">
      <c r="A1938" s="12" t="s">
        <v>2810</v>
      </c>
      <c r="B1938" s="12" t="s">
        <v>2811</v>
      </c>
      <c r="C1938" s="14">
        <v>56</v>
      </c>
      <c r="D1938" s="12"/>
      <c r="E1938" s="13"/>
    </row>
    <row r="1939" spans="1:5" ht="11.1" hidden="1" customHeight="1" x14ac:dyDescent="0.25">
      <c r="A1939" s="12" t="s">
        <v>2812</v>
      </c>
      <c r="B1939" s="12" t="s">
        <v>372</v>
      </c>
      <c r="C1939" s="14">
        <v>54.17</v>
      </c>
      <c r="D1939" s="12"/>
      <c r="E1939" s="13"/>
    </row>
    <row r="1940" spans="1:5" ht="11.1" hidden="1" customHeight="1" x14ac:dyDescent="0.25">
      <c r="A1940" s="12" t="s">
        <v>2813</v>
      </c>
      <c r="B1940" s="12" t="s">
        <v>1245</v>
      </c>
      <c r="C1940" s="14">
        <v>118.33</v>
      </c>
      <c r="D1940" s="12"/>
      <c r="E1940" s="13"/>
    </row>
    <row r="1941" spans="1:5" ht="11.1" hidden="1" customHeight="1" x14ac:dyDescent="0.25">
      <c r="A1941" s="12" t="s">
        <v>2814</v>
      </c>
      <c r="B1941" s="12" t="s">
        <v>2815</v>
      </c>
      <c r="C1941" s="14">
        <v>24.17</v>
      </c>
      <c r="D1941" s="12"/>
      <c r="E1941" s="13"/>
    </row>
    <row r="1942" spans="1:5" ht="11.1" hidden="1" customHeight="1" x14ac:dyDescent="0.25">
      <c r="A1942" s="12" t="s">
        <v>2816</v>
      </c>
      <c r="B1942" s="12" t="s">
        <v>2817</v>
      </c>
      <c r="C1942" s="14">
        <v>64.17</v>
      </c>
      <c r="D1942" s="12"/>
      <c r="E1942" s="13"/>
    </row>
    <row r="1943" spans="1:5" ht="11.1" hidden="1" customHeight="1" x14ac:dyDescent="0.25">
      <c r="A1943" s="12" t="s">
        <v>2818</v>
      </c>
      <c r="B1943" s="12" t="s">
        <v>2819</v>
      </c>
      <c r="C1943" s="14">
        <v>49.87</v>
      </c>
      <c r="D1943" s="12"/>
      <c r="E1943" s="13"/>
    </row>
    <row r="1944" spans="1:5" ht="11.1" hidden="1" customHeight="1" x14ac:dyDescent="0.25">
      <c r="A1944" s="12" t="s">
        <v>2820</v>
      </c>
      <c r="B1944" s="12" t="s">
        <v>2821</v>
      </c>
      <c r="C1944" s="14">
        <v>85</v>
      </c>
      <c r="D1944" s="12"/>
      <c r="E1944" s="13"/>
    </row>
    <row r="1945" spans="1:5" ht="11.1" hidden="1" customHeight="1" x14ac:dyDescent="0.25">
      <c r="A1945" s="12" t="s">
        <v>2822</v>
      </c>
      <c r="B1945" s="12" t="s">
        <v>2107</v>
      </c>
      <c r="C1945" s="14">
        <v>155.83000000000001</v>
      </c>
      <c r="D1945" s="12"/>
      <c r="E1945" s="13"/>
    </row>
    <row r="1946" spans="1:5" ht="11.1" hidden="1" customHeight="1" x14ac:dyDescent="0.25">
      <c r="A1946" s="12" t="s">
        <v>2823</v>
      </c>
      <c r="B1946" s="12" t="s">
        <v>1985</v>
      </c>
      <c r="C1946" s="14">
        <v>206.68</v>
      </c>
      <c r="D1946" s="12"/>
      <c r="E1946" s="13"/>
    </row>
    <row r="1947" spans="1:5" ht="11.1" hidden="1" customHeight="1" x14ac:dyDescent="0.25">
      <c r="A1947" s="12" t="s">
        <v>2824</v>
      </c>
      <c r="B1947" s="12" t="s">
        <v>1985</v>
      </c>
      <c r="C1947" s="14">
        <v>207.5</v>
      </c>
      <c r="D1947" s="12"/>
      <c r="E1947" s="13"/>
    </row>
    <row r="1948" spans="1:5" ht="11.1" hidden="1" customHeight="1" x14ac:dyDescent="0.25">
      <c r="A1948" s="12" t="s">
        <v>2825</v>
      </c>
      <c r="B1948" s="12" t="s">
        <v>2826</v>
      </c>
      <c r="C1948" s="14">
        <v>43.42</v>
      </c>
      <c r="D1948" s="12"/>
      <c r="E1948" s="13"/>
    </row>
    <row r="1949" spans="1:5" ht="11.1" hidden="1" customHeight="1" x14ac:dyDescent="0.25">
      <c r="A1949" s="12" t="s">
        <v>2827</v>
      </c>
      <c r="B1949" s="12" t="s">
        <v>2828</v>
      </c>
      <c r="C1949" s="14">
        <v>23.65</v>
      </c>
      <c r="D1949" s="12"/>
      <c r="E1949" s="13"/>
    </row>
    <row r="1950" spans="1:5" ht="11.1" hidden="1" customHeight="1" x14ac:dyDescent="0.25">
      <c r="A1950" s="12" t="s">
        <v>2829</v>
      </c>
      <c r="B1950" s="12" t="s">
        <v>2830</v>
      </c>
      <c r="C1950" s="14">
        <v>1140</v>
      </c>
      <c r="D1950" s="12"/>
      <c r="E1950" s="14"/>
    </row>
    <row r="1951" spans="1:5" ht="11.1" hidden="1" customHeight="1" x14ac:dyDescent="0.25">
      <c r="A1951" s="12" t="s">
        <v>2831</v>
      </c>
      <c r="B1951" s="12" t="s">
        <v>2826</v>
      </c>
      <c r="C1951" s="14">
        <v>39.83</v>
      </c>
      <c r="D1951" s="12"/>
      <c r="E1951" s="13"/>
    </row>
    <row r="1952" spans="1:5" ht="11.1" hidden="1" customHeight="1" x14ac:dyDescent="0.25">
      <c r="A1952" s="12" t="s">
        <v>2832</v>
      </c>
      <c r="B1952" s="12" t="s">
        <v>2833</v>
      </c>
      <c r="C1952" s="14">
        <v>11333.33</v>
      </c>
      <c r="D1952" s="12"/>
      <c r="E1952" s="14"/>
    </row>
    <row r="1953" spans="1:5" ht="11.1" hidden="1" customHeight="1" x14ac:dyDescent="0.25">
      <c r="A1953" s="12" t="s">
        <v>2834</v>
      </c>
      <c r="B1953" s="12" t="s">
        <v>2835</v>
      </c>
      <c r="C1953" s="14">
        <v>45833.33</v>
      </c>
      <c r="D1953" s="12"/>
      <c r="E1953" s="14"/>
    </row>
    <row r="1954" spans="1:5" ht="11.1" hidden="1" customHeight="1" x14ac:dyDescent="0.25">
      <c r="A1954" s="12" t="s">
        <v>2836</v>
      </c>
      <c r="B1954" s="12" t="s">
        <v>1958</v>
      </c>
      <c r="C1954" s="14">
        <v>16325.84</v>
      </c>
      <c r="D1954" s="12"/>
      <c r="E1954" s="14"/>
    </row>
    <row r="1955" spans="1:5" ht="11.1" hidden="1" customHeight="1" x14ac:dyDescent="0.25">
      <c r="A1955" s="12" t="s">
        <v>2837</v>
      </c>
      <c r="B1955" s="12" t="s">
        <v>2053</v>
      </c>
      <c r="C1955" s="14">
        <v>381.67</v>
      </c>
      <c r="D1955" s="12"/>
      <c r="E1955" s="13"/>
    </row>
    <row r="1956" spans="1:5" ht="11.1" hidden="1" customHeight="1" x14ac:dyDescent="0.25">
      <c r="A1956" s="12" t="s">
        <v>2838</v>
      </c>
      <c r="B1956" s="12" t="s">
        <v>2839</v>
      </c>
      <c r="C1956" s="14">
        <v>23280</v>
      </c>
      <c r="D1956" s="12"/>
      <c r="E1956" s="14"/>
    </row>
    <row r="1957" spans="1:5" ht="11.1" hidden="1" customHeight="1" x14ac:dyDescent="0.25">
      <c r="A1957" s="12" t="s">
        <v>2840</v>
      </c>
      <c r="B1957" s="12" t="s">
        <v>2841</v>
      </c>
      <c r="C1957" s="14">
        <v>7516.67</v>
      </c>
      <c r="D1957" s="12"/>
      <c r="E1957" s="14"/>
    </row>
    <row r="1958" spans="1:5" ht="11.1" hidden="1" customHeight="1" x14ac:dyDescent="0.25">
      <c r="A1958" s="12" t="s">
        <v>2842</v>
      </c>
      <c r="B1958" s="12" t="s">
        <v>2841</v>
      </c>
      <c r="C1958" s="14">
        <v>14116.67</v>
      </c>
      <c r="D1958" s="12"/>
      <c r="E1958" s="14"/>
    </row>
    <row r="1959" spans="1:5" ht="11.1" hidden="1" customHeight="1" x14ac:dyDescent="0.25">
      <c r="A1959" s="12" t="s">
        <v>2843</v>
      </c>
      <c r="B1959" s="12" t="s">
        <v>2844</v>
      </c>
      <c r="C1959" s="14">
        <v>865.27</v>
      </c>
      <c r="D1959" s="12"/>
      <c r="E1959" s="13"/>
    </row>
    <row r="1960" spans="1:5" ht="11.1" hidden="1" customHeight="1" x14ac:dyDescent="0.25">
      <c r="A1960" s="12" t="s">
        <v>2845</v>
      </c>
      <c r="B1960" s="12" t="s">
        <v>2846</v>
      </c>
      <c r="C1960" s="14">
        <v>1925</v>
      </c>
      <c r="D1960" s="12"/>
      <c r="E1960" s="14"/>
    </row>
    <row r="1961" spans="1:5" ht="11.1" hidden="1" customHeight="1" x14ac:dyDescent="0.25">
      <c r="A1961" s="12" t="s">
        <v>2847</v>
      </c>
      <c r="B1961" s="12" t="s">
        <v>84</v>
      </c>
      <c r="C1961" s="14">
        <v>291.67</v>
      </c>
      <c r="D1961" s="12"/>
      <c r="E1961" s="13"/>
    </row>
    <row r="1962" spans="1:5" ht="11.1" hidden="1" customHeight="1" x14ac:dyDescent="0.25">
      <c r="A1962" s="12" t="s">
        <v>2848</v>
      </c>
      <c r="B1962" s="12" t="s">
        <v>2849</v>
      </c>
      <c r="C1962" s="14">
        <v>3303.33</v>
      </c>
      <c r="D1962" s="12"/>
      <c r="E1962" s="14"/>
    </row>
    <row r="1963" spans="1:5" ht="11.1" hidden="1" customHeight="1" x14ac:dyDescent="0.25">
      <c r="A1963" s="12" t="s">
        <v>2850</v>
      </c>
      <c r="B1963" s="12" t="s">
        <v>2381</v>
      </c>
      <c r="C1963" s="14">
        <v>1277.29</v>
      </c>
      <c r="D1963" s="12"/>
      <c r="E1963" s="14"/>
    </row>
    <row r="1964" spans="1:5" ht="11.1" hidden="1" customHeight="1" x14ac:dyDescent="0.25">
      <c r="A1964" s="12" t="s">
        <v>2851</v>
      </c>
      <c r="B1964" s="12" t="s">
        <v>2852</v>
      </c>
      <c r="C1964" s="14">
        <v>26074.35</v>
      </c>
      <c r="D1964" s="12"/>
      <c r="E1964" s="14"/>
    </row>
    <row r="1965" spans="1:5" ht="11.1" hidden="1" customHeight="1" x14ac:dyDescent="0.25">
      <c r="A1965" s="12" t="s">
        <v>2853</v>
      </c>
      <c r="B1965" s="12" t="s">
        <v>2854</v>
      </c>
      <c r="C1965" s="14">
        <v>2736.67</v>
      </c>
      <c r="D1965" s="12"/>
      <c r="E1965" s="14"/>
    </row>
    <row r="1966" spans="1:5" ht="11.1" hidden="1" customHeight="1" x14ac:dyDescent="0.25">
      <c r="A1966" s="12" t="s">
        <v>2855</v>
      </c>
      <c r="B1966" s="12" t="s">
        <v>1934</v>
      </c>
      <c r="C1966" s="14">
        <v>7500</v>
      </c>
      <c r="D1966" s="12"/>
      <c r="E1966" s="14"/>
    </row>
    <row r="1967" spans="1:5" ht="11.1" hidden="1" customHeight="1" x14ac:dyDescent="0.25">
      <c r="A1967" s="12" t="s">
        <v>2856</v>
      </c>
      <c r="B1967" s="12" t="s">
        <v>684</v>
      </c>
      <c r="C1967" s="14">
        <v>10260</v>
      </c>
      <c r="D1967" s="12"/>
      <c r="E1967" s="14"/>
    </row>
    <row r="1968" spans="1:5" ht="11.1" hidden="1" customHeight="1" x14ac:dyDescent="0.25">
      <c r="A1968" s="12" t="s">
        <v>2857</v>
      </c>
      <c r="B1968" s="12" t="s">
        <v>182</v>
      </c>
      <c r="C1968" s="14">
        <v>5833.33</v>
      </c>
      <c r="D1968" s="12"/>
      <c r="E1968" s="14"/>
    </row>
    <row r="1969" spans="1:5" ht="23.1" hidden="1" customHeight="1" x14ac:dyDescent="0.25">
      <c r="A1969" s="12" t="s">
        <v>2858</v>
      </c>
      <c r="B1969" s="12" t="s">
        <v>2063</v>
      </c>
      <c r="C1969" s="14">
        <v>10489.17</v>
      </c>
      <c r="D1969" s="12"/>
      <c r="E1969" s="14"/>
    </row>
    <row r="1970" spans="1:5" ht="11.1" hidden="1" customHeight="1" x14ac:dyDescent="0.25">
      <c r="A1970" s="12" t="s">
        <v>2859</v>
      </c>
      <c r="B1970" s="12" t="s">
        <v>684</v>
      </c>
      <c r="C1970" s="14">
        <v>2360</v>
      </c>
      <c r="D1970" s="12"/>
      <c r="E1970" s="14"/>
    </row>
    <row r="1971" spans="1:5" ht="11.1" hidden="1" customHeight="1" x14ac:dyDescent="0.25">
      <c r="A1971" s="12" t="s">
        <v>2860</v>
      </c>
      <c r="B1971" s="12" t="s">
        <v>2407</v>
      </c>
      <c r="C1971" s="14">
        <v>159.16999999999999</v>
      </c>
      <c r="D1971" s="12"/>
      <c r="E1971" s="13"/>
    </row>
    <row r="1972" spans="1:5" ht="11.1" hidden="1" customHeight="1" x14ac:dyDescent="0.25">
      <c r="A1972" s="12" t="s">
        <v>2861</v>
      </c>
      <c r="B1972" s="12" t="s">
        <v>2862</v>
      </c>
      <c r="C1972" s="14">
        <v>26670</v>
      </c>
      <c r="D1972" s="12"/>
      <c r="E1972" s="14"/>
    </row>
    <row r="1973" spans="1:5" ht="11.1" hidden="1" customHeight="1" x14ac:dyDescent="0.25">
      <c r="A1973" s="12" t="s">
        <v>2863</v>
      </c>
      <c r="B1973" s="12" t="s">
        <v>2864</v>
      </c>
      <c r="C1973" s="14">
        <v>139.16999999999999</v>
      </c>
      <c r="D1973" s="12"/>
      <c r="E1973" s="13"/>
    </row>
    <row r="1974" spans="1:5" ht="11.1" hidden="1" customHeight="1" x14ac:dyDescent="0.25">
      <c r="A1974" s="12" t="s">
        <v>2865</v>
      </c>
      <c r="B1974" s="12" t="s">
        <v>2095</v>
      </c>
      <c r="C1974" s="14">
        <v>216.67</v>
      </c>
      <c r="D1974" s="12"/>
      <c r="E1974" s="13"/>
    </row>
    <row r="1975" spans="1:5" ht="11.1" hidden="1" customHeight="1" x14ac:dyDescent="0.25">
      <c r="A1975" s="12" t="s">
        <v>2866</v>
      </c>
      <c r="B1975" s="12" t="s">
        <v>1573</v>
      </c>
      <c r="C1975" s="14">
        <v>2455</v>
      </c>
      <c r="D1975" s="12"/>
      <c r="E1975" s="14"/>
    </row>
    <row r="1976" spans="1:5" ht="11.1" hidden="1" customHeight="1" x14ac:dyDescent="0.25">
      <c r="A1976" s="12" t="s">
        <v>2867</v>
      </c>
      <c r="B1976" s="12" t="s">
        <v>297</v>
      </c>
      <c r="C1976" s="14">
        <v>329.17</v>
      </c>
      <c r="D1976" s="12"/>
      <c r="E1976" s="13"/>
    </row>
    <row r="1977" spans="1:5" ht="11.1" hidden="1" customHeight="1" x14ac:dyDescent="0.25">
      <c r="A1977" s="12" t="s">
        <v>2868</v>
      </c>
      <c r="B1977" s="12" t="s">
        <v>347</v>
      </c>
      <c r="C1977" s="14">
        <v>505</v>
      </c>
      <c r="D1977" s="12"/>
      <c r="E1977" s="13"/>
    </row>
    <row r="1978" spans="1:5" ht="11.1" hidden="1" customHeight="1" x14ac:dyDescent="0.25">
      <c r="A1978" s="12" t="s">
        <v>2869</v>
      </c>
      <c r="B1978" s="12" t="s">
        <v>497</v>
      </c>
      <c r="C1978" s="14">
        <v>2776.67</v>
      </c>
      <c r="D1978" s="12"/>
      <c r="E1978" s="14"/>
    </row>
    <row r="1979" spans="1:5" ht="11.1" hidden="1" customHeight="1" x14ac:dyDescent="0.25">
      <c r="A1979" s="12" t="s">
        <v>2870</v>
      </c>
      <c r="B1979" s="12" t="s">
        <v>745</v>
      </c>
      <c r="C1979" s="14">
        <v>377.5</v>
      </c>
      <c r="D1979" s="12"/>
      <c r="E1979" s="13"/>
    </row>
    <row r="1980" spans="1:5" ht="11.1" hidden="1" customHeight="1" x14ac:dyDescent="0.25">
      <c r="A1980" s="12" t="s">
        <v>2871</v>
      </c>
      <c r="B1980" s="12" t="s">
        <v>709</v>
      </c>
      <c r="C1980" s="14">
        <v>9098.33</v>
      </c>
      <c r="D1980" s="12"/>
      <c r="E1980" s="14"/>
    </row>
    <row r="1981" spans="1:5" ht="11.1" hidden="1" customHeight="1" x14ac:dyDescent="0.25">
      <c r="A1981" s="12" t="s">
        <v>2872</v>
      </c>
      <c r="B1981" s="12" t="s">
        <v>332</v>
      </c>
      <c r="C1981" s="14">
        <v>1377.5</v>
      </c>
      <c r="D1981" s="12"/>
      <c r="E1981" s="14"/>
    </row>
    <row r="1982" spans="1:5" ht="11.1" hidden="1" customHeight="1" x14ac:dyDescent="0.25">
      <c r="A1982" s="12" t="s">
        <v>2873</v>
      </c>
      <c r="B1982" s="12" t="s">
        <v>963</v>
      </c>
      <c r="C1982" s="14">
        <v>383.34</v>
      </c>
      <c r="D1982" s="12"/>
      <c r="E1982" s="13"/>
    </row>
    <row r="1983" spans="1:5" ht="11.1" hidden="1" customHeight="1" x14ac:dyDescent="0.25">
      <c r="A1983" s="12" t="s">
        <v>2874</v>
      </c>
      <c r="B1983" s="12" t="s">
        <v>2875</v>
      </c>
      <c r="C1983" s="14">
        <v>354.17</v>
      </c>
      <c r="D1983" s="12"/>
      <c r="E1983" s="13"/>
    </row>
    <row r="1984" spans="1:5" ht="11.1" hidden="1" customHeight="1" x14ac:dyDescent="0.25">
      <c r="A1984" s="12" t="s">
        <v>2876</v>
      </c>
      <c r="B1984" s="12" t="s">
        <v>2877</v>
      </c>
      <c r="C1984" s="14">
        <v>1838.2</v>
      </c>
      <c r="D1984" s="12"/>
      <c r="E1984" s="14"/>
    </row>
    <row r="1985" spans="1:5" ht="11.1" hidden="1" customHeight="1" x14ac:dyDescent="0.25">
      <c r="A1985" s="12" t="s">
        <v>2878</v>
      </c>
      <c r="B1985" s="12" t="s">
        <v>2879</v>
      </c>
      <c r="C1985" s="14">
        <v>1300</v>
      </c>
      <c r="D1985" s="12"/>
      <c r="E1985" s="14"/>
    </row>
    <row r="1986" spans="1:5" ht="11.1" hidden="1" customHeight="1" x14ac:dyDescent="0.25">
      <c r="A1986" s="12" t="s">
        <v>2880</v>
      </c>
      <c r="B1986" s="12" t="s">
        <v>2100</v>
      </c>
      <c r="C1986" s="14">
        <v>110</v>
      </c>
      <c r="D1986" s="12"/>
      <c r="E1986" s="13"/>
    </row>
    <row r="1987" spans="1:5" ht="11.1" hidden="1" customHeight="1" x14ac:dyDescent="0.25">
      <c r="A1987" s="12" t="s">
        <v>2881</v>
      </c>
      <c r="B1987" s="12" t="s">
        <v>288</v>
      </c>
      <c r="C1987" s="14">
        <v>327.5</v>
      </c>
      <c r="D1987" s="12"/>
      <c r="E1987" s="13"/>
    </row>
    <row r="1988" spans="1:5" ht="11.1" hidden="1" customHeight="1" x14ac:dyDescent="0.25">
      <c r="A1988" s="12" t="s">
        <v>2882</v>
      </c>
      <c r="B1988" s="12" t="s">
        <v>387</v>
      </c>
      <c r="C1988" s="14">
        <v>565.83000000000004</v>
      </c>
      <c r="D1988" s="12"/>
      <c r="E1988" s="13"/>
    </row>
    <row r="1989" spans="1:5" ht="11.1" hidden="1" customHeight="1" x14ac:dyDescent="0.25">
      <c r="A1989" s="12" t="s">
        <v>2883</v>
      </c>
      <c r="B1989" s="12" t="s">
        <v>2884</v>
      </c>
      <c r="C1989" s="14">
        <v>158</v>
      </c>
      <c r="D1989" s="12"/>
      <c r="E1989" s="13"/>
    </row>
    <row r="1990" spans="1:5" ht="11.1" hidden="1" customHeight="1" x14ac:dyDescent="0.25">
      <c r="A1990" s="12" t="s">
        <v>2885</v>
      </c>
      <c r="B1990" s="12" t="s">
        <v>2886</v>
      </c>
      <c r="C1990" s="14">
        <v>26.6</v>
      </c>
      <c r="D1990" s="12"/>
      <c r="E1990" s="13"/>
    </row>
    <row r="1991" spans="1:5" ht="11.1" hidden="1" customHeight="1" x14ac:dyDescent="0.25">
      <c r="A1991" s="12" t="s">
        <v>2887</v>
      </c>
      <c r="B1991" s="12" t="s">
        <v>2888</v>
      </c>
      <c r="C1991" s="14">
        <v>528.34</v>
      </c>
      <c r="D1991" s="12"/>
      <c r="E1991" s="13"/>
    </row>
    <row r="1992" spans="1:5" ht="11.1" hidden="1" customHeight="1" x14ac:dyDescent="0.25">
      <c r="A1992" s="12" t="s">
        <v>2889</v>
      </c>
      <c r="B1992" s="12" t="s">
        <v>2890</v>
      </c>
      <c r="C1992" s="14">
        <v>5.79</v>
      </c>
      <c r="D1992" s="12"/>
      <c r="E1992" s="13"/>
    </row>
    <row r="1993" spans="1:5" ht="11.1" hidden="1" customHeight="1" x14ac:dyDescent="0.25">
      <c r="A1993" s="12" t="s">
        <v>2891</v>
      </c>
      <c r="B1993" s="12" t="s">
        <v>2076</v>
      </c>
      <c r="C1993" s="14">
        <v>210.38</v>
      </c>
      <c r="D1993" s="12"/>
      <c r="E1993" s="13"/>
    </row>
    <row r="1994" spans="1:5" ht="11.1" hidden="1" customHeight="1" x14ac:dyDescent="0.25">
      <c r="A1994" s="12" t="s">
        <v>2892</v>
      </c>
      <c r="B1994" s="12" t="s">
        <v>2893</v>
      </c>
      <c r="C1994" s="14">
        <v>79.11</v>
      </c>
      <c r="D1994" s="12"/>
      <c r="E1994" s="13"/>
    </row>
    <row r="1995" spans="1:5" ht="11.1" hidden="1" customHeight="1" x14ac:dyDescent="0.25">
      <c r="A1995" s="12" t="s">
        <v>2894</v>
      </c>
      <c r="B1995" s="12" t="s">
        <v>2358</v>
      </c>
      <c r="C1995" s="14">
        <v>16</v>
      </c>
      <c r="D1995" s="12"/>
      <c r="E1995" s="13"/>
    </row>
    <row r="1996" spans="1:5" ht="11.1" hidden="1" customHeight="1" x14ac:dyDescent="0.25">
      <c r="A1996" s="12" t="s">
        <v>2895</v>
      </c>
      <c r="B1996" s="12" t="s">
        <v>2358</v>
      </c>
      <c r="C1996" s="14">
        <v>12</v>
      </c>
      <c r="D1996" s="12"/>
      <c r="E1996" s="13"/>
    </row>
    <row r="1997" spans="1:5" ht="11.1" hidden="1" customHeight="1" x14ac:dyDescent="0.25">
      <c r="A1997" s="12" t="s">
        <v>2896</v>
      </c>
      <c r="B1997" s="12" t="s">
        <v>2358</v>
      </c>
      <c r="C1997" s="14">
        <v>12</v>
      </c>
      <c r="D1997" s="12"/>
      <c r="E1997" s="13"/>
    </row>
    <row r="1998" spans="1:5" ht="11.1" hidden="1" customHeight="1" x14ac:dyDescent="0.25">
      <c r="A1998" s="12" t="s">
        <v>2897</v>
      </c>
      <c r="B1998" s="12" t="s">
        <v>2898</v>
      </c>
      <c r="C1998" s="14">
        <v>2190</v>
      </c>
      <c r="D1998" s="12"/>
      <c r="E1998" s="14"/>
    </row>
    <row r="1999" spans="1:5" ht="11.1" hidden="1" customHeight="1" x14ac:dyDescent="0.25">
      <c r="A1999" s="12" t="s">
        <v>2899</v>
      </c>
      <c r="B1999" s="12" t="s">
        <v>2900</v>
      </c>
      <c r="C1999" s="14">
        <v>60</v>
      </c>
      <c r="D1999" s="12"/>
      <c r="E1999" s="13"/>
    </row>
    <row r="2000" spans="1:5" ht="11.1" hidden="1" customHeight="1" x14ac:dyDescent="0.25">
      <c r="A2000" s="12" t="s">
        <v>2901</v>
      </c>
      <c r="B2000" s="12" t="s">
        <v>2902</v>
      </c>
      <c r="C2000" s="14">
        <v>245.83</v>
      </c>
      <c r="D2000" s="12"/>
      <c r="E2000" s="13"/>
    </row>
    <row r="2001" spans="1:5" ht="11.1" hidden="1" customHeight="1" x14ac:dyDescent="0.25">
      <c r="A2001" s="12" t="s">
        <v>2903</v>
      </c>
      <c r="B2001" s="12" t="s">
        <v>2904</v>
      </c>
      <c r="C2001" s="14">
        <v>958.33</v>
      </c>
      <c r="D2001" s="12"/>
      <c r="E2001" s="13"/>
    </row>
    <row r="2002" spans="1:5" ht="11.1" hidden="1" customHeight="1" x14ac:dyDescent="0.25">
      <c r="A2002" s="12" t="s">
        <v>2905</v>
      </c>
      <c r="B2002" s="12" t="s">
        <v>571</v>
      </c>
      <c r="C2002" s="14">
        <v>465</v>
      </c>
      <c r="D2002" s="12"/>
      <c r="E2002" s="13"/>
    </row>
    <row r="2003" spans="1:5" ht="11.1" hidden="1" customHeight="1" x14ac:dyDescent="0.25">
      <c r="A2003" s="12" t="s">
        <v>2906</v>
      </c>
      <c r="B2003" s="12" t="s">
        <v>2907</v>
      </c>
      <c r="C2003" s="14">
        <v>2.08</v>
      </c>
      <c r="D2003" s="12"/>
      <c r="E2003" s="13"/>
    </row>
    <row r="2004" spans="1:5" ht="11.1" hidden="1" customHeight="1" x14ac:dyDescent="0.25">
      <c r="A2004" s="12" t="s">
        <v>2908</v>
      </c>
      <c r="B2004" s="12" t="s">
        <v>1038</v>
      </c>
      <c r="C2004" s="14">
        <v>990</v>
      </c>
      <c r="D2004" s="12"/>
      <c r="E2004" s="13"/>
    </row>
    <row r="2005" spans="1:5" ht="11.1" hidden="1" customHeight="1" x14ac:dyDescent="0.25">
      <c r="A2005" s="12" t="s">
        <v>2909</v>
      </c>
      <c r="B2005" s="12" t="s">
        <v>1038</v>
      </c>
      <c r="C2005" s="14">
        <v>106.48</v>
      </c>
      <c r="D2005" s="12"/>
      <c r="E2005" s="13"/>
    </row>
    <row r="2006" spans="1:5" ht="11.1" hidden="1" customHeight="1" x14ac:dyDescent="0.25">
      <c r="A2006" s="12" t="s">
        <v>2910</v>
      </c>
      <c r="B2006" s="12" t="s">
        <v>2030</v>
      </c>
      <c r="C2006" s="14">
        <v>185.33</v>
      </c>
      <c r="D2006" s="12"/>
      <c r="E2006" s="13"/>
    </row>
    <row r="2007" spans="1:5" ht="11.1" hidden="1" customHeight="1" x14ac:dyDescent="0.25">
      <c r="A2007" s="12" t="s">
        <v>2911</v>
      </c>
      <c r="B2007" s="12" t="s">
        <v>2912</v>
      </c>
      <c r="C2007" s="14">
        <v>23757.5</v>
      </c>
      <c r="D2007" s="12"/>
      <c r="E2007" s="14"/>
    </row>
    <row r="2008" spans="1:5" ht="11.1" hidden="1" customHeight="1" x14ac:dyDescent="0.25">
      <c r="A2008" s="12" t="s">
        <v>2913</v>
      </c>
      <c r="B2008" s="12" t="s">
        <v>2914</v>
      </c>
      <c r="C2008" s="14">
        <v>1000</v>
      </c>
      <c r="D2008" s="12"/>
      <c r="E2008" s="14"/>
    </row>
    <row r="2009" spans="1:5" ht="11.1" hidden="1" customHeight="1" x14ac:dyDescent="0.25">
      <c r="A2009" s="12" t="s">
        <v>2915</v>
      </c>
      <c r="B2009" s="12" t="s">
        <v>1806</v>
      </c>
      <c r="C2009" s="14">
        <v>72.09</v>
      </c>
      <c r="D2009" s="12"/>
      <c r="E2009" s="13"/>
    </row>
    <row r="2010" spans="1:5" ht="11.1" hidden="1" customHeight="1" x14ac:dyDescent="0.25">
      <c r="A2010" s="12" t="s">
        <v>2916</v>
      </c>
      <c r="B2010" s="12" t="s">
        <v>288</v>
      </c>
      <c r="C2010" s="14">
        <v>704.17</v>
      </c>
      <c r="D2010" s="12"/>
      <c r="E2010" s="13"/>
    </row>
    <row r="2011" spans="1:5" ht="11.1" hidden="1" customHeight="1" x14ac:dyDescent="0.25">
      <c r="A2011" s="12" t="s">
        <v>2917</v>
      </c>
      <c r="B2011" s="12" t="s">
        <v>784</v>
      </c>
      <c r="C2011" s="14">
        <v>6250</v>
      </c>
      <c r="D2011" s="12"/>
      <c r="E2011" s="14"/>
    </row>
    <row r="2012" spans="1:5" ht="11.1" hidden="1" customHeight="1" x14ac:dyDescent="0.25">
      <c r="A2012" s="12" t="s">
        <v>2918</v>
      </c>
      <c r="B2012" s="12" t="s">
        <v>2919</v>
      </c>
      <c r="C2012" s="14">
        <v>708.33</v>
      </c>
      <c r="D2012" s="12"/>
      <c r="E2012" s="13"/>
    </row>
    <row r="2013" spans="1:5" ht="11.1" hidden="1" customHeight="1" x14ac:dyDescent="0.25">
      <c r="A2013" s="12" t="s">
        <v>2920</v>
      </c>
      <c r="B2013" s="12" t="s">
        <v>1038</v>
      </c>
      <c r="C2013" s="14">
        <v>104.17</v>
      </c>
      <c r="D2013" s="12"/>
      <c r="E2013" s="13"/>
    </row>
    <row r="2014" spans="1:5" ht="11.1" hidden="1" customHeight="1" x14ac:dyDescent="0.25">
      <c r="A2014" s="12" t="s">
        <v>2921</v>
      </c>
      <c r="B2014" s="12" t="s">
        <v>2922</v>
      </c>
      <c r="C2014" s="14">
        <v>14261.67</v>
      </c>
      <c r="D2014" s="12"/>
      <c r="E2014" s="14"/>
    </row>
    <row r="2015" spans="1:5" ht="11.1" hidden="1" customHeight="1" x14ac:dyDescent="0.25">
      <c r="A2015" s="12" t="s">
        <v>2923</v>
      </c>
      <c r="B2015" s="12" t="s">
        <v>2922</v>
      </c>
      <c r="C2015" s="14">
        <v>820.83</v>
      </c>
      <c r="D2015" s="12"/>
      <c r="E2015" s="13"/>
    </row>
    <row r="2016" spans="1:5" ht="11.1" hidden="1" customHeight="1" x14ac:dyDescent="0.25">
      <c r="A2016" s="12" t="s">
        <v>2924</v>
      </c>
      <c r="B2016" s="12" t="s">
        <v>752</v>
      </c>
      <c r="C2016" s="14">
        <v>2332.5</v>
      </c>
      <c r="D2016" s="12"/>
      <c r="E2016" s="14"/>
    </row>
    <row r="2017" spans="1:5" ht="11.1" hidden="1" customHeight="1" x14ac:dyDescent="0.25">
      <c r="A2017" s="12" t="s">
        <v>2925</v>
      </c>
      <c r="B2017" s="12" t="s">
        <v>1452</v>
      </c>
      <c r="C2017" s="14">
        <v>7338.34</v>
      </c>
      <c r="D2017" s="12"/>
      <c r="E2017" s="14"/>
    </row>
    <row r="2018" spans="1:5" ht="11.1" hidden="1" customHeight="1" x14ac:dyDescent="0.25">
      <c r="A2018" s="12" t="s">
        <v>2926</v>
      </c>
      <c r="B2018" s="12" t="s">
        <v>2927</v>
      </c>
      <c r="C2018" s="14">
        <v>150</v>
      </c>
      <c r="D2018" s="12"/>
      <c r="E2018" s="13"/>
    </row>
    <row r="2019" spans="1:5" ht="11.1" hidden="1" customHeight="1" x14ac:dyDescent="0.25">
      <c r="A2019" s="12" t="s">
        <v>2928</v>
      </c>
      <c r="B2019" s="12" t="s">
        <v>2927</v>
      </c>
      <c r="C2019" s="14">
        <v>350</v>
      </c>
      <c r="D2019" s="12"/>
      <c r="E2019" s="13"/>
    </row>
    <row r="2020" spans="1:5" ht="11.1" hidden="1" customHeight="1" x14ac:dyDescent="0.25">
      <c r="A2020" s="12" t="s">
        <v>2929</v>
      </c>
      <c r="B2020" s="12" t="s">
        <v>2930</v>
      </c>
      <c r="C2020" s="14">
        <v>350</v>
      </c>
      <c r="D2020" s="12"/>
      <c r="E2020" s="13"/>
    </row>
    <row r="2021" spans="1:5" ht="11.1" hidden="1" customHeight="1" x14ac:dyDescent="0.25">
      <c r="A2021" s="12" t="s">
        <v>2931</v>
      </c>
      <c r="B2021" s="12" t="s">
        <v>2932</v>
      </c>
      <c r="C2021" s="14">
        <v>633.34</v>
      </c>
      <c r="D2021" s="12"/>
      <c r="E2021" s="13"/>
    </row>
    <row r="2022" spans="1:5" ht="11.1" hidden="1" customHeight="1" x14ac:dyDescent="0.25">
      <c r="A2022" s="12" t="s">
        <v>2933</v>
      </c>
      <c r="B2022" s="12" t="s">
        <v>733</v>
      </c>
      <c r="C2022" s="14">
        <v>321.67</v>
      </c>
      <c r="D2022" s="12"/>
      <c r="E2022" s="13"/>
    </row>
    <row r="2023" spans="1:5" ht="11.1" hidden="1" customHeight="1" x14ac:dyDescent="0.25">
      <c r="A2023" s="12" t="s">
        <v>2934</v>
      </c>
      <c r="B2023" s="12" t="s">
        <v>2935</v>
      </c>
      <c r="C2023" s="14">
        <v>104.17</v>
      </c>
      <c r="D2023" s="12"/>
      <c r="E2023" s="13"/>
    </row>
    <row r="2024" spans="1:5" ht="11.1" hidden="1" customHeight="1" x14ac:dyDescent="0.25">
      <c r="A2024" s="12" t="s">
        <v>2936</v>
      </c>
      <c r="B2024" s="12" t="s">
        <v>2935</v>
      </c>
      <c r="C2024" s="14">
        <v>145.83000000000001</v>
      </c>
      <c r="D2024" s="12"/>
      <c r="E2024" s="13"/>
    </row>
    <row r="2025" spans="1:5" ht="11.1" hidden="1" customHeight="1" x14ac:dyDescent="0.25">
      <c r="A2025" s="12" t="s">
        <v>2937</v>
      </c>
      <c r="B2025" s="12" t="s">
        <v>2930</v>
      </c>
      <c r="C2025" s="14">
        <v>60</v>
      </c>
      <c r="D2025" s="12"/>
      <c r="E2025" s="13"/>
    </row>
    <row r="2026" spans="1:5" ht="11.1" hidden="1" customHeight="1" x14ac:dyDescent="0.25">
      <c r="A2026" s="12" t="s">
        <v>2938</v>
      </c>
      <c r="B2026" s="12" t="s">
        <v>2939</v>
      </c>
      <c r="C2026" s="14">
        <v>6424.17</v>
      </c>
      <c r="D2026" s="12"/>
      <c r="E2026" s="14"/>
    </row>
    <row r="2027" spans="1:5" ht="11.1" hidden="1" customHeight="1" x14ac:dyDescent="0.25">
      <c r="A2027" s="12" t="s">
        <v>2940</v>
      </c>
      <c r="B2027" s="12" t="s">
        <v>2588</v>
      </c>
      <c r="C2027" s="14">
        <v>2462.5100000000002</v>
      </c>
      <c r="D2027" s="12"/>
      <c r="E2027" s="14"/>
    </row>
    <row r="2028" spans="1:5" ht="11.1" hidden="1" customHeight="1" x14ac:dyDescent="0.25">
      <c r="A2028" s="12" t="s">
        <v>2941</v>
      </c>
      <c r="B2028" s="12" t="s">
        <v>2942</v>
      </c>
      <c r="C2028" s="14">
        <v>25000</v>
      </c>
      <c r="D2028" s="12"/>
      <c r="E2028" s="14"/>
    </row>
    <row r="2029" spans="1:5" ht="11.1" hidden="1" customHeight="1" x14ac:dyDescent="0.25">
      <c r="A2029" s="12" t="s">
        <v>2943</v>
      </c>
      <c r="B2029" s="12" t="s">
        <v>2944</v>
      </c>
      <c r="C2029" s="14">
        <v>581.66999999999996</v>
      </c>
      <c r="D2029" s="12"/>
      <c r="E2029" s="13"/>
    </row>
    <row r="2030" spans="1:5" ht="11.1" hidden="1" customHeight="1" x14ac:dyDescent="0.25">
      <c r="A2030" s="12" t="s">
        <v>2945</v>
      </c>
      <c r="B2030" s="12" t="s">
        <v>2946</v>
      </c>
      <c r="C2030" s="14">
        <v>633</v>
      </c>
      <c r="D2030" s="12"/>
      <c r="E2030" s="13"/>
    </row>
    <row r="2031" spans="1:5" ht="11.1" hidden="1" customHeight="1" x14ac:dyDescent="0.25">
      <c r="A2031" s="12" t="s">
        <v>2947</v>
      </c>
      <c r="B2031" s="12" t="s">
        <v>573</v>
      </c>
      <c r="C2031" s="14">
        <v>639.16999999999996</v>
      </c>
      <c r="D2031" s="12"/>
      <c r="E2031" s="13"/>
    </row>
    <row r="2032" spans="1:5" ht="23.1" hidden="1" customHeight="1" x14ac:dyDescent="0.25">
      <c r="A2032" s="12" t="s">
        <v>2948</v>
      </c>
      <c r="B2032" s="12" t="s">
        <v>268</v>
      </c>
      <c r="C2032" s="14">
        <v>615</v>
      </c>
      <c r="D2032" s="12"/>
      <c r="E2032" s="13"/>
    </row>
    <row r="2033" spans="1:5" ht="11.1" hidden="1" customHeight="1" x14ac:dyDescent="0.25">
      <c r="A2033" s="12" t="s">
        <v>2949</v>
      </c>
      <c r="B2033" s="12" t="s">
        <v>474</v>
      </c>
      <c r="C2033" s="14">
        <v>11250.38</v>
      </c>
      <c r="D2033" s="12"/>
      <c r="E2033" s="14"/>
    </row>
    <row r="2034" spans="1:5" ht="11.1" hidden="1" customHeight="1" x14ac:dyDescent="0.25">
      <c r="A2034" s="12" t="s">
        <v>2950</v>
      </c>
      <c r="B2034" s="12" t="s">
        <v>2951</v>
      </c>
      <c r="C2034" s="14">
        <v>9519.17</v>
      </c>
      <c r="D2034" s="12"/>
      <c r="E2034" s="14"/>
    </row>
    <row r="2035" spans="1:5" ht="11.1" hidden="1" customHeight="1" x14ac:dyDescent="0.25">
      <c r="A2035" s="12" t="s">
        <v>2952</v>
      </c>
      <c r="B2035" s="12" t="s">
        <v>2951</v>
      </c>
      <c r="C2035" s="14">
        <v>31302.5</v>
      </c>
      <c r="D2035" s="12"/>
      <c r="E2035" s="14"/>
    </row>
    <row r="2036" spans="1:5" ht="11.1" hidden="1" customHeight="1" x14ac:dyDescent="0.25">
      <c r="A2036" s="12" t="s">
        <v>2953</v>
      </c>
      <c r="B2036" s="12" t="s">
        <v>2954</v>
      </c>
      <c r="C2036" s="14">
        <v>246.67</v>
      </c>
      <c r="D2036" s="12"/>
      <c r="E2036" s="13"/>
    </row>
    <row r="2037" spans="1:5" ht="11.1" hidden="1" customHeight="1" x14ac:dyDescent="0.25">
      <c r="A2037" s="12" t="s">
        <v>2955</v>
      </c>
      <c r="B2037" s="12" t="s">
        <v>2956</v>
      </c>
      <c r="C2037" s="14">
        <v>36666.67</v>
      </c>
      <c r="D2037" s="12"/>
      <c r="E2037" s="14"/>
    </row>
    <row r="2038" spans="1:5" ht="11.1" hidden="1" customHeight="1" x14ac:dyDescent="0.25">
      <c r="A2038" s="12" t="s">
        <v>2957</v>
      </c>
      <c r="B2038" s="12" t="s">
        <v>2956</v>
      </c>
      <c r="C2038" s="14">
        <v>32105</v>
      </c>
      <c r="D2038" s="12"/>
      <c r="E2038" s="14"/>
    </row>
    <row r="2039" spans="1:5" ht="11.1" hidden="1" customHeight="1" x14ac:dyDescent="0.25">
      <c r="A2039" s="12" t="s">
        <v>2958</v>
      </c>
      <c r="B2039" s="12" t="s">
        <v>2959</v>
      </c>
      <c r="C2039" s="14">
        <v>1575</v>
      </c>
      <c r="D2039" s="12"/>
      <c r="E2039" s="14"/>
    </row>
    <row r="2040" spans="1:5" ht="11.1" hidden="1" customHeight="1" x14ac:dyDescent="0.25">
      <c r="A2040" s="12" t="s">
        <v>2960</v>
      </c>
      <c r="B2040" s="12" t="s">
        <v>2961</v>
      </c>
      <c r="C2040" s="14">
        <v>583.33000000000004</v>
      </c>
      <c r="D2040" s="12"/>
      <c r="E2040" s="13"/>
    </row>
    <row r="2041" spans="1:5" ht="11.1" hidden="1" customHeight="1" x14ac:dyDescent="0.25">
      <c r="A2041" s="12" t="s">
        <v>2962</v>
      </c>
      <c r="B2041" s="12" t="s">
        <v>2963</v>
      </c>
      <c r="C2041" s="14">
        <v>583.33000000000004</v>
      </c>
      <c r="D2041" s="12"/>
      <c r="E2041" s="13"/>
    </row>
    <row r="2042" spans="1:5" ht="23.1" hidden="1" customHeight="1" x14ac:dyDescent="0.25">
      <c r="A2042" s="12" t="s">
        <v>2964</v>
      </c>
      <c r="B2042" s="12" t="s">
        <v>2965</v>
      </c>
      <c r="C2042" s="14">
        <v>375</v>
      </c>
      <c r="D2042" s="12"/>
      <c r="E2042" s="13"/>
    </row>
    <row r="2043" spans="1:5" ht="11.1" hidden="1" customHeight="1" x14ac:dyDescent="0.25">
      <c r="A2043" s="12" t="s">
        <v>2966</v>
      </c>
      <c r="B2043" s="12" t="s">
        <v>2961</v>
      </c>
      <c r="C2043" s="14">
        <v>583.33000000000004</v>
      </c>
      <c r="D2043" s="12"/>
      <c r="E2043" s="13"/>
    </row>
    <row r="2044" spans="1:5" ht="11.1" hidden="1" customHeight="1" x14ac:dyDescent="0.25">
      <c r="A2044" s="12" t="s">
        <v>2967</v>
      </c>
      <c r="B2044" s="12" t="s">
        <v>1245</v>
      </c>
      <c r="C2044" s="14">
        <v>2373.33</v>
      </c>
      <c r="D2044" s="12"/>
      <c r="E2044" s="14"/>
    </row>
    <row r="2045" spans="1:5" ht="11.1" hidden="1" customHeight="1" x14ac:dyDescent="0.25">
      <c r="A2045" s="12" t="s">
        <v>2968</v>
      </c>
      <c r="B2045" s="12" t="s">
        <v>2969</v>
      </c>
      <c r="C2045" s="14">
        <v>791.67</v>
      </c>
      <c r="D2045" s="12"/>
      <c r="E2045" s="13"/>
    </row>
    <row r="2046" spans="1:5" ht="11.1" hidden="1" customHeight="1" x14ac:dyDescent="0.25">
      <c r="A2046" s="12" t="s">
        <v>2970</v>
      </c>
      <c r="B2046" s="12" t="s">
        <v>2971</v>
      </c>
      <c r="C2046" s="14">
        <v>1467.5</v>
      </c>
      <c r="D2046" s="12"/>
      <c r="E2046" s="14"/>
    </row>
    <row r="2047" spans="1:5" ht="11.1" hidden="1" customHeight="1" x14ac:dyDescent="0.25">
      <c r="A2047" s="12" t="s">
        <v>2972</v>
      </c>
      <c r="B2047" s="12" t="s">
        <v>2598</v>
      </c>
      <c r="C2047" s="14">
        <v>126.67</v>
      </c>
      <c r="D2047" s="12"/>
      <c r="E2047" s="13"/>
    </row>
    <row r="2048" spans="1:5" ht="11.1" hidden="1" customHeight="1" x14ac:dyDescent="0.25">
      <c r="A2048" s="12" t="s">
        <v>2973</v>
      </c>
      <c r="B2048" s="12" t="s">
        <v>364</v>
      </c>
      <c r="C2048" s="14">
        <v>4605</v>
      </c>
      <c r="D2048" s="12"/>
      <c r="E2048" s="14"/>
    </row>
    <row r="2049" spans="1:5" ht="11.1" hidden="1" customHeight="1" x14ac:dyDescent="0.25">
      <c r="A2049" s="12" t="s">
        <v>2974</v>
      </c>
      <c r="B2049" s="12" t="s">
        <v>2975</v>
      </c>
      <c r="C2049" s="14">
        <v>2200</v>
      </c>
      <c r="D2049" s="12"/>
      <c r="E2049" s="14"/>
    </row>
    <row r="2050" spans="1:5" ht="11.1" hidden="1" customHeight="1" x14ac:dyDescent="0.25">
      <c r="A2050" s="12" t="s">
        <v>2976</v>
      </c>
      <c r="B2050" s="12" t="s">
        <v>2977</v>
      </c>
      <c r="C2050" s="14">
        <v>441</v>
      </c>
      <c r="D2050" s="12"/>
      <c r="E2050" s="13"/>
    </row>
    <row r="2051" spans="1:5" ht="11.1" hidden="1" customHeight="1" x14ac:dyDescent="0.25">
      <c r="A2051" s="12" t="s">
        <v>2978</v>
      </c>
      <c r="B2051" s="12" t="s">
        <v>2977</v>
      </c>
      <c r="C2051" s="14">
        <v>481</v>
      </c>
      <c r="D2051" s="12"/>
      <c r="E2051" s="13"/>
    </row>
    <row r="2052" spans="1:5" ht="11.1" hidden="1" customHeight="1" x14ac:dyDescent="0.25">
      <c r="A2052" s="12" t="s">
        <v>2979</v>
      </c>
      <c r="B2052" s="12" t="s">
        <v>2977</v>
      </c>
      <c r="C2052" s="14">
        <v>441</v>
      </c>
      <c r="D2052" s="12"/>
      <c r="E2052" s="13"/>
    </row>
    <row r="2053" spans="1:5" ht="11.1" hidden="1" customHeight="1" x14ac:dyDescent="0.25">
      <c r="A2053" s="12" t="s">
        <v>2980</v>
      </c>
      <c r="B2053" s="12" t="s">
        <v>2977</v>
      </c>
      <c r="C2053" s="14">
        <v>481</v>
      </c>
      <c r="D2053" s="12"/>
      <c r="E2053" s="13"/>
    </row>
    <row r="2054" spans="1:5" ht="11.1" hidden="1" customHeight="1" x14ac:dyDescent="0.25">
      <c r="A2054" s="12" t="s">
        <v>2981</v>
      </c>
      <c r="B2054" s="12" t="s">
        <v>2982</v>
      </c>
      <c r="C2054" s="14">
        <v>1543.75</v>
      </c>
      <c r="D2054" s="12"/>
      <c r="E2054" s="14"/>
    </row>
    <row r="2055" spans="1:5" ht="11.1" hidden="1" customHeight="1" x14ac:dyDescent="0.25">
      <c r="A2055" s="12" t="s">
        <v>2983</v>
      </c>
      <c r="B2055" s="12" t="s">
        <v>2984</v>
      </c>
      <c r="C2055" s="14">
        <v>1739.46</v>
      </c>
      <c r="D2055" s="12"/>
      <c r="E2055" s="14"/>
    </row>
    <row r="2056" spans="1:5" ht="11.1" hidden="1" customHeight="1" x14ac:dyDescent="0.25">
      <c r="A2056" s="12" t="s">
        <v>2985</v>
      </c>
      <c r="B2056" s="12" t="s">
        <v>2986</v>
      </c>
      <c r="C2056" s="14">
        <v>237.5</v>
      </c>
      <c r="D2056" s="12"/>
      <c r="E2056" s="13"/>
    </row>
    <row r="2057" spans="1:5" ht="11.1" hidden="1" customHeight="1" x14ac:dyDescent="0.25">
      <c r="A2057" s="12" t="s">
        <v>2987</v>
      </c>
      <c r="B2057" s="12" t="s">
        <v>2988</v>
      </c>
      <c r="C2057" s="14">
        <v>35862.5</v>
      </c>
      <c r="D2057" s="12"/>
      <c r="E2057" s="14"/>
    </row>
    <row r="2058" spans="1:5" ht="11.1" hidden="1" customHeight="1" x14ac:dyDescent="0.25">
      <c r="A2058" s="12" t="s">
        <v>2989</v>
      </c>
      <c r="B2058" s="12" t="s">
        <v>2990</v>
      </c>
      <c r="C2058" s="14">
        <v>1.6</v>
      </c>
      <c r="D2058" s="12"/>
      <c r="E2058" s="13"/>
    </row>
    <row r="2059" spans="1:5" ht="11.1" hidden="1" customHeight="1" x14ac:dyDescent="0.25">
      <c r="A2059" s="12" t="s">
        <v>2991</v>
      </c>
      <c r="B2059" s="12" t="s">
        <v>2992</v>
      </c>
      <c r="C2059" s="14">
        <v>163.6</v>
      </c>
      <c r="D2059" s="12"/>
      <c r="E2059" s="13"/>
    </row>
    <row r="2060" spans="1:5" ht="11.1" hidden="1" customHeight="1" x14ac:dyDescent="0.25">
      <c r="A2060" s="12" t="s">
        <v>2993</v>
      </c>
      <c r="B2060" s="12" t="s">
        <v>2994</v>
      </c>
      <c r="C2060" s="14">
        <v>1989</v>
      </c>
      <c r="D2060" s="12"/>
      <c r="E2060" s="14"/>
    </row>
    <row r="2061" spans="1:5" ht="11.1" hidden="1" customHeight="1" x14ac:dyDescent="0.25">
      <c r="A2061" s="12" t="s">
        <v>2995</v>
      </c>
      <c r="B2061" s="12" t="s">
        <v>2996</v>
      </c>
      <c r="C2061" s="14">
        <v>2666.68</v>
      </c>
      <c r="D2061" s="12"/>
      <c r="E2061" s="14"/>
    </row>
    <row r="2062" spans="1:5" ht="11.1" hidden="1" customHeight="1" x14ac:dyDescent="0.25">
      <c r="A2062" s="12" t="s">
        <v>2997</v>
      </c>
      <c r="B2062" s="12" t="s">
        <v>2998</v>
      </c>
      <c r="C2062" s="14">
        <v>2074.17</v>
      </c>
      <c r="D2062" s="12"/>
      <c r="E2062" s="14"/>
    </row>
    <row r="2063" spans="1:5" ht="11.1" hidden="1" customHeight="1" x14ac:dyDescent="0.25">
      <c r="A2063" s="12" t="s">
        <v>2999</v>
      </c>
      <c r="B2063" s="12" t="s">
        <v>2996</v>
      </c>
      <c r="C2063" s="14">
        <v>20465</v>
      </c>
      <c r="D2063" s="12"/>
      <c r="E2063" s="14"/>
    </row>
    <row r="2064" spans="1:5" ht="11.1" hidden="1" customHeight="1" x14ac:dyDescent="0.25">
      <c r="A2064" s="12" t="s">
        <v>3000</v>
      </c>
      <c r="B2064" s="12" t="s">
        <v>3001</v>
      </c>
      <c r="C2064" s="14">
        <v>11125</v>
      </c>
      <c r="D2064" s="12"/>
      <c r="E2064" s="14"/>
    </row>
    <row r="2065" spans="1:5" ht="11.1" hidden="1" customHeight="1" x14ac:dyDescent="0.25">
      <c r="A2065" s="12" t="s">
        <v>3002</v>
      </c>
      <c r="B2065" s="12" t="s">
        <v>3003</v>
      </c>
      <c r="C2065" s="14">
        <v>110</v>
      </c>
      <c r="D2065" s="12"/>
      <c r="E2065" s="13"/>
    </row>
    <row r="2066" spans="1:5" ht="11.1" hidden="1" customHeight="1" x14ac:dyDescent="0.25">
      <c r="A2066" s="12" t="s">
        <v>3004</v>
      </c>
      <c r="B2066" s="12" t="s">
        <v>2784</v>
      </c>
      <c r="C2066" s="14">
        <v>4583.33</v>
      </c>
      <c r="D2066" s="12"/>
      <c r="E2066" s="14"/>
    </row>
    <row r="2067" spans="1:5" ht="11.1" hidden="1" customHeight="1" x14ac:dyDescent="0.25">
      <c r="A2067" s="12" t="s">
        <v>3005</v>
      </c>
      <c r="B2067" s="12" t="s">
        <v>3006</v>
      </c>
      <c r="C2067" s="14">
        <v>916.67</v>
      </c>
      <c r="D2067" s="12"/>
      <c r="E2067" s="13"/>
    </row>
    <row r="2068" spans="1:5" ht="11.1" hidden="1" customHeight="1" x14ac:dyDescent="0.25">
      <c r="A2068" s="12" t="s">
        <v>3007</v>
      </c>
      <c r="B2068" s="12" t="s">
        <v>211</v>
      </c>
      <c r="C2068" s="14">
        <v>301.67</v>
      </c>
      <c r="D2068" s="12"/>
      <c r="E2068" s="13"/>
    </row>
    <row r="2069" spans="1:5" ht="11.1" hidden="1" customHeight="1" x14ac:dyDescent="0.25">
      <c r="A2069" s="12" t="s">
        <v>3008</v>
      </c>
      <c r="B2069" s="12" t="s">
        <v>3009</v>
      </c>
      <c r="C2069" s="14">
        <v>19166.669999999998</v>
      </c>
      <c r="D2069" s="12"/>
      <c r="E2069" s="14"/>
    </row>
    <row r="2070" spans="1:5" ht="11.1" hidden="1" customHeight="1" x14ac:dyDescent="0.25">
      <c r="A2070" s="12" t="s">
        <v>3010</v>
      </c>
      <c r="B2070" s="12" t="s">
        <v>3011</v>
      </c>
      <c r="C2070" s="14">
        <v>4020</v>
      </c>
      <c r="D2070" s="12"/>
      <c r="E2070" s="14"/>
    </row>
    <row r="2071" spans="1:5" ht="11.1" hidden="1" customHeight="1" x14ac:dyDescent="0.25">
      <c r="A2071" s="12" t="s">
        <v>3012</v>
      </c>
      <c r="B2071" s="12" t="s">
        <v>3013</v>
      </c>
      <c r="C2071" s="14">
        <v>116031.26</v>
      </c>
      <c r="D2071" s="12"/>
      <c r="E2071" s="14"/>
    </row>
    <row r="2072" spans="1:5" ht="11.1" hidden="1" customHeight="1" x14ac:dyDescent="0.25">
      <c r="A2072" s="12" t="s">
        <v>3014</v>
      </c>
      <c r="B2072" s="12" t="s">
        <v>3015</v>
      </c>
      <c r="C2072" s="14">
        <v>1900</v>
      </c>
      <c r="D2072" s="12"/>
      <c r="E2072" s="14"/>
    </row>
    <row r="2073" spans="1:5" ht="11.1" hidden="1" customHeight="1" x14ac:dyDescent="0.25">
      <c r="A2073" s="12" t="s">
        <v>3016</v>
      </c>
      <c r="B2073" s="12" t="s">
        <v>3017</v>
      </c>
      <c r="C2073" s="14">
        <v>206000</v>
      </c>
      <c r="D2073" s="12"/>
      <c r="E2073" s="14"/>
    </row>
    <row r="2074" spans="1:5" ht="11.1" hidden="1" customHeight="1" x14ac:dyDescent="0.25">
      <c r="A2074" s="12" t="s">
        <v>3018</v>
      </c>
      <c r="B2074" s="12" t="s">
        <v>3019</v>
      </c>
      <c r="C2074" s="14">
        <v>6200</v>
      </c>
      <c r="D2074" s="12"/>
      <c r="E2074" s="14"/>
    </row>
    <row r="2075" spans="1:5" ht="11.1" hidden="1" customHeight="1" x14ac:dyDescent="0.25">
      <c r="A2075" s="12" t="s">
        <v>3020</v>
      </c>
      <c r="B2075" s="12" t="s">
        <v>786</v>
      </c>
      <c r="C2075" s="14">
        <v>4950</v>
      </c>
      <c r="D2075" s="12"/>
      <c r="E2075" s="14"/>
    </row>
    <row r="2076" spans="1:5" ht="11.1" hidden="1" customHeight="1" x14ac:dyDescent="0.25">
      <c r="A2076" s="12" t="s">
        <v>3021</v>
      </c>
      <c r="B2076" s="12" t="s">
        <v>3022</v>
      </c>
      <c r="C2076" s="14">
        <v>7158.33</v>
      </c>
      <c r="D2076" s="12"/>
      <c r="E2076" s="14"/>
    </row>
    <row r="2077" spans="1:5" ht="11.1" hidden="1" customHeight="1" x14ac:dyDescent="0.25">
      <c r="A2077" s="12" t="s">
        <v>3023</v>
      </c>
      <c r="B2077" s="12" t="s">
        <v>650</v>
      </c>
      <c r="C2077" s="14">
        <v>81.67</v>
      </c>
      <c r="D2077" s="12"/>
      <c r="E2077" s="13"/>
    </row>
    <row r="2078" spans="1:5" ht="11.1" hidden="1" customHeight="1" x14ac:dyDescent="0.25">
      <c r="A2078" s="12" t="s">
        <v>3024</v>
      </c>
      <c r="B2078" s="12" t="s">
        <v>2105</v>
      </c>
      <c r="C2078" s="14">
        <v>485.01</v>
      </c>
      <c r="D2078" s="12"/>
      <c r="E2078" s="13"/>
    </row>
    <row r="2079" spans="1:5" ht="11.1" hidden="1" customHeight="1" x14ac:dyDescent="0.25">
      <c r="A2079" s="12" t="s">
        <v>3025</v>
      </c>
      <c r="B2079" s="12" t="s">
        <v>2162</v>
      </c>
      <c r="C2079" s="14">
        <v>874.17</v>
      </c>
      <c r="D2079" s="12"/>
      <c r="E2079" s="13"/>
    </row>
    <row r="2080" spans="1:5" ht="11.1" hidden="1" customHeight="1" x14ac:dyDescent="0.25">
      <c r="A2080" s="12" t="s">
        <v>3026</v>
      </c>
      <c r="B2080" s="12" t="s">
        <v>1985</v>
      </c>
      <c r="C2080" s="14">
        <v>439.17</v>
      </c>
      <c r="D2080" s="12"/>
      <c r="E2080" s="13"/>
    </row>
    <row r="2081" spans="1:5" ht="11.1" hidden="1" customHeight="1" x14ac:dyDescent="0.25">
      <c r="A2081" s="12" t="s">
        <v>3027</v>
      </c>
      <c r="B2081" s="12" t="s">
        <v>2053</v>
      </c>
      <c r="C2081" s="14">
        <v>1860.84</v>
      </c>
      <c r="D2081" s="12"/>
      <c r="E2081" s="14"/>
    </row>
    <row r="2082" spans="1:5" ht="11.1" hidden="1" customHeight="1" x14ac:dyDescent="0.25">
      <c r="A2082" s="12" t="s">
        <v>3028</v>
      </c>
      <c r="B2082" s="12" t="s">
        <v>168</v>
      </c>
      <c r="C2082" s="14">
        <v>254.17</v>
      </c>
      <c r="D2082" s="12"/>
      <c r="E2082" s="13"/>
    </row>
    <row r="2083" spans="1:5" ht="11.1" hidden="1" customHeight="1" x14ac:dyDescent="0.25">
      <c r="A2083" s="12" t="s">
        <v>3029</v>
      </c>
      <c r="B2083" s="12" t="s">
        <v>3030</v>
      </c>
      <c r="C2083" s="14">
        <v>391.67</v>
      </c>
      <c r="D2083" s="12"/>
      <c r="E2083" s="13"/>
    </row>
    <row r="2084" spans="1:5" ht="11.1" hidden="1" customHeight="1" x14ac:dyDescent="0.25">
      <c r="A2084" s="12" t="s">
        <v>3031</v>
      </c>
      <c r="B2084" s="12" t="s">
        <v>3032</v>
      </c>
      <c r="C2084" s="14">
        <v>975</v>
      </c>
      <c r="D2084" s="12"/>
      <c r="E2084" s="13"/>
    </row>
    <row r="2085" spans="1:5" ht="11.1" hidden="1" customHeight="1" x14ac:dyDescent="0.25">
      <c r="A2085" s="12" t="s">
        <v>3033</v>
      </c>
      <c r="B2085" s="12" t="s">
        <v>3034</v>
      </c>
      <c r="C2085" s="14">
        <v>1657.5</v>
      </c>
      <c r="D2085" s="12"/>
      <c r="E2085" s="14"/>
    </row>
    <row r="2086" spans="1:5" ht="23.1" hidden="1" customHeight="1" x14ac:dyDescent="0.25">
      <c r="A2086" s="12" t="s">
        <v>3035</v>
      </c>
      <c r="B2086" s="12" t="s">
        <v>2053</v>
      </c>
      <c r="C2086" s="14">
        <v>568.33000000000004</v>
      </c>
      <c r="D2086" s="12"/>
      <c r="E2086" s="13"/>
    </row>
    <row r="2087" spans="1:5" ht="11.1" hidden="1" customHeight="1" x14ac:dyDescent="0.25">
      <c r="A2087" s="12" t="s">
        <v>3036</v>
      </c>
      <c r="B2087" s="12" t="s">
        <v>1985</v>
      </c>
      <c r="C2087" s="14">
        <v>211.67</v>
      </c>
      <c r="D2087" s="12"/>
      <c r="E2087" s="13"/>
    </row>
    <row r="2088" spans="1:5" ht="11.1" hidden="1" customHeight="1" x14ac:dyDescent="0.25">
      <c r="A2088" s="12" t="s">
        <v>3037</v>
      </c>
      <c r="B2088" s="12" t="s">
        <v>3038</v>
      </c>
      <c r="C2088" s="14">
        <v>21.69</v>
      </c>
      <c r="D2088" s="12"/>
      <c r="E2088" s="13"/>
    </row>
    <row r="2089" spans="1:5" ht="11.1" hidden="1" customHeight="1" x14ac:dyDescent="0.25">
      <c r="A2089" s="12" t="s">
        <v>3039</v>
      </c>
      <c r="B2089" s="12" t="s">
        <v>3040</v>
      </c>
      <c r="C2089" s="14">
        <v>750</v>
      </c>
      <c r="D2089" s="12"/>
      <c r="E2089" s="13"/>
    </row>
    <row r="2090" spans="1:5" ht="11.1" hidden="1" customHeight="1" x14ac:dyDescent="0.25">
      <c r="A2090" s="12" t="s">
        <v>3041</v>
      </c>
      <c r="B2090" s="12" t="s">
        <v>961</v>
      </c>
      <c r="C2090" s="14">
        <v>1973.27</v>
      </c>
      <c r="D2090" s="12"/>
      <c r="E2090" s="14"/>
    </row>
    <row r="2091" spans="1:5" ht="11.1" hidden="1" customHeight="1" x14ac:dyDescent="0.25">
      <c r="A2091" s="12" t="s">
        <v>3042</v>
      </c>
      <c r="B2091" s="12" t="s">
        <v>3043</v>
      </c>
      <c r="C2091" s="14">
        <v>300</v>
      </c>
      <c r="D2091" s="12"/>
      <c r="E2091" s="13"/>
    </row>
    <row r="2092" spans="1:5" ht="11.1" hidden="1" customHeight="1" x14ac:dyDescent="0.25">
      <c r="A2092" s="12" t="s">
        <v>3044</v>
      </c>
      <c r="B2092" s="12" t="s">
        <v>3045</v>
      </c>
      <c r="C2092" s="14">
        <v>621.66999999999996</v>
      </c>
      <c r="D2092" s="12"/>
      <c r="E2092" s="13"/>
    </row>
    <row r="2093" spans="1:5" ht="11.1" hidden="1" customHeight="1" x14ac:dyDescent="0.25">
      <c r="A2093" s="12" t="s">
        <v>3046</v>
      </c>
      <c r="B2093" s="12" t="s">
        <v>1987</v>
      </c>
      <c r="C2093" s="14">
        <v>3173.33</v>
      </c>
      <c r="D2093" s="12"/>
      <c r="E2093" s="14"/>
    </row>
    <row r="2094" spans="1:5" ht="11.1" hidden="1" customHeight="1" x14ac:dyDescent="0.25">
      <c r="A2094" s="12" t="s">
        <v>3047</v>
      </c>
      <c r="B2094" s="12" t="s">
        <v>563</v>
      </c>
      <c r="C2094" s="14">
        <v>112.5</v>
      </c>
      <c r="D2094" s="12"/>
      <c r="E2094" s="13"/>
    </row>
    <row r="2095" spans="1:5" ht="11.1" hidden="1" customHeight="1" x14ac:dyDescent="0.25">
      <c r="A2095" s="12" t="s">
        <v>3048</v>
      </c>
      <c r="B2095" s="12" t="s">
        <v>1041</v>
      </c>
      <c r="C2095" s="14">
        <v>144</v>
      </c>
      <c r="D2095" s="12"/>
      <c r="E2095" s="13"/>
    </row>
    <row r="2096" spans="1:5" ht="11.1" hidden="1" customHeight="1" x14ac:dyDescent="0.25">
      <c r="A2096" s="12" t="s">
        <v>3049</v>
      </c>
      <c r="B2096" s="12" t="s">
        <v>3050</v>
      </c>
      <c r="C2096" s="14">
        <v>123.94</v>
      </c>
      <c r="D2096" s="12"/>
      <c r="E2096" s="13"/>
    </row>
    <row r="2097" spans="1:5" ht="11.1" hidden="1" customHeight="1" x14ac:dyDescent="0.25">
      <c r="A2097" s="12" t="s">
        <v>3051</v>
      </c>
      <c r="B2097" s="12" t="s">
        <v>3050</v>
      </c>
      <c r="C2097" s="14">
        <v>118.04</v>
      </c>
      <c r="D2097" s="12"/>
      <c r="E2097" s="13"/>
    </row>
    <row r="2098" spans="1:5" ht="11.1" hidden="1" customHeight="1" x14ac:dyDescent="0.25">
      <c r="A2098" s="12" t="s">
        <v>3052</v>
      </c>
      <c r="B2098" s="12" t="s">
        <v>3053</v>
      </c>
      <c r="C2098" s="14">
        <v>11726.67</v>
      </c>
      <c r="D2098" s="12"/>
      <c r="E2098" s="14"/>
    </row>
    <row r="2099" spans="1:5" ht="11.1" hidden="1" customHeight="1" x14ac:dyDescent="0.25">
      <c r="A2099" s="12" t="s">
        <v>3054</v>
      </c>
      <c r="B2099" s="12" t="s">
        <v>3055</v>
      </c>
      <c r="C2099" s="14">
        <v>282.5</v>
      </c>
      <c r="D2099" s="12"/>
      <c r="E2099" s="13"/>
    </row>
    <row r="2100" spans="1:5" ht="11.1" hidden="1" customHeight="1" x14ac:dyDescent="0.25">
      <c r="A2100" s="12" t="s">
        <v>3056</v>
      </c>
      <c r="B2100" s="12" t="s">
        <v>3057</v>
      </c>
      <c r="C2100" s="14">
        <v>95817</v>
      </c>
      <c r="D2100" s="12"/>
      <c r="E2100" s="14"/>
    </row>
    <row r="2101" spans="1:5" ht="11.1" hidden="1" customHeight="1" x14ac:dyDescent="0.25">
      <c r="A2101" s="12" t="s">
        <v>3058</v>
      </c>
      <c r="B2101" s="12" t="s">
        <v>2019</v>
      </c>
      <c r="C2101" s="14">
        <v>800</v>
      </c>
      <c r="D2101" s="12"/>
      <c r="E2101" s="13"/>
    </row>
    <row r="2102" spans="1:5" ht="11.1" hidden="1" customHeight="1" x14ac:dyDescent="0.25">
      <c r="A2102" s="12" t="s">
        <v>3059</v>
      </c>
      <c r="B2102" s="12" t="s">
        <v>2098</v>
      </c>
      <c r="C2102" s="14">
        <v>6000</v>
      </c>
      <c r="D2102" s="12"/>
      <c r="E2102" s="14"/>
    </row>
    <row r="2103" spans="1:5" ht="11.1" hidden="1" customHeight="1" x14ac:dyDescent="0.25">
      <c r="A2103" s="12" t="s">
        <v>3060</v>
      </c>
      <c r="B2103" s="12" t="s">
        <v>3061</v>
      </c>
      <c r="C2103" s="14">
        <v>5450.83</v>
      </c>
      <c r="D2103" s="12"/>
      <c r="E2103" s="14"/>
    </row>
    <row r="2104" spans="1:5" ht="11.1" hidden="1" customHeight="1" x14ac:dyDescent="0.25">
      <c r="A2104" s="12" t="s">
        <v>3062</v>
      </c>
      <c r="B2104" s="12" t="s">
        <v>3063</v>
      </c>
      <c r="C2104" s="14">
        <v>18749.169999999998</v>
      </c>
      <c r="D2104" s="12"/>
      <c r="E2104" s="14"/>
    </row>
    <row r="2105" spans="1:5" ht="11.1" hidden="1" customHeight="1" x14ac:dyDescent="0.25">
      <c r="A2105" s="12" t="s">
        <v>3064</v>
      </c>
      <c r="B2105" s="12" t="s">
        <v>1856</v>
      </c>
      <c r="C2105" s="14">
        <v>13000</v>
      </c>
      <c r="D2105" s="12"/>
      <c r="E2105" s="14"/>
    </row>
    <row r="2106" spans="1:5" ht="11.1" hidden="1" customHeight="1" x14ac:dyDescent="0.25">
      <c r="A2106" s="12" t="s">
        <v>3065</v>
      </c>
      <c r="B2106" s="12" t="s">
        <v>3066</v>
      </c>
      <c r="C2106" s="14">
        <v>5000</v>
      </c>
      <c r="D2106" s="12"/>
      <c r="E2106" s="14"/>
    </row>
    <row r="2107" spans="1:5" ht="11.1" hidden="1" customHeight="1" x14ac:dyDescent="0.25">
      <c r="A2107" s="12" t="s">
        <v>3067</v>
      </c>
      <c r="B2107" s="12" t="s">
        <v>3068</v>
      </c>
      <c r="C2107" s="14">
        <v>120680</v>
      </c>
      <c r="D2107" s="12"/>
      <c r="E2107" s="14"/>
    </row>
    <row r="2108" spans="1:5" ht="11.1" hidden="1" customHeight="1" x14ac:dyDescent="0.25">
      <c r="A2108" s="12" t="s">
        <v>3069</v>
      </c>
      <c r="B2108" s="12" t="s">
        <v>3070</v>
      </c>
      <c r="C2108" s="14">
        <v>258.33</v>
      </c>
      <c r="D2108" s="12"/>
      <c r="E2108" s="13"/>
    </row>
    <row r="2109" spans="1:5" ht="11.1" hidden="1" customHeight="1" x14ac:dyDescent="0.25">
      <c r="A2109" s="12" t="s">
        <v>3071</v>
      </c>
      <c r="B2109" s="12" t="s">
        <v>3072</v>
      </c>
      <c r="C2109" s="14">
        <v>565.83000000000004</v>
      </c>
      <c r="D2109" s="12"/>
      <c r="E2109" s="13"/>
    </row>
    <row r="2110" spans="1:5" ht="23.1" hidden="1" customHeight="1" x14ac:dyDescent="0.25">
      <c r="A2110" s="12" t="s">
        <v>3073</v>
      </c>
      <c r="B2110" s="12" t="s">
        <v>3074</v>
      </c>
      <c r="C2110" s="14">
        <v>28833.33</v>
      </c>
      <c r="D2110" s="12"/>
      <c r="E2110" s="14"/>
    </row>
    <row r="2111" spans="1:5" ht="23.1" hidden="1" customHeight="1" x14ac:dyDescent="0.25">
      <c r="A2111" s="12" t="s">
        <v>3075</v>
      </c>
      <c r="B2111" s="12" t="s">
        <v>3074</v>
      </c>
      <c r="C2111" s="14">
        <v>30750</v>
      </c>
      <c r="D2111" s="12"/>
      <c r="E2111" s="14"/>
    </row>
    <row r="2112" spans="1:5" ht="11.1" hidden="1" customHeight="1" x14ac:dyDescent="0.25">
      <c r="A2112" s="12" t="s">
        <v>3076</v>
      </c>
      <c r="B2112" s="12" t="s">
        <v>3077</v>
      </c>
      <c r="C2112" s="14">
        <v>388.83</v>
      </c>
      <c r="D2112" s="12"/>
      <c r="E2112" s="13"/>
    </row>
    <row r="2113" spans="1:5" ht="23.1" hidden="1" customHeight="1" x14ac:dyDescent="0.25">
      <c r="A2113" s="12" t="s">
        <v>3078</v>
      </c>
      <c r="B2113" s="12" t="s">
        <v>3079</v>
      </c>
      <c r="C2113" s="14">
        <v>303.33</v>
      </c>
      <c r="D2113" s="12"/>
      <c r="E2113" s="13"/>
    </row>
    <row r="2114" spans="1:5" ht="11.1" hidden="1" customHeight="1" x14ac:dyDescent="0.25">
      <c r="A2114" s="12" t="s">
        <v>3080</v>
      </c>
      <c r="B2114" s="12" t="s">
        <v>2105</v>
      </c>
      <c r="C2114" s="14">
        <v>235</v>
      </c>
      <c r="D2114" s="12"/>
      <c r="E2114" s="13"/>
    </row>
    <row r="2115" spans="1:5" ht="11.1" hidden="1" customHeight="1" x14ac:dyDescent="0.25">
      <c r="A2115" s="12" t="s">
        <v>3081</v>
      </c>
      <c r="B2115" s="12" t="s">
        <v>3082</v>
      </c>
      <c r="C2115" s="14">
        <v>291.67</v>
      </c>
      <c r="D2115" s="12"/>
      <c r="E2115" s="13"/>
    </row>
    <row r="2116" spans="1:5" ht="11.1" hidden="1" customHeight="1" x14ac:dyDescent="0.25">
      <c r="A2116" s="12" t="s">
        <v>3083</v>
      </c>
      <c r="B2116" s="12" t="s">
        <v>3084</v>
      </c>
      <c r="C2116" s="14">
        <v>85</v>
      </c>
      <c r="D2116" s="12"/>
      <c r="E2116" s="13"/>
    </row>
    <row r="2117" spans="1:5" ht="11.1" hidden="1" customHeight="1" x14ac:dyDescent="0.25">
      <c r="A2117" s="12" t="s">
        <v>3085</v>
      </c>
      <c r="B2117" s="12" t="s">
        <v>3086</v>
      </c>
      <c r="C2117" s="14">
        <v>586.65</v>
      </c>
      <c r="D2117" s="12"/>
      <c r="E2117" s="13"/>
    </row>
    <row r="2118" spans="1:5" ht="11.1" hidden="1" customHeight="1" x14ac:dyDescent="0.25">
      <c r="A2118" s="12" t="s">
        <v>3087</v>
      </c>
      <c r="B2118" s="12" t="s">
        <v>3088</v>
      </c>
      <c r="C2118" s="14">
        <v>75.42</v>
      </c>
      <c r="D2118" s="12"/>
      <c r="E2118" s="13"/>
    </row>
    <row r="2119" spans="1:5" ht="11.1" hidden="1" customHeight="1" x14ac:dyDescent="0.25">
      <c r="A2119" s="12" t="s">
        <v>3089</v>
      </c>
      <c r="B2119" s="12" t="s">
        <v>3082</v>
      </c>
      <c r="C2119" s="14">
        <v>291.67</v>
      </c>
      <c r="D2119" s="12"/>
      <c r="E2119" s="13"/>
    </row>
    <row r="2120" spans="1:5" ht="11.1" hidden="1" customHeight="1" x14ac:dyDescent="0.25">
      <c r="A2120" s="12" t="s">
        <v>3090</v>
      </c>
      <c r="B2120" s="12" t="s">
        <v>3091</v>
      </c>
      <c r="C2120" s="14">
        <v>133.33000000000001</v>
      </c>
      <c r="D2120" s="12"/>
      <c r="E2120" s="13"/>
    </row>
    <row r="2121" spans="1:5" ht="11.1" hidden="1" customHeight="1" x14ac:dyDescent="0.25">
      <c r="A2121" s="12" t="s">
        <v>3092</v>
      </c>
      <c r="B2121" s="12" t="s">
        <v>3093</v>
      </c>
      <c r="C2121" s="14">
        <v>116.67</v>
      </c>
      <c r="D2121" s="12"/>
      <c r="E2121" s="13"/>
    </row>
    <row r="2122" spans="1:5" ht="11.1" hidden="1" customHeight="1" x14ac:dyDescent="0.25">
      <c r="A2122" s="12" t="s">
        <v>3094</v>
      </c>
      <c r="B2122" s="12" t="s">
        <v>3093</v>
      </c>
      <c r="C2122" s="14">
        <v>116.67</v>
      </c>
      <c r="D2122" s="12"/>
      <c r="E2122" s="13"/>
    </row>
    <row r="2123" spans="1:5" ht="11.1" hidden="1" customHeight="1" x14ac:dyDescent="0.25">
      <c r="A2123" s="12" t="s">
        <v>3095</v>
      </c>
      <c r="B2123" s="12" t="s">
        <v>3096</v>
      </c>
      <c r="C2123" s="14">
        <v>102.9</v>
      </c>
      <c r="D2123" s="12"/>
      <c r="E2123" s="13"/>
    </row>
    <row r="2124" spans="1:5" ht="11.1" hidden="1" customHeight="1" x14ac:dyDescent="0.25">
      <c r="A2124" s="12" t="s">
        <v>3097</v>
      </c>
      <c r="B2124" s="12" t="s">
        <v>3084</v>
      </c>
      <c r="C2124" s="14">
        <v>85</v>
      </c>
      <c r="D2124" s="12"/>
      <c r="E2124" s="13"/>
    </row>
    <row r="2125" spans="1:5" ht="11.1" hidden="1" customHeight="1" x14ac:dyDescent="0.25">
      <c r="A2125" s="12" t="s">
        <v>3098</v>
      </c>
      <c r="B2125" s="12" t="s">
        <v>3099</v>
      </c>
      <c r="C2125" s="14">
        <v>303.33</v>
      </c>
      <c r="D2125" s="12"/>
      <c r="E2125" s="13"/>
    </row>
    <row r="2126" spans="1:5" ht="11.1" hidden="1" customHeight="1" x14ac:dyDescent="0.25">
      <c r="A2126" s="12" t="s">
        <v>3100</v>
      </c>
      <c r="B2126" s="12" t="s">
        <v>3079</v>
      </c>
      <c r="C2126" s="14">
        <v>303.33</v>
      </c>
      <c r="D2126" s="12"/>
      <c r="E2126" s="13"/>
    </row>
    <row r="2127" spans="1:5" ht="23.1" hidden="1" customHeight="1" x14ac:dyDescent="0.25">
      <c r="A2127" s="12" t="s">
        <v>3101</v>
      </c>
      <c r="B2127" s="12" t="s">
        <v>3084</v>
      </c>
      <c r="C2127" s="14">
        <v>85</v>
      </c>
      <c r="D2127" s="12"/>
      <c r="E2127" s="13"/>
    </row>
    <row r="2128" spans="1:5" ht="23.1" hidden="1" customHeight="1" x14ac:dyDescent="0.25">
      <c r="A2128" s="12" t="s">
        <v>3102</v>
      </c>
      <c r="B2128" s="12" t="s">
        <v>3082</v>
      </c>
      <c r="C2128" s="14">
        <v>291.67</v>
      </c>
      <c r="D2128" s="12"/>
      <c r="E2128" s="13"/>
    </row>
    <row r="2129" spans="1:5" ht="11.1" hidden="1" customHeight="1" x14ac:dyDescent="0.25">
      <c r="A2129" s="12" t="s">
        <v>3103</v>
      </c>
      <c r="B2129" s="12" t="s">
        <v>3082</v>
      </c>
      <c r="C2129" s="14">
        <v>291.67</v>
      </c>
      <c r="D2129" s="12"/>
      <c r="E2129" s="13"/>
    </row>
    <row r="2130" spans="1:5" ht="11.1" hidden="1" customHeight="1" x14ac:dyDescent="0.25">
      <c r="A2130" s="12" t="s">
        <v>3104</v>
      </c>
      <c r="B2130" s="12" t="s">
        <v>3084</v>
      </c>
      <c r="C2130" s="14">
        <v>85</v>
      </c>
      <c r="D2130" s="12"/>
      <c r="E2130" s="13"/>
    </row>
    <row r="2131" spans="1:5" ht="11.1" hidden="1" customHeight="1" x14ac:dyDescent="0.25">
      <c r="A2131" s="12" t="s">
        <v>3105</v>
      </c>
      <c r="B2131" s="12" t="s">
        <v>1990</v>
      </c>
      <c r="C2131" s="14">
        <v>634.45000000000005</v>
      </c>
      <c r="D2131" s="12"/>
      <c r="E2131" s="13"/>
    </row>
    <row r="2132" spans="1:5" ht="11.1" hidden="1" customHeight="1" x14ac:dyDescent="0.25">
      <c r="A2132" s="12" t="s">
        <v>3106</v>
      </c>
      <c r="B2132" s="12" t="s">
        <v>3079</v>
      </c>
      <c r="C2132" s="14">
        <v>303.33</v>
      </c>
      <c r="D2132" s="12"/>
      <c r="E2132" s="13"/>
    </row>
    <row r="2133" spans="1:5" ht="11.1" hidden="1" customHeight="1" x14ac:dyDescent="0.25">
      <c r="A2133" s="12" t="s">
        <v>3107</v>
      </c>
      <c r="B2133" s="12" t="s">
        <v>3099</v>
      </c>
      <c r="C2133" s="14">
        <v>303.33</v>
      </c>
      <c r="D2133" s="12"/>
      <c r="E2133" s="13"/>
    </row>
    <row r="2134" spans="1:5" ht="11.1" hidden="1" customHeight="1" x14ac:dyDescent="0.25">
      <c r="A2134" s="12" t="s">
        <v>3108</v>
      </c>
      <c r="B2134" s="12" t="s">
        <v>3109</v>
      </c>
      <c r="C2134" s="14">
        <v>188.98</v>
      </c>
      <c r="D2134" s="12"/>
      <c r="E2134" s="13"/>
    </row>
    <row r="2135" spans="1:5" ht="11.1" hidden="1" customHeight="1" x14ac:dyDescent="0.25">
      <c r="A2135" s="12" t="s">
        <v>3110</v>
      </c>
      <c r="B2135" s="12" t="s">
        <v>3111</v>
      </c>
      <c r="C2135" s="14">
        <v>79.17</v>
      </c>
      <c r="D2135" s="12"/>
      <c r="E2135" s="13"/>
    </row>
    <row r="2136" spans="1:5" ht="11.1" hidden="1" customHeight="1" x14ac:dyDescent="0.25">
      <c r="A2136" s="12" t="s">
        <v>3112</v>
      </c>
      <c r="B2136" s="12" t="s">
        <v>168</v>
      </c>
      <c r="C2136" s="14">
        <v>120.46</v>
      </c>
      <c r="D2136" s="12"/>
      <c r="E2136" s="13"/>
    </row>
    <row r="2137" spans="1:5" ht="11.1" hidden="1" customHeight="1" x14ac:dyDescent="0.25">
      <c r="A2137" s="12" t="s">
        <v>3113</v>
      </c>
      <c r="B2137" s="12" t="s">
        <v>3114</v>
      </c>
      <c r="C2137" s="14">
        <v>11.72</v>
      </c>
      <c r="D2137" s="12"/>
      <c r="E2137" s="13"/>
    </row>
    <row r="2138" spans="1:5" ht="11.1" hidden="1" customHeight="1" x14ac:dyDescent="0.25">
      <c r="A2138" s="12" t="s">
        <v>3115</v>
      </c>
      <c r="B2138" s="12" t="s">
        <v>262</v>
      </c>
      <c r="C2138" s="14">
        <v>1166.67</v>
      </c>
      <c r="D2138" s="12"/>
      <c r="E2138" s="14"/>
    </row>
    <row r="2139" spans="1:5" ht="11.1" hidden="1" customHeight="1" x14ac:dyDescent="0.25">
      <c r="A2139" s="12" t="s">
        <v>3116</v>
      </c>
      <c r="B2139" s="12" t="s">
        <v>3117</v>
      </c>
      <c r="C2139" s="14">
        <v>5000</v>
      </c>
      <c r="D2139" s="12"/>
      <c r="E2139" s="14"/>
    </row>
    <row r="2140" spans="1:5" ht="11.1" hidden="1" customHeight="1" x14ac:dyDescent="0.25">
      <c r="A2140" s="12" t="s">
        <v>3118</v>
      </c>
      <c r="B2140" s="12" t="s">
        <v>3119</v>
      </c>
      <c r="C2140" s="14">
        <v>24366.67</v>
      </c>
      <c r="D2140" s="12"/>
      <c r="E2140" s="14"/>
    </row>
    <row r="2141" spans="1:5" ht="11.1" hidden="1" customHeight="1" x14ac:dyDescent="0.25">
      <c r="A2141" s="12" t="s">
        <v>3120</v>
      </c>
      <c r="B2141" s="12" t="s">
        <v>3119</v>
      </c>
      <c r="C2141" s="14">
        <v>35153.33</v>
      </c>
      <c r="D2141" s="12"/>
      <c r="E2141" s="14"/>
    </row>
    <row r="2142" spans="1:5" ht="11.1" hidden="1" customHeight="1" x14ac:dyDescent="0.25">
      <c r="A2142" s="12" t="s">
        <v>3121</v>
      </c>
      <c r="B2142" s="12" t="s">
        <v>2650</v>
      </c>
      <c r="C2142" s="14">
        <v>1750</v>
      </c>
      <c r="D2142" s="12"/>
      <c r="E2142" s="14"/>
    </row>
    <row r="2143" spans="1:5" ht="11.1" hidden="1" customHeight="1" x14ac:dyDescent="0.25">
      <c r="A2143" s="12" t="s">
        <v>3122</v>
      </c>
      <c r="B2143" s="12" t="s">
        <v>3123</v>
      </c>
      <c r="C2143" s="14">
        <v>49890.5</v>
      </c>
      <c r="D2143" s="12"/>
      <c r="E2143" s="14"/>
    </row>
    <row r="2144" spans="1:5" ht="11.1" hidden="1" customHeight="1" x14ac:dyDescent="0.25">
      <c r="A2144" s="12" t="s">
        <v>3124</v>
      </c>
      <c r="B2144" s="12" t="s">
        <v>3125</v>
      </c>
      <c r="C2144" s="14">
        <v>1058105.69</v>
      </c>
      <c r="D2144" s="12"/>
      <c r="E2144" s="14"/>
    </row>
    <row r="2145" spans="1:5" ht="11.1" hidden="1" customHeight="1" x14ac:dyDescent="0.25">
      <c r="A2145" s="12" t="s">
        <v>3126</v>
      </c>
      <c r="B2145" s="12" t="s">
        <v>3127</v>
      </c>
      <c r="C2145" s="14">
        <v>1142358.05</v>
      </c>
      <c r="D2145" s="12"/>
      <c r="E2145" s="14"/>
    </row>
    <row r="2146" spans="1:5" ht="23.1" hidden="1" customHeight="1" x14ac:dyDescent="0.25">
      <c r="A2146" s="12" t="s">
        <v>3128</v>
      </c>
      <c r="B2146" s="12" t="s">
        <v>1609</v>
      </c>
      <c r="C2146" s="14">
        <v>100</v>
      </c>
      <c r="D2146" s="12"/>
      <c r="E2146" s="13"/>
    </row>
    <row r="2147" spans="1:5" ht="23.1" hidden="1" customHeight="1" x14ac:dyDescent="0.25">
      <c r="A2147" s="12" t="s">
        <v>3129</v>
      </c>
      <c r="B2147" s="12" t="s">
        <v>3130</v>
      </c>
      <c r="C2147" s="14">
        <v>141.66999999999999</v>
      </c>
      <c r="D2147" s="12"/>
      <c r="E2147" s="13"/>
    </row>
    <row r="2148" spans="1:5" ht="11.1" hidden="1" customHeight="1" x14ac:dyDescent="0.25">
      <c r="A2148" s="12" t="s">
        <v>3131</v>
      </c>
      <c r="B2148" s="12" t="s">
        <v>2235</v>
      </c>
      <c r="C2148" s="14">
        <v>326.67</v>
      </c>
      <c r="D2148" s="12"/>
      <c r="E2148" s="13"/>
    </row>
    <row r="2149" spans="1:5" ht="11.1" hidden="1" customHeight="1" x14ac:dyDescent="0.25">
      <c r="A2149" s="12" t="s">
        <v>3132</v>
      </c>
      <c r="B2149" s="12" t="s">
        <v>2107</v>
      </c>
      <c r="C2149" s="14">
        <v>48.5</v>
      </c>
      <c r="D2149" s="12"/>
      <c r="E2149" s="13"/>
    </row>
    <row r="2150" spans="1:5" ht="11.1" hidden="1" customHeight="1" x14ac:dyDescent="0.25">
      <c r="A2150" s="12" t="s">
        <v>3133</v>
      </c>
      <c r="B2150" s="12" t="s">
        <v>2113</v>
      </c>
      <c r="C2150" s="14">
        <v>71.37</v>
      </c>
      <c r="D2150" s="12"/>
      <c r="E2150" s="13"/>
    </row>
    <row r="2151" spans="1:5" ht="11.1" hidden="1" customHeight="1" x14ac:dyDescent="0.25">
      <c r="A2151" s="12" t="s">
        <v>3134</v>
      </c>
      <c r="B2151" s="12" t="s">
        <v>2100</v>
      </c>
      <c r="C2151" s="14">
        <v>109.17</v>
      </c>
      <c r="D2151" s="12"/>
      <c r="E2151" s="13"/>
    </row>
    <row r="2152" spans="1:5" ht="11.1" hidden="1" customHeight="1" x14ac:dyDescent="0.25">
      <c r="A2152" s="12" t="s">
        <v>3135</v>
      </c>
      <c r="B2152" s="12" t="s">
        <v>2107</v>
      </c>
      <c r="C2152" s="14">
        <v>103.33</v>
      </c>
      <c r="D2152" s="12"/>
      <c r="E2152" s="13"/>
    </row>
    <row r="2153" spans="1:5" ht="11.1" hidden="1" customHeight="1" x14ac:dyDescent="0.25">
      <c r="A2153" s="12" t="s">
        <v>3136</v>
      </c>
      <c r="B2153" s="12" t="s">
        <v>2107</v>
      </c>
      <c r="C2153" s="14">
        <v>142.5</v>
      </c>
      <c r="D2153" s="12"/>
      <c r="E2153" s="13"/>
    </row>
    <row r="2154" spans="1:5" ht="23.1" hidden="1" customHeight="1" x14ac:dyDescent="0.25">
      <c r="A2154" s="12" t="s">
        <v>3137</v>
      </c>
      <c r="B2154" s="12" t="s">
        <v>2053</v>
      </c>
      <c r="C2154" s="14">
        <v>189.17</v>
      </c>
      <c r="D2154" s="12"/>
      <c r="E2154" s="13"/>
    </row>
    <row r="2155" spans="1:5" ht="11.1" hidden="1" customHeight="1" x14ac:dyDescent="0.25">
      <c r="A2155" s="12" t="s">
        <v>3138</v>
      </c>
      <c r="B2155" s="12" t="s">
        <v>2107</v>
      </c>
      <c r="C2155" s="14">
        <v>238.33</v>
      </c>
      <c r="D2155" s="12"/>
      <c r="E2155" s="13"/>
    </row>
    <row r="2156" spans="1:5" ht="11.1" hidden="1" customHeight="1" x14ac:dyDescent="0.25">
      <c r="A2156" s="12" t="s">
        <v>3139</v>
      </c>
      <c r="B2156" s="12" t="s">
        <v>2053</v>
      </c>
      <c r="C2156" s="14">
        <v>391.67</v>
      </c>
      <c r="D2156" s="12"/>
      <c r="E2156" s="13"/>
    </row>
    <row r="2157" spans="1:5" ht="11.1" hidden="1" customHeight="1" x14ac:dyDescent="0.25">
      <c r="A2157" s="12" t="s">
        <v>3140</v>
      </c>
      <c r="B2157" s="12" t="s">
        <v>2056</v>
      </c>
      <c r="C2157" s="14">
        <v>222.5</v>
      </c>
      <c r="D2157" s="12"/>
      <c r="E2157" s="13"/>
    </row>
    <row r="2158" spans="1:5" ht="23.1" hidden="1" customHeight="1" x14ac:dyDescent="0.25">
      <c r="A2158" s="12" t="s">
        <v>3141</v>
      </c>
      <c r="B2158" s="12" t="s">
        <v>2532</v>
      </c>
      <c r="C2158" s="14">
        <v>0.38</v>
      </c>
      <c r="D2158" s="12"/>
      <c r="E2158" s="13"/>
    </row>
    <row r="2159" spans="1:5" ht="11.1" hidden="1" customHeight="1" x14ac:dyDescent="0.25">
      <c r="A2159" s="12" t="s">
        <v>3142</v>
      </c>
      <c r="B2159" s="12" t="s">
        <v>523</v>
      </c>
      <c r="C2159" s="14">
        <v>257.5</v>
      </c>
      <c r="D2159" s="12"/>
      <c r="E2159" s="13"/>
    </row>
    <row r="2160" spans="1:5" ht="11.1" hidden="1" customHeight="1" x14ac:dyDescent="0.25">
      <c r="A2160" s="12" t="s">
        <v>3143</v>
      </c>
      <c r="B2160" s="12" t="s">
        <v>1695</v>
      </c>
      <c r="C2160" s="14">
        <v>265</v>
      </c>
      <c r="D2160" s="12"/>
      <c r="E2160" s="13"/>
    </row>
    <row r="2161" spans="1:5" ht="11.1" hidden="1" customHeight="1" x14ac:dyDescent="0.25">
      <c r="A2161" s="12" t="s">
        <v>3144</v>
      </c>
      <c r="B2161" s="12" t="s">
        <v>3145</v>
      </c>
      <c r="C2161" s="14">
        <v>0.33</v>
      </c>
      <c r="D2161" s="12"/>
      <c r="E2161" s="13"/>
    </row>
    <row r="2162" spans="1:5" ht="11.1" hidden="1" customHeight="1" x14ac:dyDescent="0.25">
      <c r="A2162" s="12" t="s">
        <v>3146</v>
      </c>
      <c r="B2162" s="12" t="s">
        <v>786</v>
      </c>
      <c r="C2162" s="14">
        <v>545</v>
      </c>
      <c r="D2162" s="12"/>
      <c r="E2162" s="13"/>
    </row>
    <row r="2163" spans="1:5" ht="11.1" hidden="1" customHeight="1" x14ac:dyDescent="0.25">
      <c r="A2163" s="12" t="s">
        <v>3147</v>
      </c>
      <c r="B2163" s="12" t="s">
        <v>786</v>
      </c>
      <c r="C2163" s="14">
        <v>3013.33</v>
      </c>
      <c r="D2163" s="12"/>
      <c r="E2163" s="14"/>
    </row>
    <row r="2164" spans="1:5" ht="11.1" hidden="1" customHeight="1" x14ac:dyDescent="0.25">
      <c r="A2164" s="12" t="s">
        <v>3148</v>
      </c>
      <c r="B2164" s="12" t="s">
        <v>2944</v>
      </c>
      <c r="C2164" s="14">
        <v>1018.33</v>
      </c>
      <c r="D2164" s="12"/>
      <c r="E2164" s="14"/>
    </row>
    <row r="2165" spans="1:5" ht="23.1" hidden="1" customHeight="1" x14ac:dyDescent="0.25">
      <c r="A2165" s="12" t="s">
        <v>3149</v>
      </c>
      <c r="B2165" s="12" t="s">
        <v>3150</v>
      </c>
      <c r="C2165" s="14">
        <v>2498.33</v>
      </c>
      <c r="D2165" s="12"/>
      <c r="E2165" s="14"/>
    </row>
    <row r="2166" spans="1:5" ht="11.1" hidden="1" customHeight="1" x14ac:dyDescent="0.25">
      <c r="A2166" s="12" t="s">
        <v>3151</v>
      </c>
      <c r="B2166" s="12" t="s">
        <v>3152</v>
      </c>
      <c r="C2166" s="14">
        <v>48</v>
      </c>
      <c r="D2166" s="12"/>
      <c r="E2166" s="13"/>
    </row>
    <row r="2167" spans="1:5" ht="23.1" hidden="1" customHeight="1" x14ac:dyDescent="0.25">
      <c r="A2167" s="12" t="s">
        <v>3153</v>
      </c>
      <c r="B2167" s="12" t="s">
        <v>1405</v>
      </c>
      <c r="C2167" s="14">
        <v>256.67</v>
      </c>
      <c r="D2167" s="12"/>
      <c r="E2167" s="13"/>
    </row>
    <row r="2168" spans="1:5" ht="11.1" hidden="1" customHeight="1" x14ac:dyDescent="0.25">
      <c r="A2168" s="12" t="s">
        <v>3154</v>
      </c>
      <c r="B2168" s="12" t="s">
        <v>3155</v>
      </c>
      <c r="C2168" s="14">
        <v>106</v>
      </c>
      <c r="D2168" s="12"/>
      <c r="E2168" s="13"/>
    </row>
    <row r="2169" spans="1:5" ht="11.1" hidden="1" customHeight="1" x14ac:dyDescent="0.25">
      <c r="A2169" s="12" t="s">
        <v>3156</v>
      </c>
      <c r="B2169" s="12" t="s">
        <v>2117</v>
      </c>
      <c r="C2169" s="14">
        <v>65</v>
      </c>
      <c r="D2169" s="12"/>
      <c r="E2169" s="13"/>
    </row>
    <row r="2170" spans="1:5" ht="11.1" hidden="1" customHeight="1" x14ac:dyDescent="0.25">
      <c r="A2170" s="12" t="s">
        <v>3157</v>
      </c>
      <c r="B2170" s="12" t="s">
        <v>3158</v>
      </c>
      <c r="C2170" s="14">
        <v>2220.83</v>
      </c>
      <c r="D2170" s="12"/>
      <c r="E2170" s="14"/>
    </row>
    <row r="2171" spans="1:5" ht="11.1" hidden="1" customHeight="1" x14ac:dyDescent="0.25">
      <c r="A2171" s="12" t="s">
        <v>3159</v>
      </c>
      <c r="B2171" s="12" t="s">
        <v>638</v>
      </c>
      <c r="C2171" s="14">
        <v>2958.34</v>
      </c>
      <c r="D2171" s="12"/>
      <c r="E2171" s="14"/>
    </row>
    <row r="2172" spans="1:5" ht="11.1" hidden="1" customHeight="1" x14ac:dyDescent="0.25">
      <c r="A2172" s="12" t="s">
        <v>3160</v>
      </c>
      <c r="B2172" s="12" t="s">
        <v>3161</v>
      </c>
      <c r="C2172" s="14">
        <v>289.17</v>
      </c>
      <c r="D2172" s="12"/>
      <c r="E2172" s="13"/>
    </row>
    <row r="2173" spans="1:5" ht="11.1" hidden="1" customHeight="1" x14ac:dyDescent="0.25">
      <c r="A2173" s="12" t="s">
        <v>3162</v>
      </c>
      <c r="B2173" s="12" t="s">
        <v>2670</v>
      </c>
      <c r="C2173" s="14">
        <v>1033.33</v>
      </c>
      <c r="D2173" s="12"/>
      <c r="E2173" s="14"/>
    </row>
    <row r="2174" spans="1:5" ht="11.1" hidden="1" customHeight="1" x14ac:dyDescent="0.25">
      <c r="A2174" s="12" t="s">
        <v>3163</v>
      </c>
      <c r="B2174" s="12" t="s">
        <v>193</v>
      </c>
      <c r="C2174" s="14">
        <v>795.2</v>
      </c>
      <c r="D2174" s="12"/>
      <c r="E2174" s="13"/>
    </row>
    <row r="2175" spans="1:5" ht="23.1" hidden="1" customHeight="1" x14ac:dyDescent="0.25">
      <c r="A2175" s="12" t="s">
        <v>3164</v>
      </c>
      <c r="B2175" s="12" t="s">
        <v>1843</v>
      </c>
      <c r="C2175" s="14">
        <v>4166.67</v>
      </c>
      <c r="D2175" s="12"/>
      <c r="E2175" s="14"/>
    </row>
    <row r="2176" spans="1:5" ht="11.1" hidden="1" customHeight="1" x14ac:dyDescent="0.25">
      <c r="A2176" s="12" t="s">
        <v>3165</v>
      </c>
      <c r="B2176" s="12" t="s">
        <v>1843</v>
      </c>
      <c r="C2176" s="14">
        <v>5000</v>
      </c>
      <c r="D2176" s="12"/>
      <c r="E2176" s="14"/>
    </row>
    <row r="2177" spans="1:5" ht="11.1" hidden="1" customHeight="1" x14ac:dyDescent="0.25">
      <c r="A2177" s="12" t="s">
        <v>3166</v>
      </c>
      <c r="B2177" s="12" t="s">
        <v>1843</v>
      </c>
      <c r="C2177" s="14">
        <v>6000</v>
      </c>
      <c r="D2177" s="12"/>
      <c r="E2177" s="14"/>
    </row>
    <row r="2178" spans="1:5" ht="11.1" hidden="1" customHeight="1" x14ac:dyDescent="0.25">
      <c r="A2178" s="12" t="s">
        <v>3167</v>
      </c>
      <c r="B2178" s="12" t="s">
        <v>3168</v>
      </c>
      <c r="C2178" s="14">
        <v>2785</v>
      </c>
      <c r="D2178" s="12"/>
      <c r="E2178" s="14"/>
    </row>
    <row r="2179" spans="1:5" ht="11.1" hidden="1" customHeight="1" x14ac:dyDescent="0.25">
      <c r="A2179" s="12" t="s">
        <v>3169</v>
      </c>
      <c r="B2179" s="12" t="s">
        <v>3170</v>
      </c>
      <c r="C2179" s="14">
        <v>350</v>
      </c>
      <c r="D2179" s="12"/>
      <c r="E2179" s="13"/>
    </row>
    <row r="2180" spans="1:5" ht="11.1" hidden="1" customHeight="1" x14ac:dyDescent="0.25">
      <c r="A2180" s="12" t="s">
        <v>3171</v>
      </c>
      <c r="B2180" s="12" t="s">
        <v>1110</v>
      </c>
      <c r="C2180" s="14">
        <v>9528.34</v>
      </c>
      <c r="D2180" s="12"/>
      <c r="E2180" s="14"/>
    </row>
    <row r="2181" spans="1:5" ht="11.1" hidden="1" customHeight="1" x14ac:dyDescent="0.25">
      <c r="A2181" s="12" t="s">
        <v>3172</v>
      </c>
      <c r="B2181" s="12" t="s">
        <v>3173</v>
      </c>
      <c r="C2181" s="14">
        <v>3083.33</v>
      </c>
      <c r="D2181" s="12"/>
      <c r="E2181" s="14"/>
    </row>
    <row r="2182" spans="1:5" ht="11.1" hidden="1" customHeight="1" x14ac:dyDescent="0.25">
      <c r="A2182" s="12" t="s">
        <v>3174</v>
      </c>
      <c r="B2182" s="12" t="s">
        <v>3175</v>
      </c>
      <c r="C2182" s="14">
        <v>11138</v>
      </c>
      <c r="D2182" s="12"/>
      <c r="E2182" s="14"/>
    </row>
    <row r="2183" spans="1:5" ht="11.1" hidden="1" customHeight="1" x14ac:dyDescent="0.25">
      <c r="A2183" s="12" t="s">
        <v>3176</v>
      </c>
      <c r="B2183" s="12" t="s">
        <v>3177</v>
      </c>
      <c r="C2183" s="14">
        <v>20379</v>
      </c>
      <c r="D2183" s="12"/>
      <c r="E2183" s="14"/>
    </row>
    <row r="2184" spans="1:5" ht="11.1" hidden="1" customHeight="1" x14ac:dyDescent="0.25">
      <c r="A2184" s="12" t="s">
        <v>3178</v>
      </c>
      <c r="B2184" s="12" t="s">
        <v>554</v>
      </c>
      <c r="C2184" s="14">
        <v>3000</v>
      </c>
      <c r="D2184" s="12"/>
      <c r="E2184" s="14"/>
    </row>
    <row r="2185" spans="1:5" ht="11.1" hidden="1" customHeight="1" x14ac:dyDescent="0.25">
      <c r="A2185" s="12" t="s">
        <v>3179</v>
      </c>
      <c r="B2185" s="12" t="s">
        <v>3180</v>
      </c>
      <c r="C2185" s="14">
        <v>19333.330000000002</v>
      </c>
      <c r="D2185" s="12"/>
      <c r="E2185" s="14"/>
    </row>
    <row r="2186" spans="1:5" ht="11.1" hidden="1" customHeight="1" x14ac:dyDescent="0.25">
      <c r="A2186" s="12" t="s">
        <v>3181</v>
      </c>
      <c r="B2186" s="12" t="s">
        <v>3182</v>
      </c>
      <c r="C2186" s="14">
        <v>2305.83</v>
      </c>
      <c r="D2186" s="12"/>
      <c r="E2186" s="14"/>
    </row>
    <row r="2187" spans="1:5" ht="23.1" hidden="1" customHeight="1" x14ac:dyDescent="0.25">
      <c r="A2187" s="12" t="s">
        <v>3183</v>
      </c>
      <c r="B2187" s="12" t="s">
        <v>1987</v>
      </c>
      <c r="C2187" s="14">
        <v>237.5</v>
      </c>
      <c r="D2187" s="12"/>
      <c r="E2187" s="13"/>
    </row>
    <row r="2188" spans="1:5" ht="23.1" hidden="1" customHeight="1" x14ac:dyDescent="0.25">
      <c r="A2188" s="12" t="s">
        <v>3184</v>
      </c>
      <c r="B2188" s="12" t="s">
        <v>2030</v>
      </c>
      <c r="C2188" s="14">
        <v>1433.15</v>
      </c>
      <c r="D2188" s="12"/>
      <c r="E2188" s="14"/>
    </row>
    <row r="2189" spans="1:5" ht="23.1" hidden="1" customHeight="1" x14ac:dyDescent="0.25">
      <c r="A2189" s="12" t="s">
        <v>3185</v>
      </c>
      <c r="B2189" s="12" t="s">
        <v>3186</v>
      </c>
      <c r="C2189" s="14">
        <v>5900</v>
      </c>
      <c r="D2189" s="12"/>
      <c r="E2189" s="14"/>
    </row>
    <row r="2190" spans="1:5" ht="11.1" hidden="1" customHeight="1" x14ac:dyDescent="0.25">
      <c r="A2190" s="12" t="s">
        <v>3187</v>
      </c>
      <c r="B2190" s="12" t="s">
        <v>3188</v>
      </c>
      <c r="C2190" s="14">
        <v>2025</v>
      </c>
      <c r="D2190" s="12"/>
      <c r="E2190" s="14"/>
    </row>
    <row r="2191" spans="1:5" ht="11.1" hidden="1" customHeight="1" x14ac:dyDescent="0.25">
      <c r="A2191" s="12" t="s">
        <v>3189</v>
      </c>
      <c r="B2191" s="12" t="s">
        <v>120</v>
      </c>
      <c r="C2191" s="14">
        <v>125</v>
      </c>
      <c r="D2191" s="12"/>
      <c r="E2191" s="13"/>
    </row>
    <row r="2192" spans="1:5" ht="11.1" hidden="1" customHeight="1" x14ac:dyDescent="0.25">
      <c r="A2192" s="12" t="s">
        <v>3190</v>
      </c>
      <c r="B2192" s="12" t="s">
        <v>3191</v>
      </c>
      <c r="C2192" s="14">
        <v>295</v>
      </c>
      <c r="D2192" s="12"/>
      <c r="E2192" s="13"/>
    </row>
    <row r="2193" spans="1:5" ht="11.1" hidden="1" customHeight="1" x14ac:dyDescent="0.25">
      <c r="A2193" s="12" t="s">
        <v>3192</v>
      </c>
      <c r="B2193" s="12" t="s">
        <v>3193</v>
      </c>
      <c r="C2193" s="14">
        <v>510.42</v>
      </c>
      <c r="D2193" s="12"/>
      <c r="E2193" s="13"/>
    </row>
    <row r="2194" spans="1:5" ht="11.1" hidden="1" customHeight="1" x14ac:dyDescent="0.25">
      <c r="A2194" s="12" t="s">
        <v>3194</v>
      </c>
      <c r="B2194" s="12" t="s">
        <v>2333</v>
      </c>
      <c r="C2194" s="14">
        <v>95.79</v>
      </c>
      <c r="D2194" s="12"/>
      <c r="E2194" s="13"/>
    </row>
    <row r="2195" spans="1:5" ht="11.1" hidden="1" customHeight="1" x14ac:dyDescent="0.25">
      <c r="A2195" s="12" t="s">
        <v>3195</v>
      </c>
      <c r="B2195" s="12" t="s">
        <v>3196</v>
      </c>
      <c r="C2195" s="14">
        <v>15462</v>
      </c>
      <c r="D2195" s="12"/>
      <c r="E2195" s="14"/>
    </row>
    <row r="2196" spans="1:5" ht="11.1" hidden="1" customHeight="1" x14ac:dyDescent="0.25">
      <c r="A2196" s="12" t="s">
        <v>3197</v>
      </c>
      <c r="B2196" s="12" t="s">
        <v>3198</v>
      </c>
      <c r="C2196" s="14">
        <v>5201.29</v>
      </c>
      <c r="D2196" s="12"/>
      <c r="E2196" s="14"/>
    </row>
    <row r="2197" spans="1:5" ht="11.1" hidden="1" customHeight="1" x14ac:dyDescent="0.25">
      <c r="A2197" s="12" t="s">
        <v>3199</v>
      </c>
      <c r="B2197" s="12" t="s">
        <v>3200</v>
      </c>
      <c r="C2197" s="14">
        <v>2661.1</v>
      </c>
      <c r="D2197" s="12"/>
      <c r="E2197" s="14"/>
    </row>
    <row r="2198" spans="1:5" ht="11.1" hidden="1" customHeight="1" x14ac:dyDescent="0.25">
      <c r="A2198" s="12" t="s">
        <v>3201</v>
      </c>
      <c r="B2198" s="12" t="s">
        <v>3202</v>
      </c>
      <c r="C2198" s="14">
        <v>1100</v>
      </c>
      <c r="D2198" s="12"/>
      <c r="E2198" s="14"/>
    </row>
    <row r="2199" spans="1:5" ht="11.1" hidden="1" customHeight="1" x14ac:dyDescent="0.25">
      <c r="A2199" s="12" t="s">
        <v>3203</v>
      </c>
      <c r="B2199" s="12" t="s">
        <v>3204</v>
      </c>
      <c r="C2199" s="14">
        <v>8259.17</v>
      </c>
      <c r="D2199" s="12"/>
      <c r="E2199" s="14"/>
    </row>
    <row r="2200" spans="1:5" ht="11.1" hidden="1" customHeight="1" x14ac:dyDescent="0.25">
      <c r="A2200" s="12" t="s">
        <v>3205</v>
      </c>
      <c r="B2200" s="12" t="s">
        <v>3206</v>
      </c>
      <c r="C2200" s="14">
        <v>8259.17</v>
      </c>
      <c r="D2200" s="12"/>
      <c r="E2200" s="14"/>
    </row>
    <row r="2201" spans="1:5" ht="11.1" hidden="1" customHeight="1" x14ac:dyDescent="0.25">
      <c r="A2201" s="12" t="s">
        <v>3207</v>
      </c>
      <c r="B2201" s="12" t="s">
        <v>3208</v>
      </c>
      <c r="C2201" s="14">
        <v>2060.84</v>
      </c>
      <c r="D2201" s="12"/>
      <c r="E2201" s="14"/>
    </row>
    <row r="2202" spans="1:5" ht="11.1" hidden="1" customHeight="1" x14ac:dyDescent="0.25">
      <c r="A2202" s="12" t="s">
        <v>3209</v>
      </c>
      <c r="B2202" s="12" t="s">
        <v>3202</v>
      </c>
      <c r="C2202" s="14">
        <v>9637.11</v>
      </c>
      <c r="D2202" s="12"/>
      <c r="E2202" s="14"/>
    </row>
    <row r="2203" spans="1:5" ht="11.1" hidden="1" customHeight="1" x14ac:dyDescent="0.25">
      <c r="A2203" s="12" t="s">
        <v>3210</v>
      </c>
      <c r="B2203" s="12" t="s">
        <v>3202</v>
      </c>
      <c r="C2203" s="14">
        <v>1877.29</v>
      </c>
      <c r="D2203" s="12"/>
      <c r="E2203" s="14"/>
    </row>
    <row r="2204" spans="1:5" ht="11.1" hidden="1" customHeight="1" x14ac:dyDescent="0.25">
      <c r="A2204" s="12" t="s">
        <v>3211</v>
      </c>
      <c r="B2204" s="12" t="s">
        <v>3202</v>
      </c>
      <c r="C2204" s="14">
        <v>7757.5</v>
      </c>
      <c r="D2204" s="12"/>
      <c r="E2204" s="14"/>
    </row>
    <row r="2205" spans="1:5" ht="11.1" hidden="1" customHeight="1" x14ac:dyDescent="0.25">
      <c r="A2205" s="12" t="s">
        <v>3212</v>
      </c>
      <c r="B2205" s="12" t="s">
        <v>3202</v>
      </c>
      <c r="C2205" s="14">
        <v>2112.6999999999998</v>
      </c>
      <c r="D2205" s="12"/>
      <c r="E2205" s="14"/>
    </row>
    <row r="2206" spans="1:5" ht="11.1" hidden="1" customHeight="1" x14ac:dyDescent="0.25">
      <c r="A2206" s="12" t="s">
        <v>3213</v>
      </c>
      <c r="B2206" s="12" t="s">
        <v>3202</v>
      </c>
      <c r="C2206" s="14">
        <v>8718.15</v>
      </c>
      <c r="D2206" s="12"/>
      <c r="E2206" s="14"/>
    </row>
    <row r="2207" spans="1:5" ht="11.1" hidden="1" customHeight="1" x14ac:dyDescent="0.25">
      <c r="A2207" s="12" t="s">
        <v>3214</v>
      </c>
      <c r="B2207" s="12" t="s">
        <v>3215</v>
      </c>
      <c r="C2207" s="14">
        <v>12299</v>
      </c>
      <c r="D2207" s="12"/>
      <c r="E2207" s="14"/>
    </row>
    <row r="2208" spans="1:5" ht="11.1" hidden="1" customHeight="1" x14ac:dyDescent="0.25">
      <c r="A2208" s="12" t="s">
        <v>3216</v>
      </c>
      <c r="B2208" s="12" t="s">
        <v>3217</v>
      </c>
      <c r="C2208" s="14">
        <v>770</v>
      </c>
      <c r="D2208" s="12"/>
      <c r="E2208" s="13"/>
    </row>
    <row r="2209" spans="1:5" ht="11.1" hidden="1" customHeight="1" x14ac:dyDescent="0.25">
      <c r="A2209" s="12" t="s">
        <v>3218</v>
      </c>
      <c r="B2209" s="12" t="s">
        <v>3219</v>
      </c>
      <c r="C2209" s="14">
        <v>1000</v>
      </c>
      <c r="D2209" s="12"/>
      <c r="E2209" s="14"/>
    </row>
    <row r="2210" spans="1:5" ht="11.1" hidden="1" customHeight="1" x14ac:dyDescent="0.25">
      <c r="A2210" s="12" t="s">
        <v>3220</v>
      </c>
      <c r="B2210" s="12" t="s">
        <v>3221</v>
      </c>
      <c r="C2210" s="14">
        <v>63.33</v>
      </c>
      <c r="D2210" s="12"/>
      <c r="E2210" s="13"/>
    </row>
    <row r="2211" spans="1:5" ht="11.1" hidden="1" customHeight="1" x14ac:dyDescent="0.25">
      <c r="A2211" s="12" t="s">
        <v>3222</v>
      </c>
      <c r="B2211" s="12" t="s">
        <v>3221</v>
      </c>
      <c r="C2211" s="14">
        <v>63.33</v>
      </c>
      <c r="D2211" s="12"/>
      <c r="E2211" s="13"/>
    </row>
    <row r="2212" spans="1:5" ht="11.1" hidden="1" customHeight="1" x14ac:dyDescent="0.25">
      <c r="A2212" s="12" t="s">
        <v>3223</v>
      </c>
      <c r="B2212" s="12" t="s">
        <v>3221</v>
      </c>
      <c r="C2212" s="14">
        <v>87.5</v>
      </c>
      <c r="D2212" s="12"/>
      <c r="E2212" s="13"/>
    </row>
    <row r="2213" spans="1:5" ht="11.1" hidden="1" customHeight="1" x14ac:dyDescent="0.25">
      <c r="A2213" s="12" t="s">
        <v>3224</v>
      </c>
      <c r="B2213" s="12" t="s">
        <v>3221</v>
      </c>
      <c r="C2213" s="14">
        <v>87.5</v>
      </c>
      <c r="D2213" s="12"/>
      <c r="E2213" s="13"/>
    </row>
    <row r="2214" spans="1:5" ht="11.1" hidden="1" customHeight="1" x14ac:dyDescent="0.25">
      <c r="A2214" s="12" t="s">
        <v>3225</v>
      </c>
      <c r="B2214" s="12" t="s">
        <v>3221</v>
      </c>
      <c r="C2214" s="14">
        <v>8.33</v>
      </c>
      <c r="D2214" s="12"/>
      <c r="E2214" s="13"/>
    </row>
    <row r="2215" spans="1:5" ht="23.1" hidden="1" customHeight="1" x14ac:dyDescent="0.25">
      <c r="A2215" s="12" t="s">
        <v>3226</v>
      </c>
      <c r="B2215" s="12" t="s">
        <v>2123</v>
      </c>
      <c r="C2215" s="14">
        <v>29.83</v>
      </c>
      <c r="D2215" s="12"/>
      <c r="E2215" s="13"/>
    </row>
    <row r="2216" spans="1:5" ht="11.1" hidden="1" customHeight="1" x14ac:dyDescent="0.25">
      <c r="A2216" s="12" t="s">
        <v>3227</v>
      </c>
      <c r="B2216" s="12" t="s">
        <v>3228</v>
      </c>
      <c r="C2216" s="14">
        <v>236.66</v>
      </c>
      <c r="D2216" s="12"/>
      <c r="E2216" s="13"/>
    </row>
    <row r="2217" spans="1:5" ht="11.1" hidden="1" customHeight="1" x14ac:dyDescent="0.25">
      <c r="A2217" s="12" t="s">
        <v>3229</v>
      </c>
      <c r="B2217" s="12" t="s">
        <v>2123</v>
      </c>
      <c r="C2217" s="14">
        <v>326.68</v>
      </c>
      <c r="D2217" s="12"/>
      <c r="E2217" s="13"/>
    </row>
    <row r="2218" spans="1:5" ht="11.1" hidden="1" customHeight="1" x14ac:dyDescent="0.25">
      <c r="A2218" s="12" t="s">
        <v>3230</v>
      </c>
      <c r="B2218" s="12" t="s">
        <v>3231</v>
      </c>
      <c r="C2218" s="14">
        <v>27.5</v>
      </c>
      <c r="D2218" s="12"/>
      <c r="E2218" s="13"/>
    </row>
    <row r="2219" spans="1:5" ht="11.1" hidden="1" customHeight="1" x14ac:dyDescent="0.25">
      <c r="A2219" s="12" t="s">
        <v>3232</v>
      </c>
      <c r="B2219" s="12" t="s">
        <v>3233</v>
      </c>
      <c r="C2219" s="14">
        <v>598</v>
      </c>
      <c r="D2219" s="12"/>
      <c r="E2219" s="13"/>
    </row>
    <row r="2220" spans="1:5" ht="11.1" hidden="1" customHeight="1" x14ac:dyDescent="0.25">
      <c r="A2220" s="12" t="s">
        <v>3234</v>
      </c>
      <c r="B2220" s="12" t="s">
        <v>786</v>
      </c>
      <c r="C2220" s="14">
        <v>356.67</v>
      </c>
      <c r="D2220" s="12"/>
      <c r="E2220" s="13"/>
    </row>
    <row r="2221" spans="1:5" ht="11.1" hidden="1" customHeight="1" x14ac:dyDescent="0.25">
      <c r="A2221" s="12" t="s">
        <v>3235</v>
      </c>
      <c r="B2221" s="12" t="s">
        <v>2971</v>
      </c>
      <c r="C2221" s="14">
        <v>1007.5</v>
      </c>
      <c r="D2221" s="12"/>
      <c r="E2221" s="14"/>
    </row>
    <row r="2222" spans="1:5" ht="11.1" hidden="1" customHeight="1" x14ac:dyDescent="0.25">
      <c r="A2222" s="12" t="s">
        <v>3236</v>
      </c>
      <c r="B2222" s="12" t="s">
        <v>332</v>
      </c>
      <c r="C2222" s="14">
        <v>7078.33</v>
      </c>
      <c r="D2222" s="12"/>
      <c r="E2222" s="14"/>
    </row>
    <row r="2223" spans="1:5" ht="11.1" hidden="1" customHeight="1" x14ac:dyDescent="0.25">
      <c r="A2223" s="12" t="s">
        <v>3237</v>
      </c>
      <c r="B2223" s="12" t="s">
        <v>292</v>
      </c>
      <c r="C2223" s="14">
        <v>1755</v>
      </c>
      <c r="D2223" s="12"/>
      <c r="E2223" s="14"/>
    </row>
    <row r="2224" spans="1:5" ht="11.1" hidden="1" customHeight="1" x14ac:dyDescent="0.25">
      <c r="A2224" s="12" t="s">
        <v>3238</v>
      </c>
      <c r="B2224" s="12" t="s">
        <v>292</v>
      </c>
      <c r="C2224" s="14">
        <v>1273.33</v>
      </c>
      <c r="D2224" s="12"/>
      <c r="E2224" s="14"/>
    </row>
    <row r="2225" spans="1:5" ht="11.1" hidden="1" customHeight="1" x14ac:dyDescent="0.25">
      <c r="A2225" s="12" t="s">
        <v>3239</v>
      </c>
      <c r="B2225" s="12" t="s">
        <v>993</v>
      </c>
      <c r="C2225" s="14">
        <v>1080</v>
      </c>
      <c r="D2225" s="12"/>
      <c r="E2225" s="14"/>
    </row>
    <row r="2226" spans="1:5" ht="11.1" hidden="1" customHeight="1" x14ac:dyDescent="0.25">
      <c r="A2226" s="12" t="s">
        <v>3240</v>
      </c>
      <c r="B2226" s="12" t="s">
        <v>288</v>
      </c>
      <c r="C2226" s="14">
        <v>91.67</v>
      </c>
      <c r="D2226" s="12"/>
      <c r="E2226" s="13"/>
    </row>
    <row r="2227" spans="1:5" ht="11.1" hidden="1" customHeight="1" x14ac:dyDescent="0.25">
      <c r="A2227" s="12" t="s">
        <v>3241</v>
      </c>
      <c r="B2227" s="12" t="s">
        <v>536</v>
      </c>
      <c r="C2227" s="14">
        <v>836.67</v>
      </c>
      <c r="D2227" s="12"/>
      <c r="E2227" s="13"/>
    </row>
    <row r="2228" spans="1:5" ht="11.1" hidden="1" customHeight="1" x14ac:dyDescent="0.25">
      <c r="A2228" s="12" t="s">
        <v>3242</v>
      </c>
      <c r="B2228" s="12" t="s">
        <v>725</v>
      </c>
      <c r="C2228" s="14">
        <v>80</v>
      </c>
      <c r="D2228" s="12"/>
      <c r="E2228" s="13"/>
    </row>
    <row r="2229" spans="1:5" ht="11.1" hidden="1" customHeight="1" x14ac:dyDescent="0.25">
      <c r="A2229" s="12" t="s">
        <v>3243</v>
      </c>
      <c r="B2229" s="12" t="s">
        <v>1656</v>
      </c>
      <c r="C2229" s="14">
        <v>2251.67</v>
      </c>
      <c r="D2229" s="12"/>
      <c r="E2229" s="14"/>
    </row>
    <row r="2230" spans="1:5" ht="11.1" hidden="1" customHeight="1" x14ac:dyDescent="0.25">
      <c r="A2230" s="12" t="s">
        <v>3244</v>
      </c>
      <c r="B2230" s="12" t="s">
        <v>497</v>
      </c>
      <c r="C2230" s="14">
        <v>376.67</v>
      </c>
      <c r="D2230" s="12"/>
      <c r="E2230" s="13"/>
    </row>
    <row r="2231" spans="1:5" ht="11.1" hidden="1" customHeight="1" x14ac:dyDescent="0.25">
      <c r="A2231" s="12" t="s">
        <v>3245</v>
      </c>
      <c r="B2231" s="12" t="s">
        <v>497</v>
      </c>
      <c r="C2231" s="14">
        <v>23.33</v>
      </c>
      <c r="D2231" s="12"/>
      <c r="E2231" s="13"/>
    </row>
    <row r="2232" spans="1:5" ht="11.1" hidden="1" customHeight="1" x14ac:dyDescent="0.25">
      <c r="A2232" s="12" t="s">
        <v>3246</v>
      </c>
      <c r="B2232" s="12" t="s">
        <v>387</v>
      </c>
      <c r="C2232" s="14">
        <v>655.83</v>
      </c>
      <c r="D2232" s="12"/>
      <c r="E2232" s="13"/>
    </row>
    <row r="2233" spans="1:5" ht="11.1" hidden="1" customHeight="1" x14ac:dyDescent="0.25">
      <c r="A2233" s="12" t="s">
        <v>3247</v>
      </c>
      <c r="B2233" s="12" t="s">
        <v>288</v>
      </c>
      <c r="C2233" s="14">
        <v>2974.17</v>
      </c>
      <c r="D2233" s="12"/>
      <c r="E2233" s="14"/>
    </row>
    <row r="2234" spans="1:5" ht="11.1" hidden="1" customHeight="1" x14ac:dyDescent="0.25">
      <c r="A2234" s="12" t="s">
        <v>3248</v>
      </c>
      <c r="B2234" s="12" t="s">
        <v>497</v>
      </c>
      <c r="C2234" s="14">
        <v>2373.33</v>
      </c>
      <c r="D2234" s="12"/>
      <c r="E2234" s="14"/>
    </row>
    <row r="2235" spans="1:5" ht="11.1" hidden="1" customHeight="1" x14ac:dyDescent="0.25">
      <c r="A2235" s="12" t="s">
        <v>3249</v>
      </c>
      <c r="B2235" s="12" t="s">
        <v>1573</v>
      </c>
      <c r="C2235" s="14">
        <v>760</v>
      </c>
      <c r="D2235" s="12"/>
      <c r="E2235" s="13"/>
    </row>
    <row r="2236" spans="1:5" ht="11.1" hidden="1" customHeight="1" x14ac:dyDescent="0.25">
      <c r="A2236" s="12" t="s">
        <v>3250</v>
      </c>
      <c r="B2236" s="12" t="s">
        <v>1573</v>
      </c>
      <c r="C2236" s="14">
        <v>1310</v>
      </c>
      <c r="D2236" s="12"/>
      <c r="E2236" s="14"/>
    </row>
    <row r="2237" spans="1:5" ht="11.1" hidden="1" customHeight="1" x14ac:dyDescent="0.25">
      <c r="A2237" s="12" t="s">
        <v>3251</v>
      </c>
      <c r="B2237" s="12" t="s">
        <v>1573</v>
      </c>
      <c r="C2237" s="14">
        <v>1447.5</v>
      </c>
      <c r="D2237" s="12"/>
      <c r="E2237" s="14"/>
    </row>
    <row r="2238" spans="1:5" ht="11.1" hidden="1" customHeight="1" x14ac:dyDescent="0.25">
      <c r="A2238" s="12" t="s">
        <v>3252</v>
      </c>
      <c r="B2238" s="12" t="s">
        <v>1573</v>
      </c>
      <c r="C2238" s="14">
        <v>897.5</v>
      </c>
      <c r="D2238" s="12"/>
      <c r="E2238" s="13"/>
    </row>
    <row r="2239" spans="1:5" ht="11.1" hidden="1" customHeight="1" x14ac:dyDescent="0.25">
      <c r="A2239" s="12" t="s">
        <v>3253</v>
      </c>
      <c r="B2239" s="12" t="s">
        <v>1573</v>
      </c>
      <c r="C2239" s="14">
        <v>828.33</v>
      </c>
      <c r="D2239" s="12"/>
      <c r="E2239" s="13"/>
    </row>
    <row r="2240" spans="1:5" ht="11.1" hidden="1" customHeight="1" x14ac:dyDescent="0.25">
      <c r="A2240" s="12" t="s">
        <v>3254</v>
      </c>
      <c r="B2240" s="12" t="s">
        <v>738</v>
      </c>
      <c r="C2240" s="14">
        <v>1853.34</v>
      </c>
      <c r="D2240" s="12"/>
      <c r="E2240" s="14"/>
    </row>
    <row r="2241" spans="1:5" ht="11.1" hidden="1" customHeight="1" x14ac:dyDescent="0.25">
      <c r="A2241" s="12" t="s">
        <v>3255</v>
      </c>
      <c r="B2241" s="12" t="s">
        <v>752</v>
      </c>
      <c r="C2241" s="14">
        <v>1483.33</v>
      </c>
      <c r="D2241" s="12"/>
      <c r="E2241" s="14"/>
    </row>
    <row r="2242" spans="1:5" ht="11.1" hidden="1" customHeight="1" x14ac:dyDescent="0.25">
      <c r="A2242" s="12" t="s">
        <v>3256</v>
      </c>
      <c r="B2242" s="12" t="s">
        <v>489</v>
      </c>
      <c r="C2242" s="14">
        <v>5090</v>
      </c>
      <c r="D2242" s="12"/>
      <c r="E2242" s="14"/>
    </row>
    <row r="2243" spans="1:5" ht="11.1" hidden="1" customHeight="1" x14ac:dyDescent="0.25">
      <c r="A2243" s="12" t="s">
        <v>3257</v>
      </c>
      <c r="B2243" s="12" t="s">
        <v>622</v>
      </c>
      <c r="C2243" s="14">
        <v>279.17</v>
      </c>
      <c r="D2243" s="12"/>
      <c r="E2243" s="13"/>
    </row>
    <row r="2244" spans="1:5" ht="11.1" hidden="1" customHeight="1" x14ac:dyDescent="0.25">
      <c r="A2244" s="12" t="s">
        <v>3258</v>
      </c>
      <c r="B2244" s="12" t="s">
        <v>497</v>
      </c>
      <c r="C2244" s="14">
        <v>426.67</v>
      </c>
      <c r="D2244" s="12"/>
      <c r="E2244" s="13"/>
    </row>
    <row r="2245" spans="1:5" ht="11.1" hidden="1" customHeight="1" x14ac:dyDescent="0.25">
      <c r="A2245" s="12" t="s">
        <v>3259</v>
      </c>
      <c r="B2245" s="12" t="s">
        <v>944</v>
      </c>
      <c r="C2245" s="14">
        <v>905</v>
      </c>
      <c r="D2245" s="12"/>
      <c r="E2245" s="13"/>
    </row>
    <row r="2246" spans="1:5" ht="11.1" hidden="1" customHeight="1" x14ac:dyDescent="0.25">
      <c r="A2246" s="12" t="s">
        <v>3260</v>
      </c>
      <c r="B2246" s="12" t="s">
        <v>84</v>
      </c>
      <c r="C2246" s="14">
        <v>56.67</v>
      </c>
      <c r="D2246" s="12"/>
      <c r="E2246" s="13"/>
    </row>
    <row r="2247" spans="1:5" ht="11.1" hidden="1" customHeight="1" x14ac:dyDescent="0.25">
      <c r="A2247" s="12" t="s">
        <v>3261</v>
      </c>
      <c r="B2247" s="12" t="s">
        <v>3262</v>
      </c>
      <c r="C2247" s="14">
        <v>8665.83</v>
      </c>
      <c r="D2247" s="12"/>
      <c r="E2247" s="14"/>
    </row>
    <row r="2248" spans="1:5" ht="11.1" hidden="1" customHeight="1" x14ac:dyDescent="0.25">
      <c r="A2248" s="12" t="s">
        <v>3263</v>
      </c>
      <c r="B2248" s="12" t="s">
        <v>2065</v>
      </c>
      <c r="C2248" s="14">
        <v>94058.55</v>
      </c>
      <c r="D2248" s="12"/>
      <c r="E2248" s="14"/>
    </row>
    <row r="2249" spans="1:5" ht="11.1" hidden="1" customHeight="1" x14ac:dyDescent="0.25">
      <c r="A2249" s="12" t="s">
        <v>3264</v>
      </c>
      <c r="B2249" s="12" t="s">
        <v>3265</v>
      </c>
      <c r="C2249" s="14">
        <v>3765</v>
      </c>
      <c r="D2249" s="12"/>
      <c r="E2249" s="14"/>
    </row>
    <row r="2250" spans="1:5" ht="11.1" hidden="1" customHeight="1" x14ac:dyDescent="0.25">
      <c r="A2250" s="12" t="s">
        <v>3266</v>
      </c>
      <c r="B2250" s="12" t="s">
        <v>3267</v>
      </c>
      <c r="C2250" s="14">
        <v>50710</v>
      </c>
      <c r="D2250" s="12"/>
      <c r="E2250" s="14"/>
    </row>
    <row r="2251" spans="1:5" ht="11.1" hidden="1" customHeight="1" x14ac:dyDescent="0.25">
      <c r="A2251" s="12" t="s">
        <v>3268</v>
      </c>
      <c r="B2251" s="12" t="s">
        <v>3269</v>
      </c>
      <c r="C2251" s="14">
        <v>468</v>
      </c>
      <c r="D2251" s="12"/>
      <c r="E2251" s="13"/>
    </row>
    <row r="2252" spans="1:5" ht="11.1" hidden="1" customHeight="1" x14ac:dyDescent="0.25">
      <c r="A2252" s="12" t="s">
        <v>3270</v>
      </c>
      <c r="B2252" s="12" t="s">
        <v>3269</v>
      </c>
      <c r="C2252" s="14">
        <v>226</v>
      </c>
      <c r="D2252" s="12"/>
      <c r="E2252" s="13"/>
    </row>
    <row r="2253" spans="1:5" ht="11.1" hidden="1" customHeight="1" x14ac:dyDescent="0.25">
      <c r="A2253" s="12" t="s">
        <v>3271</v>
      </c>
      <c r="B2253" s="12" t="s">
        <v>3272</v>
      </c>
      <c r="C2253" s="14">
        <v>393</v>
      </c>
      <c r="D2253" s="12"/>
      <c r="E2253" s="13"/>
    </row>
    <row r="2254" spans="1:5" ht="11.1" hidden="1" customHeight="1" x14ac:dyDescent="0.25">
      <c r="A2254" s="12" t="s">
        <v>3273</v>
      </c>
      <c r="B2254" s="12" t="s">
        <v>3272</v>
      </c>
      <c r="C2254" s="14">
        <v>393</v>
      </c>
      <c r="D2254" s="12"/>
      <c r="E2254" s="13"/>
    </row>
    <row r="2255" spans="1:5" ht="11.1" hidden="1" customHeight="1" x14ac:dyDescent="0.25">
      <c r="A2255" s="12" t="s">
        <v>3274</v>
      </c>
      <c r="B2255" s="12" t="s">
        <v>3275</v>
      </c>
      <c r="C2255" s="14">
        <v>124549</v>
      </c>
      <c r="D2255" s="12"/>
      <c r="E2255" s="14"/>
    </row>
    <row r="2256" spans="1:5" ht="11.1" hidden="1" customHeight="1" x14ac:dyDescent="0.25">
      <c r="A2256" s="12" t="s">
        <v>3276</v>
      </c>
      <c r="B2256" s="12" t="s">
        <v>3277</v>
      </c>
      <c r="C2256" s="14">
        <v>1566.67</v>
      </c>
      <c r="D2256" s="12"/>
      <c r="E2256" s="14"/>
    </row>
    <row r="2257" spans="1:5" ht="11.1" hidden="1" customHeight="1" x14ac:dyDescent="0.25">
      <c r="A2257" s="12" t="s">
        <v>3278</v>
      </c>
      <c r="B2257" s="12" t="s">
        <v>3279</v>
      </c>
      <c r="C2257" s="14">
        <v>2233.33</v>
      </c>
      <c r="D2257" s="12"/>
      <c r="E2257" s="14"/>
    </row>
    <row r="2258" spans="1:5" ht="11.1" hidden="1" customHeight="1" x14ac:dyDescent="0.25">
      <c r="A2258" s="12" t="s">
        <v>3280</v>
      </c>
      <c r="B2258" s="12" t="s">
        <v>3281</v>
      </c>
      <c r="C2258" s="14">
        <v>983.34</v>
      </c>
      <c r="D2258" s="12"/>
      <c r="E2258" s="13"/>
    </row>
    <row r="2259" spans="1:5" ht="11.1" hidden="1" customHeight="1" x14ac:dyDescent="0.25">
      <c r="A2259" s="12" t="s">
        <v>3282</v>
      </c>
      <c r="B2259" s="12" t="s">
        <v>268</v>
      </c>
      <c r="C2259" s="14">
        <v>307.5</v>
      </c>
      <c r="D2259" s="12"/>
      <c r="E2259" s="13"/>
    </row>
    <row r="2260" spans="1:5" ht="11.1" hidden="1" customHeight="1" x14ac:dyDescent="0.25">
      <c r="A2260" s="12" t="s">
        <v>3283</v>
      </c>
      <c r="B2260" s="12" t="s">
        <v>741</v>
      </c>
      <c r="C2260" s="14">
        <v>74.17</v>
      </c>
      <c r="D2260" s="12"/>
      <c r="E2260" s="13"/>
    </row>
    <row r="2261" spans="1:5" ht="11.1" hidden="1" customHeight="1" x14ac:dyDescent="0.25">
      <c r="A2261" s="12" t="s">
        <v>3284</v>
      </c>
      <c r="B2261" s="12" t="s">
        <v>741</v>
      </c>
      <c r="C2261" s="14">
        <v>77.5</v>
      </c>
      <c r="D2261" s="12"/>
      <c r="E2261" s="13"/>
    </row>
    <row r="2262" spans="1:5" ht="11.1" hidden="1" customHeight="1" x14ac:dyDescent="0.25">
      <c r="A2262" s="12" t="s">
        <v>3285</v>
      </c>
      <c r="B2262" s="12" t="s">
        <v>268</v>
      </c>
      <c r="C2262" s="14">
        <v>82.5</v>
      </c>
      <c r="D2262" s="12"/>
      <c r="E2262" s="13"/>
    </row>
    <row r="2263" spans="1:5" ht="11.1" hidden="1" customHeight="1" x14ac:dyDescent="0.25">
      <c r="A2263" s="12" t="s">
        <v>3286</v>
      </c>
      <c r="B2263" s="12" t="s">
        <v>3287</v>
      </c>
      <c r="C2263" s="14">
        <v>214.17</v>
      </c>
      <c r="D2263" s="12"/>
      <c r="E2263" s="13"/>
    </row>
    <row r="2264" spans="1:5" ht="11.1" hidden="1" customHeight="1" x14ac:dyDescent="0.25">
      <c r="A2264" s="12" t="s">
        <v>3288</v>
      </c>
      <c r="B2264" s="12" t="s">
        <v>3289</v>
      </c>
      <c r="C2264" s="14">
        <v>412.5</v>
      </c>
      <c r="D2264" s="12"/>
      <c r="E2264" s="13"/>
    </row>
    <row r="2265" spans="1:5" ht="23.1" hidden="1" customHeight="1" x14ac:dyDescent="0.25">
      <c r="A2265" s="12" t="s">
        <v>3290</v>
      </c>
      <c r="B2265" s="12" t="s">
        <v>241</v>
      </c>
      <c r="C2265" s="14">
        <v>160.84</v>
      </c>
      <c r="D2265" s="12"/>
      <c r="E2265" s="13"/>
    </row>
    <row r="2266" spans="1:5" ht="23.1" hidden="1" customHeight="1" x14ac:dyDescent="0.25">
      <c r="A2266" s="12" t="s">
        <v>3291</v>
      </c>
      <c r="B2266" s="12" t="s">
        <v>3292</v>
      </c>
      <c r="C2266" s="14">
        <v>120.46</v>
      </c>
      <c r="D2266" s="12"/>
      <c r="E2266" s="13"/>
    </row>
    <row r="2267" spans="1:5" ht="23.1" hidden="1" customHeight="1" x14ac:dyDescent="0.25">
      <c r="A2267" s="12" t="s">
        <v>3293</v>
      </c>
      <c r="B2267" s="12" t="s">
        <v>3294</v>
      </c>
      <c r="C2267" s="14">
        <v>48.75</v>
      </c>
      <c r="D2267" s="12"/>
      <c r="E2267" s="13"/>
    </row>
    <row r="2268" spans="1:5" ht="23.1" hidden="1" customHeight="1" x14ac:dyDescent="0.25">
      <c r="A2268" s="12" t="s">
        <v>3295</v>
      </c>
      <c r="B2268" s="12" t="s">
        <v>1267</v>
      </c>
      <c r="C2268" s="14">
        <v>136.66999999999999</v>
      </c>
      <c r="D2268" s="12"/>
      <c r="E2268" s="13"/>
    </row>
    <row r="2269" spans="1:5" ht="11.1" hidden="1" customHeight="1" x14ac:dyDescent="0.25">
      <c r="A2269" s="12" t="s">
        <v>3296</v>
      </c>
      <c r="B2269" s="12" t="s">
        <v>1754</v>
      </c>
      <c r="C2269" s="14">
        <v>108.33</v>
      </c>
      <c r="D2269" s="12"/>
      <c r="E2269" s="13"/>
    </row>
    <row r="2270" spans="1:5" ht="11.1" hidden="1" customHeight="1" x14ac:dyDescent="0.25">
      <c r="A2270" s="12" t="s">
        <v>3297</v>
      </c>
      <c r="B2270" s="12" t="s">
        <v>3298</v>
      </c>
      <c r="C2270" s="14">
        <v>3705</v>
      </c>
      <c r="D2270" s="12"/>
      <c r="E2270" s="14"/>
    </row>
    <row r="2271" spans="1:5" ht="11.1" hidden="1" customHeight="1" x14ac:dyDescent="0.25">
      <c r="A2271" s="12" t="s">
        <v>3299</v>
      </c>
      <c r="B2271" s="12" t="s">
        <v>1245</v>
      </c>
      <c r="C2271" s="14">
        <v>2073.33</v>
      </c>
      <c r="D2271" s="12"/>
      <c r="E2271" s="14"/>
    </row>
    <row r="2272" spans="1:5" ht="11.1" hidden="1" customHeight="1" x14ac:dyDescent="0.25">
      <c r="A2272" s="12" t="s">
        <v>3300</v>
      </c>
      <c r="B2272" s="12" t="s">
        <v>3301</v>
      </c>
      <c r="C2272" s="14">
        <v>10316.67</v>
      </c>
      <c r="D2272" s="12"/>
      <c r="E2272" s="14"/>
    </row>
    <row r="2273" spans="1:5" ht="11.1" hidden="1" customHeight="1" x14ac:dyDescent="0.25">
      <c r="A2273" s="12" t="s">
        <v>3302</v>
      </c>
      <c r="B2273" s="12" t="s">
        <v>3303</v>
      </c>
      <c r="C2273" s="14">
        <v>5441.67</v>
      </c>
      <c r="D2273" s="12"/>
      <c r="E2273" s="14"/>
    </row>
    <row r="2274" spans="1:5" ht="11.1" hidden="1" customHeight="1" x14ac:dyDescent="0.25">
      <c r="A2274" s="12" t="s">
        <v>3304</v>
      </c>
      <c r="B2274" s="12" t="s">
        <v>3305</v>
      </c>
      <c r="C2274" s="14">
        <v>70666.67</v>
      </c>
      <c r="D2274" s="12"/>
      <c r="E2274" s="14"/>
    </row>
    <row r="2275" spans="1:5" ht="11.1" hidden="1" customHeight="1" x14ac:dyDescent="0.25">
      <c r="A2275" s="12" t="s">
        <v>3306</v>
      </c>
      <c r="B2275" s="12" t="s">
        <v>3307</v>
      </c>
      <c r="C2275" s="14">
        <v>49958.33</v>
      </c>
      <c r="D2275" s="12"/>
      <c r="E2275" s="14"/>
    </row>
    <row r="2276" spans="1:5" ht="11.1" hidden="1" customHeight="1" x14ac:dyDescent="0.25">
      <c r="A2276" s="12" t="s">
        <v>3308</v>
      </c>
      <c r="B2276" s="12" t="s">
        <v>193</v>
      </c>
      <c r="C2276" s="14">
        <v>74.790000000000006</v>
      </c>
      <c r="D2276" s="12"/>
      <c r="E2276" s="13"/>
    </row>
    <row r="2277" spans="1:5" ht="11.1" hidden="1" customHeight="1" x14ac:dyDescent="0.25">
      <c r="A2277" s="12" t="s">
        <v>3309</v>
      </c>
      <c r="B2277" s="12" t="s">
        <v>146</v>
      </c>
      <c r="C2277" s="14">
        <v>756.58</v>
      </c>
      <c r="D2277" s="12"/>
      <c r="E2277" s="13"/>
    </row>
    <row r="2278" spans="1:5" ht="23.1" hidden="1" customHeight="1" x14ac:dyDescent="0.25">
      <c r="A2278" s="12" t="s">
        <v>3310</v>
      </c>
      <c r="B2278" s="12" t="s">
        <v>1958</v>
      </c>
      <c r="C2278" s="14">
        <v>113.67</v>
      </c>
      <c r="D2278" s="12"/>
      <c r="E2278" s="13"/>
    </row>
    <row r="2279" spans="1:5" ht="23.1" hidden="1" customHeight="1" x14ac:dyDescent="0.25">
      <c r="A2279" s="12" t="s">
        <v>3311</v>
      </c>
      <c r="B2279" s="12" t="s">
        <v>3312</v>
      </c>
      <c r="C2279" s="14">
        <v>6767</v>
      </c>
      <c r="D2279" s="12"/>
      <c r="E2279" s="14"/>
    </row>
    <row r="2280" spans="1:5" ht="23.1" hidden="1" customHeight="1" x14ac:dyDescent="0.25">
      <c r="A2280" s="12" t="s">
        <v>3313</v>
      </c>
      <c r="B2280" s="12" t="s">
        <v>3314</v>
      </c>
      <c r="C2280" s="14">
        <v>20476.349999999999</v>
      </c>
      <c r="D2280" s="12"/>
      <c r="E2280" s="14"/>
    </row>
    <row r="2281" spans="1:5" ht="23.1" hidden="1" customHeight="1" x14ac:dyDescent="0.25">
      <c r="A2281" s="12" t="s">
        <v>3315</v>
      </c>
      <c r="B2281" s="12" t="s">
        <v>3316</v>
      </c>
      <c r="C2281" s="14">
        <v>308.33</v>
      </c>
      <c r="D2281" s="12"/>
      <c r="E2281" s="13"/>
    </row>
    <row r="2282" spans="1:5" ht="23.1" hidden="1" customHeight="1" x14ac:dyDescent="0.25">
      <c r="A2282" s="12" t="s">
        <v>3317</v>
      </c>
      <c r="B2282" s="12" t="s">
        <v>523</v>
      </c>
      <c r="C2282" s="14">
        <v>1333.33</v>
      </c>
      <c r="D2282" s="12"/>
      <c r="E2282" s="14"/>
    </row>
    <row r="2283" spans="1:5" ht="23.1" hidden="1" customHeight="1" x14ac:dyDescent="0.25">
      <c r="A2283" s="12" t="s">
        <v>3318</v>
      </c>
      <c r="B2283" s="12" t="s">
        <v>880</v>
      </c>
      <c r="C2283" s="14">
        <v>51.67</v>
      </c>
      <c r="D2283" s="12"/>
      <c r="E2283" s="13"/>
    </row>
    <row r="2284" spans="1:5" ht="11.1" hidden="1" customHeight="1" x14ac:dyDescent="0.25">
      <c r="A2284" s="12" t="s">
        <v>3319</v>
      </c>
      <c r="B2284" s="12" t="s">
        <v>1619</v>
      </c>
      <c r="C2284" s="14">
        <v>189.17</v>
      </c>
      <c r="D2284" s="12"/>
      <c r="E2284" s="13"/>
    </row>
    <row r="2285" spans="1:5" ht="11.1" hidden="1" customHeight="1" x14ac:dyDescent="0.25">
      <c r="A2285" s="12" t="s">
        <v>3320</v>
      </c>
      <c r="B2285" s="12" t="s">
        <v>3125</v>
      </c>
      <c r="C2285" s="14">
        <v>351925.35</v>
      </c>
      <c r="D2285" s="12"/>
      <c r="E2285" s="14"/>
    </row>
    <row r="2286" spans="1:5" ht="11.1" hidden="1" customHeight="1" x14ac:dyDescent="0.25">
      <c r="A2286" s="12" t="s">
        <v>3321</v>
      </c>
      <c r="B2286" s="12" t="s">
        <v>3322</v>
      </c>
      <c r="C2286" s="14">
        <v>983.33</v>
      </c>
      <c r="D2286" s="12"/>
      <c r="E2286" s="13"/>
    </row>
    <row r="2287" spans="1:5" ht="23.1" hidden="1" customHeight="1" x14ac:dyDescent="0.25">
      <c r="A2287" s="12" t="s">
        <v>3323</v>
      </c>
      <c r="B2287" s="12" t="s">
        <v>3324</v>
      </c>
      <c r="C2287" s="14">
        <v>545</v>
      </c>
      <c r="D2287" s="12"/>
      <c r="E2287" s="13"/>
    </row>
    <row r="2288" spans="1:5" ht="23.1" hidden="1" customHeight="1" x14ac:dyDescent="0.25">
      <c r="A2288" s="12" t="s">
        <v>3325</v>
      </c>
      <c r="B2288" s="12" t="s">
        <v>3326</v>
      </c>
      <c r="C2288" s="14">
        <v>14234.17</v>
      </c>
      <c r="D2288" s="12"/>
      <c r="E2288" s="14"/>
    </row>
    <row r="2289" spans="1:5" ht="11.1" hidden="1" customHeight="1" x14ac:dyDescent="0.25">
      <c r="A2289" s="12" t="s">
        <v>3327</v>
      </c>
      <c r="B2289" s="12" t="s">
        <v>3328</v>
      </c>
      <c r="C2289" s="14">
        <v>2333.33</v>
      </c>
      <c r="D2289" s="12"/>
      <c r="E2289" s="14"/>
    </row>
    <row r="2290" spans="1:5" ht="23.1" hidden="1" customHeight="1" x14ac:dyDescent="0.25">
      <c r="A2290" s="12" t="s">
        <v>3329</v>
      </c>
      <c r="B2290" s="12" t="s">
        <v>1579</v>
      </c>
      <c r="C2290" s="14">
        <v>48.33</v>
      </c>
      <c r="D2290" s="12"/>
      <c r="E2290" s="13"/>
    </row>
    <row r="2291" spans="1:5" ht="11.1" hidden="1" customHeight="1" x14ac:dyDescent="0.25">
      <c r="A2291" s="12" t="s">
        <v>3330</v>
      </c>
      <c r="B2291" s="12" t="s">
        <v>638</v>
      </c>
      <c r="C2291" s="14">
        <v>46.67</v>
      </c>
      <c r="D2291" s="12"/>
      <c r="E2291" s="13"/>
    </row>
    <row r="2292" spans="1:5" ht="23.1" hidden="1" customHeight="1" x14ac:dyDescent="0.25">
      <c r="A2292" s="12" t="s">
        <v>3331</v>
      </c>
      <c r="B2292" s="12" t="s">
        <v>3332</v>
      </c>
      <c r="C2292" s="14">
        <v>13800</v>
      </c>
      <c r="D2292" s="12"/>
      <c r="E2292" s="14"/>
    </row>
    <row r="2293" spans="1:5" ht="11.1" hidden="1" customHeight="1" x14ac:dyDescent="0.25">
      <c r="A2293" s="12" t="s">
        <v>3333</v>
      </c>
      <c r="B2293" s="12" t="s">
        <v>3334</v>
      </c>
      <c r="C2293" s="14">
        <v>1184.17</v>
      </c>
      <c r="D2293" s="12"/>
      <c r="E2293" s="14"/>
    </row>
    <row r="2294" spans="1:5" ht="11.1" hidden="1" customHeight="1" x14ac:dyDescent="0.25">
      <c r="A2294" s="12" t="s">
        <v>3335</v>
      </c>
      <c r="B2294" s="12" t="s">
        <v>3336</v>
      </c>
      <c r="C2294" s="14">
        <v>266.67</v>
      </c>
      <c r="D2294" s="12"/>
      <c r="E2294" s="13"/>
    </row>
    <row r="2295" spans="1:5" ht="11.1" hidden="1" customHeight="1" x14ac:dyDescent="0.25">
      <c r="A2295" s="12" t="s">
        <v>3337</v>
      </c>
      <c r="B2295" s="12" t="s">
        <v>3338</v>
      </c>
      <c r="C2295" s="14">
        <v>255</v>
      </c>
      <c r="D2295" s="12"/>
      <c r="E2295" s="13"/>
    </row>
    <row r="2296" spans="1:5" ht="11.1" hidden="1" customHeight="1" x14ac:dyDescent="0.25">
      <c r="A2296" s="12" t="s">
        <v>3339</v>
      </c>
      <c r="B2296" s="12" t="s">
        <v>2182</v>
      </c>
      <c r="C2296" s="14">
        <v>59626.6</v>
      </c>
      <c r="D2296" s="12"/>
      <c r="E2296" s="14"/>
    </row>
    <row r="2297" spans="1:5" ht="11.1" hidden="1" customHeight="1" x14ac:dyDescent="0.25">
      <c r="A2297" s="12" t="s">
        <v>3340</v>
      </c>
      <c r="B2297" s="12" t="s">
        <v>3341</v>
      </c>
      <c r="C2297" s="14">
        <v>158887.5</v>
      </c>
      <c r="D2297" s="12"/>
      <c r="E2297" s="14"/>
    </row>
    <row r="2298" spans="1:5" ht="11.1" hidden="1" customHeight="1" x14ac:dyDescent="0.25">
      <c r="A2298" s="12" t="s">
        <v>3342</v>
      </c>
      <c r="B2298" s="12" t="s">
        <v>3343</v>
      </c>
      <c r="C2298" s="14">
        <v>9141.67</v>
      </c>
      <c r="D2298" s="12"/>
      <c r="E2298" s="14"/>
    </row>
    <row r="2299" spans="1:5" ht="11.1" hidden="1" customHeight="1" x14ac:dyDescent="0.25">
      <c r="A2299" s="12" t="s">
        <v>3344</v>
      </c>
      <c r="B2299" s="12" t="s">
        <v>3345</v>
      </c>
      <c r="C2299" s="14">
        <v>3513.33</v>
      </c>
      <c r="D2299" s="12"/>
      <c r="E2299" s="14"/>
    </row>
    <row r="2300" spans="1:5" ht="11.1" hidden="1" customHeight="1" x14ac:dyDescent="0.25">
      <c r="A2300" s="12" t="s">
        <v>3346</v>
      </c>
      <c r="B2300" s="12" t="s">
        <v>86</v>
      </c>
      <c r="C2300" s="14">
        <v>18.329999999999998</v>
      </c>
      <c r="D2300" s="12"/>
      <c r="E2300" s="13"/>
    </row>
    <row r="2301" spans="1:5" ht="11.1" hidden="1" customHeight="1" x14ac:dyDescent="0.25">
      <c r="A2301" s="12" t="s">
        <v>3347</v>
      </c>
      <c r="B2301" s="12" t="s">
        <v>86</v>
      </c>
      <c r="C2301" s="14">
        <v>8.33</v>
      </c>
      <c r="D2301" s="12"/>
      <c r="E2301" s="13"/>
    </row>
    <row r="2302" spans="1:5" ht="11.1" hidden="1" customHeight="1" x14ac:dyDescent="0.25">
      <c r="A2302" s="12" t="s">
        <v>3348</v>
      </c>
      <c r="B2302" s="12" t="s">
        <v>86</v>
      </c>
      <c r="C2302" s="14">
        <v>36.67</v>
      </c>
      <c r="D2302" s="12"/>
      <c r="E2302" s="13"/>
    </row>
    <row r="2303" spans="1:5" ht="11.1" hidden="1" customHeight="1" x14ac:dyDescent="0.25">
      <c r="A2303" s="12" t="s">
        <v>3349</v>
      </c>
      <c r="B2303" s="12" t="s">
        <v>1925</v>
      </c>
      <c r="C2303" s="14">
        <v>65</v>
      </c>
      <c r="D2303" s="12"/>
      <c r="E2303" s="13"/>
    </row>
    <row r="2304" spans="1:5" ht="11.1" hidden="1" customHeight="1" x14ac:dyDescent="0.25">
      <c r="A2304" s="12" t="s">
        <v>3350</v>
      </c>
      <c r="B2304" s="12" t="s">
        <v>3351</v>
      </c>
      <c r="C2304" s="14">
        <v>505</v>
      </c>
      <c r="D2304" s="12"/>
      <c r="E2304" s="13"/>
    </row>
    <row r="2305" spans="1:5" ht="11.1" hidden="1" customHeight="1" x14ac:dyDescent="0.25">
      <c r="A2305" s="12" t="s">
        <v>3352</v>
      </c>
      <c r="B2305" s="12" t="s">
        <v>3353</v>
      </c>
      <c r="C2305" s="14">
        <v>61.67</v>
      </c>
      <c r="D2305" s="12"/>
      <c r="E2305" s="13"/>
    </row>
    <row r="2306" spans="1:5" ht="11.1" hidden="1" customHeight="1" x14ac:dyDescent="0.25">
      <c r="A2306" s="12" t="s">
        <v>3354</v>
      </c>
      <c r="B2306" s="12" t="s">
        <v>3355</v>
      </c>
      <c r="C2306" s="14">
        <v>468</v>
      </c>
      <c r="D2306" s="12"/>
      <c r="E2306" s="13"/>
    </row>
    <row r="2307" spans="1:5" ht="11.1" hidden="1" customHeight="1" x14ac:dyDescent="0.25">
      <c r="A2307" s="12" t="s">
        <v>3356</v>
      </c>
      <c r="B2307" s="12" t="s">
        <v>642</v>
      </c>
      <c r="C2307" s="14">
        <v>411.67</v>
      </c>
      <c r="D2307" s="12"/>
      <c r="E2307" s="13"/>
    </row>
    <row r="2308" spans="1:5" ht="11.1" hidden="1" customHeight="1" x14ac:dyDescent="0.25">
      <c r="A2308" s="12" t="s">
        <v>3357</v>
      </c>
      <c r="B2308" s="12" t="s">
        <v>3358</v>
      </c>
      <c r="C2308" s="14">
        <v>366</v>
      </c>
      <c r="D2308" s="12"/>
      <c r="E2308" s="13"/>
    </row>
    <row r="2309" spans="1:5" ht="11.1" hidden="1" customHeight="1" x14ac:dyDescent="0.25">
      <c r="A2309" s="12" t="s">
        <v>3359</v>
      </c>
      <c r="B2309" s="12" t="s">
        <v>2335</v>
      </c>
      <c r="C2309" s="14">
        <v>20</v>
      </c>
      <c r="D2309" s="12"/>
      <c r="E2309" s="13"/>
    </row>
    <row r="2310" spans="1:5" ht="11.1" hidden="1" customHeight="1" x14ac:dyDescent="0.25">
      <c r="A2310" s="12" t="s">
        <v>3360</v>
      </c>
      <c r="B2310" s="12" t="s">
        <v>1556</v>
      </c>
      <c r="C2310" s="14">
        <v>383.33</v>
      </c>
      <c r="D2310" s="12"/>
      <c r="E2310" s="13"/>
    </row>
    <row r="2311" spans="1:5" ht="11.1" hidden="1" customHeight="1" x14ac:dyDescent="0.25">
      <c r="A2311" s="12" t="s">
        <v>3361</v>
      </c>
      <c r="B2311" s="12" t="s">
        <v>3362</v>
      </c>
      <c r="C2311" s="14">
        <v>362.5</v>
      </c>
      <c r="D2311" s="12"/>
      <c r="E2311" s="13"/>
    </row>
    <row r="2312" spans="1:5" ht="11.1" hidden="1" customHeight="1" x14ac:dyDescent="0.25">
      <c r="A2312" s="12" t="s">
        <v>3363</v>
      </c>
      <c r="B2312" s="12" t="s">
        <v>1517</v>
      </c>
      <c r="C2312" s="14">
        <v>466.67</v>
      </c>
      <c r="D2312" s="12"/>
      <c r="E2312" s="13"/>
    </row>
    <row r="2313" spans="1:5" ht="11.1" hidden="1" customHeight="1" x14ac:dyDescent="0.25">
      <c r="A2313" s="12" t="s">
        <v>3364</v>
      </c>
      <c r="B2313" s="12" t="s">
        <v>3365</v>
      </c>
      <c r="C2313" s="14">
        <v>141.66999999999999</v>
      </c>
      <c r="D2313" s="12"/>
      <c r="E2313" s="13"/>
    </row>
    <row r="2314" spans="1:5" ht="11.1" hidden="1" customHeight="1" x14ac:dyDescent="0.25">
      <c r="A2314" s="12" t="s">
        <v>3366</v>
      </c>
      <c r="B2314" s="12" t="s">
        <v>3367</v>
      </c>
      <c r="C2314" s="14">
        <v>481</v>
      </c>
      <c r="D2314" s="12"/>
      <c r="E2314" s="13"/>
    </row>
    <row r="2315" spans="1:5" ht="11.1" hidden="1" customHeight="1" x14ac:dyDescent="0.25">
      <c r="A2315" s="12" t="s">
        <v>3368</v>
      </c>
      <c r="B2315" s="12" t="s">
        <v>2650</v>
      </c>
      <c r="C2315" s="14">
        <v>54.17</v>
      </c>
      <c r="D2315" s="12"/>
      <c r="E2315" s="13"/>
    </row>
    <row r="2316" spans="1:5" ht="11.1" hidden="1" customHeight="1" x14ac:dyDescent="0.25">
      <c r="A2316" s="12" t="s">
        <v>3369</v>
      </c>
      <c r="B2316" s="12" t="s">
        <v>3370</v>
      </c>
      <c r="C2316" s="14">
        <v>187.5</v>
      </c>
      <c r="D2316" s="12"/>
      <c r="E2316" s="13"/>
    </row>
    <row r="2317" spans="1:5" ht="11.1" hidden="1" customHeight="1" x14ac:dyDescent="0.25">
      <c r="A2317" s="12" t="s">
        <v>3371</v>
      </c>
      <c r="B2317" s="12" t="s">
        <v>3372</v>
      </c>
      <c r="C2317" s="14">
        <v>332.5</v>
      </c>
      <c r="D2317" s="12"/>
      <c r="E2317" s="13"/>
    </row>
    <row r="2318" spans="1:5" ht="11.1" hidden="1" customHeight="1" x14ac:dyDescent="0.25">
      <c r="A2318" s="12" t="s">
        <v>3373</v>
      </c>
      <c r="B2318" s="12" t="s">
        <v>1704</v>
      </c>
      <c r="C2318" s="14">
        <v>203</v>
      </c>
      <c r="D2318" s="12"/>
      <c r="E2318" s="13"/>
    </row>
    <row r="2319" spans="1:5" ht="11.1" hidden="1" customHeight="1" x14ac:dyDescent="0.25">
      <c r="A2319" s="12" t="s">
        <v>3374</v>
      </c>
      <c r="B2319" s="12" t="s">
        <v>3375</v>
      </c>
      <c r="C2319" s="14">
        <v>716</v>
      </c>
      <c r="D2319" s="12"/>
      <c r="E2319" s="13"/>
    </row>
    <row r="2320" spans="1:5" ht="23.1" hidden="1" customHeight="1" x14ac:dyDescent="0.25">
      <c r="A2320" s="12" t="s">
        <v>3376</v>
      </c>
      <c r="B2320" s="12" t="s">
        <v>3377</v>
      </c>
      <c r="C2320" s="14">
        <v>95</v>
      </c>
      <c r="D2320" s="12"/>
      <c r="E2320" s="13"/>
    </row>
    <row r="2321" spans="1:5" ht="11.1" hidden="1" customHeight="1" x14ac:dyDescent="0.25">
      <c r="A2321" s="12" t="s">
        <v>3378</v>
      </c>
      <c r="B2321" s="12" t="s">
        <v>168</v>
      </c>
      <c r="C2321" s="14">
        <v>9</v>
      </c>
      <c r="D2321" s="12"/>
      <c r="E2321" s="13"/>
    </row>
    <row r="2322" spans="1:5" ht="11.1" hidden="1" customHeight="1" x14ac:dyDescent="0.25">
      <c r="A2322" s="12" t="s">
        <v>3379</v>
      </c>
      <c r="B2322" s="12" t="s">
        <v>3380</v>
      </c>
      <c r="C2322" s="14">
        <v>24.27</v>
      </c>
      <c r="D2322" s="12"/>
      <c r="E2322" s="13"/>
    </row>
    <row r="2323" spans="1:5" ht="11.1" hidden="1" customHeight="1" x14ac:dyDescent="0.25">
      <c r="A2323" s="12" t="s">
        <v>3381</v>
      </c>
      <c r="B2323" s="12" t="s">
        <v>3382</v>
      </c>
      <c r="C2323" s="14">
        <v>633.33000000000004</v>
      </c>
      <c r="D2323" s="12"/>
      <c r="E2323" s="13"/>
    </row>
    <row r="2324" spans="1:5" ht="11.1" hidden="1" customHeight="1" x14ac:dyDescent="0.25">
      <c r="A2324" s="12" t="s">
        <v>3383</v>
      </c>
      <c r="B2324" s="12" t="s">
        <v>1866</v>
      </c>
      <c r="C2324" s="14">
        <v>1125</v>
      </c>
      <c r="D2324" s="12"/>
      <c r="E2324" s="14"/>
    </row>
    <row r="2325" spans="1:5" ht="11.1" hidden="1" customHeight="1" x14ac:dyDescent="0.25">
      <c r="A2325" s="12" t="s">
        <v>3384</v>
      </c>
      <c r="B2325" s="12" t="s">
        <v>3385</v>
      </c>
      <c r="C2325" s="14">
        <v>183.34</v>
      </c>
      <c r="D2325" s="12"/>
      <c r="E2325" s="13"/>
    </row>
    <row r="2326" spans="1:5" ht="11.1" hidden="1" customHeight="1" x14ac:dyDescent="0.25">
      <c r="A2326" s="12" t="s">
        <v>3386</v>
      </c>
      <c r="B2326" s="12" t="s">
        <v>2119</v>
      </c>
      <c r="C2326" s="14">
        <v>75.97</v>
      </c>
      <c r="D2326" s="12"/>
      <c r="E2326" s="13"/>
    </row>
    <row r="2327" spans="1:5" ht="11.1" hidden="1" customHeight="1" x14ac:dyDescent="0.25">
      <c r="A2327" s="12" t="s">
        <v>3387</v>
      </c>
      <c r="B2327" s="12" t="s">
        <v>2119</v>
      </c>
      <c r="C2327" s="14">
        <v>117.26</v>
      </c>
      <c r="D2327" s="12"/>
      <c r="E2327" s="13"/>
    </row>
    <row r="2328" spans="1:5" ht="11.1" hidden="1" customHeight="1" x14ac:dyDescent="0.25">
      <c r="A2328" s="12" t="s">
        <v>3388</v>
      </c>
      <c r="B2328" s="12" t="s">
        <v>530</v>
      </c>
      <c r="C2328" s="14">
        <v>5121.67</v>
      </c>
      <c r="D2328" s="12"/>
      <c r="E2328" s="14"/>
    </row>
    <row r="2329" spans="1:5" ht="11.1" hidden="1" customHeight="1" x14ac:dyDescent="0.25">
      <c r="A2329" s="12" t="s">
        <v>3389</v>
      </c>
      <c r="B2329" s="12" t="s">
        <v>3390</v>
      </c>
      <c r="C2329" s="14">
        <v>2742.46</v>
      </c>
      <c r="D2329" s="12"/>
      <c r="E2329" s="14"/>
    </row>
    <row r="2330" spans="1:5" ht="11.1" hidden="1" customHeight="1" x14ac:dyDescent="0.25">
      <c r="A2330" s="12" t="s">
        <v>3391</v>
      </c>
      <c r="B2330" s="12" t="s">
        <v>3392</v>
      </c>
      <c r="C2330" s="14">
        <v>3366.67</v>
      </c>
      <c r="D2330" s="12"/>
      <c r="E2330" s="14"/>
    </row>
    <row r="2331" spans="1:5" ht="11.1" hidden="1" customHeight="1" x14ac:dyDescent="0.25">
      <c r="A2331" s="12" t="s">
        <v>3393</v>
      </c>
      <c r="B2331" s="12" t="s">
        <v>3394</v>
      </c>
      <c r="C2331" s="14">
        <v>101.16</v>
      </c>
      <c r="D2331" s="12"/>
      <c r="E2331" s="13"/>
    </row>
    <row r="2332" spans="1:5" ht="11.1" hidden="1" customHeight="1" x14ac:dyDescent="0.25">
      <c r="A2332" s="12" t="s">
        <v>3395</v>
      </c>
      <c r="B2332" s="12" t="s">
        <v>1038</v>
      </c>
      <c r="C2332" s="14">
        <v>54</v>
      </c>
      <c r="D2332" s="12"/>
      <c r="E2332" s="13"/>
    </row>
    <row r="2333" spans="1:5" ht="11.1" hidden="1" customHeight="1" x14ac:dyDescent="0.25">
      <c r="A2333" s="12" t="s">
        <v>3396</v>
      </c>
      <c r="B2333" s="12" t="s">
        <v>2693</v>
      </c>
      <c r="C2333" s="14">
        <v>309</v>
      </c>
      <c r="D2333" s="12"/>
      <c r="E2333" s="13"/>
    </row>
    <row r="2334" spans="1:5" ht="11.1" hidden="1" customHeight="1" x14ac:dyDescent="0.25">
      <c r="A2334" s="12" t="s">
        <v>3397</v>
      </c>
      <c r="B2334" s="12" t="s">
        <v>3398</v>
      </c>
      <c r="C2334" s="14">
        <v>390</v>
      </c>
      <c r="D2334" s="12"/>
      <c r="E2334" s="13"/>
    </row>
    <row r="2335" spans="1:5" ht="23.1" hidden="1" customHeight="1" x14ac:dyDescent="0.25">
      <c r="A2335" s="12" t="s">
        <v>3399</v>
      </c>
      <c r="B2335" s="12" t="s">
        <v>3400</v>
      </c>
      <c r="C2335" s="14">
        <v>699</v>
      </c>
      <c r="D2335" s="12"/>
      <c r="E2335" s="13"/>
    </row>
    <row r="2336" spans="1:5" ht="11.1" hidden="1" customHeight="1" x14ac:dyDescent="0.25">
      <c r="A2336" s="12" t="s">
        <v>3401</v>
      </c>
      <c r="B2336" s="12" t="s">
        <v>3402</v>
      </c>
      <c r="C2336" s="14">
        <v>606.89</v>
      </c>
      <c r="D2336" s="12"/>
      <c r="E2336" s="13"/>
    </row>
    <row r="2337" spans="1:5" ht="11.1" hidden="1" customHeight="1" x14ac:dyDescent="0.25">
      <c r="A2337" s="12" t="s">
        <v>3403</v>
      </c>
      <c r="B2337" s="12" t="s">
        <v>2422</v>
      </c>
      <c r="C2337" s="14">
        <v>6380</v>
      </c>
      <c r="D2337" s="12"/>
      <c r="E2337" s="14"/>
    </row>
    <row r="2338" spans="1:5" ht="11.1" hidden="1" customHeight="1" x14ac:dyDescent="0.25">
      <c r="A2338" s="12" t="s">
        <v>3404</v>
      </c>
      <c r="B2338" s="12" t="s">
        <v>1038</v>
      </c>
      <c r="C2338" s="14">
        <v>52</v>
      </c>
      <c r="D2338" s="12"/>
      <c r="E2338" s="13"/>
    </row>
    <row r="2339" spans="1:5" ht="11.1" hidden="1" customHeight="1" x14ac:dyDescent="0.25">
      <c r="A2339" s="12" t="s">
        <v>3405</v>
      </c>
      <c r="B2339" s="12" t="s">
        <v>1038</v>
      </c>
      <c r="C2339" s="14">
        <v>50</v>
      </c>
      <c r="D2339" s="12"/>
      <c r="E2339" s="13"/>
    </row>
    <row r="2340" spans="1:5" ht="23.1" hidden="1" customHeight="1" x14ac:dyDescent="0.25">
      <c r="A2340" s="12" t="s">
        <v>3406</v>
      </c>
      <c r="B2340" s="12" t="s">
        <v>3407</v>
      </c>
      <c r="C2340" s="14">
        <v>15850.83</v>
      </c>
      <c r="D2340" s="12"/>
      <c r="E2340" s="14"/>
    </row>
    <row r="2341" spans="1:5" ht="23.1" hidden="1" customHeight="1" x14ac:dyDescent="0.25">
      <c r="A2341" s="12" t="s">
        <v>3408</v>
      </c>
      <c r="B2341" s="12" t="s">
        <v>3409</v>
      </c>
      <c r="C2341" s="14">
        <v>175</v>
      </c>
      <c r="D2341" s="12"/>
      <c r="E2341" s="13"/>
    </row>
    <row r="2342" spans="1:5" ht="11.1" hidden="1" customHeight="1" x14ac:dyDescent="0.25">
      <c r="A2342" s="12" t="s">
        <v>3410</v>
      </c>
      <c r="B2342" s="12" t="s">
        <v>3362</v>
      </c>
      <c r="C2342" s="14">
        <v>229.17</v>
      </c>
      <c r="D2342" s="12"/>
      <c r="E2342" s="13"/>
    </row>
    <row r="2343" spans="1:5" ht="11.1" hidden="1" customHeight="1" x14ac:dyDescent="0.25">
      <c r="A2343" s="12" t="s">
        <v>3411</v>
      </c>
      <c r="B2343" s="12" t="s">
        <v>1038</v>
      </c>
      <c r="C2343" s="14">
        <v>72</v>
      </c>
      <c r="D2343" s="12"/>
      <c r="E2343" s="13"/>
    </row>
    <row r="2344" spans="1:5" ht="11.1" hidden="1" customHeight="1" x14ac:dyDescent="0.25">
      <c r="A2344" s="12" t="s">
        <v>3412</v>
      </c>
      <c r="B2344" s="12" t="s">
        <v>3413</v>
      </c>
      <c r="C2344" s="14">
        <v>191.67</v>
      </c>
      <c r="D2344" s="12"/>
      <c r="E2344" s="13"/>
    </row>
    <row r="2345" spans="1:5" ht="11.1" hidden="1" customHeight="1" x14ac:dyDescent="0.25">
      <c r="A2345" s="12" t="s">
        <v>3414</v>
      </c>
      <c r="B2345" s="12" t="s">
        <v>3415</v>
      </c>
      <c r="C2345" s="14">
        <v>53.33</v>
      </c>
      <c r="D2345" s="12"/>
      <c r="E2345" s="13"/>
    </row>
    <row r="2346" spans="1:5" ht="23.1" hidden="1" customHeight="1" x14ac:dyDescent="0.25">
      <c r="A2346" s="12" t="s">
        <v>3416</v>
      </c>
      <c r="B2346" s="12" t="s">
        <v>1038</v>
      </c>
      <c r="C2346" s="14">
        <v>50</v>
      </c>
      <c r="D2346" s="12"/>
      <c r="E2346" s="13"/>
    </row>
    <row r="2347" spans="1:5" ht="11.1" hidden="1" customHeight="1" x14ac:dyDescent="0.25">
      <c r="A2347" s="12" t="s">
        <v>3417</v>
      </c>
      <c r="B2347" s="12" t="s">
        <v>2389</v>
      </c>
      <c r="C2347" s="14">
        <v>9580</v>
      </c>
      <c r="D2347" s="12"/>
      <c r="E2347" s="14"/>
    </row>
    <row r="2348" spans="1:5" ht="11.1" hidden="1" customHeight="1" x14ac:dyDescent="0.25">
      <c r="A2348" s="12" t="s">
        <v>3418</v>
      </c>
      <c r="B2348" s="12" t="s">
        <v>3419</v>
      </c>
      <c r="C2348" s="14">
        <v>1583.33</v>
      </c>
      <c r="D2348" s="12"/>
      <c r="E2348" s="14"/>
    </row>
    <row r="2349" spans="1:5" ht="11.1" hidden="1" customHeight="1" x14ac:dyDescent="0.25">
      <c r="A2349" s="12" t="s">
        <v>3420</v>
      </c>
      <c r="B2349" s="12" t="s">
        <v>3421</v>
      </c>
      <c r="C2349" s="14">
        <v>33300</v>
      </c>
      <c r="D2349" s="12"/>
      <c r="E2349" s="14"/>
    </row>
    <row r="2350" spans="1:5" ht="11.1" hidden="1" customHeight="1" x14ac:dyDescent="0.25">
      <c r="A2350" s="12" t="s">
        <v>3422</v>
      </c>
      <c r="B2350" s="12" t="s">
        <v>3351</v>
      </c>
      <c r="C2350" s="14">
        <v>757</v>
      </c>
      <c r="D2350" s="12"/>
      <c r="E2350" s="13"/>
    </row>
    <row r="2351" spans="1:5" ht="11.1" hidden="1" customHeight="1" x14ac:dyDescent="0.25">
      <c r="A2351" s="12" t="s">
        <v>3423</v>
      </c>
      <c r="B2351" s="12" t="s">
        <v>3424</v>
      </c>
      <c r="C2351" s="14">
        <v>178.33</v>
      </c>
      <c r="D2351" s="12"/>
      <c r="E2351" s="13"/>
    </row>
    <row r="2352" spans="1:5" ht="11.1" hidden="1" customHeight="1" x14ac:dyDescent="0.25">
      <c r="A2352" s="12" t="s">
        <v>3425</v>
      </c>
      <c r="B2352" s="12" t="s">
        <v>3426</v>
      </c>
      <c r="C2352" s="14">
        <v>4650</v>
      </c>
      <c r="D2352" s="12"/>
      <c r="E2352" s="14"/>
    </row>
    <row r="2353" spans="1:5" ht="11.1" hidden="1" customHeight="1" x14ac:dyDescent="0.25">
      <c r="A2353" s="12" t="s">
        <v>3427</v>
      </c>
      <c r="B2353" s="12" t="s">
        <v>3428</v>
      </c>
      <c r="C2353" s="14">
        <v>79.3</v>
      </c>
      <c r="D2353" s="12"/>
      <c r="E2353" s="13"/>
    </row>
    <row r="2354" spans="1:5" ht="11.1" hidden="1" customHeight="1" x14ac:dyDescent="0.25">
      <c r="A2354" s="12" t="s">
        <v>3429</v>
      </c>
      <c r="B2354" s="12" t="s">
        <v>521</v>
      </c>
      <c r="C2354" s="14">
        <v>1240.83</v>
      </c>
      <c r="D2354" s="12"/>
      <c r="E2354" s="14"/>
    </row>
    <row r="2355" spans="1:5" ht="11.1" hidden="1" customHeight="1" x14ac:dyDescent="0.25">
      <c r="A2355" s="12" t="s">
        <v>3430</v>
      </c>
      <c r="B2355" s="12" t="s">
        <v>525</v>
      </c>
      <c r="C2355" s="14">
        <v>4840</v>
      </c>
      <c r="D2355" s="12"/>
      <c r="E2355" s="14"/>
    </row>
    <row r="2356" spans="1:5" ht="11.1" hidden="1" customHeight="1" x14ac:dyDescent="0.25">
      <c r="A2356" s="12" t="s">
        <v>3431</v>
      </c>
      <c r="B2356" s="12" t="s">
        <v>1405</v>
      </c>
      <c r="C2356" s="14">
        <v>15297.5</v>
      </c>
      <c r="D2356" s="12"/>
      <c r="E2356" s="14"/>
    </row>
    <row r="2357" spans="1:5" ht="11.1" hidden="1" customHeight="1" x14ac:dyDescent="0.25">
      <c r="A2357" s="12" t="s">
        <v>3432</v>
      </c>
      <c r="B2357" s="12" t="s">
        <v>3433</v>
      </c>
      <c r="C2357" s="14">
        <v>8837.5</v>
      </c>
      <c r="D2357" s="12"/>
      <c r="E2357" s="14"/>
    </row>
    <row r="2358" spans="1:5" ht="11.1" hidden="1" customHeight="1" x14ac:dyDescent="0.25">
      <c r="A2358" s="12" t="s">
        <v>3434</v>
      </c>
      <c r="B2358" s="12" t="s">
        <v>309</v>
      </c>
      <c r="C2358" s="14">
        <v>60.83</v>
      </c>
      <c r="D2358" s="12"/>
      <c r="E2358" s="13"/>
    </row>
    <row r="2359" spans="1:5" ht="11.1" hidden="1" customHeight="1" x14ac:dyDescent="0.25">
      <c r="A2359" s="12" t="s">
        <v>3435</v>
      </c>
      <c r="B2359" s="12" t="s">
        <v>638</v>
      </c>
      <c r="C2359" s="14">
        <v>45.83</v>
      </c>
      <c r="D2359" s="12"/>
      <c r="E2359" s="13"/>
    </row>
    <row r="2360" spans="1:5" ht="11.1" hidden="1" customHeight="1" x14ac:dyDescent="0.25">
      <c r="A2360" s="12" t="s">
        <v>3436</v>
      </c>
      <c r="B2360" s="12" t="s">
        <v>3437</v>
      </c>
      <c r="C2360" s="14">
        <v>3000</v>
      </c>
      <c r="D2360" s="12"/>
      <c r="E2360" s="14"/>
    </row>
    <row r="2361" spans="1:5" ht="11.1" hidden="1" customHeight="1" x14ac:dyDescent="0.25">
      <c r="A2361" s="12" t="s">
        <v>3438</v>
      </c>
      <c r="B2361" s="12" t="s">
        <v>1405</v>
      </c>
      <c r="C2361" s="14">
        <v>2556.67</v>
      </c>
      <c r="D2361" s="12"/>
      <c r="E2361" s="14"/>
    </row>
    <row r="2362" spans="1:5" ht="11.1" hidden="1" customHeight="1" x14ac:dyDescent="0.25">
      <c r="A2362" s="12" t="s">
        <v>3439</v>
      </c>
      <c r="B2362" s="12" t="s">
        <v>523</v>
      </c>
      <c r="C2362" s="14">
        <v>60</v>
      </c>
      <c r="D2362" s="12"/>
      <c r="E2362" s="13"/>
    </row>
    <row r="2363" spans="1:5" ht="23.1" hidden="1" customHeight="1" x14ac:dyDescent="0.25">
      <c r="A2363" s="12" t="s">
        <v>3440</v>
      </c>
      <c r="B2363" s="12" t="s">
        <v>3441</v>
      </c>
      <c r="C2363" s="14">
        <v>500</v>
      </c>
      <c r="D2363" s="12"/>
      <c r="E2363" s="13"/>
    </row>
    <row r="2364" spans="1:5" ht="23.1" hidden="1" customHeight="1" x14ac:dyDescent="0.25">
      <c r="A2364" s="12" t="s">
        <v>3442</v>
      </c>
      <c r="B2364" s="12" t="s">
        <v>309</v>
      </c>
      <c r="C2364" s="14">
        <v>131.66999999999999</v>
      </c>
      <c r="D2364" s="12"/>
      <c r="E2364" s="13"/>
    </row>
    <row r="2365" spans="1:5" ht="11.1" hidden="1" customHeight="1" x14ac:dyDescent="0.25">
      <c r="A2365" s="12" t="s">
        <v>3443</v>
      </c>
      <c r="B2365" s="12" t="s">
        <v>1934</v>
      </c>
      <c r="C2365" s="14">
        <v>66.67</v>
      </c>
      <c r="D2365" s="12"/>
      <c r="E2365" s="13"/>
    </row>
    <row r="2366" spans="1:5" ht="11.1" hidden="1" customHeight="1" x14ac:dyDescent="0.25">
      <c r="A2366" s="12" t="s">
        <v>3444</v>
      </c>
      <c r="B2366" s="12" t="s">
        <v>1405</v>
      </c>
      <c r="C2366" s="14">
        <v>712.5</v>
      </c>
      <c r="D2366" s="12"/>
      <c r="E2366" s="13"/>
    </row>
    <row r="2367" spans="1:5" ht="11.1" hidden="1" customHeight="1" x14ac:dyDescent="0.25">
      <c r="A2367" s="12" t="s">
        <v>3445</v>
      </c>
      <c r="B2367" s="12" t="s">
        <v>1405</v>
      </c>
      <c r="C2367" s="14">
        <v>712.5</v>
      </c>
      <c r="D2367" s="12"/>
      <c r="E2367" s="13"/>
    </row>
    <row r="2368" spans="1:5" ht="11.1" hidden="1" customHeight="1" x14ac:dyDescent="0.25">
      <c r="A2368" s="12" t="s">
        <v>3446</v>
      </c>
      <c r="B2368" s="12" t="s">
        <v>168</v>
      </c>
      <c r="C2368" s="14">
        <v>405.27</v>
      </c>
      <c r="D2368" s="12"/>
      <c r="E2368" s="13"/>
    </row>
    <row r="2369" spans="1:5" ht="11.1" hidden="1" customHeight="1" x14ac:dyDescent="0.25">
      <c r="A2369" s="12" t="s">
        <v>3447</v>
      </c>
      <c r="B2369" s="12" t="s">
        <v>2182</v>
      </c>
      <c r="C2369" s="14">
        <v>2250</v>
      </c>
      <c r="D2369" s="12"/>
      <c r="E2369" s="14"/>
    </row>
    <row r="2370" spans="1:5" ht="11.1" hidden="1" customHeight="1" x14ac:dyDescent="0.25">
      <c r="A2370" s="12" t="s">
        <v>3448</v>
      </c>
      <c r="B2370" s="12" t="s">
        <v>2105</v>
      </c>
      <c r="C2370" s="14">
        <v>661</v>
      </c>
      <c r="D2370" s="12"/>
      <c r="E2370" s="13"/>
    </row>
    <row r="2371" spans="1:5" ht="11.1" hidden="1" customHeight="1" x14ac:dyDescent="0.25">
      <c r="A2371" s="12" t="s">
        <v>3449</v>
      </c>
      <c r="B2371" s="12" t="s">
        <v>3450</v>
      </c>
      <c r="C2371" s="14">
        <v>3101.56</v>
      </c>
      <c r="D2371" s="12"/>
      <c r="E2371" s="14"/>
    </row>
    <row r="2372" spans="1:5" ht="11.1" hidden="1" customHeight="1" x14ac:dyDescent="0.25">
      <c r="A2372" s="12" t="s">
        <v>3451</v>
      </c>
      <c r="B2372" s="12" t="s">
        <v>3452</v>
      </c>
      <c r="C2372" s="14">
        <v>3701.95</v>
      </c>
      <c r="D2372" s="12"/>
      <c r="E2372" s="14"/>
    </row>
    <row r="2373" spans="1:5" ht="11.1" hidden="1" customHeight="1" x14ac:dyDescent="0.25">
      <c r="A2373" s="12" t="s">
        <v>3453</v>
      </c>
      <c r="B2373" s="12" t="s">
        <v>3454</v>
      </c>
      <c r="C2373" s="14">
        <v>2451.3000000000002</v>
      </c>
      <c r="D2373" s="12"/>
      <c r="E2373" s="14"/>
    </row>
    <row r="2374" spans="1:5" ht="11.1" hidden="1" customHeight="1" x14ac:dyDescent="0.25">
      <c r="A2374" s="12" t="s">
        <v>3455</v>
      </c>
      <c r="B2374" s="12" t="s">
        <v>2053</v>
      </c>
      <c r="C2374" s="14">
        <v>1003.33</v>
      </c>
      <c r="D2374" s="12"/>
      <c r="E2374" s="14"/>
    </row>
    <row r="2375" spans="1:5" ht="11.1" hidden="1" customHeight="1" x14ac:dyDescent="0.25">
      <c r="A2375" s="12" t="s">
        <v>3456</v>
      </c>
      <c r="B2375" s="12" t="s">
        <v>2107</v>
      </c>
      <c r="C2375" s="14">
        <v>511.68</v>
      </c>
      <c r="D2375" s="12"/>
      <c r="E2375" s="13"/>
    </row>
    <row r="2376" spans="1:5" ht="11.1" hidden="1" customHeight="1" x14ac:dyDescent="0.25">
      <c r="A2376" s="12" t="s">
        <v>3457</v>
      </c>
      <c r="B2376" s="12" t="s">
        <v>2105</v>
      </c>
      <c r="C2376" s="14">
        <v>859</v>
      </c>
      <c r="D2376" s="12"/>
      <c r="E2376" s="13"/>
    </row>
    <row r="2377" spans="1:5" ht="11.1" hidden="1" customHeight="1" x14ac:dyDescent="0.25">
      <c r="A2377" s="12" t="s">
        <v>3458</v>
      </c>
      <c r="B2377" s="12" t="s">
        <v>3459</v>
      </c>
      <c r="C2377" s="14">
        <v>8666.67</v>
      </c>
      <c r="D2377" s="12"/>
      <c r="E2377" s="14"/>
    </row>
    <row r="2378" spans="1:5" ht="11.1" hidden="1" customHeight="1" x14ac:dyDescent="0.25">
      <c r="A2378" s="12" t="s">
        <v>3460</v>
      </c>
      <c r="B2378" s="12" t="s">
        <v>3461</v>
      </c>
      <c r="C2378" s="14">
        <v>6183.33</v>
      </c>
      <c r="D2378" s="12"/>
      <c r="E2378" s="14"/>
    </row>
    <row r="2379" spans="1:5" ht="11.1" hidden="1" customHeight="1" x14ac:dyDescent="0.25">
      <c r="A2379" s="12" t="s">
        <v>3462</v>
      </c>
      <c r="B2379" s="12" t="s">
        <v>1958</v>
      </c>
      <c r="C2379" s="14">
        <v>1632.5</v>
      </c>
      <c r="D2379" s="12"/>
      <c r="E2379" s="14"/>
    </row>
    <row r="2380" spans="1:5" ht="23.1" hidden="1" customHeight="1" x14ac:dyDescent="0.25">
      <c r="A2380" s="12" t="s">
        <v>3463</v>
      </c>
      <c r="B2380" s="12" t="s">
        <v>188</v>
      </c>
      <c r="C2380" s="14">
        <v>4800</v>
      </c>
      <c r="D2380" s="12"/>
      <c r="E2380" s="14"/>
    </row>
    <row r="2381" spans="1:5" ht="11.1" hidden="1" customHeight="1" x14ac:dyDescent="0.25">
      <c r="A2381" s="12" t="s">
        <v>3464</v>
      </c>
      <c r="B2381" s="12" t="s">
        <v>3465</v>
      </c>
      <c r="C2381" s="14">
        <v>26304.17</v>
      </c>
      <c r="D2381" s="12"/>
      <c r="E2381" s="14"/>
    </row>
    <row r="2382" spans="1:5" ht="11.1" hidden="1" customHeight="1" x14ac:dyDescent="0.25">
      <c r="A2382" s="12" t="s">
        <v>3466</v>
      </c>
      <c r="B2382" s="12" t="s">
        <v>146</v>
      </c>
      <c r="C2382" s="14">
        <v>2484.16</v>
      </c>
      <c r="D2382" s="12"/>
      <c r="E2382" s="14"/>
    </row>
    <row r="2383" spans="1:5" ht="11.1" hidden="1" customHeight="1" x14ac:dyDescent="0.25">
      <c r="A2383" s="12" t="s">
        <v>3467</v>
      </c>
      <c r="B2383" s="12" t="s">
        <v>3468</v>
      </c>
      <c r="C2383" s="14">
        <v>1991.67</v>
      </c>
      <c r="D2383" s="12"/>
      <c r="E2383" s="14"/>
    </row>
    <row r="2384" spans="1:5" ht="11.1" hidden="1" customHeight="1" x14ac:dyDescent="0.25">
      <c r="A2384" s="12" t="s">
        <v>3469</v>
      </c>
      <c r="B2384" s="12" t="s">
        <v>3468</v>
      </c>
      <c r="C2384" s="14">
        <v>2066.67</v>
      </c>
      <c r="D2384" s="12"/>
      <c r="E2384" s="14"/>
    </row>
    <row r="2385" spans="1:5" ht="11.1" hidden="1" customHeight="1" x14ac:dyDescent="0.25">
      <c r="A2385" s="12" t="s">
        <v>3470</v>
      </c>
      <c r="B2385" s="12" t="s">
        <v>3468</v>
      </c>
      <c r="C2385" s="14">
        <v>1708.33</v>
      </c>
      <c r="D2385" s="12"/>
      <c r="E2385" s="14"/>
    </row>
    <row r="2386" spans="1:5" ht="11.1" hidden="1" customHeight="1" x14ac:dyDescent="0.25">
      <c r="A2386" s="12" t="s">
        <v>3471</v>
      </c>
      <c r="B2386" s="12" t="s">
        <v>3468</v>
      </c>
      <c r="C2386" s="14">
        <v>1875</v>
      </c>
      <c r="D2386" s="12"/>
      <c r="E2386" s="14"/>
    </row>
    <row r="2387" spans="1:5" ht="11.1" hidden="1" customHeight="1" x14ac:dyDescent="0.25">
      <c r="A2387" s="12" t="s">
        <v>3472</v>
      </c>
      <c r="B2387" s="12" t="s">
        <v>70</v>
      </c>
      <c r="C2387" s="14">
        <v>491.67</v>
      </c>
      <c r="D2387" s="12"/>
      <c r="E2387" s="13"/>
    </row>
    <row r="2388" spans="1:5" ht="11.1" hidden="1" customHeight="1" x14ac:dyDescent="0.25">
      <c r="A2388" s="12" t="s">
        <v>3473</v>
      </c>
      <c r="B2388" s="12" t="s">
        <v>70</v>
      </c>
      <c r="C2388" s="14">
        <v>6916.67</v>
      </c>
      <c r="D2388" s="12"/>
      <c r="E2388" s="14"/>
    </row>
    <row r="2389" spans="1:5" ht="23.1" hidden="1" customHeight="1" x14ac:dyDescent="0.25">
      <c r="A2389" s="12" t="s">
        <v>3474</v>
      </c>
      <c r="B2389" s="12" t="s">
        <v>3475</v>
      </c>
      <c r="C2389" s="14">
        <v>225000</v>
      </c>
      <c r="D2389" s="12"/>
      <c r="E2389" s="14"/>
    </row>
    <row r="2390" spans="1:5" ht="11.1" hidden="1" customHeight="1" x14ac:dyDescent="0.25">
      <c r="A2390" s="12" t="s">
        <v>3476</v>
      </c>
      <c r="B2390" s="12" t="s">
        <v>3477</v>
      </c>
      <c r="C2390" s="14">
        <v>278100</v>
      </c>
      <c r="D2390" s="12"/>
      <c r="E2390" s="14"/>
    </row>
    <row r="2391" spans="1:5" ht="11.1" hidden="1" customHeight="1" x14ac:dyDescent="0.25">
      <c r="A2391" s="12" t="s">
        <v>3478</v>
      </c>
      <c r="B2391" s="12" t="s">
        <v>1958</v>
      </c>
      <c r="C2391" s="14">
        <v>414425</v>
      </c>
      <c r="D2391" s="12"/>
      <c r="E2391" s="14"/>
    </row>
    <row r="2392" spans="1:5" ht="11.1" hidden="1" customHeight="1" x14ac:dyDescent="0.25">
      <c r="A2392" s="12" t="s">
        <v>3479</v>
      </c>
      <c r="B2392" s="12" t="s">
        <v>3480</v>
      </c>
      <c r="C2392" s="14">
        <v>357148.33</v>
      </c>
      <c r="D2392" s="12"/>
      <c r="E2392" s="14"/>
    </row>
    <row r="2393" spans="1:5" ht="11.1" hidden="1" customHeight="1" x14ac:dyDescent="0.25">
      <c r="A2393" s="12" t="s">
        <v>3481</v>
      </c>
      <c r="B2393" s="12" t="s">
        <v>3482</v>
      </c>
      <c r="C2393" s="14">
        <v>414650</v>
      </c>
      <c r="D2393" s="12"/>
      <c r="E2393" s="14"/>
    </row>
    <row r="2394" spans="1:5" ht="11.1" hidden="1" customHeight="1" x14ac:dyDescent="0.25">
      <c r="A2394" s="12" t="s">
        <v>3483</v>
      </c>
      <c r="B2394" s="12" t="s">
        <v>3484</v>
      </c>
      <c r="C2394" s="14">
        <v>2900000</v>
      </c>
      <c r="D2394" s="12"/>
      <c r="E2394" s="14"/>
    </row>
    <row r="2395" spans="1:5" ht="11.1" hidden="1" customHeight="1" x14ac:dyDescent="0.25">
      <c r="A2395" s="12" t="s">
        <v>3485</v>
      </c>
      <c r="B2395" s="12" t="s">
        <v>3486</v>
      </c>
      <c r="C2395" s="14">
        <v>3289.92</v>
      </c>
      <c r="D2395" s="12"/>
      <c r="E2395" s="14"/>
    </row>
    <row r="2396" spans="1:5" ht="11.1" hidden="1" customHeight="1" x14ac:dyDescent="0.25">
      <c r="A2396" s="12" t="s">
        <v>3487</v>
      </c>
      <c r="B2396" s="12" t="s">
        <v>2063</v>
      </c>
      <c r="C2396" s="14">
        <v>28541.67</v>
      </c>
      <c r="D2396" s="12"/>
      <c r="E2396" s="14"/>
    </row>
    <row r="2397" spans="1:5" ht="11.1" hidden="1" customHeight="1" x14ac:dyDescent="0.25">
      <c r="A2397" s="12" t="s">
        <v>3488</v>
      </c>
      <c r="B2397" s="12" t="s">
        <v>2248</v>
      </c>
      <c r="C2397" s="14">
        <v>1740</v>
      </c>
      <c r="D2397" s="12"/>
      <c r="E2397" s="14"/>
    </row>
    <row r="2398" spans="1:5" ht="11.1" hidden="1" customHeight="1" x14ac:dyDescent="0.25">
      <c r="A2398" s="12" t="s">
        <v>3489</v>
      </c>
      <c r="B2398" s="12" t="s">
        <v>3490</v>
      </c>
      <c r="C2398" s="14">
        <v>362</v>
      </c>
      <c r="D2398" s="12"/>
      <c r="E2398" s="13"/>
    </row>
    <row r="2399" spans="1:5" ht="11.1" hidden="1" customHeight="1" x14ac:dyDescent="0.25">
      <c r="A2399" s="12" t="s">
        <v>3491</v>
      </c>
      <c r="B2399" s="12" t="s">
        <v>3492</v>
      </c>
      <c r="C2399" s="14">
        <v>112</v>
      </c>
      <c r="D2399" s="12"/>
      <c r="E2399" s="13"/>
    </row>
    <row r="2400" spans="1:5" ht="11.1" hidden="1" customHeight="1" x14ac:dyDescent="0.25">
      <c r="A2400" s="12" t="s">
        <v>3493</v>
      </c>
      <c r="B2400" s="12" t="s">
        <v>2944</v>
      </c>
      <c r="C2400" s="14">
        <v>65</v>
      </c>
      <c r="D2400" s="12"/>
      <c r="E2400" s="13"/>
    </row>
    <row r="2401" spans="1:5" ht="11.1" hidden="1" customHeight="1" x14ac:dyDescent="0.25">
      <c r="A2401" s="12" t="s">
        <v>3494</v>
      </c>
      <c r="B2401" s="12" t="s">
        <v>3495</v>
      </c>
      <c r="C2401" s="14">
        <v>58.5</v>
      </c>
      <c r="D2401" s="12"/>
      <c r="E2401" s="13"/>
    </row>
    <row r="2402" spans="1:5" ht="11.1" hidden="1" customHeight="1" x14ac:dyDescent="0.25">
      <c r="A2402" s="12" t="s">
        <v>3496</v>
      </c>
      <c r="B2402" s="12" t="s">
        <v>2105</v>
      </c>
      <c r="C2402" s="14">
        <v>27.6</v>
      </c>
      <c r="D2402" s="12"/>
      <c r="E2402" s="13"/>
    </row>
    <row r="2403" spans="1:5" ht="11.1" hidden="1" customHeight="1" x14ac:dyDescent="0.25">
      <c r="A2403" s="12" t="s">
        <v>3497</v>
      </c>
      <c r="B2403" s="12" t="s">
        <v>2053</v>
      </c>
      <c r="C2403" s="14">
        <v>22.42</v>
      </c>
      <c r="D2403" s="12"/>
      <c r="E2403" s="13"/>
    </row>
    <row r="2404" spans="1:5" ht="23.1" hidden="1" customHeight="1" x14ac:dyDescent="0.25">
      <c r="A2404" s="12" t="s">
        <v>3498</v>
      </c>
      <c r="B2404" s="12" t="s">
        <v>2107</v>
      </c>
      <c r="C2404" s="14">
        <v>77.92</v>
      </c>
      <c r="D2404" s="12"/>
      <c r="E2404" s="13"/>
    </row>
    <row r="2405" spans="1:5" ht="11.1" hidden="1" customHeight="1" x14ac:dyDescent="0.25">
      <c r="A2405" s="12" t="s">
        <v>3499</v>
      </c>
      <c r="B2405" s="12" t="s">
        <v>2162</v>
      </c>
      <c r="C2405" s="14">
        <v>45.25</v>
      </c>
      <c r="D2405" s="12"/>
      <c r="E2405" s="13"/>
    </row>
    <row r="2406" spans="1:5" ht="11.1" hidden="1" customHeight="1" x14ac:dyDescent="0.25">
      <c r="A2406" s="12" t="s">
        <v>3500</v>
      </c>
      <c r="B2406" s="12" t="s">
        <v>3501</v>
      </c>
      <c r="C2406" s="14">
        <v>74.17</v>
      </c>
      <c r="D2406" s="12"/>
      <c r="E2406" s="13"/>
    </row>
    <row r="2407" spans="1:5" ht="11.1" hidden="1" customHeight="1" x14ac:dyDescent="0.25">
      <c r="A2407" s="12" t="s">
        <v>3502</v>
      </c>
      <c r="B2407" s="12" t="s">
        <v>2107</v>
      </c>
      <c r="C2407" s="14">
        <v>20.079999999999998</v>
      </c>
      <c r="D2407" s="12"/>
      <c r="E2407" s="13"/>
    </row>
    <row r="2408" spans="1:5" ht="11.1" hidden="1" customHeight="1" x14ac:dyDescent="0.25">
      <c r="A2408" s="12" t="s">
        <v>3503</v>
      </c>
      <c r="B2408" s="12" t="s">
        <v>1985</v>
      </c>
      <c r="C2408" s="14">
        <v>10.58</v>
      </c>
      <c r="D2408" s="12"/>
      <c r="E2408" s="13"/>
    </row>
    <row r="2409" spans="1:5" ht="11.1" hidden="1" customHeight="1" x14ac:dyDescent="0.25">
      <c r="A2409" s="12" t="s">
        <v>3504</v>
      </c>
      <c r="B2409" s="12" t="s">
        <v>2100</v>
      </c>
      <c r="C2409" s="14">
        <v>9</v>
      </c>
      <c r="D2409" s="12"/>
      <c r="E2409" s="13"/>
    </row>
    <row r="2410" spans="1:5" ht="11.1" hidden="1" customHeight="1" x14ac:dyDescent="0.25">
      <c r="A2410" s="12" t="s">
        <v>3505</v>
      </c>
      <c r="B2410" s="12" t="s">
        <v>2105</v>
      </c>
      <c r="C2410" s="14">
        <v>22.8</v>
      </c>
      <c r="D2410" s="12"/>
      <c r="E2410" s="13"/>
    </row>
    <row r="2411" spans="1:5" ht="11.1" hidden="1" customHeight="1" x14ac:dyDescent="0.25">
      <c r="A2411" s="12" t="s">
        <v>3506</v>
      </c>
      <c r="B2411" s="12" t="s">
        <v>2100</v>
      </c>
      <c r="C2411" s="14">
        <v>27.5</v>
      </c>
      <c r="D2411" s="12"/>
      <c r="E2411" s="13"/>
    </row>
    <row r="2412" spans="1:5" ht="11.1" hidden="1" customHeight="1" x14ac:dyDescent="0.25">
      <c r="A2412" s="12" t="s">
        <v>3507</v>
      </c>
      <c r="B2412" s="12" t="s">
        <v>2162</v>
      </c>
      <c r="C2412" s="14">
        <v>90.84</v>
      </c>
      <c r="D2412" s="12"/>
      <c r="E2412" s="13"/>
    </row>
    <row r="2413" spans="1:5" ht="11.1" hidden="1" customHeight="1" x14ac:dyDescent="0.25">
      <c r="A2413" s="12" t="s">
        <v>3508</v>
      </c>
      <c r="B2413" s="12" t="s">
        <v>3509</v>
      </c>
      <c r="C2413" s="14">
        <v>1166.67</v>
      </c>
      <c r="D2413" s="12"/>
      <c r="E2413" s="14"/>
    </row>
    <row r="2414" spans="1:5" ht="23.1" hidden="1" customHeight="1" x14ac:dyDescent="0.25">
      <c r="A2414" s="12" t="s">
        <v>3510</v>
      </c>
      <c r="B2414" s="12" t="s">
        <v>808</v>
      </c>
      <c r="C2414" s="14">
        <v>1416.67</v>
      </c>
      <c r="D2414" s="12"/>
      <c r="E2414" s="14"/>
    </row>
    <row r="2415" spans="1:5" ht="23.1" hidden="1" customHeight="1" x14ac:dyDescent="0.25">
      <c r="A2415" s="12" t="s">
        <v>3511</v>
      </c>
      <c r="B2415" s="12" t="s">
        <v>3509</v>
      </c>
      <c r="C2415" s="14">
        <v>2083.33</v>
      </c>
      <c r="D2415" s="12"/>
      <c r="E2415" s="14"/>
    </row>
    <row r="2416" spans="1:5" ht="11.1" hidden="1" customHeight="1" x14ac:dyDescent="0.25">
      <c r="A2416" s="12" t="s">
        <v>3512</v>
      </c>
      <c r="B2416" s="12" t="s">
        <v>808</v>
      </c>
      <c r="C2416" s="14">
        <v>1258.33</v>
      </c>
      <c r="D2416" s="12"/>
      <c r="E2416" s="14"/>
    </row>
    <row r="2417" spans="1:5" ht="11.1" hidden="1" customHeight="1" x14ac:dyDescent="0.25">
      <c r="A2417" s="12" t="s">
        <v>3513</v>
      </c>
      <c r="B2417" s="12" t="s">
        <v>3514</v>
      </c>
      <c r="C2417" s="14">
        <v>2238</v>
      </c>
      <c r="D2417" s="12"/>
      <c r="E2417" s="14"/>
    </row>
    <row r="2418" spans="1:5" ht="11.1" hidden="1" customHeight="1" x14ac:dyDescent="0.25">
      <c r="A2418" s="12" t="s">
        <v>3515</v>
      </c>
      <c r="B2418" s="12" t="s">
        <v>3516</v>
      </c>
      <c r="C2418" s="14">
        <v>1595</v>
      </c>
      <c r="D2418" s="12"/>
      <c r="E2418" s="14"/>
    </row>
    <row r="2419" spans="1:5" ht="23.1" hidden="1" customHeight="1" x14ac:dyDescent="0.25">
      <c r="A2419" s="12" t="s">
        <v>3517</v>
      </c>
      <c r="B2419" s="12" t="s">
        <v>3516</v>
      </c>
      <c r="C2419" s="14">
        <v>2100.81</v>
      </c>
      <c r="D2419" s="12"/>
      <c r="E2419" s="14"/>
    </row>
    <row r="2420" spans="1:5" ht="11.1" hidden="1" customHeight="1" x14ac:dyDescent="0.25">
      <c r="A2420" s="12" t="s">
        <v>3518</v>
      </c>
      <c r="B2420" s="12" t="s">
        <v>3519</v>
      </c>
      <c r="C2420" s="14">
        <v>2227.12</v>
      </c>
      <c r="D2420" s="12"/>
      <c r="E2420" s="14"/>
    </row>
    <row r="2421" spans="1:5" ht="23.1" hidden="1" customHeight="1" x14ac:dyDescent="0.25">
      <c r="A2421" s="12" t="s">
        <v>3520</v>
      </c>
      <c r="B2421" s="12" t="s">
        <v>3521</v>
      </c>
      <c r="C2421" s="14">
        <v>2617.71</v>
      </c>
      <c r="D2421" s="12"/>
      <c r="E2421" s="14"/>
    </row>
    <row r="2422" spans="1:5" ht="11.1" hidden="1" customHeight="1" x14ac:dyDescent="0.25">
      <c r="A2422" s="12" t="s">
        <v>3522</v>
      </c>
      <c r="B2422" s="12" t="s">
        <v>3523</v>
      </c>
      <c r="C2422" s="14">
        <v>948.33</v>
      </c>
      <c r="D2422" s="12"/>
      <c r="E2422" s="13"/>
    </row>
    <row r="2423" spans="1:5" ht="11.1" hidden="1" customHeight="1" x14ac:dyDescent="0.25">
      <c r="A2423" s="12" t="s">
        <v>3524</v>
      </c>
      <c r="B2423" s="12" t="s">
        <v>1517</v>
      </c>
      <c r="C2423" s="14">
        <v>474.17</v>
      </c>
      <c r="D2423" s="12"/>
      <c r="E2423" s="13"/>
    </row>
    <row r="2424" spans="1:5" ht="11.1" hidden="1" customHeight="1" x14ac:dyDescent="0.25">
      <c r="A2424" s="12" t="s">
        <v>3525</v>
      </c>
      <c r="B2424" s="12" t="s">
        <v>2053</v>
      </c>
      <c r="C2424" s="14">
        <v>841.67</v>
      </c>
      <c r="D2424" s="12"/>
      <c r="E2424" s="13"/>
    </row>
    <row r="2425" spans="1:5" ht="11.1" hidden="1" customHeight="1" x14ac:dyDescent="0.25">
      <c r="A2425" s="12" t="s">
        <v>3526</v>
      </c>
      <c r="B2425" s="12" t="s">
        <v>3527</v>
      </c>
      <c r="C2425" s="14">
        <v>600.83000000000004</v>
      </c>
      <c r="D2425" s="12"/>
      <c r="E2425" s="13"/>
    </row>
    <row r="2426" spans="1:5" ht="11.1" hidden="1" customHeight="1" x14ac:dyDescent="0.25">
      <c r="A2426" s="12" t="s">
        <v>3528</v>
      </c>
      <c r="B2426" s="12" t="s">
        <v>3529</v>
      </c>
      <c r="C2426" s="14">
        <v>195.83</v>
      </c>
      <c r="D2426" s="12"/>
      <c r="E2426" s="13"/>
    </row>
    <row r="2427" spans="1:5" ht="11.1" hidden="1" customHeight="1" x14ac:dyDescent="0.25">
      <c r="A2427" s="12" t="s">
        <v>3530</v>
      </c>
      <c r="B2427" s="12" t="s">
        <v>3531</v>
      </c>
      <c r="C2427" s="14">
        <v>749.17</v>
      </c>
      <c r="D2427" s="12"/>
      <c r="E2427" s="13"/>
    </row>
    <row r="2428" spans="1:5" ht="11.1" hidden="1" customHeight="1" x14ac:dyDescent="0.25">
      <c r="A2428" s="12" t="s">
        <v>3532</v>
      </c>
      <c r="B2428" s="12" t="s">
        <v>3533</v>
      </c>
      <c r="C2428" s="14">
        <v>391.67</v>
      </c>
      <c r="D2428" s="12"/>
      <c r="E2428" s="13"/>
    </row>
    <row r="2429" spans="1:5" ht="11.1" hidden="1" customHeight="1" x14ac:dyDescent="0.25">
      <c r="A2429" s="12" t="s">
        <v>3534</v>
      </c>
      <c r="B2429" s="12" t="s">
        <v>1556</v>
      </c>
      <c r="C2429" s="14">
        <v>1694.17</v>
      </c>
      <c r="D2429" s="12"/>
      <c r="E2429" s="14"/>
    </row>
    <row r="2430" spans="1:5" ht="11.1" hidden="1" customHeight="1" x14ac:dyDescent="0.25">
      <c r="A2430" s="12" t="s">
        <v>3535</v>
      </c>
      <c r="B2430" s="12" t="s">
        <v>3536</v>
      </c>
      <c r="C2430" s="14">
        <v>308.33</v>
      </c>
      <c r="D2430" s="12"/>
      <c r="E2430" s="13"/>
    </row>
    <row r="2431" spans="1:5" ht="11.1" hidden="1" customHeight="1" x14ac:dyDescent="0.25">
      <c r="A2431" s="12" t="s">
        <v>3537</v>
      </c>
      <c r="B2431" s="12" t="s">
        <v>3533</v>
      </c>
      <c r="C2431" s="14">
        <v>233.33</v>
      </c>
      <c r="D2431" s="12"/>
      <c r="E2431" s="13"/>
    </row>
    <row r="2432" spans="1:5" ht="11.1" hidden="1" customHeight="1" x14ac:dyDescent="0.25">
      <c r="A2432" s="12" t="s">
        <v>3538</v>
      </c>
      <c r="B2432" s="12" t="s">
        <v>1517</v>
      </c>
      <c r="C2432" s="14">
        <v>491.67</v>
      </c>
      <c r="D2432" s="12"/>
      <c r="E2432" s="13"/>
    </row>
    <row r="2433" spans="1:5" ht="11.1" hidden="1" customHeight="1" x14ac:dyDescent="0.25">
      <c r="A2433" s="12" t="s">
        <v>3539</v>
      </c>
      <c r="B2433" s="12" t="s">
        <v>1517</v>
      </c>
      <c r="C2433" s="14">
        <v>515.83000000000004</v>
      </c>
      <c r="D2433" s="12"/>
      <c r="E2433" s="13"/>
    </row>
    <row r="2434" spans="1:5" ht="11.1" hidden="1" customHeight="1" x14ac:dyDescent="0.25">
      <c r="A2434" s="12" t="s">
        <v>3540</v>
      </c>
      <c r="B2434" s="12" t="s">
        <v>3541</v>
      </c>
      <c r="C2434" s="14">
        <v>17500</v>
      </c>
      <c r="D2434" s="12"/>
      <c r="E2434" s="14"/>
    </row>
    <row r="2435" spans="1:5" ht="11.1" hidden="1" customHeight="1" x14ac:dyDescent="0.25">
      <c r="A2435" s="12" t="s">
        <v>3542</v>
      </c>
      <c r="B2435" s="12" t="s">
        <v>3533</v>
      </c>
      <c r="C2435" s="14">
        <v>416.67</v>
      </c>
      <c r="D2435" s="12"/>
      <c r="E2435" s="13"/>
    </row>
    <row r="2436" spans="1:5" ht="11.1" hidden="1" customHeight="1" x14ac:dyDescent="0.25">
      <c r="A2436" s="12" t="s">
        <v>3543</v>
      </c>
      <c r="B2436" s="12" t="s">
        <v>3544</v>
      </c>
      <c r="C2436" s="14">
        <v>963</v>
      </c>
      <c r="D2436" s="12"/>
      <c r="E2436" s="13"/>
    </row>
    <row r="2437" spans="1:5" ht="11.1" hidden="1" customHeight="1" x14ac:dyDescent="0.25">
      <c r="A2437" s="12" t="s">
        <v>3545</v>
      </c>
      <c r="B2437" s="12" t="s">
        <v>3546</v>
      </c>
      <c r="C2437" s="14">
        <v>7969</v>
      </c>
      <c r="D2437" s="12"/>
      <c r="E2437" s="14"/>
    </row>
    <row r="2438" spans="1:5" ht="11.1" hidden="1" customHeight="1" x14ac:dyDescent="0.25">
      <c r="A2438" s="12" t="s">
        <v>3547</v>
      </c>
      <c r="B2438" s="12" t="s">
        <v>3548</v>
      </c>
      <c r="C2438" s="14">
        <v>10096</v>
      </c>
      <c r="D2438" s="12"/>
      <c r="E2438" s="14"/>
    </row>
    <row r="2439" spans="1:5" ht="23.1" hidden="1" customHeight="1" x14ac:dyDescent="0.25">
      <c r="A2439" s="12" t="s">
        <v>3549</v>
      </c>
      <c r="B2439" s="12" t="s">
        <v>3550</v>
      </c>
      <c r="C2439" s="14">
        <v>2745</v>
      </c>
      <c r="D2439" s="12"/>
      <c r="E2439" s="14"/>
    </row>
    <row r="2440" spans="1:5" ht="11.1" hidden="1" customHeight="1" x14ac:dyDescent="0.25">
      <c r="A2440" s="12" t="s">
        <v>3551</v>
      </c>
      <c r="B2440" s="12" t="s">
        <v>3550</v>
      </c>
      <c r="C2440" s="14">
        <v>3119.78</v>
      </c>
      <c r="D2440" s="12"/>
      <c r="E2440" s="14"/>
    </row>
    <row r="2441" spans="1:5" ht="11.1" hidden="1" customHeight="1" x14ac:dyDescent="0.25">
      <c r="A2441" s="12" t="s">
        <v>3552</v>
      </c>
      <c r="B2441" s="12" t="s">
        <v>3550</v>
      </c>
      <c r="C2441" s="14">
        <v>5199.38</v>
      </c>
      <c r="D2441" s="12"/>
      <c r="E2441" s="14"/>
    </row>
    <row r="2442" spans="1:5" ht="11.1" hidden="1" customHeight="1" x14ac:dyDescent="0.25">
      <c r="A2442" s="12" t="s">
        <v>3553</v>
      </c>
      <c r="B2442" s="12" t="s">
        <v>3550</v>
      </c>
      <c r="C2442" s="14">
        <v>5199.38</v>
      </c>
      <c r="D2442" s="12"/>
      <c r="E2442" s="14"/>
    </row>
    <row r="2443" spans="1:5" ht="11.1" hidden="1" customHeight="1" x14ac:dyDescent="0.25">
      <c r="A2443" s="12" t="s">
        <v>3554</v>
      </c>
      <c r="B2443" s="12" t="s">
        <v>3555</v>
      </c>
      <c r="C2443" s="14">
        <v>8110.35</v>
      </c>
      <c r="D2443" s="12"/>
      <c r="E2443" s="14"/>
    </row>
    <row r="2444" spans="1:5" ht="11.1" hidden="1" customHeight="1" x14ac:dyDescent="0.25">
      <c r="A2444" s="12" t="s">
        <v>3556</v>
      </c>
      <c r="B2444" s="12" t="s">
        <v>3557</v>
      </c>
      <c r="C2444" s="14">
        <v>240.2</v>
      </c>
      <c r="D2444" s="12"/>
      <c r="E2444" s="13"/>
    </row>
    <row r="2445" spans="1:5" ht="11.1" hidden="1" customHeight="1" x14ac:dyDescent="0.25">
      <c r="A2445" s="12" t="s">
        <v>3558</v>
      </c>
      <c r="B2445" s="12" t="s">
        <v>3557</v>
      </c>
      <c r="C2445" s="14">
        <v>240.2</v>
      </c>
      <c r="D2445" s="12"/>
      <c r="E2445" s="13"/>
    </row>
    <row r="2446" spans="1:5" ht="11.1" hidden="1" customHeight="1" x14ac:dyDescent="0.25">
      <c r="A2446" s="12" t="s">
        <v>3559</v>
      </c>
      <c r="B2446" s="12" t="s">
        <v>3560</v>
      </c>
      <c r="C2446" s="14">
        <v>1803</v>
      </c>
      <c r="D2446" s="12"/>
      <c r="E2446" s="14"/>
    </row>
    <row r="2447" spans="1:5" ht="11.1" hidden="1" customHeight="1" x14ac:dyDescent="0.25">
      <c r="A2447" s="12" t="s">
        <v>3561</v>
      </c>
      <c r="B2447" s="12" t="s">
        <v>3562</v>
      </c>
      <c r="C2447" s="14">
        <v>287.89</v>
      </c>
      <c r="D2447" s="12"/>
      <c r="E2447" s="13"/>
    </row>
    <row r="2448" spans="1:5" ht="11.1" hidden="1" customHeight="1" x14ac:dyDescent="0.25">
      <c r="A2448" s="12" t="s">
        <v>3563</v>
      </c>
      <c r="B2448" s="12" t="s">
        <v>745</v>
      </c>
      <c r="C2448" s="14">
        <v>256.67</v>
      </c>
      <c r="D2448" s="12"/>
      <c r="E2448" s="13"/>
    </row>
    <row r="2449" spans="1:5" ht="11.1" hidden="1" customHeight="1" x14ac:dyDescent="0.25">
      <c r="A2449" s="12" t="s">
        <v>3564</v>
      </c>
      <c r="B2449" s="12" t="s">
        <v>2796</v>
      </c>
      <c r="C2449" s="14">
        <v>923.33</v>
      </c>
      <c r="D2449" s="12"/>
      <c r="E2449" s="13"/>
    </row>
    <row r="2450" spans="1:5" ht="11.1" hidden="1" customHeight="1" x14ac:dyDescent="0.25">
      <c r="A2450" s="12" t="s">
        <v>3565</v>
      </c>
      <c r="B2450" s="12" t="s">
        <v>2792</v>
      </c>
      <c r="C2450" s="14">
        <v>1022.5</v>
      </c>
      <c r="D2450" s="12"/>
      <c r="E2450" s="14"/>
    </row>
    <row r="2451" spans="1:5" ht="11.1" hidden="1" customHeight="1" x14ac:dyDescent="0.25">
      <c r="A2451" s="12" t="s">
        <v>3566</v>
      </c>
      <c r="B2451" s="12" t="s">
        <v>497</v>
      </c>
      <c r="C2451" s="14">
        <v>488.33</v>
      </c>
      <c r="D2451" s="12"/>
      <c r="E2451" s="13"/>
    </row>
    <row r="2452" spans="1:5" ht="11.1" hidden="1" customHeight="1" x14ac:dyDescent="0.25">
      <c r="A2452" s="12" t="s">
        <v>3567</v>
      </c>
      <c r="B2452" s="12" t="s">
        <v>218</v>
      </c>
      <c r="C2452" s="14">
        <v>1414.17</v>
      </c>
      <c r="D2452" s="12"/>
      <c r="E2452" s="14"/>
    </row>
    <row r="2453" spans="1:5" ht="11.1" hidden="1" customHeight="1" x14ac:dyDescent="0.25">
      <c r="A2453" s="12" t="s">
        <v>3568</v>
      </c>
      <c r="B2453" s="12" t="s">
        <v>225</v>
      </c>
      <c r="C2453" s="14">
        <v>630.83000000000004</v>
      </c>
      <c r="D2453" s="12"/>
      <c r="E2453" s="13"/>
    </row>
    <row r="2454" spans="1:5" ht="23.1" hidden="1" customHeight="1" x14ac:dyDescent="0.25">
      <c r="A2454" s="12" t="s">
        <v>3569</v>
      </c>
      <c r="B2454" s="12" t="s">
        <v>391</v>
      </c>
      <c r="C2454" s="14">
        <v>960</v>
      </c>
      <c r="D2454" s="12"/>
      <c r="E2454" s="13"/>
    </row>
    <row r="2455" spans="1:5" ht="11.1" hidden="1" customHeight="1" x14ac:dyDescent="0.25">
      <c r="A2455" s="12" t="s">
        <v>3570</v>
      </c>
      <c r="B2455" s="12" t="s">
        <v>563</v>
      </c>
      <c r="C2455" s="14">
        <v>1115.8399999999999</v>
      </c>
      <c r="D2455" s="12"/>
      <c r="E2455" s="14"/>
    </row>
    <row r="2456" spans="1:5" ht="11.1" hidden="1" customHeight="1" x14ac:dyDescent="0.25">
      <c r="A2456" s="12" t="s">
        <v>3571</v>
      </c>
      <c r="B2456" s="12" t="s">
        <v>1267</v>
      </c>
      <c r="C2456" s="14">
        <v>799.17</v>
      </c>
      <c r="D2456" s="12"/>
      <c r="E2456" s="13"/>
    </row>
    <row r="2457" spans="1:5" ht="11.1" hidden="1" customHeight="1" x14ac:dyDescent="0.25">
      <c r="A2457" s="12" t="s">
        <v>3572</v>
      </c>
      <c r="B2457" s="12" t="s">
        <v>3573</v>
      </c>
      <c r="C2457" s="14">
        <v>204.17</v>
      </c>
      <c r="D2457" s="12"/>
      <c r="E2457" s="13"/>
    </row>
    <row r="2458" spans="1:5" ht="11.1" hidden="1" customHeight="1" x14ac:dyDescent="0.25">
      <c r="A2458" s="12" t="s">
        <v>3574</v>
      </c>
      <c r="B2458" s="12" t="s">
        <v>2565</v>
      </c>
      <c r="C2458" s="14">
        <v>320.83</v>
      </c>
      <c r="D2458" s="12"/>
      <c r="E2458" s="13"/>
    </row>
    <row r="2459" spans="1:5" ht="11.1" hidden="1" customHeight="1" x14ac:dyDescent="0.25">
      <c r="A2459" s="12" t="s">
        <v>3575</v>
      </c>
      <c r="B2459" s="12" t="s">
        <v>3573</v>
      </c>
      <c r="C2459" s="14">
        <v>206.67</v>
      </c>
      <c r="D2459" s="12"/>
      <c r="E2459" s="13"/>
    </row>
    <row r="2460" spans="1:5" ht="11.1" hidden="1" customHeight="1" x14ac:dyDescent="0.25">
      <c r="A2460" s="12" t="s">
        <v>3576</v>
      </c>
      <c r="B2460" s="12" t="s">
        <v>536</v>
      </c>
      <c r="C2460" s="14">
        <v>172.5</v>
      </c>
      <c r="D2460" s="12"/>
      <c r="E2460" s="13"/>
    </row>
    <row r="2461" spans="1:5" ht="11.1" hidden="1" customHeight="1" x14ac:dyDescent="0.25">
      <c r="A2461" s="12" t="s">
        <v>3577</v>
      </c>
      <c r="B2461" s="12" t="s">
        <v>536</v>
      </c>
      <c r="C2461" s="14">
        <v>140</v>
      </c>
      <c r="D2461" s="12"/>
      <c r="E2461" s="13"/>
    </row>
    <row r="2462" spans="1:5" ht="11.1" hidden="1" customHeight="1" x14ac:dyDescent="0.25">
      <c r="A2462" s="12" t="s">
        <v>3578</v>
      </c>
      <c r="B2462" s="12" t="s">
        <v>745</v>
      </c>
      <c r="C2462" s="14">
        <v>906.67</v>
      </c>
      <c r="D2462" s="12"/>
      <c r="E2462" s="13"/>
    </row>
    <row r="2463" spans="1:5" ht="11.1" hidden="1" customHeight="1" x14ac:dyDescent="0.25">
      <c r="A2463" s="12" t="s">
        <v>3579</v>
      </c>
      <c r="B2463" s="12" t="s">
        <v>225</v>
      </c>
      <c r="C2463" s="14">
        <v>189.17</v>
      </c>
      <c r="D2463" s="12"/>
      <c r="E2463" s="13"/>
    </row>
    <row r="2464" spans="1:5" ht="11.1" hidden="1" customHeight="1" x14ac:dyDescent="0.25">
      <c r="A2464" s="12" t="s">
        <v>3580</v>
      </c>
      <c r="B2464" s="12" t="s">
        <v>225</v>
      </c>
      <c r="C2464" s="14">
        <v>256.67</v>
      </c>
      <c r="D2464" s="12"/>
      <c r="E2464" s="13"/>
    </row>
    <row r="2465" spans="1:5" ht="11.1" hidden="1" customHeight="1" x14ac:dyDescent="0.25">
      <c r="A2465" s="12" t="s">
        <v>3581</v>
      </c>
      <c r="B2465" s="12" t="s">
        <v>225</v>
      </c>
      <c r="C2465" s="14">
        <v>312.5</v>
      </c>
      <c r="D2465" s="12"/>
      <c r="E2465" s="13"/>
    </row>
    <row r="2466" spans="1:5" ht="11.1" hidden="1" customHeight="1" x14ac:dyDescent="0.25">
      <c r="A2466" s="12" t="s">
        <v>3582</v>
      </c>
      <c r="B2466" s="12" t="s">
        <v>225</v>
      </c>
      <c r="C2466" s="14">
        <v>314.17</v>
      </c>
      <c r="D2466" s="12"/>
      <c r="E2466" s="13"/>
    </row>
    <row r="2467" spans="1:5" ht="11.1" hidden="1" customHeight="1" x14ac:dyDescent="0.25">
      <c r="A2467" s="12" t="s">
        <v>3583</v>
      </c>
      <c r="B2467" s="12" t="s">
        <v>205</v>
      </c>
      <c r="C2467" s="14">
        <v>1586.67</v>
      </c>
      <c r="D2467" s="12"/>
      <c r="E2467" s="14"/>
    </row>
    <row r="2468" spans="1:5" ht="11.1" hidden="1" customHeight="1" x14ac:dyDescent="0.25">
      <c r="A2468" s="12" t="s">
        <v>3584</v>
      </c>
      <c r="B2468" s="12" t="s">
        <v>1362</v>
      </c>
      <c r="C2468" s="14">
        <v>660.84</v>
      </c>
      <c r="D2468" s="12"/>
      <c r="E2468" s="13"/>
    </row>
    <row r="2469" spans="1:5" ht="11.1" hidden="1" customHeight="1" x14ac:dyDescent="0.25">
      <c r="A2469" s="12" t="s">
        <v>3585</v>
      </c>
      <c r="B2469" s="12" t="s">
        <v>180</v>
      </c>
      <c r="C2469" s="14">
        <v>483.33</v>
      </c>
      <c r="D2469" s="12"/>
      <c r="E2469" s="13"/>
    </row>
    <row r="2470" spans="1:5" ht="11.1" hidden="1" customHeight="1" x14ac:dyDescent="0.25">
      <c r="A2470" s="12" t="s">
        <v>3586</v>
      </c>
      <c r="B2470" s="12" t="s">
        <v>1362</v>
      </c>
      <c r="C2470" s="14">
        <v>285</v>
      </c>
      <c r="D2470" s="12"/>
      <c r="E2470" s="13"/>
    </row>
    <row r="2471" spans="1:5" ht="11.1" hidden="1" customHeight="1" x14ac:dyDescent="0.25">
      <c r="A2471" s="12" t="s">
        <v>3587</v>
      </c>
      <c r="B2471" s="12" t="s">
        <v>497</v>
      </c>
      <c r="C2471" s="14">
        <v>215</v>
      </c>
      <c r="D2471" s="12"/>
      <c r="E2471" s="13"/>
    </row>
    <row r="2472" spans="1:5" ht="11.1" hidden="1" customHeight="1" x14ac:dyDescent="0.25">
      <c r="A2472" s="12" t="s">
        <v>3588</v>
      </c>
      <c r="B2472" s="12" t="s">
        <v>1362</v>
      </c>
      <c r="C2472" s="14">
        <v>4939.17</v>
      </c>
      <c r="D2472" s="12"/>
      <c r="E2472" s="14"/>
    </row>
    <row r="2473" spans="1:5" ht="11.1" hidden="1" customHeight="1" x14ac:dyDescent="0.25">
      <c r="A2473" s="12" t="s">
        <v>3589</v>
      </c>
      <c r="B2473" s="12" t="s">
        <v>1362</v>
      </c>
      <c r="C2473" s="14">
        <v>364.17</v>
      </c>
      <c r="D2473" s="12"/>
      <c r="E2473" s="13"/>
    </row>
    <row r="2474" spans="1:5" ht="11.1" hidden="1" customHeight="1" x14ac:dyDescent="0.25">
      <c r="A2474" s="12" t="s">
        <v>3590</v>
      </c>
      <c r="B2474" s="12" t="s">
        <v>180</v>
      </c>
      <c r="C2474" s="14">
        <v>294.17</v>
      </c>
      <c r="D2474" s="12"/>
      <c r="E2474" s="13"/>
    </row>
    <row r="2475" spans="1:5" ht="23.1" hidden="1" customHeight="1" x14ac:dyDescent="0.25">
      <c r="A2475" s="12" t="s">
        <v>3591</v>
      </c>
      <c r="B2475" s="12" t="s">
        <v>741</v>
      </c>
      <c r="C2475" s="14">
        <v>487.5</v>
      </c>
      <c r="D2475" s="12"/>
      <c r="E2475" s="13"/>
    </row>
    <row r="2476" spans="1:5" ht="11.1" hidden="1" customHeight="1" x14ac:dyDescent="0.25">
      <c r="A2476" s="12" t="s">
        <v>3592</v>
      </c>
      <c r="B2476" s="12" t="s">
        <v>2792</v>
      </c>
      <c r="C2476" s="14">
        <v>314.17</v>
      </c>
      <c r="D2476" s="12"/>
      <c r="E2476" s="13"/>
    </row>
    <row r="2477" spans="1:5" ht="11.1" hidden="1" customHeight="1" x14ac:dyDescent="0.25">
      <c r="A2477" s="12" t="s">
        <v>3593</v>
      </c>
      <c r="B2477" s="12" t="s">
        <v>3594</v>
      </c>
      <c r="C2477" s="14">
        <v>349</v>
      </c>
      <c r="D2477" s="12"/>
      <c r="E2477" s="13"/>
    </row>
    <row r="2478" spans="1:5" ht="11.1" hidden="1" customHeight="1" x14ac:dyDescent="0.25">
      <c r="A2478" s="12" t="s">
        <v>3595</v>
      </c>
      <c r="B2478" s="12" t="s">
        <v>1810</v>
      </c>
      <c r="C2478" s="14">
        <v>510.11</v>
      </c>
      <c r="D2478" s="12"/>
      <c r="E2478" s="13"/>
    </row>
    <row r="2479" spans="1:5" ht="11.1" hidden="1" customHeight="1" x14ac:dyDescent="0.25">
      <c r="A2479" s="12" t="s">
        <v>3596</v>
      </c>
      <c r="B2479" s="12" t="s">
        <v>3597</v>
      </c>
      <c r="C2479" s="14">
        <v>257</v>
      </c>
      <c r="D2479" s="12"/>
      <c r="E2479" s="13"/>
    </row>
    <row r="2480" spans="1:5" ht="11.1" hidden="1" customHeight="1" x14ac:dyDescent="0.25">
      <c r="A2480" s="12" t="s">
        <v>3598</v>
      </c>
      <c r="B2480" s="12" t="s">
        <v>2156</v>
      </c>
      <c r="C2480" s="14">
        <v>56.17</v>
      </c>
      <c r="D2480" s="12"/>
      <c r="E2480" s="13"/>
    </row>
    <row r="2481" spans="1:5" ht="11.1" hidden="1" customHeight="1" x14ac:dyDescent="0.25">
      <c r="A2481" s="12" t="s">
        <v>3599</v>
      </c>
      <c r="B2481" s="12" t="s">
        <v>2156</v>
      </c>
      <c r="C2481" s="14">
        <v>37.58</v>
      </c>
      <c r="D2481" s="12"/>
      <c r="E2481" s="13"/>
    </row>
    <row r="2482" spans="1:5" ht="23.1" hidden="1" customHeight="1" x14ac:dyDescent="0.25">
      <c r="A2482" s="12" t="s">
        <v>3600</v>
      </c>
      <c r="B2482" s="12" t="s">
        <v>2156</v>
      </c>
      <c r="C2482" s="14">
        <v>56.17</v>
      </c>
      <c r="D2482" s="12"/>
      <c r="E2482" s="13"/>
    </row>
    <row r="2483" spans="1:5" ht="23.1" hidden="1" customHeight="1" x14ac:dyDescent="0.25">
      <c r="A2483" s="12" t="s">
        <v>3601</v>
      </c>
      <c r="B2483" s="12" t="s">
        <v>2156</v>
      </c>
      <c r="C2483" s="14">
        <v>104.17</v>
      </c>
      <c r="D2483" s="12"/>
      <c r="E2483" s="13"/>
    </row>
    <row r="2484" spans="1:5" ht="11.1" hidden="1" customHeight="1" x14ac:dyDescent="0.25">
      <c r="A2484" s="12" t="s">
        <v>3602</v>
      </c>
      <c r="B2484" s="12" t="s">
        <v>3603</v>
      </c>
      <c r="C2484" s="14">
        <v>63.6</v>
      </c>
      <c r="D2484" s="12"/>
      <c r="E2484" s="13"/>
    </row>
    <row r="2485" spans="1:5" ht="11.1" hidden="1" customHeight="1" x14ac:dyDescent="0.25">
      <c r="A2485" s="12" t="s">
        <v>3604</v>
      </c>
      <c r="B2485" s="12" t="s">
        <v>3605</v>
      </c>
      <c r="C2485" s="14">
        <v>56.67</v>
      </c>
      <c r="D2485" s="12"/>
      <c r="E2485" s="13"/>
    </row>
    <row r="2486" spans="1:5" ht="11.1" hidden="1" customHeight="1" x14ac:dyDescent="0.25">
      <c r="A2486" s="12" t="s">
        <v>3606</v>
      </c>
      <c r="B2486" s="12" t="s">
        <v>2156</v>
      </c>
      <c r="C2486" s="14">
        <v>211.67</v>
      </c>
      <c r="D2486" s="12"/>
      <c r="E2486" s="13"/>
    </row>
    <row r="2487" spans="1:5" ht="11.1" hidden="1" customHeight="1" x14ac:dyDescent="0.25">
      <c r="A2487" s="12" t="s">
        <v>3607</v>
      </c>
      <c r="B2487" s="12" t="s">
        <v>663</v>
      </c>
      <c r="C2487" s="14">
        <v>5059.17</v>
      </c>
      <c r="D2487" s="12"/>
      <c r="E2487" s="14"/>
    </row>
    <row r="2488" spans="1:5" ht="11.1" hidden="1" customHeight="1" x14ac:dyDescent="0.25">
      <c r="A2488" s="12" t="s">
        <v>3608</v>
      </c>
      <c r="B2488" s="12" t="s">
        <v>1556</v>
      </c>
      <c r="C2488" s="14">
        <v>2269.17</v>
      </c>
      <c r="D2488" s="12"/>
      <c r="E2488" s="14"/>
    </row>
    <row r="2489" spans="1:5" ht="11.1" hidden="1" customHeight="1" x14ac:dyDescent="0.25">
      <c r="A2489" s="12" t="s">
        <v>3609</v>
      </c>
      <c r="B2489" s="12" t="s">
        <v>3610</v>
      </c>
      <c r="C2489" s="14">
        <v>1074.17</v>
      </c>
      <c r="D2489" s="12"/>
      <c r="E2489" s="14"/>
    </row>
    <row r="2490" spans="1:5" ht="11.1" hidden="1" customHeight="1" x14ac:dyDescent="0.25">
      <c r="A2490" s="12" t="s">
        <v>3611</v>
      </c>
      <c r="B2490" s="12" t="s">
        <v>3612</v>
      </c>
      <c r="C2490" s="14">
        <v>1247.5</v>
      </c>
      <c r="D2490" s="12"/>
      <c r="E2490" s="14"/>
    </row>
    <row r="2491" spans="1:5" ht="11.1" hidden="1" customHeight="1" x14ac:dyDescent="0.25">
      <c r="A2491" s="12" t="s">
        <v>3613</v>
      </c>
      <c r="B2491" s="12" t="s">
        <v>3614</v>
      </c>
      <c r="C2491" s="14">
        <v>1083.33</v>
      </c>
      <c r="D2491" s="12"/>
      <c r="E2491" s="14"/>
    </row>
    <row r="2492" spans="1:5" ht="11.1" hidden="1" customHeight="1" x14ac:dyDescent="0.25">
      <c r="A2492" s="12" t="s">
        <v>3615</v>
      </c>
      <c r="B2492" s="12" t="s">
        <v>3616</v>
      </c>
      <c r="C2492" s="14">
        <v>400</v>
      </c>
      <c r="D2492" s="12"/>
      <c r="E2492" s="13"/>
    </row>
    <row r="2493" spans="1:5" ht="11.1" hidden="1" customHeight="1" x14ac:dyDescent="0.25">
      <c r="A2493" s="12" t="s">
        <v>3617</v>
      </c>
      <c r="B2493" s="12" t="s">
        <v>780</v>
      </c>
      <c r="C2493" s="14">
        <v>235</v>
      </c>
      <c r="D2493" s="12"/>
      <c r="E2493" s="13"/>
    </row>
    <row r="2494" spans="1:5" ht="23.1" hidden="1" customHeight="1" x14ac:dyDescent="0.25">
      <c r="A2494" s="12" t="s">
        <v>3618</v>
      </c>
      <c r="B2494" s="12" t="s">
        <v>780</v>
      </c>
      <c r="C2494" s="14">
        <v>341.67</v>
      </c>
      <c r="D2494" s="12"/>
      <c r="E2494" s="13"/>
    </row>
    <row r="2495" spans="1:5" ht="11.1" hidden="1" customHeight="1" x14ac:dyDescent="0.25">
      <c r="A2495" s="12" t="s">
        <v>3619</v>
      </c>
      <c r="B2495" s="12" t="s">
        <v>1436</v>
      </c>
      <c r="C2495" s="14">
        <v>117.5</v>
      </c>
      <c r="D2495" s="12"/>
      <c r="E2495" s="13"/>
    </row>
    <row r="2496" spans="1:5" ht="11.1" hidden="1" customHeight="1" x14ac:dyDescent="0.25">
      <c r="A2496" s="12" t="s">
        <v>3620</v>
      </c>
      <c r="B2496" s="12" t="s">
        <v>3621</v>
      </c>
      <c r="C2496" s="14">
        <v>321.67</v>
      </c>
      <c r="D2496" s="12"/>
      <c r="E2496" s="13"/>
    </row>
    <row r="2497" spans="1:5" ht="11.1" hidden="1" customHeight="1" x14ac:dyDescent="0.25">
      <c r="A2497" s="12" t="s">
        <v>3622</v>
      </c>
      <c r="B2497" s="12" t="s">
        <v>3623</v>
      </c>
      <c r="C2497" s="14">
        <v>1211.67</v>
      </c>
      <c r="D2497" s="12"/>
      <c r="E2497" s="14"/>
    </row>
    <row r="2498" spans="1:5" ht="11.1" hidden="1" customHeight="1" x14ac:dyDescent="0.25">
      <c r="A2498" s="12" t="s">
        <v>3624</v>
      </c>
      <c r="B2498" s="12" t="s">
        <v>3625</v>
      </c>
      <c r="C2498" s="14">
        <v>3410</v>
      </c>
      <c r="D2498" s="12"/>
      <c r="E2498" s="14"/>
    </row>
    <row r="2499" spans="1:5" ht="11.1" hidden="1" customHeight="1" x14ac:dyDescent="0.25">
      <c r="A2499" s="12" t="s">
        <v>3626</v>
      </c>
      <c r="B2499" s="12" t="s">
        <v>3627</v>
      </c>
      <c r="C2499" s="14">
        <v>392.38</v>
      </c>
      <c r="D2499" s="12"/>
      <c r="E2499" s="13"/>
    </row>
    <row r="2500" spans="1:5" ht="11.1" hidden="1" customHeight="1" x14ac:dyDescent="0.25">
      <c r="A2500" s="12" t="s">
        <v>3628</v>
      </c>
      <c r="B2500" s="12" t="s">
        <v>3629</v>
      </c>
      <c r="C2500" s="14">
        <v>683.33</v>
      </c>
      <c r="D2500" s="12"/>
      <c r="E2500" s="13"/>
    </row>
    <row r="2501" spans="1:5" ht="11.1" hidden="1" customHeight="1" x14ac:dyDescent="0.25">
      <c r="A2501" s="12" t="s">
        <v>3630</v>
      </c>
      <c r="B2501" s="12" t="s">
        <v>3629</v>
      </c>
      <c r="C2501" s="14">
        <v>505.83</v>
      </c>
      <c r="D2501" s="12"/>
      <c r="E2501" s="13"/>
    </row>
    <row r="2502" spans="1:5" ht="11.1" hidden="1" customHeight="1" x14ac:dyDescent="0.25">
      <c r="A2502" s="12" t="s">
        <v>3631</v>
      </c>
      <c r="B2502" s="12" t="s">
        <v>3632</v>
      </c>
      <c r="C2502" s="14">
        <v>282.5</v>
      </c>
      <c r="D2502" s="12"/>
      <c r="E2502" s="13"/>
    </row>
    <row r="2503" spans="1:5" ht="11.1" hidden="1" customHeight="1" x14ac:dyDescent="0.25">
      <c r="A2503" s="12" t="s">
        <v>3633</v>
      </c>
      <c r="B2503" s="12" t="s">
        <v>3634</v>
      </c>
      <c r="C2503" s="14">
        <v>330.83</v>
      </c>
      <c r="D2503" s="12"/>
      <c r="E2503" s="13"/>
    </row>
    <row r="2504" spans="1:5" ht="11.1" hidden="1" customHeight="1" x14ac:dyDescent="0.25">
      <c r="A2504" s="12" t="s">
        <v>3635</v>
      </c>
      <c r="B2504" s="12" t="s">
        <v>558</v>
      </c>
      <c r="C2504" s="14">
        <v>540</v>
      </c>
      <c r="D2504" s="12"/>
      <c r="E2504" s="13"/>
    </row>
    <row r="2505" spans="1:5" ht="11.1" hidden="1" customHeight="1" x14ac:dyDescent="0.25">
      <c r="A2505" s="12" t="s">
        <v>3636</v>
      </c>
      <c r="B2505" s="12" t="s">
        <v>2056</v>
      </c>
      <c r="C2505" s="14">
        <v>25.5</v>
      </c>
      <c r="D2505" s="12"/>
      <c r="E2505" s="13"/>
    </row>
    <row r="2506" spans="1:5" ht="11.1" hidden="1" customHeight="1" x14ac:dyDescent="0.25">
      <c r="A2506" s="12" t="s">
        <v>3637</v>
      </c>
      <c r="B2506" s="12" t="s">
        <v>3638</v>
      </c>
      <c r="C2506" s="14">
        <v>350</v>
      </c>
      <c r="D2506" s="12"/>
      <c r="E2506" s="13"/>
    </row>
    <row r="2507" spans="1:5" ht="11.1" hidden="1" customHeight="1" x14ac:dyDescent="0.25">
      <c r="A2507" s="12" t="s">
        <v>3639</v>
      </c>
      <c r="B2507" s="12" t="s">
        <v>3640</v>
      </c>
      <c r="C2507" s="14">
        <v>192.5</v>
      </c>
      <c r="D2507" s="12"/>
      <c r="E2507" s="13"/>
    </row>
    <row r="2508" spans="1:5" ht="11.1" hidden="1" customHeight="1" x14ac:dyDescent="0.25">
      <c r="A2508" s="12" t="s">
        <v>3641</v>
      </c>
      <c r="B2508" s="12" t="s">
        <v>497</v>
      </c>
      <c r="C2508" s="14">
        <v>86.67</v>
      </c>
      <c r="D2508" s="12"/>
      <c r="E2508" s="13"/>
    </row>
    <row r="2509" spans="1:5" ht="11.1" hidden="1" customHeight="1" x14ac:dyDescent="0.25">
      <c r="A2509" s="12" t="s">
        <v>3642</v>
      </c>
      <c r="B2509" s="12" t="s">
        <v>3643</v>
      </c>
      <c r="C2509" s="14">
        <v>1375</v>
      </c>
      <c r="D2509" s="12"/>
      <c r="E2509" s="14"/>
    </row>
    <row r="2510" spans="1:5" ht="11.1" hidden="1" customHeight="1" x14ac:dyDescent="0.25">
      <c r="A2510" s="12" t="s">
        <v>3644</v>
      </c>
      <c r="B2510" s="12" t="s">
        <v>2105</v>
      </c>
      <c r="C2510" s="14">
        <v>37</v>
      </c>
      <c r="D2510" s="12"/>
      <c r="E2510" s="13"/>
    </row>
    <row r="2511" spans="1:5" ht="11.1" hidden="1" customHeight="1" x14ac:dyDescent="0.25">
      <c r="A2511" s="12" t="s">
        <v>3645</v>
      </c>
      <c r="B2511" s="12" t="s">
        <v>2107</v>
      </c>
      <c r="C2511" s="14">
        <v>110.83</v>
      </c>
      <c r="D2511" s="12"/>
      <c r="E2511" s="13"/>
    </row>
    <row r="2512" spans="1:5" ht="11.1" hidden="1" customHeight="1" x14ac:dyDescent="0.25">
      <c r="A2512" s="12" t="s">
        <v>3646</v>
      </c>
      <c r="B2512" s="12" t="s">
        <v>2053</v>
      </c>
      <c r="C2512" s="14">
        <v>143.33000000000001</v>
      </c>
      <c r="D2512" s="12"/>
      <c r="E2512" s="13"/>
    </row>
    <row r="2513" spans="1:5" ht="11.1" hidden="1" customHeight="1" x14ac:dyDescent="0.25">
      <c r="A2513" s="12" t="s">
        <v>3647</v>
      </c>
      <c r="B2513" s="12" t="s">
        <v>270</v>
      </c>
      <c r="C2513" s="14">
        <v>85.83</v>
      </c>
      <c r="D2513" s="12"/>
      <c r="E2513" s="13"/>
    </row>
    <row r="2514" spans="1:5" ht="11.1" hidden="1" customHeight="1" x14ac:dyDescent="0.25">
      <c r="A2514" s="12" t="s">
        <v>3648</v>
      </c>
      <c r="B2514" s="12" t="s">
        <v>2100</v>
      </c>
      <c r="C2514" s="14">
        <v>114.17</v>
      </c>
      <c r="D2514" s="12"/>
      <c r="E2514" s="13"/>
    </row>
    <row r="2515" spans="1:5" ht="11.1" hidden="1" customHeight="1" x14ac:dyDescent="0.25">
      <c r="A2515" s="12" t="s">
        <v>3649</v>
      </c>
      <c r="B2515" s="12" t="s">
        <v>2053</v>
      </c>
      <c r="C2515" s="14">
        <v>320</v>
      </c>
      <c r="D2515" s="12"/>
      <c r="E2515" s="13"/>
    </row>
    <row r="2516" spans="1:5" ht="11.1" hidden="1" customHeight="1" x14ac:dyDescent="0.25">
      <c r="A2516" s="12" t="s">
        <v>3650</v>
      </c>
      <c r="B2516" s="12" t="s">
        <v>3623</v>
      </c>
      <c r="C2516" s="14">
        <v>248.33</v>
      </c>
      <c r="D2516" s="12"/>
      <c r="E2516" s="13"/>
    </row>
    <row r="2517" spans="1:5" ht="11.1" hidden="1" customHeight="1" x14ac:dyDescent="0.25">
      <c r="A2517" s="12" t="s">
        <v>3651</v>
      </c>
      <c r="B2517" s="12" t="s">
        <v>2053</v>
      </c>
      <c r="C2517" s="14">
        <v>251.67</v>
      </c>
      <c r="D2517" s="12"/>
      <c r="E2517" s="13"/>
    </row>
    <row r="2518" spans="1:5" ht="11.1" hidden="1" customHeight="1" x14ac:dyDescent="0.25">
      <c r="A2518" s="12" t="s">
        <v>3652</v>
      </c>
      <c r="B2518" s="12" t="s">
        <v>1985</v>
      </c>
      <c r="C2518" s="14">
        <v>469.17</v>
      </c>
      <c r="D2518" s="12"/>
      <c r="E2518" s="13"/>
    </row>
    <row r="2519" spans="1:5" ht="11.1" hidden="1" customHeight="1" x14ac:dyDescent="0.25">
      <c r="A2519" s="12" t="s">
        <v>3653</v>
      </c>
      <c r="B2519" s="12" t="s">
        <v>2156</v>
      </c>
      <c r="C2519" s="14">
        <v>277.5</v>
      </c>
      <c r="D2519" s="12"/>
      <c r="E2519" s="13"/>
    </row>
    <row r="2520" spans="1:5" ht="11.1" hidden="1" customHeight="1" x14ac:dyDescent="0.25">
      <c r="A2520" s="12" t="s">
        <v>3654</v>
      </c>
      <c r="B2520" s="12" t="s">
        <v>1985</v>
      </c>
      <c r="C2520" s="14">
        <v>73.92</v>
      </c>
      <c r="D2520" s="12"/>
      <c r="E2520" s="13"/>
    </row>
    <row r="2521" spans="1:5" ht="11.1" hidden="1" customHeight="1" x14ac:dyDescent="0.25">
      <c r="A2521" s="12" t="s">
        <v>3655</v>
      </c>
      <c r="B2521" s="12" t="s">
        <v>2105</v>
      </c>
      <c r="C2521" s="14">
        <v>233</v>
      </c>
      <c r="D2521" s="12"/>
      <c r="E2521" s="13"/>
    </row>
    <row r="2522" spans="1:5" ht="11.1" hidden="1" customHeight="1" x14ac:dyDescent="0.25">
      <c r="A2522" s="12" t="s">
        <v>3656</v>
      </c>
      <c r="B2522" s="12" t="s">
        <v>2932</v>
      </c>
      <c r="C2522" s="14">
        <v>77.5</v>
      </c>
      <c r="D2522" s="12"/>
      <c r="E2522" s="13"/>
    </row>
    <row r="2523" spans="1:5" ht="23.1" hidden="1" customHeight="1" x14ac:dyDescent="0.25">
      <c r="A2523" s="12" t="s">
        <v>3657</v>
      </c>
      <c r="B2523" s="12" t="s">
        <v>3658</v>
      </c>
      <c r="C2523" s="14">
        <v>86.67</v>
      </c>
      <c r="D2523" s="12"/>
      <c r="E2523" s="13"/>
    </row>
    <row r="2524" spans="1:5" ht="11.1" hidden="1" customHeight="1" x14ac:dyDescent="0.25">
      <c r="A2524" s="12" t="s">
        <v>3659</v>
      </c>
      <c r="B2524" s="12" t="s">
        <v>741</v>
      </c>
      <c r="C2524" s="14">
        <v>179.17</v>
      </c>
      <c r="D2524" s="12"/>
      <c r="E2524" s="13"/>
    </row>
    <row r="2525" spans="1:5" ht="11.1" hidden="1" customHeight="1" x14ac:dyDescent="0.25">
      <c r="A2525" s="12" t="s">
        <v>3660</v>
      </c>
      <c r="B2525" s="12" t="s">
        <v>2156</v>
      </c>
      <c r="C2525" s="14">
        <v>464.17</v>
      </c>
      <c r="D2525" s="12"/>
      <c r="E2525" s="13"/>
    </row>
    <row r="2526" spans="1:5" ht="11.1" hidden="1" customHeight="1" x14ac:dyDescent="0.25">
      <c r="A2526" s="12" t="s">
        <v>3661</v>
      </c>
      <c r="B2526" s="12" t="s">
        <v>2162</v>
      </c>
      <c r="C2526" s="14">
        <v>171.67</v>
      </c>
      <c r="D2526" s="12"/>
      <c r="E2526" s="13"/>
    </row>
    <row r="2527" spans="1:5" ht="11.1" hidden="1" customHeight="1" x14ac:dyDescent="0.25">
      <c r="A2527" s="12" t="s">
        <v>3662</v>
      </c>
      <c r="B2527" s="12" t="s">
        <v>180</v>
      </c>
      <c r="C2527" s="14">
        <v>61.67</v>
      </c>
      <c r="D2527" s="12"/>
      <c r="E2527" s="13"/>
    </row>
    <row r="2528" spans="1:5" ht="11.1" hidden="1" customHeight="1" x14ac:dyDescent="0.25">
      <c r="A2528" s="12" t="s">
        <v>3663</v>
      </c>
      <c r="B2528" s="12" t="s">
        <v>2053</v>
      </c>
      <c r="C2528" s="14">
        <v>125.83</v>
      </c>
      <c r="D2528" s="12"/>
      <c r="E2528" s="13"/>
    </row>
    <row r="2529" spans="1:5" ht="11.1" hidden="1" customHeight="1" x14ac:dyDescent="0.25">
      <c r="A2529" s="12" t="s">
        <v>3664</v>
      </c>
      <c r="B2529" s="12" t="s">
        <v>2156</v>
      </c>
      <c r="C2529" s="14">
        <v>155.83000000000001</v>
      </c>
      <c r="D2529" s="12"/>
      <c r="E2529" s="13"/>
    </row>
    <row r="2530" spans="1:5" ht="11.1" hidden="1" customHeight="1" x14ac:dyDescent="0.25">
      <c r="A2530" s="12" t="s">
        <v>3665</v>
      </c>
      <c r="B2530" s="12" t="s">
        <v>2107</v>
      </c>
      <c r="C2530" s="14">
        <v>341.68</v>
      </c>
      <c r="D2530" s="12"/>
      <c r="E2530" s="13"/>
    </row>
    <row r="2531" spans="1:5" ht="11.1" hidden="1" customHeight="1" x14ac:dyDescent="0.25">
      <c r="A2531" s="12" t="s">
        <v>3666</v>
      </c>
      <c r="B2531" s="12" t="s">
        <v>2053</v>
      </c>
      <c r="C2531" s="14">
        <v>99.17</v>
      </c>
      <c r="D2531" s="12"/>
      <c r="E2531" s="13"/>
    </row>
    <row r="2532" spans="1:5" ht="23.1" hidden="1" customHeight="1" x14ac:dyDescent="0.25">
      <c r="A2532" s="12" t="s">
        <v>3667</v>
      </c>
      <c r="B2532" s="12" t="s">
        <v>2053</v>
      </c>
      <c r="C2532" s="14">
        <v>137.5</v>
      </c>
      <c r="D2532" s="12"/>
      <c r="E2532" s="13"/>
    </row>
    <row r="2533" spans="1:5" ht="11.1" hidden="1" customHeight="1" x14ac:dyDescent="0.25">
      <c r="A2533" s="12" t="s">
        <v>3668</v>
      </c>
      <c r="B2533" s="12" t="s">
        <v>1985</v>
      </c>
      <c r="C2533" s="14">
        <v>166.68</v>
      </c>
      <c r="D2533" s="12"/>
      <c r="E2533" s="13"/>
    </row>
    <row r="2534" spans="1:5" ht="11.1" hidden="1" customHeight="1" x14ac:dyDescent="0.25">
      <c r="A2534" s="12" t="s">
        <v>3669</v>
      </c>
      <c r="B2534" s="12" t="s">
        <v>1985</v>
      </c>
      <c r="C2534" s="14">
        <v>87.5</v>
      </c>
      <c r="D2534" s="12"/>
      <c r="E2534" s="13"/>
    </row>
    <row r="2535" spans="1:5" ht="11.1" hidden="1" customHeight="1" x14ac:dyDescent="0.25">
      <c r="A2535" s="12" t="s">
        <v>3670</v>
      </c>
      <c r="B2535" s="12" t="s">
        <v>2100</v>
      </c>
      <c r="C2535" s="14">
        <v>255.83</v>
      </c>
      <c r="D2535" s="12"/>
      <c r="E2535" s="13"/>
    </row>
    <row r="2536" spans="1:5" ht="11.1" hidden="1" customHeight="1" x14ac:dyDescent="0.25">
      <c r="A2536" s="12" t="s">
        <v>3671</v>
      </c>
      <c r="B2536" s="12" t="s">
        <v>2100</v>
      </c>
      <c r="C2536" s="14">
        <v>114.17</v>
      </c>
      <c r="D2536" s="12"/>
      <c r="E2536" s="13"/>
    </row>
    <row r="2537" spans="1:5" ht="11.1" hidden="1" customHeight="1" x14ac:dyDescent="0.25">
      <c r="A2537" s="12" t="s">
        <v>3672</v>
      </c>
      <c r="B2537" s="12" t="s">
        <v>2100</v>
      </c>
      <c r="C2537" s="14">
        <v>115.83</v>
      </c>
      <c r="D2537" s="12"/>
      <c r="E2537" s="13"/>
    </row>
    <row r="2538" spans="1:5" ht="11.1" hidden="1" customHeight="1" x14ac:dyDescent="0.25">
      <c r="A2538" s="12" t="s">
        <v>3673</v>
      </c>
      <c r="B2538" s="12" t="s">
        <v>2107</v>
      </c>
      <c r="C2538" s="14">
        <v>170.83</v>
      </c>
      <c r="D2538" s="12"/>
      <c r="E2538" s="13"/>
    </row>
    <row r="2539" spans="1:5" ht="11.1" hidden="1" customHeight="1" x14ac:dyDescent="0.25">
      <c r="A2539" s="12" t="s">
        <v>3674</v>
      </c>
      <c r="B2539" s="12" t="s">
        <v>2107</v>
      </c>
      <c r="C2539" s="14">
        <v>39.93</v>
      </c>
      <c r="D2539" s="12"/>
      <c r="E2539" s="13"/>
    </row>
    <row r="2540" spans="1:5" ht="11.1" hidden="1" customHeight="1" x14ac:dyDescent="0.25">
      <c r="A2540" s="12" t="s">
        <v>3675</v>
      </c>
      <c r="B2540" s="12" t="s">
        <v>2113</v>
      </c>
      <c r="C2540" s="14">
        <v>81.73</v>
      </c>
      <c r="D2540" s="12"/>
      <c r="E2540" s="13"/>
    </row>
    <row r="2541" spans="1:5" ht="11.1" hidden="1" customHeight="1" x14ac:dyDescent="0.25">
      <c r="A2541" s="12" t="s">
        <v>3676</v>
      </c>
      <c r="B2541" s="12" t="s">
        <v>311</v>
      </c>
      <c r="C2541" s="14">
        <v>250</v>
      </c>
      <c r="D2541" s="12"/>
      <c r="E2541" s="13"/>
    </row>
    <row r="2542" spans="1:5" ht="11.1" hidden="1" customHeight="1" x14ac:dyDescent="0.25">
      <c r="A2542" s="12" t="s">
        <v>3677</v>
      </c>
      <c r="B2542" s="12" t="s">
        <v>3678</v>
      </c>
      <c r="C2542" s="14">
        <v>2441.67</v>
      </c>
      <c r="D2542" s="12"/>
      <c r="E2542" s="14"/>
    </row>
    <row r="2543" spans="1:5" ht="11.1" hidden="1" customHeight="1" x14ac:dyDescent="0.25">
      <c r="A2543" s="12" t="s">
        <v>3679</v>
      </c>
      <c r="B2543" s="12" t="s">
        <v>3680</v>
      </c>
      <c r="C2543" s="14">
        <v>252</v>
      </c>
      <c r="D2543" s="12"/>
      <c r="E2543" s="13"/>
    </row>
    <row r="2544" spans="1:5" ht="11.1" hidden="1" customHeight="1" x14ac:dyDescent="0.25">
      <c r="A2544" s="12" t="s">
        <v>3681</v>
      </c>
      <c r="B2544" s="12" t="s">
        <v>188</v>
      </c>
      <c r="C2544" s="14">
        <v>8466.67</v>
      </c>
      <c r="D2544" s="12"/>
      <c r="E2544" s="14"/>
    </row>
    <row r="2545" spans="1:5" ht="11.1" hidden="1" customHeight="1" x14ac:dyDescent="0.25">
      <c r="A2545" s="12" t="s">
        <v>3682</v>
      </c>
      <c r="B2545" s="12" t="s">
        <v>3683</v>
      </c>
      <c r="C2545" s="14">
        <v>435</v>
      </c>
      <c r="D2545" s="12"/>
      <c r="E2545" s="13"/>
    </row>
    <row r="2546" spans="1:5" ht="11.1" hidden="1" customHeight="1" x14ac:dyDescent="0.25">
      <c r="A2546" s="12" t="s">
        <v>3684</v>
      </c>
      <c r="B2546" s="12" t="s">
        <v>3683</v>
      </c>
      <c r="C2546" s="14">
        <v>187.5</v>
      </c>
      <c r="D2546" s="12"/>
      <c r="E2546" s="13"/>
    </row>
    <row r="2547" spans="1:5" ht="11.1" hidden="1" customHeight="1" x14ac:dyDescent="0.25">
      <c r="A2547" s="12" t="s">
        <v>3685</v>
      </c>
      <c r="B2547" s="12" t="s">
        <v>3686</v>
      </c>
      <c r="C2547" s="14">
        <v>21.67</v>
      </c>
      <c r="D2547" s="12"/>
      <c r="E2547" s="13"/>
    </row>
    <row r="2548" spans="1:5" ht="11.1" hidden="1" customHeight="1" x14ac:dyDescent="0.25">
      <c r="A2548" s="12" t="s">
        <v>3687</v>
      </c>
      <c r="B2548" s="12" t="s">
        <v>3688</v>
      </c>
      <c r="C2548" s="14">
        <v>475</v>
      </c>
      <c r="D2548" s="12"/>
      <c r="E2548" s="13"/>
    </row>
    <row r="2549" spans="1:5" ht="11.1" hidden="1" customHeight="1" x14ac:dyDescent="0.25">
      <c r="A2549" s="12" t="s">
        <v>3689</v>
      </c>
      <c r="B2549" s="12" t="s">
        <v>1810</v>
      </c>
      <c r="C2549" s="14">
        <v>262.73</v>
      </c>
      <c r="D2549" s="12"/>
      <c r="E2549" s="13"/>
    </row>
    <row r="2550" spans="1:5" ht="11.1" hidden="1" customHeight="1" x14ac:dyDescent="0.25">
      <c r="A2550" s="12" t="s">
        <v>3690</v>
      </c>
      <c r="B2550" s="12" t="s">
        <v>3691</v>
      </c>
      <c r="C2550" s="14">
        <v>295</v>
      </c>
      <c r="D2550" s="12"/>
      <c r="E2550" s="13"/>
    </row>
    <row r="2551" spans="1:5" ht="11.1" hidden="1" customHeight="1" x14ac:dyDescent="0.25">
      <c r="A2551" s="12" t="s">
        <v>3692</v>
      </c>
      <c r="B2551" s="12" t="s">
        <v>3691</v>
      </c>
      <c r="C2551" s="14">
        <v>351.67</v>
      </c>
      <c r="D2551" s="12"/>
      <c r="E2551" s="13"/>
    </row>
    <row r="2552" spans="1:5" ht="11.1" hidden="1" customHeight="1" x14ac:dyDescent="0.25">
      <c r="A2552" s="12" t="s">
        <v>3693</v>
      </c>
      <c r="B2552" s="12" t="s">
        <v>3691</v>
      </c>
      <c r="C2552" s="14">
        <v>781.67</v>
      </c>
      <c r="D2552" s="12"/>
      <c r="E2552" s="13"/>
    </row>
    <row r="2553" spans="1:5" ht="11.1" hidden="1" customHeight="1" x14ac:dyDescent="0.25">
      <c r="A2553" s="12" t="s">
        <v>3694</v>
      </c>
      <c r="B2553" s="12" t="s">
        <v>3691</v>
      </c>
      <c r="C2553" s="14">
        <v>7175.83</v>
      </c>
      <c r="D2553" s="12"/>
      <c r="E2553" s="14"/>
    </row>
    <row r="2554" spans="1:5" ht="11.1" hidden="1" customHeight="1" x14ac:dyDescent="0.25">
      <c r="A2554" s="12" t="s">
        <v>3695</v>
      </c>
      <c r="B2554" s="12" t="s">
        <v>3696</v>
      </c>
      <c r="C2554" s="14">
        <v>230</v>
      </c>
      <c r="D2554" s="12"/>
      <c r="E2554" s="13"/>
    </row>
    <row r="2555" spans="1:5" ht="11.1" hidden="1" customHeight="1" x14ac:dyDescent="0.25">
      <c r="A2555" s="12" t="s">
        <v>3697</v>
      </c>
      <c r="B2555" s="12" t="s">
        <v>1405</v>
      </c>
      <c r="C2555" s="14">
        <v>204.17</v>
      </c>
      <c r="D2555" s="12"/>
      <c r="E2555" s="13"/>
    </row>
    <row r="2556" spans="1:5" ht="11.1" hidden="1" customHeight="1" x14ac:dyDescent="0.25">
      <c r="A2556" s="12" t="s">
        <v>3698</v>
      </c>
      <c r="B2556" s="12" t="s">
        <v>1405</v>
      </c>
      <c r="C2556" s="14">
        <v>221.67</v>
      </c>
      <c r="D2556" s="12"/>
      <c r="E2556" s="13"/>
    </row>
    <row r="2557" spans="1:5" ht="11.1" hidden="1" customHeight="1" x14ac:dyDescent="0.25">
      <c r="A2557" s="12" t="s">
        <v>3699</v>
      </c>
      <c r="B2557" s="12" t="s">
        <v>993</v>
      </c>
      <c r="C2557" s="14">
        <v>242.5</v>
      </c>
      <c r="D2557" s="12"/>
      <c r="E2557" s="13"/>
    </row>
    <row r="2558" spans="1:5" ht="11.1" hidden="1" customHeight="1" x14ac:dyDescent="0.25">
      <c r="A2558" s="12" t="s">
        <v>3700</v>
      </c>
      <c r="B2558" s="12" t="s">
        <v>1405</v>
      </c>
      <c r="C2558" s="14">
        <v>333.33</v>
      </c>
      <c r="D2558" s="12"/>
      <c r="E2558" s="13"/>
    </row>
    <row r="2559" spans="1:5" ht="11.1" hidden="1" customHeight="1" x14ac:dyDescent="0.25">
      <c r="A2559" s="12" t="s">
        <v>3701</v>
      </c>
      <c r="B2559" s="12" t="s">
        <v>3702</v>
      </c>
      <c r="C2559" s="14">
        <v>104.17</v>
      </c>
      <c r="D2559" s="12"/>
      <c r="E2559" s="13"/>
    </row>
    <row r="2560" spans="1:5" ht="11.1" hidden="1" customHeight="1" x14ac:dyDescent="0.25">
      <c r="A2560" s="12" t="s">
        <v>3703</v>
      </c>
      <c r="B2560" s="12" t="s">
        <v>241</v>
      </c>
      <c r="C2560" s="14">
        <v>274.17</v>
      </c>
      <c r="D2560" s="12"/>
      <c r="E2560" s="13"/>
    </row>
    <row r="2561" spans="1:5" ht="11.1" hidden="1" customHeight="1" x14ac:dyDescent="0.25">
      <c r="A2561" s="12" t="s">
        <v>3704</v>
      </c>
      <c r="B2561" s="12" t="s">
        <v>3705</v>
      </c>
      <c r="C2561" s="14">
        <v>2415.83</v>
      </c>
      <c r="D2561" s="12"/>
      <c r="E2561" s="14"/>
    </row>
    <row r="2562" spans="1:5" ht="11.1" hidden="1" customHeight="1" x14ac:dyDescent="0.25">
      <c r="A2562" s="12" t="s">
        <v>3706</v>
      </c>
      <c r="B2562" s="12" t="s">
        <v>3705</v>
      </c>
      <c r="C2562" s="14">
        <v>1152.5</v>
      </c>
      <c r="D2562" s="12"/>
      <c r="E2562" s="14"/>
    </row>
    <row r="2563" spans="1:5" ht="11.1" hidden="1" customHeight="1" x14ac:dyDescent="0.25">
      <c r="A2563" s="12" t="s">
        <v>3707</v>
      </c>
      <c r="B2563" s="12" t="s">
        <v>3708</v>
      </c>
      <c r="C2563" s="14">
        <v>2.08</v>
      </c>
      <c r="D2563" s="12"/>
      <c r="E2563" s="13"/>
    </row>
    <row r="2564" spans="1:5" ht="11.1" hidden="1" customHeight="1" x14ac:dyDescent="0.25">
      <c r="A2564" s="12" t="s">
        <v>3709</v>
      </c>
      <c r="B2564" s="12" t="s">
        <v>3708</v>
      </c>
      <c r="C2564" s="14">
        <v>4.17</v>
      </c>
      <c r="D2564" s="12"/>
      <c r="E2564" s="13"/>
    </row>
    <row r="2565" spans="1:5" ht="23.1" hidden="1" customHeight="1" x14ac:dyDescent="0.25">
      <c r="A2565" s="12" t="s">
        <v>3710</v>
      </c>
      <c r="B2565" s="12" t="s">
        <v>168</v>
      </c>
      <c r="C2565" s="14">
        <v>416.67</v>
      </c>
      <c r="D2565" s="12"/>
      <c r="E2565" s="13"/>
    </row>
    <row r="2566" spans="1:5" ht="11.1" hidden="1" customHeight="1" x14ac:dyDescent="0.25">
      <c r="A2566" s="12" t="s">
        <v>3711</v>
      </c>
      <c r="B2566" s="12" t="s">
        <v>146</v>
      </c>
      <c r="C2566" s="14">
        <v>59.58</v>
      </c>
      <c r="D2566" s="12"/>
      <c r="E2566" s="13"/>
    </row>
    <row r="2567" spans="1:5" ht="11.1" hidden="1" customHeight="1" x14ac:dyDescent="0.25">
      <c r="A2567" s="12" t="s">
        <v>3712</v>
      </c>
      <c r="B2567" s="12" t="s">
        <v>3713</v>
      </c>
      <c r="C2567" s="14">
        <v>280.83</v>
      </c>
      <c r="D2567" s="12"/>
      <c r="E2567" s="13"/>
    </row>
    <row r="2568" spans="1:5" ht="11.1" hidden="1" customHeight="1" x14ac:dyDescent="0.25">
      <c r="A2568" s="12" t="s">
        <v>3714</v>
      </c>
      <c r="B2568" s="12" t="s">
        <v>2107</v>
      </c>
      <c r="C2568" s="14">
        <v>190.83</v>
      </c>
      <c r="D2568" s="12"/>
      <c r="E2568" s="13"/>
    </row>
    <row r="2569" spans="1:5" ht="11.1" hidden="1" customHeight="1" x14ac:dyDescent="0.25">
      <c r="A2569" s="12" t="s">
        <v>3715</v>
      </c>
      <c r="B2569" s="12" t="s">
        <v>2100</v>
      </c>
      <c r="C2569" s="14">
        <v>185.83</v>
      </c>
      <c r="D2569" s="12"/>
      <c r="E2569" s="13"/>
    </row>
    <row r="2570" spans="1:5" ht="11.1" hidden="1" customHeight="1" x14ac:dyDescent="0.25">
      <c r="A2570" s="12" t="s">
        <v>3716</v>
      </c>
      <c r="B2570" s="12" t="s">
        <v>2156</v>
      </c>
      <c r="C2570" s="14">
        <v>185.83</v>
      </c>
      <c r="D2570" s="12"/>
      <c r="E2570" s="13"/>
    </row>
    <row r="2571" spans="1:5" ht="11.1" hidden="1" customHeight="1" x14ac:dyDescent="0.25">
      <c r="A2571" s="12" t="s">
        <v>3717</v>
      </c>
      <c r="B2571" s="12" t="s">
        <v>3718</v>
      </c>
      <c r="C2571" s="14">
        <v>91.68</v>
      </c>
      <c r="D2571" s="12"/>
      <c r="E2571" s="13"/>
    </row>
    <row r="2572" spans="1:5" ht="11.1" hidden="1" customHeight="1" x14ac:dyDescent="0.25">
      <c r="A2572" s="12" t="s">
        <v>3719</v>
      </c>
      <c r="B2572" s="12" t="s">
        <v>1934</v>
      </c>
      <c r="C2572" s="14">
        <v>2666.67</v>
      </c>
      <c r="D2572" s="12"/>
      <c r="E2572" s="14"/>
    </row>
    <row r="2573" spans="1:5" ht="11.1" hidden="1" customHeight="1" x14ac:dyDescent="0.25">
      <c r="A2573" s="12" t="s">
        <v>3720</v>
      </c>
      <c r="B2573" s="12" t="s">
        <v>1934</v>
      </c>
      <c r="C2573" s="14">
        <v>108.33</v>
      </c>
      <c r="D2573" s="12"/>
      <c r="E2573" s="13"/>
    </row>
    <row r="2574" spans="1:5" ht="11.1" hidden="1" customHeight="1" x14ac:dyDescent="0.25">
      <c r="A2574" s="12" t="s">
        <v>3721</v>
      </c>
      <c r="B2574" s="12" t="s">
        <v>2053</v>
      </c>
      <c r="C2574" s="14">
        <v>141.66</v>
      </c>
      <c r="D2574" s="12"/>
      <c r="E2574" s="13"/>
    </row>
    <row r="2575" spans="1:5" ht="11.1" hidden="1" customHeight="1" x14ac:dyDescent="0.25">
      <c r="A2575" s="12" t="s">
        <v>3722</v>
      </c>
      <c r="B2575" s="12" t="s">
        <v>3723</v>
      </c>
      <c r="C2575" s="14">
        <v>85</v>
      </c>
      <c r="D2575" s="12"/>
      <c r="E2575" s="13"/>
    </row>
    <row r="2576" spans="1:5" ht="11.1" hidden="1" customHeight="1" x14ac:dyDescent="0.25">
      <c r="A2576" s="12" t="s">
        <v>3724</v>
      </c>
      <c r="B2576" s="12" t="s">
        <v>353</v>
      </c>
      <c r="C2576" s="14">
        <v>1405.83</v>
      </c>
      <c r="D2576" s="12"/>
      <c r="E2576" s="14"/>
    </row>
    <row r="2577" spans="1:5" ht="11.1" hidden="1" customHeight="1" x14ac:dyDescent="0.25">
      <c r="A2577" s="12" t="s">
        <v>3725</v>
      </c>
      <c r="B2577" s="12" t="s">
        <v>3726</v>
      </c>
      <c r="C2577" s="14">
        <v>1082.5</v>
      </c>
      <c r="D2577" s="12"/>
      <c r="E2577" s="14"/>
    </row>
    <row r="2578" spans="1:5" ht="11.1" hidden="1" customHeight="1" x14ac:dyDescent="0.25">
      <c r="A2578" s="12" t="s">
        <v>3727</v>
      </c>
      <c r="B2578" s="12" t="s">
        <v>2044</v>
      </c>
      <c r="C2578" s="14">
        <v>183.33</v>
      </c>
      <c r="D2578" s="12"/>
      <c r="E2578" s="13"/>
    </row>
    <row r="2579" spans="1:5" ht="11.1" hidden="1" customHeight="1" x14ac:dyDescent="0.25">
      <c r="A2579" s="12" t="s">
        <v>3728</v>
      </c>
      <c r="B2579" s="12" t="s">
        <v>1832</v>
      </c>
      <c r="C2579" s="14">
        <v>446.78</v>
      </c>
      <c r="D2579" s="12"/>
      <c r="E2579" s="13"/>
    </row>
    <row r="2580" spans="1:5" ht="11.1" hidden="1" customHeight="1" x14ac:dyDescent="0.25">
      <c r="A2580" s="12" t="s">
        <v>3729</v>
      </c>
      <c r="B2580" s="12" t="s">
        <v>1985</v>
      </c>
      <c r="C2580" s="14">
        <v>157.5</v>
      </c>
      <c r="D2580" s="12"/>
      <c r="E2580" s="13"/>
    </row>
    <row r="2581" spans="1:5" ht="11.1" hidden="1" customHeight="1" x14ac:dyDescent="0.25">
      <c r="A2581" s="12" t="s">
        <v>3730</v>
      </c>
      <c r="B2581" s="12" t="s">
        <v>2053</v>
      </c>
      <c r="C2581" s="14">
        <v>124.17</v>
      </c>
      <c r="D2581" s="12"/>
      <c r="E2581" s="13"/>
    </row>
    <row r="2582" spans="1:5" ht="11.1" hidden="1" customHeight="1" x14ac:dyDescent="0.25">
      <c r="A2582" s="12" t="s">
        <v>3731</v>
      </c>
      <c r="B2582" s="12" t="s">
        <v>1556</v>
      </c>
      <c r="C2582" s="14">
        <v>355</v>
      </c>
      <c r="D2582" s="12"/>
      <c r="E2582" s="13"/>
    </row>
    <row r="2583" spans="1:5" ht="11.1" hidden="1" customHeight="1" x14ac:dyDescent="0.25">
      <c r="A2583" s="12" t="s">
        <v>3732</v>
      </c>
      <c r="B2583" s="12" t="s">
        <v>563</v>
      </c>
      <c r="C2583" s="14">
        <v>700</v>
      </c>
      <c r="D2583" s="12"/>
      <c r="E2583" s="13"/>
    </row>
    <row r="2584" spans="1:5" ht="11.1" hidden="1" customHeight="1" x14ac:dyDescent="0.25">
      <c r="A2584" s="12" t="s">
        <v>3733</v>
      </c>
      <c r="B2584" s="12" t="s">
        <v>2105</v>
      </c>
      <c r="C2584" s="14">
        <v>876</v>
      </c>
      <c r="D2584" s="12"/>
      <c r="E2584" s="13"/>
    </row>
    <row r="2585" spans="1:5" ht="11.1" hidden="1" customHeight="1" x14ac:dyDescent="0.25">
      <c r="A2585" s="12" t="s">
        <v>3734</v>
      </c>
      <c r="B2585" s="12" t="s">
        <v>2105</v>
      </c>
      <c r="C2585" s="14">
        <v>362</v>
      </c>
      <c r="D2585" s="12"/>
      <c r="E2585" s="13"/>
    </row>
    <row r="2586" spans="1:5" ht="11.1" hidden="1" customHeight="1" x14ac:dyDescent="0.25">
      <c r="A2586" s="12" t="s">
        <v>3735</v>
      </c>
      <c r="B2586" s="12" t="s">
        <v>2105</v>
      </c>
      <c r="C2586" s="14">
        <v>967</v>
      </c>
      <c r="D2586" s="12"/>
      <c r="E2586" s="13"/>
    </row>
    <row r="2587" spans="1:5" ht="11.1" hidden="1" customHeight="1" x14ac:dyDescent="0.25">
      <c r="A2587" s="12" t="s">
        <v>3736</v>
      </c>
      <c r="B2587" s="12" t="s">
        <v>3737</v>
      </c>
      <c r="C2587" s="14">
        <v>2336.67</v>
      </c>
      <c r="D2587" s="12"/>
      <c r="E2587" s="14"/>
    </row>
    <row r="2588" spans="1:5" ht="11.1" hidden="1" customHeight="1" x14ac:dyDescent="0.25">
      <c r="A2588" s="12" t="s">
        <v>3738</v>
      </c>
      <c r="B2588" s="12" t="s">
        <v>2335</v>
      </c>
      <c r="C2588" s="14">
        <v>3341.67</v>
      </c>
      <c r="D2588" s="12"/>
      <c r="E2588" s="14"/>
    </row>
    <row r="2589" spans="1:5" ht="11.1" hidden="1" customHeight="1" x14ac:dyDescent="0.25">
      <c r="A2589" s="12" t="s">
        <v>3739</v>
      </c>
      <c r="B2589" s="12" t="s">
        <v>3740</v>
      </c>
      <c r="C2589" s="14">
        <v>440</v>
      </c>
      <c r="D2589" s="12"/>
      <c r="E2589" s="13"/>
    </row>
    <row r="2590" spans="1:5" ht="11.1" hidden="1" customHeight="1" x14ac:dyDescent="0.25">
      <c r="A2590" s="12" t="s">
        <v>3741</v>
      </c>
      <c r="B2590" s="12" t="s">
        <v>1656</v>
      </c>
      <c r="C2590" s="14">
        <v>75</v>
      </c>
      <c r="D2590" s="12"/>
      <c r="E2590" s="13"/>
    </row>
    <row r="2591" spans="1:5" ht="11.1" hidden="1" customHeight="1" x14ac:dyDescent="0.25">
      <c r="A2591" s="12" t="s">
        <v>3742</v>
      </c>
      <c r="B2591" s="12" t="s">
        <v>3743</v>
      </c>
      <c r="C2591" s="14">
        <v>7500</v>
      </c>
      <c r="D2591" s="12"/>
      <c r="E2591" s="14"/>
    </row>
    <row r="2592" spans="1:5" ht="11.1" hidden="1" customHeight="1" x14ac:dyDescent="0.25">
      <c r="A2592" s="12" t="s">
        <v>3744</v>
      </c>
      <c r="B2592" s="12" t="s">
        <v>3745</v>
      </c>
      <c r="C2592" s="14">
        <v>5</v>
      </c>
      <c r="D2592" s="12"/>
      <c r="E2592" s="13"/>
    </row>
    <row r="2593" spans="1:5" ht="11.1" hidden="1" customHeight="1" x14ac:dyDescent="0.25">
      <c r="A2593" s="12" t="s">
        <v>3746</v>
      </c>
      <c r="B2593" s="12" t="s">
        <v>3747</v>
      </c>
      <c r="C2593" s="14">
        <v>24.17</v>
      </c>
      <c r="D2593" s="12"/>
      <c r="E2593" s="13"/>
    </row>
    <row r="2594" spans="1:5" ht="11.1" hidden="1" customHeight="1" x14ac:dyDescent="0.25">
      <c r="A2594" s="12" t="s">
        <v>3748</v>
      </c>
      <c r="B2594" s="12" t="s">
        <v>719</v>
      </c>
      <c r="C2594" s="14">
        <v>37.5</v>
      </c>
      <c r="D2594" s="12"/>
      <c r="E2594" s="13"/>
    </row>
    <row r="2595" spans="1:5" ht="11.1" hidden="1" customHeight="1" x14ac:dyDescent="0.25">
      <c r="A2595" s="12" t="s">
        <v>3749</v>
      </c>
      <c r="B2595" s="12" t="s">
        <v>719</v>
      </c>
      <c r="C2595" s="14">
        <v>20.83</v>
      </c>
      <c r="D2595" s="12"/>
      <c r="E2595" s="13"/>
    </row>
    <row r="2596" spans="1:5" ht="11.1" hidden="1" customHeight="1" x14ac:dyDescent="0.25">
      <c r="A2596" s="12" t="s">
        <v>3750</v>
      </c>
      <c r="B2596" s="12" t="s">
        <v>3751</v>
      </c>
      <c r="C2596" s="14">
        <v>125</v>
      </c>
      <c r="D2596" s="12"/>
      <c r="E2596" s="13"/>
    </row>
    <row r="2597" spans="1:5" ht="11.1" hidden="1" customHeight="1" x14ac:dyDescent="0.25">
      <c r="A2597" s="12" t="s">
        <v>3752</v>
      </c>
      <c r="B2597" s="12" t="s">
        <v>3751</v>
      </c>
      <c r="C2597" s="14">
        <v>125</v>
      </c>
      <c r="D2597" s="12"/>
      <c r="E2597" s="13"/>
    </row>
    <row r="2598" spans="1:5" ht="11.1" hidden="1" customHeight="1" x14ac:dyDescent="0.25">
      <c r="A2598" s="12" t="s">
        <v>3753</v>
      </c>
      <c r="B2598" s="12" t="s">
        <v>3754</v>
      </c>
      <c r="C2598" s="14">
        <v>45.03</v>
      </c>
      <c r="D2598" s="12"/>
      <c r="E2598" s="13"/>
    </row>
    <row r="2599" spans="1:5" ht="11.1" hidden="1" customHeight="1" x14ac:dyDescent="0.25">
      <c r="A2599" s="12" t="s">
        <v>3755</v>
      </c>
      <c r="B2599" s="12" t="s">
        <v>3754</v>
      </c>
      <c r="C2599" s="14">
        <v>45.03</v>
      </c>
      <c r="D2599" s="12"/>
      <c r="E2599" s="13"/>
    </row>
    <row r="2600" spans="1:5" ht="11.1" hidden="1" customHeight="1" x14ac:dyDescent="0.25">
      <c r="A2600" s="12" t="s">
        <v>3756</v>
      </c>
      <c r="B2600" s="12" t="s">
        <v>3757</v>
      </c>
      <c r="C2600" s="14">
        <v>140625</v>
      </c>
      <c r="D2600" s="12"/>
      <c r="E2600" s="14"/>
    </row>
    <row r="2601" spans="1:5" ht="11.1" hidden="1" customHeight="1" x14ac:dyDescent="0.25">
      <c r="A2601" s="12" t="s">
        <v>3758</v>
      </c>
      <c r="B2601" s="12" t="s">
        <v>3759</v>
      </c>
      <c r="C2601" s="14">
        <v>1202.75</v>
      </c>
      <c r="D2601" s="12"/>
      <c r="E2601" s="14"/>
    </row>
    <row r="2602" spans="1:5" ht="11.1" hidden="1" customHeight="1" x14ac:dyDescent="0.25">
      <c r="A2602" s="12" t="s">
        <v>3760</v>
      </c>
      <c r="B2602" s="12" t="s">
        <v>3761</v>
      </c>
      <c r="C2602" s="14">
        <v>445</v>
      </c>
      <c r="D2602" s="12"/>
      <c r="E2602" s="13"/>
    </row>
    <row r="2603" spans="1:5" ht="11.1" hidden="1" customHeight="1" x14ac:dyDescent="0.25">
      <c r="A2603" s="12" t="s">
        <v>3762</v>
      </c>
      <c r="B2603" s="12" t="s">
        <v>3763</v>
      </c>
      <c r="C2603" s="14">
        <v>166.67</v>
      </c>
      <c r="D2603" s="12"/>
      <c r="E2603" s="13"/>
    </row>
    <row r="2604" spans="1:5" ht="11.1" hidden="1" customHeight="1" x14ac:dyDescent="0.25">
      <c r="A2604" s="12" t="s">
        <v>3764</v>
      </c>
      <c r="B2604" s="12" t="s">
        <v>1754</v>
      </c>
      <c r="C2604" s="14">
        <v>216.67</v>
      </c>
      <c r="D2604" s="12"/>
      <c r="E2604" s="13"/>
    </row>
    <row r="2605" spans="1:5" ht="11.1" hidden="1" customHeight="1" x14ac:dyDescent="0.25">
      <c r="A2605" s="12" t="s">
        <v>3765</v>
      </c>
      <c r="B2605" s="12" t="s">
        <v>3766</v>
      </c>
      <c r="C2605" s="14">
        <v>1950</v>
      </c>
      <c r="D2605" s="12"/>
      <c r="E2605" s="14"/>
    </row>
    <row r="2606" spans="1:5" ht="11.1" hidden="1" customHeight="1" x14ac:dyDescent="0.25">
      <c r="A2606" s="12" t="s">
        <v>3767</v>
      </c>
      <c r="B2606" s="12" t="s">
        <v>3768</v>
      </c>
      <c r="C2606" s="14">
        <v>5125</v>
      </c>
      <c r="D2606" s="12"/>
      <c r="E2606" s="14"/>
    </row>
    <row r="2607" spans="1:5" ht="11.1" hidden="1" customHeight="1" x14ac:dyDescent="0.25">
      <c r="A2607" s="12" t="s">
        <v>3769</v>
      </c>
      <c r="B2607" s="12" t="s">
        <v>3267</v>
      </c>
      <c r="C2607" s="14">
        <v>49719.17</v>
      </c>
      <c r="D2607" s="12"/>
      <c r="E2607" s="14"/>
    </row>
    <row r="2608" spans="1:5" ht="11.1" hidden="1" customHeight="1" x14ac:dyDescent="0.25">
      <c r="A2608" s="12" t="s">
        <v>3770</v>
      </c>
      <c r="B2608" s="12" t="s">
        <v>2248</v>
      </c>
      <c r="C2608" s="14">
        <v>64825</v>
      </c>
      <c r="D2608" s="12"/>
      <c r="E2608" s="14"/>
    </row>
    <row r="2609" spans="1:5" ht="11.1" hidden="1" customHeight="1" x14ac:dyDescent="0.25">
      <c r="A2609" s="12" t="s">
        <v>3771</v>
      </c>
      <c r="B2609" s="12" t="s">
        <v>3772</v>
      </c>
      <c r="C2609" s="14">
        <v>122499.17</v>
      </c>
      <c r="D2609" s="12"/>
      <c r="E2609" s="14"/>
    </row>
    <row r="2610" spans="1:5" ht="11.1" hidden="1" customHeight="1" x14ac:dyDescent="0.25">
      <c r="A2610" s="12" t="s">
        <v>3773</v>
      </c>
      <c r="B2610" s="12" t="s">
        <v>3774</v>
      </c>
      <c r="C2610" s="14">
        <v>907.5</v>
      </c>
      <c r="D2610" s="12"/>
      <c r="E2610" s="13"/>
    </row>
    <row r="2611" spans="1:5" ht="11.1" hidden="1" customHeight="1" x14ac:dyDescent="0.25">
      <c r="A2611" s="12" t="s">
        <v>3775</v>
      </c>
      <c r="B2611" s="12" t="s">
        <v>3612</v>
      </c>
      <c r="C2611" s="14">
        <v>743.33</v>
      </c>
      <c r="D2611" s="12"/>
      <c r="E2611" s="13"/>
    </row>
    <row r="2612" spans="1:5" ht="11.1" hidden="1" customHeight="1" x14ac:dyDescent="0.25">
      <c r="A2612" s="12" t="s">
        <v>3776</v>
      </c>
      <c r="B2612" s="12" t="s">
        <v>3777</v>
      </c>
      <c r="C2612" s="14">
        <v>1541.67</v>
      </c>
      <c r="D2612" s="12"/>
      <c r="E2612" s="14"/>
    </row>
    <row r="2613" spans="1:5" ht="11.1" hidden="1" customHeight="1" x14ac:dyDescent="0.25">
      <c r="A2613" s="12" t="s">
        <v>3778</v>
      </c>
      <c r="B2613" s="12" t="s">
        <v>3779</v>
      </c>
      <c r="C2613" s="14">
        <v>105</v>
      </c>
      <c r="D2613" s="12"/>
      <c r="E2613" s="13"/>
    </row>
    <row r="2614" spans="1:5" ht="11.1" hidden="1" customHeight="1" x14ac:dyDescent="0.25">
      <c r="A2614" s="12" t="s">
        <v>3780</v>
      </c>
      <c r="B2614" s="12" t="s">
        <v>3781</v>
      </c>
      <c r="C2614" s="14">
        <v>479</v>
      </c>
      <c r="D2614" s="12"/>
      <c r="E2614" s="13"/>
    </row>
    <row r="2615" spans="1:5" ht="11.1" hidden="1" customHeight="1" x14ac:dyDescent="0.25">
      <c r="A2615" s="12" t="s">
        <v>3782</v>
      </c>
      <c r="B2615" s="12" t="s">
        <v>3783</v>
      </c>
      <c r="C2615" s="14">
        <v>291.67</v>
      </c>
      <c r="D2615" s="12"/>
      <c r="E2615" s="13"/>
    </row>
    <row r="2616" spans="1:5" ht="11.1" hidden="1" customHeight="1" x14ac:dyDescent="0.25">
      <c r="A2616" s="12" t="s">
        <v>3784</v>
      </c>
      <c r="B2616" s="12" t="s">
        <v>3783</v>
      </c>
      <c r="C2616" s="14">
        <v>742.5</v>
      </c>
      <c r="D2616" s="12"/>
      <c r="E2616" s="13"/>
    </row>
    <row r="2617" spans="1:5" ht="11.1" hidden="1" customHeight="1" x14ac:dyDescent="0.25">
      <c r="A2617" s="12" t="s">
        <v>3785</v>
      </c>
      <c r="B2617" s="12" t="s">
        <v>3786</v>
      </c>
      <c r="C2617" s="14">
        <v>67560</v>
      </c>
      <c r="D2617" s="12"/>
      <c r="E2617" s="14"/>
    </row>
    <row r="2618" spans="1:5" ht="11.1" hidden="1" customHeight="1" x14ac:dyDescent="0.25">
      <c r="A2618" s="12" t="s">
        <v>3787</v>
      </c>
      <c r="B2618" s="12" t="s">
        <v>3788</v>
      </c>
      <c r="C2618" s="14">
        <v>193920</v>
      </c>
      <c r="D2618" s="12"/>
      <c r="E2618" s="14"/>
    </row>
    <row r="2619" spans="1:5" ht="11.1" hidden="1" customHeight="1" x14ac:dyDescent="0.25">
      <c r="A2619" s="12" t="s">
        <v>3789</v>
      </c>
      <c r="B2619" s="12" t="s">
        <v>3790</v>
      </c>
      <c r="C2619" s="14">
        <v>139920</v>
      </c>
      <c r="D2619" s="12"/>
      <c r="E2619" s="14"/>
    </row>
    <row r="2620" spans="1:5" ht="23.1" hidden="1" customHeight="1" x14ac:dyDescent="0.25">
      <c r="A2620" s="12" t="s">
        <v>3791</v>
      </c>
      <c r="B2620" s="12" t="s">
        <v>3792</v>
      </c>
      <c r="C2620" s="14">
        <v>360</v>
      </c>
      <c r="D2620" s="12"/>
      <c r="E2620" s="13"/>
    </row>
    <row r="2621" spans="1:5" ht="11.1" hidden="1" customHeight="1" x14ac:dyDescent="0.25">
      <c r="A2621" s="12" t="s">
        <v>3793</v>
      </c>
      <c r="B2621" s="12" t="s">
        <v>3794</v>
      </c>
      <c r="C2621" s="14">
        <v>745173</v>
      </c>
      <c r="D2621" s="12"/>
      <c r="E2621" s="14"/>
    </row>
    <row r="2622" spans="1:5" ht="11.1" hidden="1" customHeight="1" x14ac:dyDescent="0.25">
      <c r="A2622" s="12" t="s">
        <v>3795</v>
      </c>
      <c r="B2622" s="12" t="s">
        <v>2065</v>
      </c>
      <c r="C2622" s="14">
        <v>6205.88</v>
      </c>
      <c r="D2622" s="12"/>
      <c r="E2622" s="14"/>
    </row>
    <row r="2623" spans="1:5" ht="11.1" hidden="1" customHeight="1" x14ac:dyDescent="0.25">
      <c r="A2623" s="12" t="s">
        <v>3796</v>
      </c>
      <c r="B2623" s="12" t="s">
        <v>3797</v>
      </c>
      <c r="C2623" s="14">
        <v>180833.33</v>
      </c>
      <c r="D2623" s="12"/>
      <c r="E2623" s="14"/>
    </row>
    <row r="2624" spans="1:5" ht="11.1" hidden="1" customHeight="1" x14ac:dyDescent="0.25">
      <c r="A2624" s="12" t="s">
        <v>3798</v>
      </c>
      <c r="B2624" s="12" t="s">
        <v>3799</v>
      </c>
      <c r="C2624" s="14">
        <v>1133.33</v>
      </c>
      <c r="D2624" s="12"/>
      <c r="E2624" s="14"/>
    </row>
    <row r="2625" spans="1:5" ht="11.1" hidden="1" customHeight="1" x14ac:dyDescent="0.25">
      <c r="A2625" s="12" t="s">
        <v>3800</v>
      </c>
      <c r="B2625" s="12" t="s">
        <v>3801</v>
      </c>
      <c r="C2625" s="14">
        <v>395</v>
      </c>
      <c r="D2625" s="12"/>
      <c r="E2625" s="13"/>
    </row>
    <row r="2626" spans="1:5" ht="11.1" hidden="1" customHeight="1" x14ac:dyDescent="0.25">
      <c r="A2626" s="12" t="s">
        <v>3802</v>
      </c>
      <c r="B2626" s="12" t="s">
        <v>2100</v>
      </c>
      <c r="C2626" s="14">
        <v>483.33</v>
      </c>
      <c r="D2626" s="12"/>
      <c r="E2626" s="13"/>
    </row>
    <row r="2627" spans="1:5" ht="11.1" hidden="1" customHeight="1" x14ac:dyDescent="0.25">
      <c r="A2627" s="12" t="s">
        <v>3803</v>
      </c>
      <c r="B2627" s="12" t="s">
        <v>2156</v>
      </c>
      <c r="C2627" s="14">
        <v>487.5</v>
      </c>
      <c r="D2627" s="12"/>
      <c r="E2627" s="13"/>
    </row>
    <row r="2628" spans="1:5" ht="11.1" hidden="1" customHeight="1" x14ac:dyDescent="0.25">
      <c r="A2628" s="12" t="s">
        <v>3804</v>
      </c>
      <c r="B2628" s="12" t="s">
        <v>3805</v>
      </c>
      <c r="C2628" s="14">
        <v>4878.33</v>
      </c>
      <c r="D2628" s="12"/>
      <c r="E2628" s="14"/>
    </row>
    <row r="2629" spans="1:5" ht="11.1" hidden="1" customHeight="1" x14ac:dyDescent="0.25">
      <c r="A2629" s="12" t="s">
        <v>3806</v>
      </c>
      <c r="B2629" s="12" t="s">
        <v>3807</v>
      </c>
      <c r="C2629" s="14">
        <v>825000</v>
      </c>
      <c r="D2629" s="12"/>
      <c r="E2629" s="14"/>
    </row>
    <row r="2630" spans="1:5" ht="11.1" hidden="1" customHeight="1" x14ac:dyDescent="0.25">
      <c r="A2630" s="12" t="s">
        <v>3808</v>
      </c>
      <c r="B2630" s="12" t="s">
        <v>3809</v>
      </c>
      <c r="C2630" s="14">
        <v>2129.33</v>
      </c>
      <c r="D2630" s="12"/>
      <c r="E2630" s="14"/>
    </row>
    <row r="2631" spans="1:5" ht="11.1" hidden="1" customHeight="1" x14ac:dyDescent="0.25">
      <c r="A2631" s="12" t="s">
        <v>3810</v>
      </c>
      <c r="B2631" s="12" t="s">
        <v>878</v>
      </c>
      <c r="C2631" s="14">
        <v>3898.33</v>
      </c>
      <c r="D2631" s="12"/>
      <c r="E2631" s="14"/>
    </row>
    <row r="2632" spans="1:5" ht="23.1" hidden="1" customHeight="1" x14ac:dyDescent="0.25">
      <c r="A2632" s="12" t="s">
        <v>3811</v>
      </c>
      <c r="B2632" s="12" t="s">
        <v>1856</v>
      </c>
      <c r="C2632" s="14">
        <v>10800</v>
      </c>
      <c r="D2632" s="12"/>
      <c r="E2632" s="14"/>
    </row>
    <row r="2633" spans="1:5" ht="11.1" hidden="1" customHeight="1" x14ac:dyDescent="0.25">
      <c r="A2633" s="12" t="s">
        <v>3812</v>
      </c>
      <c r="B2633" s="12" t="s">
        <v>1958</v>
      </c>
      <c r="C2633" s="14">
        <v>40186.67</v>
      </c>
      <c r="D2633" s="12"/>
      <c r="E2633" s="14"/>
    </row>
    <row r="2634" spans="1:5" ht="11.1" hidden="1" customHeight="1" x14ac:dyDescent="0.25">
      <c r="A2634" s="12" t="s">
        <v>3813</v>
      </c>
      <c r="B2634" s="12" t="s">
        <v>3082</v>
      </c>
      <c r="C2634" s="14">
        <v>333.33</v>
      </c>
      <c r="D2634" s="12"/>
      <c r="E2634" s="13"/>
    </row>
    <row r="2635" spans="1:5" ht="11.1" hidden="1" customHeight="1" x14ac:dyDescent="0.25">
      <c r="A2635" s="12" t="s">
        <v>3814</v>
      </c>
      <c r="B2635" s="12" t="s">
        <v>786</v>
      </c>
      <c r="C2635" s="14">
        <v>1665</v>
      </c>
      <c r="D2635" s="12"/>
      <c r="E2635" s="14"/>
    </row>
    <row r="2636" spans="1:5" ht="11.1" hidden="1" customHeight="1" x14ac:dyDescent="0.25">
      <c r="A2636" s="12" t="s">
        <v>3815</v>
      </c>
      <c r="B2636" s="12" t="s">
        <v>1540</v>
      </c>
      <c r="C2636" s="14">
        <v>3466.57</v>
      </c>
      <c r="D2636" s="12"/>
      <c r="E2636" s="14"/>
    </row>
    <row r="2637" spans="1:5" ht="11.1" hidden="1" customHeight="1" x14ac:dyDescent="0.25">
      <c r="A2637" s="12" t="s">
        <v>3816</v>
      </c>
      <c r="B2637" s="12" t="s">
        <v>3817</v>
      </c>
      <c r="C2637" s="14">
        <v>1311</v>
      </c>
      <c r="D2637" s="12"/>
      <c r="E2637" s="14"/>
    </row>
    <row r="2638" spans="1:5" ht="11.1" hidden="1" customHeight="1" x14ac:dyDescent="0.25">
      <c r="A2638" s="12" t="s">
        <v>3818</v>
      </c>
      <c r="B2638" s="12" t="s">
        <v>309</v>
      </c>
      <c r="C2638" s="14">
        <v>306.67</v>
      </c>
      <c r="D2638" s="12"/>
      <c r="E2638" s="13"/>
    </row>
    <row r="2639" spans="1:5" ht="11.1" hidden="1" customHeight="1" x14ac:dyDescent="0.25">
      <c r="A2639" s="12" t="s">
        <v>3819</v>
      </c>
      <c r="B2639" s="12" t="s">
        <v>3820</v>
      </c>
      <c r="C2639" s="14">
        <v>18324.490000000002</v>
      </c>
      <c r="D2639" s="12"/>
      <c r="E2639" s="14"/>
    </row>
    <row r="2640" spans="1:5" ht="11.1" hidden="1" customHeight="1" x14ac:dyDescent="0.25">
      <c r="A2640" s="12" t="s">
        <v>3821</v>
      </c>
      <c r="B2640" s="12" t="s">
        <v>3822</v>
      </c>
      <c r="C2640" s="14">
        <v>62500</v>
      </c>
      <c r="D2640" s="12"/>
      <c r="E2640" s="14"/>
    </row>
    <row r="2641" spans="1:5" ht="11.1" hidden="1" customHeight="1" x14ac:dyDescent="0.25">
      <c r="A2641" s="12" t="s">
        <v>3823</v>
      </c>
      <c r="B2641" s="12" t="s">
        <v>3824</v>
      </c>
      <c r="C2641" s="14">
        <v>1102.5</v>
      </c>
      <c r="D2641" s="12"/>
      <c r="E2641" s="14"/>
    </row>
    <row r="2642" spans="1:5" ht="11.1" hidden="1" customHeight="1" x14ac:dyDescent="0.25">
      <c r="A2642" s="12" t="s">
        <v>3825</v>
      </c>
      <c r="B2642" s="12" t="s">
        <v>3824</v>
      </c>
      <c r="C2642" s="14">
        <v>1102.5</v>
      </c>
      <c r="D2642" s="12"/>
      <c r="E2642" s="14"/>
    </row>
    <row r="2643" spans="1:5" ht="11.1" hidden="1" customHeight="1" x14ac:dyDescent="0.25">
      <c r="A2643" s="12" t="s">
        <v>3826</v>
      </c>
      <c r="B2643" s="12" t="s">
        <v>3827</v>
      </c>
      <c r="C2643" s="14">
        <v>4212.5</v>
      </c>
      <c r="D2643" s="12"/>
      <c r="E2643" s="14"/>
    </row>
    <row r="2644" spans="1:5" ht="11.1" hidden="1" customHeight="1" x14ac:dyDescent="0.25">
      <c r="A2644" s="12" t="s">
        <v>3828</v>
      </c>
      <c r="B2644" s="12" t="s">
        <v>2284</v>
      </c>
      <c r="C2644" s="14">
        <v>632.5</v>
      </c>
      <c r="D2644" s="12"/>
      <c r="E2644" s="13"/>
    </row>
    <row r="2645" spans="1:5" ht="11.1" hidden="1" customHeight="1" x14ac:dyDescent="0.25">
      <c r="A2645" s="12" t="s">
        <v>3829</v>
      </c>
      <c r="B2645" s="12" t="s">
        <v>3830</v>
      </c>
      <c r="C2645" s="14">
        <v>1533.33</v>
      </c>
      <c r="D2645" s="12"/>
      <c r="E2645" s="14"/>
    </row>
    <row r="2646" spans="1:5" ht="11.1" hidden="1" customHeight="1" x14ac:dyDescent="0.25">
      <c r="A2646" s="12" t="s">
        <v>3831</v>
      </c>
      <c r="B2646" s="12" t="s">
        <v>507</v>
      </c>
      <c r="C2646" s="14">
        <v>76.67</v>
      </c>
      <c r="D2646" s="12"/>
      <c r="E2646" s="13"/>
    </row>
    <row r="2647" spans="1:5" ht="11.1" hidden="1" customHeight="1" x14ac:dyDescent="0.25">
      <c r="A2647" s="12" t="s">
        <v>3832</v>
      </c>
      <c r="B2647" s="12" t="s">
        <v>3833</v>
      </c>
      <c r="C2647" s="14">
        <v>48525</v>
      </c>
      <c r="D2647" s="12"/>
      <c r="E2647" s="14"/>
    </row>
    <row r="2648" spans="1:5" ht="23.1" hidden="1" customHeight="1" x14ac:dyDescent="0.25">
      <c r="A2648" s="12" t="s">
        <v>3834</v>
      </c>
      <c r="B2648" s="12" t="s">
        <v>3835</v>
      </c>
      <c r="C2648" s="14">
        <v>51275</v>
      </c>
      <c r="D2648" s="12"/>
      <c r="E2648" s="14"/>
    </row>
    <row r="2649" spans="1:5" ht="11.1" hidden="1" customHeight="1" x14ac:dyDescent="0.25">
      <c r="A2649" s="12" t="s">
        <v>3836</v>
      </c>
      <c r="B2649" s="12" t="s">
        <v>3837</v>
      </c>
      <c r="C2649" s="14">
        <v>29570</v>
      </c>
      <c r="D2649" s="12"/>
      <c r="E2649" s="14"/>
    </row>
    <row r="2650" spans="1:5" ht="11.1" hidden="1" customHeight="1" x14ac:dyDescent="0.25">
      <c r="A2650" s="12" t="s">
        <v>3838</v>
      </c>
      <c r="B2650" s="12" t="s">
        <v>3839</v>
      </c>
      <c r="C2650" s="14">
        <v>50462.5</v>
      </c>
      <c r="D2650" s="12"/>
      <c r="E2650" s="14"/>
    </row>
    <row r="2651" spans="1:5" ht="11.1" hidden="1" customHeight="1" x14ac:dyDescent="0.25">
      <c r="A2651" s="12" t="s">
        <v>3840</v>
      </c>
      <c r="B2651" s="12" t="s">
        <v>3841</v>
      </c>
      <c r="C2651" s="14">
        <v>28857.5</v>
      </c>
      <c r="D2651" s="12"/>
      <c r="E2651" s="14"/>
    </row>
    <row r="2652" spans="1:5" ht="11.1" hidden="1" customHeight="1" x14ac:dyDescent="0.25">
      <c r="A2652" s="12" t="s">
        <v>3842</v>
      </c>
      <c r="B2652" s="12" t="s">
        <v>3843</v>
      </c>
      <c r="C2652" s="14">
        <v>28857.5</v>
      </c>
      <c r="D2652" s="12"/>
      <c r="E2652" s="14"/>
    </row>
    <row r="2653" spans="1:5" ht="11.1" hidden="1" customHeight="1" x14ac:dyDescent="0.25">
      <c r="A2653" s="12" t="s">
        <v>3844</v>
      </c>
      <c r="B2653" s="12" t="s">
        <v>3845</v>
      </c>
      <c r="C2653" s="14">
        <v>49383.33</v>
      </c>
      <c r="D2653" s="12"/>
      <c r="E2653" s="14"/>
    </row>
    <row r="2654" spans="1:5" ht="11.1" hidden="1" customHeight="1" x14ac:dyDescent="0.25">
      <c r="A2654" s="12" t="s">
        <v>3846</v>
      </c>
      <c r="B2654" s="12" t="s">
        <v>3847</v>
      </c>
      <c r="C2654" s="14">
        <v>28857.5</v>
      </c>
      <c r="D2654" s="12"/>
      <c r="E2654" s="14"/>
    </row>
    <row r="2655" spans="1:5" ht="11.1" hidden="1" customHeight="1" x14ac:dyDescent="0.25">
      <c r="A2655" s="12" t="s">
        <v>3848</v>
      </c>
      <c r="B2655" s="12" t="s">
        <v>3849</v>
      </c>
      <c r="C2655" s="14">
        <v>28857.5</v>
      </c>
      <c r="D2655" s="12"/>
      <c r="E2655" s="14"/>
    </row>
    <row r="2656" spans="1:5" ht="11.1" hidden="1" customHeight="1" x14ac:dyDescent="0.25">
      <c r="A2656" s="12" t="s">
        <v>3850</v>
      </c>
      <c r="B2656" s="12" t="s">
        <v>3851</v>
      </c>
      <c r="C2656" s="14">
        <v>28857.5</v>
      </c>
      <c r="D2656" s="12"/>
      <c r="E2656" s="14"/>
    </row>
    <row r="2657" spans="1:5" ht="11.1" hidden="1" customHeight="1" x14ac:dyDescent="0.25">
      <c r="A2657" s="12" t="s">
        <v>3852</v>
      </c>
      <c r="B2657" s="12" t="s">
        <v>3853</v>
      </c>
      <c r="C2657" s="14">
        <v>28857.5</v>
      </c>
      <c r="D2657" s="12"/>
      <c r="E2657" s="14"/>
    </row>
    <row r="2658" spans="1:5" ht="11.1" hidden="1" customHeight="1" x14ac:dyDescent="0.25">
      <c r="A2658" s="12" t="s">
        <v>3854</v>
      </c>
      <c r="B2658" s="12" t="s">
        <v>3855</v>
      </c>
      <c r="C2658" s="14">
        <v>30479.17</v>
      </c>
      <c r="D2658" s="12"/>
      <c r="E2658" s="14"/>
    </row>
    <row r="2659" spans="1:5" ht="11.1" hidden="1" customHeight="1" x14ac:dyDescent="0.25">
      <c r="A2659" s="12" t="s">
        <v>3856</v>
      </c>
      <c r="B2659" s="12" t="s">
        <v>3857</v>
      </c>
      <c r="C2659" s="14">
        <v>30479.17</v>
      </c>
      <c r="D2659" s="12"/>
      <c r="E2659" s="14"/>
    </row>
    <row r="2660" spans="1:5" ht="11.1" hidden="1" customHeight="1" x14ac:dyDescent="0.25">
      <c r="A2660" s="12" t="s">
        <v>3858</v>
      </c>
      <c r="B2660" s="12" t="s">
        <v>3859</v>
      </c>
      <c r="C2660" s="14">
        <v>30479.17</v>
      </c>
      <c r="D2660" s="12"/>
      <c r="E2660" s="14"/>
    </row>
    <row r="2661" spans="1:5" ht="11.1" hidden="1" customHeight="1" x14ac:dyDescent="0.25">
      <c r="A2661" s="12" t="s">
        <v>3860</v>
      </c>
      <c r="B2661" s="12" t="s">
        <v>3614</v>
      </c>
      <c r="C2661" s="14">
        <v>30675</v>
      </c>
      <c r="D2661" s="12"/>
      <c r="E2661" s="14"/>
    </row>
    <row r="2662" spans="1:5" ht="11.1" hidden="1" customHeight="1" x14ac:dyDescent="0.25">
      <c r="A2662" s="12" t="s">
        <v>3861</v>
      </c>
      <c r="B2662" s="12" t="s">
        <v>3862</v>
      </c>
      <c r="C2662" s="14">
        <v>52231.67</v>
      </c>
      <c r="D2662" s="12"/>
      <c r="E2662" s="14"/>
    </row>
    <row r="2663" spans="1:5" ht="11.1" hidden="1" customHeight="1" x14ac:dyDescent="0.25">
      <c r="A2663" s="12" t="s">
        <v>3863</v>
      </c>
      <c r="B2663" s="12" t="s">
        <v>3864</v>
      </c>
      <c r="C2663" s="14">
        <v>52231.67</v>
      </c>
      <c r="D2663" s="12"/>
      <c r="E2663" s="14"/>
    </row>
    <row r="2664" spans="1:5" ht="11.1" hidden="1" customHeight="1" x14ac:dyDescent="0.25">
      <c r="A2664" s="12" t="s">
        <v>3865</v>
      </c>
      <c r="B2664" s="12" t="s">
        <v>3866</v>
      </c>
      <c r="C2664" s="14">
        <v>26614.17</v>
      </c>
      <c r="D2664" s="12"/>
      <c r="E2664" s="14"/>
    </row>
    <row r="2665" spans="1:5" ht="11.1" hidden="1" customHeight="1" x14ac:dyDescent="0.25">
      <c r="A2665" s="12" t="s">
        <v>3867</v>
      </c>
      <c r="B2665" s="12" t="s">
        <v>3868</v>
      </c>
      <c r="C2665" s="14">
        <v>29958.32</v>
      </c>
      <c r="D2665" s="12"/>
      <c r="E2665" s="14"/>
    </row>
    <row r="2666" spans="1:5" ht="11.1" hidden="1" customHeight="1" x14ac:dyDescent="0.25">
      <c r="A2666" s="12" t="s">
        <v>3869</v>
      </c>
      <c r="B2666" s="12" t="s">
        <v>3870</v>
      </c>
      <c r="C2666" s="14">
        <v>50679.17</v>
      </c>
      <c r="D2666" s="12"/>
      <c r="E2666" s="14"/>
    </row>
    <row r="2667" spans="1:5" ht="11.1" hidden="1" customHeight="1" x14ac:dyDescent="0.25">
      <c r="A2667" s="12" t="s">
        <v>3871</v>
      </c>
      <c r="B2667" s="12" t="s">
        <v>3610</v>
      </c>
      <c r="C2667" s="14">
        <v>30479.17</v>
      </c>
      <c r="D2667" s="12"/>
      <c r="E2667" s="14"/>
    </row>
    <row r="2668" spans="1:5" ht="11.1" hidden="1" customHeight="1" x14ac:dyDescent="0.25">
      <c r="A2668" s="12" t="s">
        <v>3872</v>
      </c>
      <c r="B2668" s="12" t="s">
        <v>545</v>
      </c>
      <c r="C2668" s="14">
        <v>7555.83</v>
      </c>
      <c r="D2668" s="12"/>
      <c r="E2668" s="14"/>
    </row>
    <row r="2669" spans="1:5" ht="11.1" hidden="1" customHeight="1" x14ac:dyDescent="0.25">
      <c r="A2669" s="12" t="s">
        <v>3873</v>
      </c>
      <c r="B2669" s="12" t="s">
        <v>3874</v>
      </c>
      <c r="C2669" s="14">
        <v>4725</v>
      </c>
      <c r="D2669" s="12"/>
      <c r="E2669" s="14"/>
    </row>
    <row r="2670" spans="1:5" ht="11.1" hidden="1" customHeight="1" x14ac:dyDescent="0.25">
      <c r="A2670" s="12" t="s">
        <v>3875</v>
      </c>
      <c r="B2670" s="12" t="s">
        <v>3876</v>
      </c>
      <c r="C2670" s="14">
        <v>3022.5</v>
      </c>
      <c r="D2670" s="12"/>
      <c r="E2670" s="14"/>
    </row>
    <row r="2671" spans="1:5" ht="11.1" hidden="1" customHeight="1" x14ac:dyDescent="0.25">
      <c r="A2671" s="12" t="s">
        <v>3877</v>
      </c>
      <c r="B2671" s="12" t="s">
        <v>3874</v>
      </c>
      <c r="C2671" s="14">
        <v>4015</v>
      </c>
      <c r="D2671" s="12"/>
      <c r="E2671" s="14"/>
    </row>
    <row r="2672" spans="1:5" ht="11.1" hidden="1" customHeight="1" x14ac:dyDescent="0.25">
      <c r="A2672" s="12" t="s">
        <v>3878</v>
      </c>
      <c r="B2672" s="12" t="s">
        <v>3879</v>
      </c>
      <c r="C2672" s="14">
        <v>4481.67</v>
      </c>
      <c r="D2672" s="12"/>
      <c r="E2672" s="14"/>
    </row>
    <row r="2673" spans="1:5" ht="11.1" hidden="1" customHeight="1" x14ac:dyDescent="0.25">
      <c r="A2673" s="12" t="s">
        <v>3880</v>
      </c>
      <c r="B2673" s="12" t="s">
        <v>2053</v>
      </c>
      <c r="C2673" s="14">
        <v>402.5</v>
      </c>
      <c r="D2673" s="12"/>
      <c r="E2673" s="13"/>
    </row>
    <row r="2674" spans="1:5" ht="11.1" hidden="1" customHeight="1" x14ac:dyDescent="0.25">
      <c r="A2674" s="12" t="s">
        <v>3881</v>
      </c>
      <c r="B2674" s="12" t="s">
        <v>2105</v>
      </c>
      <c r="C2674" s="14">
        <v>349</v>
      </c>
      <c r="D2674" s="12"/>
      <c r="E2674" s="13"/>
    </row>
    <row r="2675" spans="1:5" ht="11.1" hidden="1" customHeight="1" x14ac:dyDescent="0.25">
      <c r="A2675" s="12" t="s">
        <v>3882</v>
      </c>
      <c r="B2675" s="12" t="s">
        <v>2053</v>
      </c>
      <c r="C2675" s="14">
        <v>1972.5</v>
      </c>
      <c r="D2675" s="12"/>
      <c r="E2675" s="14"/>
    </row>
    <row r="2676" spans="1:5" ht="11.1" hidden="1" customHeight="1" x14ac:dyDescent="0.25">
      <c r="A2676" s="12" t="s">
        <v>3883</v>
      </c>
      <c r="B2676" s="12" t="s">
        <v>2053</v>
      </c>
      <c r="C2676" s="14">
        <v>390.83</v>
      </c>
      <c r="D2676" s="12"/>
      <c r="E2676" s="13"/>
    </row>
    <row r="2677" spans="1:5" ht="11.1" hidden="1" customHeight="1" x14ac:dyDescent="0.25">
      <c r="A2677" s="12" t="s">
        <v>3884</v>
      </c>
      <c r="B2677" s="12" t="s">
        <v>3885</v>
      </c>
      <c r="C2677" s="14">
        <v>658.33</v>
      </c>
      <c r="D2677" s="12"/>
      <c r="E2677" s="13"/>
    </row>
    <row r="2678" spans="1:5" ht="11.1" hidden="1" customHeight="1" x14ac:dyDescent="0.25">
      <c r="A2678" s="12" t="s">
        <v>3886</v>
      </c>
      <c r="B2678" s="12" t="s">
        <v>3277</v>
      </c>
      <c r="C2678" s="14">
        <v>291.67</v>
      </c>
      <c r="D2678" s="12"/>
      <c r="E2678" s="13"/>
    </row>
    <row r="2679" spans="1:5" ht="11.1" hidden="1" customHeight="1" x14ac:dyDescent="0.25">
      <c r="A2679" s="12" t="s">
        <v>3887</v>
      </c>
      <c r="B2679" s="12" t="s">
        <v>86</v>
      </c>
      <c r="C2679" s="14">
        <v>14.17</v>
      </c>
      <c r="D2679" s="12"/>
      <c r="E2679" s="13"/>
    </row>
    <row r="2680" spans="1:5" ht="11.1" hidden="1" customHeight="1" x14ac:dyDescent="0.25">
      <c r="A2680" s="12" t="s">
        <v>3888</v>
      </c>
      <c r="B2680" s="12" t="s">
        <v>84</v>
      </c>
      <c r="C2680" s="14">
        <v>16.670000000000002</v>
      </c>
      <c r="D2680" s="12"/>
      <c r="E2680" s="13"/>
    </row>
    <row r="2681" spans="1:5" ht="23.1" hidden="1" customHeight="1" x14ac:dyDescent="0.25">
      <c r="A2681" s="12" t="s">
        <v>3889</v>
      </c>
      <c r="B2681" s="12" t="s">
        <v>86</v>
      </c>
      <c r="C2681" s="14">
        <v>13.33</v>
      </c>
      <c r="D2681" s="12"/>
      <c r="E2681" s="13"/>
    </row>
    <row r="2682" spans="1:5" ht="11.1" hidden="1" customHeight="1" x14ac:dyDescent="0.25">
      <c r="A2682" s="12" t="s">
        <v>3890</v>
      </c>
      <c r="B2682" s="12" t="s">
        <v>84</v>
      </c>
      <c r="C2682" s="14">
        <v>12.5</v>
      </c>
      <c r="D2682" s="12"/>
      <c r="E2682" s="13"/>
    </row>
    <row r="2683" spans="1:5" ht="11.1" hidden="1" customHeight="1" x14ac:dyDescent="0.25">
      <c r="A2683" s="12" t="s">
        <v>3891</v>
      </c>
      <c r="B2683" s="12" t="s">
        <v>600</v>
      </c>
      <c r="C2683" s="14">
        <v>219.03</v>
      </c>
      <c r="D2683" s="12"/>
      <c r="E2683" s="13"/>
    </row>
    <row r="2684" spans="1:5" ht="11.1" hidden="1" customHeight="1" x14ac:dyDescent="0.25">
      <c r="A2684" s="12" t="s">
        <v>3892</v>
      </c>
      <c r="B2684" s="12" t="s">
        <v>1170</v>
      </c>
      <c r="C2684" s="14">
        <v>10365.83</v>
      </c>
      <c r="D2684" s="12"/>
      <c r="E2684" s="14"/>
    </row>
    <row r="2685" spans="1:5" ht="11.1" hidden="1" customHeight="1" x14ac:dyDescent="0.25">
      <c r="A2685" s="12" t="s">
        <v>3893</v>
      </c>
      <c r="B2685" s="12" t="s">
        <v>1405</v>
      </c>
      <c r="C2685" s="14">
        <v>14979.17</v>
      </c>
      <c r="D2685" s="12"/>
      <c r="E2685" s="14"/>
    </row>
    <row r="2686" spans="1:5" ht="11.1" hidden="1" customHeight="1" x14ac:dyDescent="0.25">
      <c r="A2686" s="12" t="s">
        <v>3894</v>
      </c>
      <c r="B2686" s="12" t="s">
        <v>3353</v>
      </c>
      <c r="C2686" s="14">
        <v>966.67</v>
      </c>
      <c r="D2686" s="12"/>
      <c r="E2686" s="13"/>
    </row>
    <row r="2687" spans="1:5" ht="11.1" hidden="1" customHeight="1" x14ac:dyDescent="0.25">
      <c r="A2687" s="12" t="s">
        <v>3895</v>
      </c>
      <c r="B2687" s="12" t="s">
        <v>3896</v>
      </c>
      <c r="C2687" s="14">
        <v>202.83</v>
      </c>
      <c r="D2687" s="12"/>
      <c r="E2687" s="13"/>
    </row>
    <row r="2688" spans="1:5" ht="11.1" hidden="1" customHeight="1" x14ac:dyDescent="0.25">
      <c r="A2688" s="12" t="s">
        <v>3897</v>
      </c>
      <c r="B2688" s="12" t="s">
        <v>3898</v>
      </c>
      <c r="C2688" s="14">
        <v>87.68</v>
      </c>
      <c r="D2688" s="12"/>
      <c r="E2688" s="13"/>
    </row>
    <row r="2689" spans="1:5" ht="11.1" hidden="1" customHeight="1" x14ac:dyDescent="0.25">
      <c r="A2689" s="12" t="s">
        <v>3899</v>
      </c>
      <c r="B2689" s="12" t="s">
        <v>3745</v>
      </c>
      <c r="C2689" s="14">
        <v>4.17</v>
      </c>
      <c r="D2689" s="12"/>
      <c r="E2689" s="13"/>
    </row>
    <row r="2690" spans="1:5" ht="11.1" hidden="1" customHeight="1" x14ac:dyDescent="0.25">
      <c r="A2690" s="12" t="s">
        <v>3900</v>
      </c>
      <c r="B2690" s="12" t="s">
        <v>719</v>
      </c>
      <c r="C2690" s="14">
        <v>13.33</v>
      </c>
      <c r="D2690" s="12"/>
      <c r="E2690" s="13"/>
    </row>
    <row r="2691" spans="1:5" ht="11.1" hidden="1" customHeight="1" x14ac:dyDescent="0.25">
      <c r="A2691" s="12" t="s">
        <v>3901</v>
      </c>
      <c r="B2691" s="12" t="s">
        <v>719</v>
      </c>
      <c r="C2691" s="14">
        <v>7.5</v>
      </c>
      <c r="D2691" s="12"/>
      <c r="E2691" s="13"/>
    </row>
    <row r="2692" spans="1:5" ht="11.1" hidden="1" customHeight="1" x14ac:dyDescent="0.25">
      <c r="A2692" s="12" t="s">
        <v>3902</v>
      </c>
      <c r="B2692" s="12" t="s">
        <v>3903</v>
      </c>
      <c r="C2692" s="14">
        <v>707</v>
      </c>
      <c r="D2692" s="12"/>
      <c r="E2692" s="13"/>
    </row>
    <row r="2693" spans="1:5" ht="11.1" hidden="1" customHeight="1" x14ac:dyDescent="0.25">
      <c r="A2693" s="12" t="s">
        <v>3904</v>
      </c>
      <c r="B2693" s="12" t="s">
        <v>3905</v>
      </c>
      <c r="C2693" s="14">
        <v>3437.58</v>
      </c>
      <c r="D2693" s="12"/>
      <c r="E2693" s="14"/>
    </row>
    <row r="2694" spans="1:5" ht="11.1" hidden="1" customHeight="1" x14ac:dyDescent="0.25">
      <c r="A2694" s="12" t="s">
        <v>3906</v>
      </c>
      <c r="B2694" s="12" t="s">
        <v>3905</v>
      </c>
      <c r="C2694" s="14">
        <v>3258.26</v>
      </c>
      <c r="D2694" s="12"/>
      <c r="E2694" s="14"/>
    </row>
    <row r="2695" spans="1:5" ht="11.1" hidden="1" customHeight="1" x14ac:dyDescent="0.25">
      <c r="A2695" s="12" t="s">
        <v>3907</v>
      </c>
      <c r="B2695" s="12" t="s">
        <v>3908</v>
      </c>
      <c r="C2695" s="14">
        <v>6041.67</v>
      </c>
      <c r="D2695" s="12"/>
      <c r="E2695" s="14"/>
    </row>
    <row r="2696" spans="1:5" ht="11.1" hidden="1" customHeight="1" x14ac:dyDescent="0.25">
      <c r="A2696" s="12" t="s">
        <v>3909</v>
      </c>
      <c r="B2696" s="12" t="s">
        <v>3910</v>
      </c>
      <c r="C2696" s="14">
        <v>1095</v>
      </c>
      <c r="D2696" s="12"/>
      <c r="E2696" s="14"/>
    </row>
    <row r="2697" spans="1:5" ht="11.1" hidden="1" customHeight="1" x14ac:dyDescent="0.25">
      <c r="A2697" s="12" t="s">
        <v>3911</v>
      </c>
      <c r="B2697" s="12" t="s">
        <v>3912</v>
      </c>
      <c r="C2697" s="14">
        <v>1833.33</v>
      </c>
      <c r="D2697" s="12"/>
      <c r="E2697" s="14"/>
    </row>
    <row r="2698" spans="1:5" ht="11.1" hidden="1" customHeight="1" x14ac:dyDescent="0.25">
      <c r="A2698" s="12" t="s">
        <v>3913</v>
      </c>
      <c r="B2698" s="12" t="s">
        <v>3914</v>
      </c>
      <c r="C2698" s="14">
        <v>19750</v>
      </c>
      <c r="D2698" s="12"/>
      <c r="E2698" s="14"/>
    </row>
    <row r="2699" spans="1:5" ht="11.1" hidden="1" customHeight="1" x14ac:dyDescent="0.25">
      <c r="A2699" s="12" t="s">
        <v>3915</v>
      </c>
      <c r="B2699" s="12" t="s">
        <v>3916</v>
      </c>
      <c r="C2699" s="14">
        <v>679.17</v>
      </c>
      <c r="D2699" s="12"/>
      <c r="E2699" s="13"/>
    </row>
    <row r="2700" spans="1:5" ht="11.1" hidden="1" customHeight="1" x14ac:dyDescent="0.25">
      <c r="A2700" s="12" t="s">
        <v>3917</v>
      </c>
      <c r="B2700" s="12" t="s">
        <v>3918</v>
      </c>
      <c r="C2700" s="14">
        <v>11916.67</v>
      </c>
      <c r="D2700" s="12"/>
      <c r="E2700" s="14"/>
    </row>
    <row r="2701" spans="1:5" ht="11.1" hidden="1" customHeight="1" x14ac:dyDescent="0.25">
      <c r="A2701" s="12" t="s">
        <v>3919</v>
      </c>
      <c r="B2701" s="12" t="s">
        <v>1429</v>
      </c>
      <c r="C2701" s="14">
        <v>480</v>
      </c>
      <c r="D2701" s="12"/>
      <c r="E2701" s="13"/>
    </row>
    <row r="2702" spans="1:5" ht="11.1" hidden="1" customHeight="1" x14ac:dyDescent="0.25">
      <c r="A2702" s="12" t="s">
        <v>3920</v>
      </c>
      <c r="B2702" s="12" t="s">
        <v>563</v>
      </c>
      <c r="C2702" s="14">
        <v>275</v>
      </c>
      <c r="D2702" s="12"/>
      <c r="E2702" s="13"/>
    </row>
    <row r="2703" spans="1:5" ht="11.1" hidden="1" customHeight="1" x14ac:dyDescent="0.25">
      <c r="A2703" s="12" t="s">
        <v>3921</v>
      </c>
      <c r="B2703" s="12" t="s">
        <v>288</v>
      </c>
      <c r="C2703" s="14">
        <v>242.5</v>
      </c>
      <c r="D2703" s="12"/>
      <c r="E2703" s="13"/>
    </row>
    <row r="2704" spans="1:5" ht="11.1" hidden="1" customHeight="1" x14ac:dyDescent="0.25">
      <c r="A2704" s="12" t="s">
        <v>3922</v>
      </c>
      <c r="B2704" s="12" t="s">
        <v>563</v>
      </c>
      <c r="C2704" s="14">
        <v>224.17</v>
      </c>
      <c r="D2704" s="12"/>
      <c r="E2704" s="13"/>
    </row>
    <row r="2705" spans="1:5" ht="11.1" hidden="1" customHeight="1" x14ac:dyDescent="0.25">
      <c r="A2705" s="12" t="s">
        <v>3923</v>
      </c>
      <c r="B2705" s="12" t="s">
        <v>2105</v>
      </c>
      <c r="C2705" s="14">
        <v>320</v>
      </c>
      <c r="D2705" s="12"/>
      <c r="E2705" s="13"/>
    </row>
    <row r="2706" spans="1:5" ht="11.1" hidden="1" customHeight="1" x14ac:dyDescent="0.25">
      <c r="A2706" s="12" t="s">
        <v>3924</v>
      </c>
      <c r="B2706" s="12" t="s">
        <v>3925</v>
      </c>
      <c r="C2706" s="14">
        <v>410</v>
      </c>
      <c r="D2706" s="12"/>
      <c r="E2706" s="13"/>
    </row>
    <row r="2707" spans="1:5" ht="11.1" hidden="1" customHeight="1" x14ac:dyDescent="0.25">
      <c r="A2707" s="12" t="s">
        <v>3926</v>
      </c>
      <c r="B2707" s="12" t="s">
        <v>3927</v>
      </c>
      <c r="C2707" s="14">
        <v>8250</v>
      </c>
      <c r="D2707" s="12"/>
      <c r="E2707" s="14"/>
    </row>
    <row r="2708" spans="1:5" ht="11.1" hidden="1" customHeight="1" x14ac:dyDescent="0.25">
      <c r="A2708" s="12" t="s">
        <v>3928</v>
      </c>
      <c r="B2708" s="12" t="s">
        <v>1517</v>
      </c>
      <c r="C2708" s="14">
        <v>1075</v>
      </c>
      <c r="D2708" s="12"/>
      <c r="E2708" s="14"/>
    </row>
    <row r="2709" spans="1:5" ht="11.1" hidden="1" customHeight="1" x14ac:dyDescent="0.25">
      <c r="A2709" s="12" t="s">
        <v>3929</v>
      </c>
      <c r="B2709" s="12" t="s">
        <v>3930</v>
      </c>
      <c r="C2709" s="14">
        <v>765</v>
      </c>
      <c r="D2709" s="12"/>
      <c r="E2709" s="13"/>
    </row>
    <row r="2710" spans="1:5" ht="11.1" hidden="1" customHeight="1" x14ac:dyDescent="0.25">
      <c r="A2710" s="12" t="s">
        <v>3931</v>
      </c>
      <c r="B2710" s="12" t="s">
        <v>3932</v>
      </c>
      <c r="C2710" s="14">
        <v>3340</v>
      </c>
      <c r="D2710" s="12"/>
      <c r="E2710" s="14"/>
    </row>
    <row r="2711" spans="1:5" ht="23.1" hidden="1" customHeight="1" x14ac:dyDescent="0.25">
      <c r="A2711" s="12" t="s">
        <v>3933</v>
      </c>
      <c r="B2711" s="12" t="s">
        <v>3934</v>
      </c>
      <c r="C2711" s="14">
        <v>63884.17</v>
      </c>
      <c r="D2711" s="12"/>
      <c r="E2711" s="14"/>
    </row>
    <row r="2712" spans="1:5" ht="23.1" hidden="1" customHeight="1" x14ac:dyDescent="0.25">
      <c r="A2712" s="12" t="s">
        <v>3935</v>
      </c>
      <c r="B2712" s="12" t="s">
        <v>146</v>
      </c>
      <c r="C2712" s="14">
        <v>3039</v>
      </c>
      <c r="D2712" s="12"/>
      <c r="E2712" s="14"/>
    </row>
    <row r="2713" spans="1:5" ht="23.1" hidden="1" customHeight="1" x14ac:dyDescent="0.25">
      <c r="A2713" s="12" t="s">
        <v>3936</v>
      </c>
      <c r="B2713" s="12" t="s">
        <v>3937</v>
      </c>
      <c r="C2713" s="14">
        <v>449</v>
      </c>
      <c r="D2713" s="12"/>
      <c r="E2713" s="13"/>
    </row>
    <row r="2714" spans="1:5" ht="23.1" hidden="1" customHeight="1" x14ac:dyDescent="0.25">
      <c r="A2714" s="12" t="s">
        <v>3938</v>
      </c>
      <c r="B2714" s="12" t="s">
        <v>2596</v>
      </c>
      <c r="C2714" s="14">
        <v>112.5</v>
      </c>
      <c r="D2714" s="12"/>
      <c r="E2714" s="13"/>
    </row>
    <row r="2715" spans="1:5" ht="23.1" hidden="1" customHeight="1" x14ac:dyDescent="0.25">
      <c r="A2715" s="12" t="s">
        <v>3939</v>
      </c>
      <c r="B2715" s="12" t="s">
        <v>3937</v>
      </c>
      <c r="C2715" s="14">
        <v>154</v>
      </c>
      <c r="D2715" s="12"/>
      <c r="E2715" s="13"/>
    </row>
    <row r="2716" spans="1:5" ht="23.1" hidden="1" customHeight="1" x14ac:dyDescent="0.25">
      <c r="A2716" s="12" t="s">
        <v>3940</v>
      </c>
      <c r="B2716" s="12" t="s">
        <v>3937</v>
      </c>
      <c r="C2716" s="14">
        <v>649</v>
      </c>
      <c r="D2716" s="12"/>
      <c r="E2716" s="13"/>
    </row>
    <row r="2717" spans="1:5" ht="11.1" hidden="1" customHeight="1" x14ac:dyDescent="0.25">
      <c r="A2717" s="12" t="s">
        <v>3941</v>
      </c>
      <c r="B2717" s="12" t="s">
        <v>3942</v>
      </c>
      <c r="C2717" s="14">
        <v>393.75</v>
      </c>
      <c r="D2717" s="12"/>
      <c r="E2717" s="13"/>
    </row>
    <row r="2718" spans="1:5" ht="23.1" hidden="1" customHeight="1" x14ac:dyDescent="0.25">
      <c r="A2718" s="12" t="s">
        <v>3943</v>
      </c>
      <c r="B2718" s="12" t="s">
        <v>3942</v>
      </c>
      <c r="C2718" s="14">
        <v>472.5</v>
      </c>
      <c r="D2718" s="12"/>
      <c r="E2718" s="13"/>
    </row>
    <row r="2719" spans="1:5" ht="11.1" hidden="1" customHeight="1" x14ac:dyDescent="0.25">
      <c r="A2719" s="12" t="s">
        <v>3944</v>
      </c>
      <c r="B2719" s="12" t="s">
        <v>3945</v>
      </c>
      <c r="C2719" s="14">
        <v>400</v>
      </c>
      <c r="D2719" s="12"/>
      <c r="E2719" s="13"/>
    </row>
    <row r="2720" spans="1:5" ht="11.1" hidden="1" customHeight="1" x14ac:dyDescent="0.25">
      <c r="A2720" s="12" t="s">
        <v>3946</v>
      </c>
      <c r="B2720" s="12" t="s">
        <v>1556</v>
      </c>
      <c r="C2720" s="14">
        <v>1171.67</v>
      </c>
      <c r="D2720" s="12"/>
      <c r="E2720" s="14"/>
    </row>
    <row r="2721" spans="1:5" ht="11.1" hidden="1" customHeight="1" x14ac:dyDescent="0.25">
      <c r="A2721" s="12" t="s">
        <v>3947</v>
      </c>
      <c r="B2721" s="12" t="s">
        <v>2588</v>
      </c>
      <c r="C2721" s="14">
        <v>680.4</v>
      </c>
      <c r="D2721" s="12"/>
      <c r="E2721" s="13"/>
    </row>
    <row r="2722" spans="1:5" ht="11.1" hidden="1" customHeight="1" x14ac:dyDescent="0.25">
      <c r="A2722" s="12" t="s">
        <v>3948</v>
      </c>
      <c r="B2722" s="12" t="s">
        <v>288</v>
      </c>
      <c r="C2722" s="14">
        <v>625</v>
      </c>
      <c r="D2722" s="12"/>
      <c r="E2722" s="13"/>
    </row>
    <row r="2723" spans="1:5" ht="11.1" hidden="1" customHeight="1" x14ac:dyDescent="0.25">
      <c r="A2723" s="12" t="s">
        <v>3949</v>
      </c>
      <c r="B2723" s="12" t="s">
        <v>3950</v>
      </c>
      <c r="C2723" s="14">
        <v>134.16999999999999</v>
      </c>
      <c r="D2723" s="12"/>
      <c r="E2723" s="13"/>
    </row>
    <row r="2724" spans="1:5" ht="11.1" hidden="1" customHeight="1" x14ac:dyDescent="0.25">
      <c r="A2724" s="12" t="s">
        <v>3951</v>
      </c>
      <c r="B2724" s="12" t="s">
        <v>2107</v>
      </c>
      <c r="C2724" s="14">
        <v>165.83</v>
      </c>
      <c r="D2724" s="12"/>
      <c r="E2724" s="13"/>
    </row>
    <row r="2725" spans="1:5" ht="11.1" hidden="1" customHeight="1" x14ac:dyDescent="0.25">
      <c r="A2725" s="12" t="s">
        <v>3952</v>
      </c>
      <c r="B2725" s="12" t="s">
        <v>2113</v>
      </c>
      <c r="C2725" s="14">
        <v>260.83</v>
      </c>
      <c r="D2725" s="12"/>
      <c r="E2725" s="13"/>
    </row>
    <row r="2726" spans="1:5" ht="11.1" hidden="1" customHeight="1" x14ac:dyDescent="0.25">
      <c r="A2726" s="12" t="s">
        <v>3953</v>
      </c>
      <c r="B2726" s="12" t="s">
        <v>2304</v>
      </c>
      <c r="C2726" s="14">
        <v>4185</v>
      </c>
      <c r="D2726" s="12"/>
      <c r="E2726" s="14"/>
    </row>
    <row r="2727" spans="1:5" ht="11.1" hidden="1" customHeight="1" x14ac:dyDescent="0.25">
      <c r="A2727" s="12" t="s">
        <v>3954</v>
      </c>
      <c r="B2727" s="12" t="s">
        <v>2335</v>
      </c>
      <c r="C2727" s="14">
        <v>301.39</v>
      </c>
      <c r="D2727" s="12"/>
      <c r="E2727" s="13"/>
    </row>
    <row r="2728" spans="1:5" ht="11.1" hidden="1" customHeight="1" x14ac:dyDescent="0.25">
      <c r="A2728" s="12" t="s">
        <v>3955</v>
      </c>
      <c r="B2728" s="12" t="s">
        <v>1985</v>
      </c>
      <c r="C2728" s="14">
        <v>83.33</v>
      </c>
      <c r="D2728" s="12"/>
      <c r="E2728" s="13"/>
    </row>
    <row r="2729" spans="1:5" ht="11.1" hidden="1" customHeight="1" x14ac:dyDescent="0.25">
      <c r="A2729" s="12" t="s">
        <v>3956</v>
      </c>
      <c r="B2729" s="12" t="s">
        <v>2156</v>
      </c>
      <c r="C2729" s="14">
        <v>111.67</v>
      </c>
      <c r="D2729" s="12"/>
      <c r="E2729" s="13"/>
    </row>
    <row r="2730" spans="1:5" ht="23.1" hidden="1" customHeight="1" x14ac:dyDescent="0.25">
      <c r="A2730" s="12" t="s">
        <v>3957</v>
      </c>
      <c r="B2730" s="12" t="s">
        <v>764</v>
      </c>
      <c r="C2730" s="14">
        <v>59.17</v>
      </c>
      <c r="D2730" s="12"/>
      <c r="E2730" s="13"/>
    </row>
    <row r="2731" spans="1:5" ht="11.1" hidden="1" customHeight="1" x14ac:dyDescent="0.25">
      <c r="A2731" s="12" t="s">
        <v>3958</v>
      </c>
      <c r="B2731" s="12" t="s">
        <v>1041</v>
      </c>
      <c r="C2731" s="14">
        <v>856</v>
      </c>
      <c r="D2731" s="12"/>
      <c r="E2731" s="13"/>
    </row>
    <row r="2732" spans="1:5" ht="11.1" hidden="1" customHeight="1" x14ac:dyDescent="0.25">
      <c r="A2732" s="12" t="s">
        <v>3959</v>
      </c>
      <c r="B2732" s="12" t="s">
        <v>1554</v>
      </c>
      <c r="C2732" s="14">
        <v>1207.53</v>
      </c>
      <c r="D2732" s="12"/>
      <c r="E2732" s="14"/>
    </row>
    <row r="2733" spans="1:5" ht="11.1" hidden="1" customHeight="1" x14ac:dyDescent="0.25">
      <c r="A2733" s="12" t="s">
        <v>3960</v>
      </c>
      <c r="B2733" s="12" t="s">
        <v>2392</v>
      </c>
      <c r="C2733" s="14">
        <v>1995</v>
      </c>
      <c r="D2733" s="12"/>
      <c r="E2733" s="14"/>
    </row>
    <row r="2734" spans="1:5" ht="11.1" hidden="1" customHeight="1" x14ac:dyDescent="0.25">
      <c r="A2734" s="12" t="s">
        <v>3961</v>
      </c>
      <c r="B2734" s="12" t="s">
        <v>395</v>
      </c>
      <c r="C2734" s="14">
        <v>1620</v>
      </c>
      <c r="D2734" s="12"/>
      <c r="E2734" s="14"/>
    </row>
    <row r="2735" spans="1:5" ht="11.1" hidden="1" customHeight="1" x14ac:dyDescent="0.25">
      <c r="A2735" s="12" t="s">
        <v>3962</v>
      </c>
      <c r="B2735" s="12" t="s">
        <v>1000</v>
      </c>
      <c r="C2735" s="14">
        <v>1094.17</v>
      </c>
      <c r="D2735" s="12"/>
      <c r="E2735" s="14"/>
    </row>
    <row r="2736" spans="1:5" ht="11.1" hidden="1" customHeight="1" x14ac:dyDescent="0.25">
      <c r="A2736" s="12" t="s">
        <v>3963</v>
      </c>
      <c r="B2736" s="12" t="s">
        <v>257</v>
      </c>
      <c r="C2736" s="14">
        <v>1657.92</v>
      </c>
      <c r="D2736" s="12"/>
      <c r="E2736" s="14"/>
    </row>
    <row r="2737" spans="1:5" ht="11.1" hidden="1" customHeight="1" x14ac:dyDescent="0.25">
      <c r="A2737" s="12" t="s">
        <v>3964</v>
      </c>
      <c r="B2737" s="12" t="s">
        <v>1934</v>
      </c>
      <c r="C2737" s="14">
        <v>41.67</v>
      </c>
      <c r="D2737" s="12"/>
      <c r="E2737" s="13"/>
    </row>
    <row r="2738" spans="1:5" ht="11.1" hidden="1" customHeight="1" x14ac:dyDescent="0.25">
      <c r="A2738" s="12" t="s">
        <v>3965</v>
      </c>
      <c r="B2738" s="12" t="s">
        <v>515</v>
      </c>
      <c r="C2738" s="14">
        <v>9849.39</v>
      </c>
      <c r="D2738" s="12"/>
      <c r="E2738" s="14"/>
    </row>
    <row r="2739" spans="1:5" ht="11.1" hidden="1" customHeight="1" x14ac:dyDescent="0.25">
      <c r="A2739" s="12" t="s">
        <v>3966</v>
      </c>
      <c r="B2739" s="12" t="s">
        <v>3967</v>
      </c>
      <c r="C2739" s="14">
        <v>14.52</v>
      </c>
      <c r="D2739" s="12"/>
      <c r="E2739" s="13"/>
    </row>
    <row r="2740" spans="1:5" ht="11.1" hidden="1" customHeight="1" x14ac:dyDescent="0.25">
      <c r="A2740" s="12" t="s">
        <v>3968</v>
      </c>
      <c r="B2740" s="12" t="s">
        <v>3747</v>
      </c>
      <c r="C2740" s="14">
        <v>33.33</v>
      </c>
      <c r="D2740" s="12"/>
      <c r="E2740" s="13"/>
    </row>
    <row r="2741" spans="1:5" ht="11.1" hidden="1" customHeight="1" x14ac:dyDescent="0.25">
      <c r="A2741" s="12" t="s">
        <v>3969</v>
      </c>
      <c r="B2741" s="12" t="s">
        <v>2056</v>
      </c>
      <c r="C2741" s="14">
        <v>46.67</v>
      </c>
      <c r="D2741" s="12"/>
      <c r="E2741" s="13"/>
    </row>
    <row r="2742" spans="1:5" ht="11.1" hidden="1" customHeight="1" x14ac:dyDescent="0.25">
      <c r="A2742" s="12" t="s">
        <v>3970</v>
      </c>
      <c r="B2742" s="12" t="s">
        <v>2113</v>
      </c>
      <c r="C2742" s="14">
        <v>48.76</v>
      </c>
      <c r="D2742" s="12"/>
      <c r="E2742" s="13"/>
    </row>
    <row r="2743" spans="1:5" ht="11.1" hidden="1" customHeight="1" x14ac:dyDescent="0.25">
      <c r="A2743" s="12" t="s">
        <v>3971</v>
      </c>
      <c r="B2743" s="12" t="s">
        <v>2107</v>
      </c>
      <c r="C2743" s="14">
        <v>41.18</v>
      </c>
      <c r="D2743" s="12"/>
      <c r="E2743" s="13"/>
    </row>
    <row r="2744" spans="1:5" ht="11.1" hidden="1" customHeight="1" x14ac:dyDescent="0.25">
      <c r="A2744" s="12" t="s">
        <v>3972</v>
      </c>
      <c r="B2744" s="12" t="s">
        <v>2107</v>
      </c>
      <c r="C2744" s="14">
        <v>181.68</v>
      </c>
      <c r="D2744" s="12"/>
      <c r="E2744" s="13"/>
    </row>
    <row r="2745" spans="1:5" ht="11.1" hidden="1" customHeight="1" x14ac:dyDescent="0.25">
      <c r="A2745" s="12" t="s">
        <v>3973</v>
      </c>
      <c r="B2745" s="12" t="s">
        <v>1985</v>
      </c>
      <c r="C2745" s="14">
        <v>135.83000000000001</v>
      </c>
      <c r="D2745" s="12"/>
      <c r="E2745" s="13"/>
    </row>
    <row r="2746" spans="1:5" ht="11.1" hidden="1" customHeight="1" x14ac:dyDescent="0.25">
      <c r="A2746" s="42" t="s">
        <v>3974</v>
      </c>
      <c r="B2746" s="42" t="s">
        <v>2100</v>
      </c>
      <c r="C2746" s="43">
        <v>70.75</v>
      </c>
      <c r="D2746" s="12"/>
      <c r="E2746" s="13"/>
    </row>
    <row r="2747" spans="1:5" ht="11.1" hidden="1" customHeight="1" x14ac:dyDescent="0.25">
      <c r="A2747" s="12" t="s">
        <v>3975</v>
      </c>
      <c r="B2747" s="12" t="s">
        <v>1985</v>
      </c>
      <c r="C2747" s="14">
        <v>181.68</v>
      </c>
      <c r="D2747" s="12"/>
      <c r="E2747" s="13"/>
    </row>
    <row r="2748" spans="1:5" ht="11.1" hidden="1" customHeight="1" x14ac:dyDescent="0.25">
      <c r="A2748" s="12" t="s">
        <v>3976</v>
      </c>
      <c r="B2748" s="12" t="s">
        <v>2162</v>
      </c>
      <c r="C2748" s="14">
        <v>116.67</v>
      </c>
      <c r="D2748" s="12"/>
      <c r="E2748" s="13"/>
    </row>
    <row r="2749" spans="1:5" ht="11.1" hidden="1" customHeight="1" x14ac:dyDescent="0.25">
      <c r="A2749" s="12" t="s">
        <v>3977</v>
      </c>
      <c r="B2749" s="12" t="s">
        <v>2107</v>
      </c>
      <c r="C2749" s="14">
        <v>80.77</v>
      </c>
      <c r="D2749" s="12"/>
      <c r="E2749" s="13"/>
    </row>
    <row r="2750" spans="1:5" ht="11.1" hidden="1" customHeight="1" x14ac:dyDescent="0.25">
      <c r="A2750" s="12" t="s">
        <v>3978</v>
      </c>
      <c r="B2750" s="12" t="s">
        <v>2053</v>
      </c>
      <c r="C2750" s="14">
        <v>97.5</v>
      </c>
      <c r="D2750" s="12"/>
      <c r="E2750" s="13"/>
    </row>
    <row r="2751" spans="1:5" ht="11.1" hidden="1" customHeight="1" x14ac:dyDescent="0.25">
      <c r="A2751" s="12" t="s">
        <v>3979</v>
      </c>
      <c r="B2751" s="12" t="s">
        <v>2156</v>
      </c>
      <c r="C2751" s="14">
        <v>65.92</v>
      </c>
      <c r="D2751" s="12"/>
      <c r="E2751" s="13"/>
    </row>
    <row r="2752" spans="1:5" ht="11.1" hidden="1" customHeight="1" x14ac:dyDescent="0.25">
      <c r="A2752" s="12" t="s">
        <v>3980</v>
      </c>
      <c r="B2752" s="12" t="s">
        <v>297</v>
      </c>
      <c r="C2752" s="14">
        <v>394.17</v>
      </c>
      <c r="D2752" s="12"/>
      <c r="E2752" s="13"/>
    </row>
    <row r="2753" spans="1:5" ht="11.1" hidden="1" customHeight="1" x14ac:dyDescent="0.25">
      <c r="A2753" s="12" t="s">
        <v>3981</v>
      </c>
      <c r="B2753" s="12" t="s">
        <v>2076</v>
      </c>
      <c r="C2753" s="14">
        <v>1982.62</v>
      </c>
      <c r="D2753" s="12"/>
      <c r="E2753" s="14"/>
    </row>
    <row r="2754" spans="1:5" ht="11.1" hidden="1" customHeight="1" x14ac:dyDescent="0.25">
      <c r="A2754" s="12" t="s">
        <v>3982</v>
      </c>
      <c r="B2754" s="12" t="s">
        <v>3983</v>
      </c>
      <c r="C2754" s="14">
        <v>1982.62</v>
      </c>
      <c r="D2754" s="12"/>
      <c r="E2754" s="14"/>
    </row>
    <row r="2755" spans="1:5" ht="11.1" hidden="1" customHeight="1" x14ac:dyDescent="0.25">
      <c r="A2755" s="12" t="s">
        <v>3984</v>
      </c>
      <c r="B2755" s="12" t="s">
        <v>3985</v>
      </c>
      <c r="C2755" s="14">
        <v>1697.88</v>
      </c>
      <c r="D2755" s="12"/>
      <c r="E2755" s="14"/>
    </row>
    <row r="2756" spans="1:5" ht="11.1" hidden="1" customHeight="1" x14ac:dyDescent="0.25">
      <c r="A2756" s="12" t="s">
        <v>3986</v>
      </c>
      <c r="B2756" s="12" t="s">
        <v>3987</v>
      </c>
      <c r="C2756" s="14">
        <v>1697.87</v>
      </c>
      <c r="D2756" s="12"/>
      <c r="E2756" s="14"/>
    </row>
    <row r="2757" spans="1:5" ht="11.1" hidden="1" customHeight="1" x14ac:dyDescent="0.25">
      <c r="A2757" s="12" t="s">
        <v>3988</v>
      </c>
      <c r="B2757" s="12" t="s">
        <v>2244</v>
      </c>
      <c r="C2757" s="14">
        <v>4628.25</v>
      </c>
      <c r="D2757" s="12"/>
      <c r="E2757" s="14"/>
    </row>
    <row r="2758" spans="1:5" ht="11.1" hidden="1" customHeight="1" x14ac:dyDescent="0.25">
      <c r="A2758" s="12" t="s">
        <v>3989</v>
      </c>
      <c r="B2758" s="12" t="s">
        <v>2244</v>
      </c>
      <c r="C2758" s="14">
        <v>4628.25</v>
      </c>
      <c r="D2758" s="12"/>
      <c r="E2758" s="14"/>
    </row>
    <row r="2759" spans="1:5" ht="11.1" hidden="1" customHeight="1" x14ac:dyDescent="0.25">
      <c r="A2759" s="12" t="s">
        <v>3990</v>
      </c>
      <c r="B2759" s="12" t="s">
        <v>3991</v>
      </c>
      <c r="C2759" s="14">
        <v>10190</v>
      </c>
      <c r="D2759" s="12"/>
      <c r="E2759" s="14"/>
    </row>
    <row r="2760" spans="1:5" ht="11.1" hidden="1" customHeight="1" x14ac:dyDescent="0.25">
      <c r="A2760" s="12" t="s">
        <v>3992</v>
      </c>
      <c r="B2760" s="12" t="s">
        <v>3993</v>
      </c>
      <c r="C2760" s="14">
        <v>4628.25</v>
      </c>
      <c r="D2760" s="12"/>
      <c r="E2760" s="14"/>
    </row>
    <row r="2761" spans="1:5" ht="11.1" hidden="1" customHeight="1" x14ac:dyDescent="0.25">
      <c r="A2761" s="12" t="s">
        <v>3994</v>
      </c>
      <c r="B2761" s="12" t="s">
        <v>2074</v>
      </c>
      <c r="C2761" s="14">
        <v>4628.25</v>
      </c>
      <c r="D2761" s="12"/>
      <c r="E2761" s="14"/>
    </row>
    <row r="2762" spans="1:5" ht="11.1" hidden="1" customHeight="1" x14ac:dyDescent="0.25">
      <c r="A2762" s="12" t="s">
        <v>3995</v>
      </c>
      <c r="B2762" s="12" t="s">
        <v>3993</v>
      </c>
      <c r="C2762" s="14">
        <v>4628.25</v>
      </c>
      <c r="D2762" s="12"/>
      <c r="E2762" s="14"/>
    </row>
    <row r="2763" spans="1:5" ht="23.1" hidden="1" customHeight="1" x14ac:dyDescent="0.25">
      <c r="A2763" s="12" t="s">
        <v>3996</v>
      </c>
      <c r="B2763" s="12" t="s">
        <v>3983</v>
      </c>
      <c r="C2763" s="14">
        <v>4628.25</v>
      </c>
      <c r="D2763" s="12"/>
      <c r="E2763" s="14"/>
    </row>
    <row r="2764" spans="1:5" ht="23.1" hidden="1" customHeight="1" x14ac:dyDescent="0.25">
      <c r="A2764" s="12" t="s">
        <v>3997</v>
      </c>
      <c r="B2764" s="12" t="s">
        <v>2074</v>
      </c>
      <c r="C2764" s="14">
        <v>4628.25</v>
      </c>
      <c r="D2764" s="12"/>
      <c r="E2764" s="14"/>
    </row>
    <row r="2765" spans="1:5" ht="23.1" hidden="1" customHeight="1" x14ac:dyDescent="0.25">
      <c r="A2765" s="12" t="s">
        <v>3998</v>
      </c>
      <c r="B2765" s="12" t="s">
        <v>3993</v>
      </c>
      <c r="C2765" s="14">
        <v>4628.25</v>
      </c>
      <c r="D2765" s="12"/>
      <c r="E2765" s="14"/>
    </row>
    <row r="2766" spans="1:5" ht="23.1" hidden="1" customHeight="1" x14ac:dyDescent="0.25">
      <c r="A2766" s="12" t="s">
        <v>3999</v>
      </c>
      <c r="B2766" s="12" t="s">
        <v>4000</v>
      </c>
      <c r="C2766" s="14">
        <v>4628.25</v>
      </c>
      <c r="D2766" s="12"/>
      <c r="E2766" s="14"/>
    </row>
    <row r="2767" spans="1:5" ht="11.1" hidden="1" customHeight="1" x14ac:dyDescent="0.25">
      <c r="A2767" s="12" t="s">
        <v>4001</v>
      </c>
      <c r="B2767" s="12" t="s">
        <v>4002</v>
      </c>
      <c r="C2767" s="14">
        <v>4628.25</v>
      </c>
      <c r="D2767" s="12"/>
      <c r="E2767" s="14"/>
    </row>
    <row r="2768" spans="1:5" ht="11.1" hidden="1" customHeight="1" x14ac:dyDescent="0.25">
      <c r="A2768" s="12" t="s">
        <v>4003</v>
      </c>
      <c r="B2768" s="12" t="s">
        <v>4004</v>
      </c>
      <c r="C2768" s="14">
        <v>8957.5</v>
      </c>
      <c r="D2768" s="12"/>
      <c r="E2768" s="14"/>
    </row>
    <row r="2769" spans="1:5" ht="11.1" hidden="1" customHeight="1" x14ac:dyDescent="0.25">
      <c r="A2769" s="12" t="s">
        <v>4005</v>
      </c>
      <c r="B2769" s="12" t="s">
        <v>3991</v>
      </c>
      <c r="C2769" s="14">
        <v>14580</v>
      </c>
      <c r="D2769" s="12"/>
      <c r="E2769" s="14"/>
    </row>
    <row r="2770" spans="1:5" ht="11.1" hidden="1" customHeight="1" x14ac:dyDescent="0.25">
      <c r="A2770" s="12" t="s">
        <v>4006</v>
      </c>
      <c r="B2770" s="12" t="s">
        <v>4007</v>
      </c>
      <c r="C2770" s="14">
        <v>1413.33</v>
      </c>
      <c r="D2770" s="12"/>
      <c r="E2770" s="14"/>
    </row>
    <row r="2771" spans="1:5" ht="11.1" hidden="1" customHeight="1" x14ac:dyDescent="0.25">
      <c r="A2771" s="12" t="s">
        <v>4008</v>
      </c>
      <c r="B2771" s="12" t="s">
        <v>4007</v>
      </c>
      <c r="C2771" s="14">
        <v>1500.83</v>
      </c>
      <c r="D2771" s="12"/>
      <c r="E2771" s="14"/>
    </row>
    <row r="2772" spans="1:5" ht="11.1" hidden="1" customHeight="1" x14ac:dyDescent="0.25">
      <c r="A2772" s="12" t="s">
        <v>4009</v>
      </c>
      <c r="B2772" s="12" t="s">
        <v>4002</v>
      </c>
      <c r="C2772" s="14">
        <v>3965.25</v>
      </c>
      <c r="D2772" s="12"/>
      <c r="E2772" s="14"/>
    </row>
    <row r="2773" spans="1:5" ht="11.1" hidden="1" customHeight="1" x14ac:dyDescent="0.25">
      <c r="A2773" s="12" t="s">
        <v>4010</v>
      </c>
      <c r="B2773" s="12" t="s">
        <v>4002</v>
      </c>
      <c r="C2773" s="14">
        <v>3965.25</v>
      </c>
      <c r="D2773" s="12"/>
      <c r="E2773" s="14"/>
    </row>
    <row r="2774" spans="1:5" ht="11.1" hidden="1" customHeight="1" x14ac:dyDescent="0.25">
      <c r="A2774" s="12" t="s">
        <v>4011</v>
      </c>
      <c r="B2774" s="12" t="s">
        <v>4012</v>
      </c>
      <c r="C2774" s="14">
        <v>3965.25</v>
      </c>
      <c r="D2774" s="12"/>
      <c r="E2774" s="14"/>
    </row>
    <row r="2775" spans="1:5" ht="11.1" hidden="1" customHeight="1" x14ac:dyDescent="0.25">
      <c r="A2775" s="12" t="s">
        <v>4013</v>
      </c>
      <c r="B2775" s="12" t="s">
        <v>4002</v>
      </c>
      <c r="C2775" s="14">
        <v>3965.25</v>
      </c>
      <c r="D2775" s="12"/>
      <c r="E2775" s="14"/>
    </row>
    <row r="2776" spans="1:5" ht="11.1" hidden="1" customHeight="1" x14ac:dyDescent="0.25">
      <c r="A2776" s="12" t="s">
        <v>4014</v>
      </c>
      <c r="B2776" s="12" t="s">
        <v>4002</v>
      </c>
      <c r="C2776" s="14">
        <v>3965.25</v>
      </c>
      <c r="D2776" s="12"/>
      <c r="E2776" s="14"/>
    </row>
    <row r="2777" spans="1:5" ht="11.1" hidden="1" customHeight="1" x14ac:dyDescent="0.25">
      <c r="A2777" s="12" t="s">
        <v>4015</v>
      </c>
      <c r="B2777" s="12" t="s">
        <v>4002</v>
      </c>
      <c r="C2777" s="14">
        <v>3965.25</v>
      </c>
      <c r="D2777" s="12"/>
      <c r="E2777" s="14"/>
    </row>
    <row r="2778" spans="1:5" ht="11.1" hidden="1" customHeight="1" x14ac:dyDescent="0.25">
      <c r="A2778" s="12" t="s">
        <v>4016</v>
      </c>
      <c r="B2778" s="12" t="s">
        <v>4002</v>
      </c>
      <c r="C2778" s="14">
        <v>3965.25</v>
      </c>
      <c r="D2778" s="12"/>
      <c r="E2778" s="14"/>
    </row>
    <row r="2779" spans="1:5" ht="11.1" hidden="1" customHeight="1" x14ac:dyDescent="0.25">
      <c r="A2779" s="12" t="s">
        <v>4017</v>
      </c>
      <c r="B2779" s="12" t="s">
        <v>3983</v>
      </c>
      <c r="C2779" s="14">
        <v>3965.25</v>
      </c>
      <c r="D2779" s="12"/>
      <c r="E2779" s="14"/>
    </row>
    <row r="2780" spans="1:5" ht="11.1" hidden="1" customHeight="1" x14ac:dyDescent="0.25">
      <c r="A2780" s="12" t="s">
        <v>4018</v>
      </c>
      <c r="B2780" s="12" t="s">
        <v>2076</v>
      </c>
      <c r="C2780" s="14">
        <v>3895.12</v>
      </c>
      <c r="D2780" s="12"/>
      <c r="E2780" s="14"/>
    </row>
    <row r="2781" spans="1:5" ht="11.1" hidden="1" customHeight="1" x14ac:dyDescent="0.25">
      <c r="A2781" s="12" t="s">
        <v>4019</v>
      </c>
      <c r="B2781" s="12" t="s">
        <v>4020</v>
      </c>
      <c r="C2781" s="14">
        <v>4674.1400000000003</v>
      </c>
      <c r="D2781" s="12"/>
      <c r="E2781" s="14"/>
    </row>
    <row r="2782" spans="1:5" ht="11.1" hidden="1" customHeight="1" x14ac:dyDescent="0.25">
      <c r="A2782" s="12" t="s">
        <v>4021</v>
      </c>
      <c r="B2782" s="12" t="s">
        <v>1540</v>
      </c>
      <c r="C2782" s="14">
        <v>193.37</v>
      </c>
      <c r="D2782" s="12"/>
      <c r="E2782" s="13"/>
    </row>
    <row r="2783" spans="1:5" ht="11.1" hidden="1" customHeight="1" x14ac:dyDescent="0.25">
      <c r="A2783" s="12" t="s">
        <v>4022</v>
      </c>
      <c r="B2783" s="12" t="s">
        <v>4023</v>
      </c>
      <c r="C2783" s="14">
        <v>999</v>
      </c>
      <c r="D2783" s="12"/>
      <c r="E2783" s="13"/>
    </row>
    <row r="2784" spans="1:5" ht="11.1" hidden="1" customHeight="1" x14ac:dyDescent="0.25">
      <c r="A2784" s="12" t="s">
        <v>4024</v>
      </c>
      <c r="B2784" s="12" t="s">
        <v>4023</v>
      </c>
      <c r="C2784" s="14">
        <v>999</v>
      </c>
      <c r="D2784" s="12"/>
      <c r="E2784" s="13"/>
    </row>
    <row r="2785" spans="1:5" ht="11.1" hidden="1" customHeight="1" x14ac:dyDescent="0.25">
      <c r="A2785" s="12" t="s">
        <v>4025</v>
      </c>
      <c r="B2785" s="12" t="s">
        <v>2286</v>
      </c>
      <c r="C2785" s="14">
        <v>799</v>
      </c>
      <c r="D2785" s="12"/>
      <c r="E2785" s="13"/>
    </row>
    <row r="2786" spans="1:5" ht="11.1" hidden="1" customHeight="1" x14ac:dyDescent="0.25">
      <c r="A2786" s="12" t="s">
        <v>4026</v>
      </c>
      <c r="B2786" s="12" t="s">
        <v>4027</v>
      </c>
      <c r="C2786" s="14">
        <v>999.97</v>
      </c>
      <c r="D2786" s="12"/>
      <c r="E2786" s="13"/>
    </row>
    <row r="2787" spans="1:5" ht="11.1" hidden="1" customHeight="1" x14ac:dyDescent="0.25">
      <c r="A2787" s="12" t="s">
        <v>4028</v>
      </c>
      <c r="B2787" s="12" t="s">
        <v>191</v>
      </c>
      <c r="C2787" s="14">
        <v>999.17</v>
      </c>
      <c r="D2787" s="12"/>
      <c r="E2787" s="13"/>
    </row>
    <row r="2788" spans="1:5" ht="11.1" hidden="1" customHeight="1" x14ac:dyDescent="0.25">
      <c r="A2788" s="12" t="s">
        <v>4029</v>
      </c>
      <c r="B2788" s="12" t="s">
        <v>4030</v>
      </c>
      <c r="C2788" s="14">
        <v>1090</v>
      </c>
      <c r="D2788" s="12"/>
      <c r="E2788" s="14"/>
    </row>
    <row r="2789" spans="1:5" ht="11.1" hidden="1" customHeight="1" x14ac:dyDescent="0.25">
      <c r="A2789" s="12" t="s">
        <v>4031</v>
      </c>
      <c r="B2789" s="12" t="s">
        <v>191</v>
      </c>
      <c r="C2789" s="14">
        <v>990.83</v>
      </c>
      <c r="D2789" s="12"/>
      <c r="E2789" s="13"/>
    </row>
    <row r="2790" spans="1:5" ht="11.1" hidden="1" customHeight="1" x14ac:dyDescent="0.25">
      <c r="A2790" s="12" t="s">
        <v>4032</v>
      </c>
      <c r="B2790" s="12" t="s">
        <v>1041</v>
      </c>
      <c r="C2790" s="14">
        <v>459</v>
      </c>
      <c r="D2790" s="12"/>
      <c r="E2790" s="13"/>
    </row>
    <row r="2791" spans="1:5" ht="11.1" hidden="1" customHeight="1" x14ac:dyDescent="0.25">
      <c r="A2791" s="12" t="s">
        <v>4033</v>
      </c>
      <c r="B2791" s="12" t="s">
        <v>4034</v>
      </c>
      <c r="C2791" s="14">
        <v>111</v>
      </c>
      <c r="D2791" s="12"/>
      <c r="E2791" s="13"/>
    </row>
    <row r="2792" spans="1:5" ht="11.1" hidden="1" customHeight="1" x14ac:dyDescent="0.25">
      <c r="A2792" s="12" t="s">
        <v>4035</v>
      </c>
      <c r="B2792" s="12" t="s">
        <v>4036</v>
      </c>
      <c r="C2792" s="14">
        <v>2003.33</v>
      </c>
      <c r="D2792" s="12"/>
      <c r="E2792" s="14"/>
    </row>
    <row r="2793" spans="1:5" ht="11.1" hidden="1" customHeight="1" x14ac:dyDescent="0.25">
      <c r="A2793" s="12" t="s">
        <v>4037</v>
      </c>
      <c r="B2793" s="12" t="s">
        <v>888</v>
      </c>
      <c r="C2793" s="14">
        <v>2003.33</v>
      </c>
      <c r="D2793" s="12"/>
      <c r="E2793" s="14"/>
    </row>
    <row r="2794" spans="1:5" ht="11.1" hidden="1" customHeight="1" x14ac:dyDescent="0.25">
      <c r="A2794" s="12" t="s">
        <v>4038</v>
      </c>
      <c r="B2794" s="12" t="s">
        <v>4039</v>
      </c>
      <c r="C2794" s="14">
        <v>1735</v>
      </c>
      <c r="D2794" s="12"/>
      <c r="E2794" s="14"/>
    </row>
    <row r="2795" spans="1:5" ht="23.1" hidden="1" customHeight="1" x14ac:dyDescent="0.25">
      <c r="A2795" s="12" t="s">
        <v>4040</v>
      </c>
      <c r="B2795" s="12" t="s">
        <v>4039</v>
      </c>
      <c r="C2795" s="14">
        <v>1735</v>
      </c>
      <c r="D2795" s="12"/>
      <c r="E2795" s="14"/>
    </row>
    <row r="2796" spans="1:5" ht="11.1" hidden="1" customHeight="1" x14ac:dyDescent="0.25">
      <c r="A2796" s="12" t="s">
        <v>4041</v>
      </c>
      <c r="B2796" s="12" t="s">
        <v>4039</v>
      </c>
      <c r="C2796" s="14">
        <v>2191.66</v>
      </c>
      <c r="D2796" s="12"/>
      <c r="E2796" s="14"/>
    </row>
    <row r="2797" spans="1:5" ht="11.1" hidden="1" customHeight="1" x14ac:dyDescent="0.25">
      <c r="A2797" s="12" t="s">
        <v>4042</v>
      </c>
      <c r="B2797" s="12" t="s">
        <v>4043</v>
      </c>
      <c r="C2797" s="14">
        <v>406.67</v>
      </c>
      <c r="D2797" s="12"/>
      <c r="E2797" s="13"/>
    </row>
    <row r="2798" spans="1:5" ht="11.1" hidden="1" customHeight="1" x14ac:dyDescent="0.25">
      <c r="A2798" s="12" t="s">
        <v>4044</v>
      </c>
      <c r="B2798" s="12" t="s">
        <v>4045</v>
      </c>
      <c r="C2798" s="14">
        <v>1617</v>
      </c>
      <c r="D2798" s="12"/>
      <c r="E2798" s="14"/>
    </row>
    <row r="2799" spans="1:5" ht="11.1" hidden="1" customHeight="1" x14ac:dyDescent="0.25">
      <c r="A2799" s="12" t="s">
        <v>4046</v>
      </c>
      <c r="B2799" s="12" t="s">
        <v>2162</v>
      </c>
      <c r="C2799" s="14">
        <v>70.83</v>
      </c>
      <c r="D2799" s="12"/>
      <c r="E2799" s="13"/>
    </row>
    <row r="2800" spans="1:5" ht="11.1" hidden="1" customHeight="1" x14ac:dyDescent="0.25">
      <c r="A2800" s="12" t="s">
        <v>4047</v>
      </c>
      <c r="B2800" s="12" t="s">
        <v>2107</v>
      </c>
      <c r="C2800" s="14">
        <v>52.18</v>
      </c>
      <c r="D2800" s="12"/>
      <c r="E2800" s="13"/>
    </row>
    <row r="2801" spans="1:5" ht="11.1" hidden="1" customHeight="1" x14ac:dyDescent="0.25">
      <c r="A2801" s="12" t="s">
        <v>4048</v>
      </c>
      <c r="B2801" s="12" t="s">
        <v>2053</v>
      </c>
      <c r="C2801" s="14">
        <v>170</v>
      </c>
      <c r="D2801" s="12"/>
      <c r="E2801" s="13"/>
    </row>
    <row r="2802" spans="1:5" ht="11.1" hidden="1" customHeight="1" x14ac:dyDescent="0.25">
      <c r="A2802" s="12" t="s">
        <v>4049</v>
      </c>
      <c r="B2802" s="12" t="s">
        <v>2802</v>
      </c>
      <c r="C2802" s="14">
        <v>983.33</v>
      </c>
      <c r="D2802" s="12"/>
      <c r="E2802" s="13"/>
    </row>
    <row r="2803" spans="1:5" ht="11.1" hidden="1" customHeight="1" x14ac:dyDescent="0.25">
      <c r="A2803" s="12" t="s">
        <v>4050</v>
      </c>
      <c r="B2803" s="12" t="s">
        <v>2044</v>
      </c>
      <c r="C2803" s="14">
        <v>354.16</v>
      </c>
      <c r="D2803" s="12"/>
      <c r="E2803" s="13"/>
    </row>
    <row r="2804" spans="1:5" ht="23.1" hidden="1" customHeight="1" x14ac:dyDescent="0.25">
      <c r="A2804" s="12" t="s">
        <v>4051</v>
      </c>
      <c r="B2804" s="12" t="s">
        <v>3605</v>
      </c>
      <c r="C2804" s="14">
        <v>585.83000000000004</v>
      </c>
      <c r="D2804" s="12"/>
      <c r="E2804" s="13"/>
    </row>
    <row r="2805" spans="1:5" ht="11.1" hidden="1" customHeight="1" x14ac:dyDescent="0.25">
      <c r="A2805" s="12" t="s">
        <v>4052</v>
      </c>
      <c r="B2805" s="12" t="s">
        <v>1151</v>
      </c>
      <c r="C2805" s="14">
        <v>50.83</v>
      </c>
      <c r="D2805" s="12"/>
      <c r="E2805" s="13"/>
    </row>
    <row r="2806" spans="1:5" ht="23.1" hidden="1" customHeight="1" x14ac:dyDescent="0.25">
      <c r="A2806" s="12" t="s">
        <v>4053</v>
      </c>
      <c r="B2806" s="12" t="s">
        <v>663</v>
      </c>
      <c r="C2806" s="14">
        <v>450.84</v>
      </c>
      <c r="D2806" s="12"/>
      <c r="E2806" s="13"/>
    </row>
    <row r="2807" spans="1:5" ht="11.1" hidden="1" customHeight="1" x14ac:dyDescent="0.25">
      <c r="A2807" s="12" t="s">
        <v>4054</v>
      </c>
      <c r="B2807" s="12" t="s">
        <v>4055</v>
      </c>
      <c r="C2807" s="14">
        <v>1.64</v>
      </c>
      <c r="D2807" s="12"/>
      <c r="E2807" s="13"/>
    </row>
    <row r="2808" spans="1:5" ht="11.1" hidden="1" customHeight="1" x14ac:dyDescent="0.25">
      <c r="A2808" s="12" t="s">
        <v>4056</v>
      </c>
      <c r="B2808" s="12" t="s">
        <v>3421</v>
      </c>
      <c r="C2808" s="14">
        <v>109.17</v>
      </c>
      <c r="D2808" s="12"/>
      <c r="E2808" s="13"/>
    </row>
    <row r="2809" spans="1:5" ht="23.1" hidden="1" customHeight="1" x14ac:dyDescent="0.25">
      <c r="A2809" s="12" t="s">
        <v>4057</v>
      </c>
      <c r="B2809" s="12" t="s">
        <v>4055</v>
      </c>
      <c r="C2809" s="14">
        <v>1.31</v>
      </c>
      <c r="D2809" s="12"/>
      <c r="E2809" s="13"/>
    </row>
    <row r="2810" spans="1:5" ht="11.1" hidden="1" customHeight="1" x14ac:dyDescent="0.25">
      <c r="A2810" s="12" t="s">
        <v>4058</v>
      </c>
      <c r="B2810" s="12" t="s">
        <v>309</v>
      </c>
      <c r="C2810" s="14">
        <v>30.83</v>
      </c>
      <c r="D2810" s="12"/>
      <c r="E2810" s="13"/>
    </row>
    <row r="2811" spans="1:5" ht="23.1" hidden="1" customHeight="1" x14ac:dyDescent="0.25">
      <c r="A2811" s="12" t="s">
        <v>4059</v>
      </c>
      <c r="B2811" s="12" t="s">
        <v>4060</v>
      </c>
      <c r="C2811" s="14">
        <v>660.83</v>
      </c>
      <c r="D2811" s="12"/>
      <c r="E2811" s="13"/>
    </row>
    <row r="2812" spans="1:5" ht="11.1" hidden="1" customHeight="1" x14ac:dyDescent="0.25">
      <c r="A2812" s="12" t="s">
        <v>4061</v>
      </c>
      <c r="B2812" s="12" t="s">
        <v>4060</v>
      </c>
      <c r="C2812" s="14">
        <v>881.67</v>
      </c>
      <c r="D2812" s="12"/>
      <c r="E2812" s="13"/>
    </row>
    <row r="2813" spans="1:5" ht="23.1" hidden="1" customHeight="1" x14ac:dyDescent="0.25">
      <c r="A2813" s="12" t="s">
        <v>4062</v>
      </c>
      <c r="B2813" s="12" t="s">
        <v>292</v>
      </c>
      <c r="C2813" s="14">
        <v>220</v>
      </c>
      <c r="D2813" s="12"/>
      <c r="E2813" s="13"/>
    </row>
    <row r="2814" spans="1:5" ht="11.1" hidden="1" customHeight="1" x14ac:dyDescent="0.25">
      <c r="A2814" s="12" t="s">
        <v>4063</v>
      </c>
      <c r="B2814" s="12" t="s">
        <v>292</v>
      </c>
      <c r="C2814" s="14">
        <v>665</v>
      </c>
      <c r="D2814" s="12"/>
      <c r="E2814" s="13"/>
    </row>
    <row r="2815" spans="1:5" ht="11.1" hidden="1" customHeight="1" x14ac:dyDescent="0.25">
      <c r="A2815" s="12" t="s">
        <v>4064</v>
      </c>
      <c r="B2815" s="12" t="s">
        <v>4065</v>
      </c>
      <c r="C2815" s="14">
        <v>325.83</v>
      </c>
      <c r="D2815" s="12"/>
      <c r="E2815" s="13"/>
    </row>
    <row r="2816" spans="1:5" ht="23.1" hidden="1" customHeight="1" x14ac:dyDescent="0.25">
      <c r="A2816" s="12" t="s">
        <v>4066</v>
      </c>
      <c r="B2816" s="12" t="s">
        <v>761</v>
      </c>
      <c r="C2816" s="14">
        <v>7.5</v>
      </c>
      <c r="D2816" s="12"/>
      <c r="E2816" s="13"/>
    </row>
    <row r="2817" spans="1:5" ht="11.1" hidden="1" customHeight="1" x14ac:dyDescent="0.25">
      <c r="A2817" s="12" t="s">
        <v>4067</v>
      </c>
      <c r="B2817" s="12" t="s">
        <v>545</v>
      </c>
      <c r="C2817" s="14">
        <v>77.5</v>
      </c>
      <c r="D2817" s="12"/>
      <c r="E2817" s="13"/>
    </row>
    <row r="2818" spans="1:5" ht="23.1" hidden="1" customHeight="1" x14ac:dyDescent="0.25">
      <c r="A2818" s="12" t="s">
        <v>4068</v>
      </c>
      <c r="B2818" s="12" t="s">
        <v>4069</v>
      </c>
      <c r="C2818" s="14">
        <v>540</v>
      </c>
      <c r="D2818" s="12"/>
      <c r="E2818" s="13"/>
    </row>
    <row r="2819" spans="1:5" ht="11.1" hidden="1" customHeight="1" x14ac:dyDescent="0.25">
      <c r="A2819" s="12" t="s">
        <v>4070</v>
      </c>
      <c r="B2819" s="12" t="s">
        <v>4071</v>
      </c>
      <c r="C2819" s="14">
        <v>15000</v>
      </c>
      <c r="D2819" s="12"/>
      <c r="E2819" s="14"/>
    </row>
    <row r="2820" spans="1:5" ht="23.1" hidden="1" customHeight="1" x14ac:dyDescent="0.25">
      <c r="A2820" s="12" t="s">
        <v>4072</v>
      </c>
      <c r="B2820" s="12" t="s">
        <v>4034</v>
      </c>
      <c r="C2820" s="14">
        <v>170</v>
      </c>
      <c r="D2820" s="12"/>
      <c r="E2820" s="13"/>
    </row>
    <row r="2821" spans="1:5" ht="11.1" hidden="1" customHeight="1" x14ac:dyDescent="0.25">
      <c r="A2821" s="12" t="s">
        <v>4073</v>
      </c>
      <c r="B2821" s="12" t="s">
        <v>4074</v>
      </c>
      <c r="C2821" s="14">
        <v>2168.33</v>
      </c>
      <c r="D2821" s="12"/>
      <c r="E2821" s="14"/>
    </row>
    <row r="2822" spans="1:5" ht="23.1" hidden="1" customHeight="1" x14ac:dyDescent="0.25">
      <c r="A2822" s="12" t="s">
        <v>4075</v>
      </c>
      <c r="B2822" s="12" t="s">
        <v>4076</v>
      </c>
      <c r="C2822" s="14">
        <v>8131.68</v>
      </c>
      <c r="D2822" s="12"/>
      <c r="E2822" s="14"/>
    </row>
    <row r="2823" spans="1:5" ht="11.1" hidden="1" customHeight="1" x14ac:dyDescent="0.25">
      <c r="A2823" s="12" t="s">
        <v>4077</v>
      </c>
      <c r="B2823" s="12" t="s">
        <v>4078</v>
      </c>
      <c r="C2823" s="14">
        <v>4390.83</v>
      </c>
      <c r="D2823" s="12"/>
      <c r="E2823" s="14"/>
    </row>
    <row r="2824" spans="1:5" ht="23.1" hidden="1" customHeight="1" x14ac:dyDescent="0.25">
      <c r="A2824" s="12" t="s">
        <v>4079</v>
      </c>
      <c r="B2824" s="12" t="s">
        <v>4080</v>
      </c>
      <c r="C2824" s="14">
        <v>3396.36</v>
      </c>
      <c r="D2824" s="12"/>
      <c r="E2824" s="14"/>
    </row>
    <row r="2825" spans="1:5" ht="11.1" hidden="1" customHeight="1" x14ac:dyDescent="0.25">
      <c r="A2825" s="12" t="s">
        <v>4081</v>
      </c>
      <c r="B2825" s="12" t="s">
        <v>4082</v>
      </c>
      <c r="C2825" s="14">
        <v>6410.19</v>
      </c>
      <c r="D2825" s="12"/>
      <c r="E2825" s="14"/>
    </row>
    <row r="2826" spans="1:5" ht="23.1" hidden="1" customHeight="1" x14ac:dyDescent="0.25">
      <c r="A2826" s="12" t="s">
        <v>4083</v>
      </c>
      <c r="B2826" s="12" t="s">
        <v>4084</v>
      </c>
      <c r="C2826" s="14">
        <v>4408.33</v>
      </c>
      <c r="D2826" s="12"/>
      <c r="E2826" s="14"/>
    </row>
    <row r="2827" spans="1:5" ht="11.1" hidden="1" customHeight="1" x14ac:dyDescent="0.25">
      <c r="A2827" s="12" t="s">
        <v>4085</v>
      </c>
      <c r="B2827" s="12" t="s">
        <v>4086</v>
      </c>
      <c r="C2827" s="14">
        <v>3659.33</v>
      </c>
      <c r="D2827" s="12"/>
      <c r="E2827" s="14"/>
    </row>
    <row r="2828" spans="1:5" ht="23.1" hidden="1" customHeight="1" x14ac:dyDescent="0.25">
      <c r="A2828" s="12" t="s">
        <v>4087</v>
      </c>
      <c r="B2828" s="12" t="s">
        <v>4088</v>
      </c>
      <c r="C2828" s="14">
        <v>3737.56</v>
      </c>
      <c r="D2828" s="12"/>
      <c r="E2828" s="14"/>
    </row>
    <row r="2829" spans="1:5" ht="11.1" hidden="1" customHeight="1" x14ac:dyDescent="0.25">
      <c r="A2829" s="12" t="s">
        <v>4089</v>
      </c>
      <c r="B2829" s="12" t="s">
        <v>4090</v>
      </c>
      <c r="C2829" s="14">
        <v>6158.33</v>
      </c>
      <c r="D2829" s="12"/>
      <c r="E2829" s="14"/>
    </row>
    <row r="2830" spans="1:5" ht="23.1" hidden="1" customHeight="1" x14ac:dyDescent="0.25">
      <c r="A2830" s="12" t="s">
        <v>4091</v>
      </c>
      <c r="B2830" s="12" t="s">
        <v>4092</v>
      </c>
      <c r="C2830" s="14">
        <v>67316.67</v>
      </c>
      <c r="D2830" s="12"/>
      <c r="E2830" s="14"/>
    </row>
    <row r="2831" spans="1:5" ht="11.1" hidden="1" customHeight="1" x14ac:dyDescent="0.25">
      <c r="A2831" s="12" t="s">
        <v>4093</v>
      </c>
      <c r="B2831" s="12" t="s">
        <v>482</v>
      </c>
      <c r="C2831" s="14">
        <v>32616.67</v>
      </c>
      <c r="D2831" s="12"/>
      <c r="E2831" s="14"/>
    </row>
    <row r="2832" spans="1:5" ht="23.1" hidden="1" customHeight="1" x14ac:dyDescent="0.25">
      <c r="A2832" s="12" t="s">
        <v>4094</v>
      </c>
      <c r="B2832" s="12" t="s">
        <v>4095</v>
      </c>
      <c r="C2832" s="14">
        <v>570</v>
      </c>
      <c r="D2832" s="12"/>
      <c r="E2832" s="13"/>
    </row>
    <row r="2833" spans="1:5" ht="11.1" hidden="1" customHeight="1" x14ac:dyDescent="0.25">
      <c r="A2833" s="12" t="s">
        <v>4096</v>
      </c>
      <c r="B2833" s="12" t="s">
        <v>1540</v>
      </c>
      <c r="C2833" s="14">
        <v>744.45</v>
      </c>
      <c r="D2833" s="12"/>
      <c r="E2833" s="13"/>
    </row>
    <row r="2834" spans="1:5" ht="11.1" hidden="1" customHeight="1" x14ac:dyDescent="0.25">
      <c r="A2834" s="12" t="s">
        <v>4097</v>
      </c>
      <c r="B2834" s="12" t="s">
        <v>4098</v>
      </c>
      <c r="C2834" s="14">
        <v>2125</v>
      </c>
      <c r="D2834" s="12"/>
      <c r="E2834" s="14"/>
    </row>
    <row r="2835" spans="1:5" ht="11.1" hidden="1" customHeight="1" x14ac:dyDescent="0.25">
      <c r="A2835" s="12" t="s">
        <v>4099</v>
      </c>
      <c r="B2835" s="12" t="s">
        <v>4100</v>
      </c>
      <c r="C2835" s="14">
        <v>5083.33</v>
      </c>
      <c r="D2835" s="12"/>
      <c r="E2835" s="14"/>
    </row>
    <row r="2836" spans="1:5" ht="11.1" hidden="1" customHeight="1" x14ac:dyDescent="0.25">
      <c r="A2836" s="12" t="s">
        <v>4101</v>
      </c>
      <c r="B2836" s="12" t="s">
        <v>4102</v>
      </c>
      <c r="C2836" s="14">
        <v>2249.17</v>
      </c>
      <c r="D2836" s="12"/>
      <c r="E2836" s="14"/>
    </row>
    <row r="2837" spans="1:5" ht="23.1" hidden="1" customHeight="1" x14ac:dyDescent="0.25">
      <c r="A2837" s="12" t="s">
        <v>4103</v>
      </c>
      <c r="B2837" s="12" t="s">
        <v>4104</v>
      </c>
      <c r="C2837" s="14">
        <v>2070.83</v>
      </c>
      <c r="D2837" s="12"/>
      <c r="E2837" s="14"/>
    </row>
    <row r="2838" spans="1:5" ht="11.1" hidden="1" customHeight="1" x14ac:dyDescent="0.25">
      <c r="A2838" s="12" t="s">
        <v>4105</v>
      </c>
      <c r="B2838" s="12" t="s">
        <v>4102</v>
      </c>
      <c r="C2838" s="14">
        <v>7249.17</v>
      </c>
      <c r="D2838" s="12"/>
      <c r="E2838" s="14"/>
    </row>
    <row r="2839" spans="1:5" ht="23.1" hidden="1" customHeight="1" x14ac:dyDescent="0.25">
      <c r="A2839" s="12" t="s">
        <v>4106</v>
      </c>
      <c r="B2839" s="12" t="s">
        <v>4107</v>
      </c>
      <c r="C2839" s="14">
        <v>3760</v>
      </c>
      <c r="D2839" s="12"/>
      <c r="E2839" s="14"/>
    </row>
    <row r="2840" spans="1:5" ht="11.1" hidden="1" customHeight="1" x14ac:dyDescent="0.25">
      <c r="A2840" s="12" t="s">
        <v>4108</v>
      </c>
      <c r="B2840" s="12" t="s">
        <v>4109</v>
      </c>
      <c r="C2840" s="14">
        <v>42374.23</v>
      </c>
      <c r="D2840" s="12"/>
      <c r="E2840" s="14"/>
    </row>
    <row r="2841" spans="1:5" ht="23.1" hidden="1" customHeight="1" x14ac:dyDescent="0.25">
      <c r="A2841" s="12" t="s">
        <v>4110</v>
      </c>
      <c r="B2841" s="12" t="s">
        <v>4111</v>
      </c>
      <c r="C2841" s="14">
        <v>3987.5</v>
      </c>
      <c r="D2841" s="12"/>
      <c r="E2841" s="14"/>
    </row>
    <row r="2842" spans="1:5" ht="11.1" hidden="1" customHeight="1" x14ac:dyDescent="0.25">
      <c r="A2842" s="12" t="s">
        <v>4112</v>
      </c>
      <c r="B2842" s="12" t="s">
        <v>270</v>
      </c>
      <c r="C2842" s="14">
        <v>77.5</v>
      </c>
      <c r="D2842" s="12"/>
      <c r="E2842" s="13"/>
    </row>
    <row r="2843" spans="1:5" ht="23.1" hidden="1" customHeight="1" x14ac:dyDescent="0.25">
      <c r="A2843" s="12" t="s">
        <v>4113</v>
      </c>
      <c r="B2843" s="12" t="s">
        <v>733</v>
      </c>
      <c r="C2843" s="14">
        <v>29.17</v>
      </c>
      <c r="D2843" s="12"/>
      <c r="E2843" s="13"/>
    </row>
    <row r="2844" spans="1:5" ht="11.1" hidden="1" customHeight="1" x14ac:dyDescent="0.25">
      <c r="A2844" s="12" t="s">
        <v>4114</v>
      </c>
      <c r="B2844" s="12" t="s">
        <v>1654</v>
      </c>
      <c r="C2844" s="14">
        <v>70.83</v>
      </c>
      <c r="D2844" s="12"/>
      <c r="E2844" s="13"/>
    </row>
    <row r="2845" spans="1:5" ht="23.1" hidden="1" customHeight="1" x14ac:dyDescent="0.25">
      <c r="A2845" s="12" t="s">
        <v>4115</v>
      </c>
      <c r="B2845" s="12" t="s">
        <v>1654</v>
      </c>
      <c r="C2845" s="14">
        <v>127.5</v>
      </c>
      <c r="D2845" s="12"/>
      <c r="E2845" s="13"/>
    </row>
    <row r="2846" spans="1:5" ht="11.1" hidden="1" customHeight="1" x14ac:dyDescent="0.25">
      <c r="A2846" s="12" t="s">
        <v>4116</v>
      </c>
      <c r="B2846" s="12" t="s">
        <v>738</v>
      </c>
      <c r="C2846" s="14">
        <v>290</v>
      </c>
      <c r="D2846" s="12"/>
      <c r="E2846" s="13"/>
    </row>
    <row r="2847" spans="1:5" ht="23.1" hidden="1" customHeight="1" x14ac:dyDescent="0.25">
      <c r="A2847" s="12" t="s">
        <v>4117</v>
      </c>
      <c r="B2847" s="12" t="s">
        <v>1654</v>
      </c>
      <c r="C2847" s="14">
        <v>247.5</v>
      </c>
      <c r="D2847" s="12"/>
      <c r="E2847" s="13"/>
    </row>
    <row r="2848" spans="1:5" ht="11.1" hidden="1" customHeight="1" x14ac:dyDescent="0.25">
      <c r="A2848" s="12" t="s">
        <v>4118</v>
      </c>
      <c r="B2848" s="12" t="s">
        <v>4119</v>
      </c>
      <c r="C2848" s="14">
        <v>116.08</v>
      </c>
      <c r="D2848" s="12"/>
      <c r="E2848" s="13"/>
    </row>
    <row r="2849" spans="1:5" ht="23.1" hidden="1" customHeight="1" x14ac:dyDescent="0.25">
      <c r="A2849" s="12" t="s">
        <v>4120</v>
      </c>
      <c r="B2849" s="12" t="s">
        <v>2335</v>
      </c>
      <c r="C2849" s="14">
        <v>20533.330000000002</v>
      </c>
      <c r="D2849" s="12"/>
      <c r="E2849" s="14"/>
    </row>
    <row r="2850" spans="1:5" ht="11.1" hidden="1" customHeight="1" x14ac:dyDescent="0.25">
      <c r="A2850" s="12" t="s">
        <v>4121</v>
      </c>
      <c r="B2850" s="12" t="s">
        <v>3032</v>
      </c>
      <c r="C2850" s="14">
        <v>450</v>
      </c>
      <c r="D2850" s="12"/>
      <c r="E2850" s="13"/>
    </row>
    <row r="2851" spans="1:5" ht="23.1" hidden="1" customHeight="1" x14ac:dyDescent="0.25">
      <c r="A2851" s="12" t="s">
        <v>4122</v>
      </c>
      <c r="B2851" s="12" t="s">
        <v>4123</v>
      </c>
      <c r="C2851" s="14">
        <v>80.569999999999993</v>
      </c>
      <c r="D2851" s="12"/>
      <c r="E2851" s="13"/>
    </row>
    <row r="2852" spans="1:5" ht="11.1" hidden="1" customHeight="1" x14ac:dyDescent="0.25">
      <c r="A2852" s="12" t="s">
        <v>4124</v>
      </c>
      <c r="B2852" s="12" t="s">
        <v>4125</v>
      </c>
      <c r="C2852" s="14">
        <v>1100</v>
      </c>
      <c r="D2852" s="12"/>
      <c r="E2852" s="14"/>
    </row>
    <row r="2853" spans="1:5" ht="23.1" hidden="1" customHeight="1" x14ac:dyDescent="0.25">
      <c r="A2853" s="12" t="s">
        <v>4126</v>
      </c>
      <c r="B2853" s="12" t="s">
        <v>358</v>
      </c>
      <c r="C2853" s="14">
        <v>1682.5</v>
      </c>
      <c r="D2853" s="12"/>
      <c r="E2853" s="14"/>
    </row>
    <row r="2854" spans="1:5" ht="11.1" hidden="1" customHeight="1" x14ac:dyDescent="0.25">
      <c r="A2854" s="12" t="s">
        <v>4127</v>
      </c>
      <c r="B2854" s="12" t="s">
        <v>1359</v>
      </c>
      <c r="C2854" s="14">
        <v>1940.83</v>
      </c>
      <c r="D2854" s="12"/>
      <c r="E2854" s="14"/>
    </row>
    <row r="2855" spans="1:5" ht="23.1" hidden="1" customHeight="1" x14ac:dyDescent="0.25">
      <c r="A2855" s="12" t="s">
        <v>4128</v>
      </c>
      <c r="B2855" s="12" t="s">
        <v>1000</v>
      </c>
      <c r="C2855" s="14">
        <v>1071.67</v>
      </c>
      <c r="D2855" s="12"/>
      <c r="E2855" s="14"/>
    </row>
    <row r="2856" spans="1:5" ht="11.1" hidden="1" customHeight="1" x14ac:dyDescent="0.25">
      <c r="A2856" s="12" t="s">
        <v>4129</v>
      </c>
      <c r="B2856" s="12" t="s">
        <v>1554</v>
      </c>
      <c r="C2856" s="14">
        <v>1420.83</v>
      </c>
      <c r="D2856" s="12"/>
      <c r="E2856" s="14"/>
    </row>
    <row r="2857" spans="1:5" ht="23.1" hidden="1" customHeight="1" x14ac:dyDescent="0.25">
      <c r="A2857" s="12" t="s">
        <v>4130</v>
      </c>
      <c r="B2857" s="12" t="s">
        <v>257</v>
      </c>
      <c r="C2857" s="14">
        <v>658.07</v>
      </c>
      <c r="D2857" s="12"/>
      <c r="E2857" s="13"/>
    </row>
    <row r="2858" spans="1:5" ht="23.1" hidden="1" customHeight="1" x14ac:dyDescent="0.25">
      <c r="A2858" s="12" t="s">
        <v>4131</v>
      </c>
      <c r="B2858" s="12" t="s">
        <v>4132</v>
      </c>
      <c r="C2858" s="14">
        <v>9065.25</v>
      </c>
      <c r="D2858" s="12"/>
      <c r="E2858" s="14"/>
    </row>
    <row r="2859" spans="1:5" ht="11.1" hidden="1" customHeight="1" x14ac:dyDescent="0.25">
      <c r="A2859" s="12" t="s">
        <v>4133</v>
      </c>
      <c r="B2859" s="12" t="s">
        <v>2258</v>
      </c>
      <c r="C2859" s="14">
        <v>9065.25</v>
      </c>
      <c r="D2859" s="12"/>
      <c r="E2859" s="14"/>
    </row>
    <row r="2860" spans="1:5" ht="11.1" hidden="1" customHeight="1" x14ac:dyDescent="0.25">
      <c r="A2860" s="12" t="s">
        <v>4134</v>
      </c>
      <c r="B2860" s="12" t="s">
        <v>4132</v>
      </c>
      <c r="C2860" s="14">
        <v>9065.25</v>
      </c>
      <c r="D2860" s="12"/>
      <c r="E2860" s="14"/>
    </row>
    <row r="2861" spans="1:5" ht="23.1" hidden="1" customHeight="1" x14ac:dyDescent="0.25">
      <c r="A2861" s="12" t="s">
        <v>4135</v>
      </c>
      <c r="B2861" s="12" t="s">
        <v>4132</v>
      </c>
      <c r="C2861" s="14">
        <v>9065.25</v>
      </c>
      <c r="D2861" s="12"/>
      <c r="E2861" s="14"/>
    </row>
    <row r="2862" spans="1:5" ht="23.1" hidden="1" customHeight="1" x14ac:dyDescent="0.25">
      <c r="A2862" s="12" t="s">
        <v>4136</v>
      </c>
      <c r="B2862" s="12" t="s">
        <v>2256</v>
      </c>
      <c r="C2862" s="14">
        <v>9065.25</v>
      </c>
      <c r="D2862" s="12"/>
      <c r="E2862" s="14"/>
    </row>
    <row r="2863" spans="1:5" ht="23.1" hidden="1" customHeight="1" x14ac:dyDescent="0.25">
      <c r="A2863" s="12" t="s">
        <v>4137</v>
      </c>
      <c r="B2863" s="12" t="s">
        <v>4138</v>
      </c>
      <c r="C2863" s="14">
        <v>2832.63</v>
      </c>
      <c r="D2863" s="12"/>
      <c r="E2863" s="14"/>
    </row>
    <row r="2864" spans="1:5" ht="11.1" hidden="1" customHeight="1" x14ac:dyDescent="0.25">
      <c r="A2864" s="12" t="s">
        <v>4139</v>
      </c>
      <c r="B2864" s="12" t="s">
        <v>2244</v>
      </c>
      <c r="C2864" s="14">
        <v>2832.63</v>
      </c>
      <c r="D2864" s="12"/>
      <c r="E2864" s="14"/>
    </row>
    <row r="2865" spans="1:5" ht="11.1" hidden="1" customHeight="1" x14ac:dyDescent="0.25">
      <c r="A2865" s="12" t="s">
        <v>4140</v>
      </c>
      <c r="B2865" s="12" t="s">
        <v>2244</v>
      </c>
      <c r="C2865" s="14">
        <v>2832.62</v>
      </c>
      <c r="D2865" s="12"/>
      <c r="E2865" s="14"/>
    </row>
    <row r="2866" spans="1:5" ht="11.1" hidden="1" customHeight="1" x14ac:dyDescent="0.25">
      <c r="A2866" s="12" t="s">
        <v>4141</v>
      </c>
      <c r="B2866" s="12" t="s">
        <v>3985</v>
      </c>
      <c r="C2866" s="14">
        <v>2832.63</v>
      </c>
      <c r="D2866" s="12"/>
      <c r="E2866" s="14"/>
    </row>
    <row r="2867" spans="1:5" ht="11.1" hidden="1" customHeight="1" x14ac:dyDescent="0.25">
      <c r="A2867" s="12" t="s">
        <v>4142</v>
      </c>
      <c r="B2867" s="12" t="s">
        <v>4138</v>
      </c>
      <c r="C2867" s="14">
        <v>2832.63</v>
      </c>
      <c r="D2867" s="12"/>
      <c r="E2867" s="14"/>
    </row>
    <row r="2868" spans="1:5" ht="11.1" hidden="1" customHeight="1" x14ac:dyDescent="0.25">
      <c r="A2868" s="42" t="s">
        <v>4143</v>
      </c>
      <c r="B2868" s="42" t="s">
        <v>2100</v>
      </c>
      <c r="C2868" s="43">
        <v>771.67</v>
      </c>
      <c r="D2868" s="12"/>
      <c r="E2868" s="13"/>
    </row>
    <row r="2869" spans="1:5" ht="11.1" hidden="1" customHeight="1" x14ac:dyDescent="0.25">
      <c r="A2869" s="12" t="s">
        <v>4144</v>
      </c>
      <c r="B2869" s="12" t="s">
        <v>1245</v>
      </c>
      <c r="C2869" s="14">
        <v>1734.17</v>
      </c>
      <c r="D2869" s="12"/>
      <c r="E2869" s="14"/>
    </row>
    <row r="2870" spans="1:5" ht="11.1" hidden="1" customHeight="1" x14ac:dyDescent="0.25">
      <c r="A2870" s="12" t="s">
        <v>4145</v>
      </c>
      <c r="B2870" s="12" t="s">
        <v>2176</v>
      </c>
      <c r="C2870" s="14">
        <v>13690</v>
      </c>
      <c r="D2870" s="12"/>
      <c r="E2870" s="14"/>
    </row>
    <row r="2871" spans="1:5" ht="11.1" hidden="1" customHeight="1" x14ac:dyDescent="0.25">
      <c r="A2871" s="12" t="s">
        <v>4146</v>
      </c>
      <c r="B2871" s="12" t="s">
        <v>4147</v>
      </c>
      <c r="C2871" s="14">
        <v>23.18</v>
      </c>
      <c r="D2871" s="12"/>
      <c r="E2871" s="13"/>
    </row>
    <row r="2872" spans="1:5" ht="11.1" hidden="1" customHeight="1" x14ac:dyDescent="0.25">
      <c r="A2872" s="12" t="s">
        <v>4148</v>
      </c>
      <c r="B2872" s="12" t="s">
        <v>1687</v>
      </c>
      <c r="C2872" s="14">
        <v>15</v>
      </c>
      <c r="D2872" s="12"/>
      <c r="E2872" s="13"/>
    </row>
    <row r="2873" spans="1:5" ht="11.1" hidden="1" customHeight="1" x14ac:dyDescent="0.25">
      <c r="A2873" s="12" t="s">
        <v>4149</v>
      </c>
      <c r="B2873" s="12" t="s">
        <v>4150</v>
      </c>
      <c r="C2873" s="14">
        <v>6416.67</v>
      </c>
      <c r="D2873" s="12"/>
      <c r="E2873" s="14"/>
    </row>
    <row r="2874" spans="1:5" ht="11.1" hidden="1" customHeight="1" x14ac:dyDescent="0.25">
      <c r="A2874" s="12" t="s">
        <v>4151</v>
      </c>
      <c r="B2874" s="12" t="s">
        <v>1405</v>
      </c>
      <c r="C2874" s="14">
        <v>2788.33</v>
      </c>
      <c r="D2874" s="12"/>
      <c r="E2874" s="14"/>
    </row>
    <row r="2875" spans="1:5" ht="11.1" hidden="1" customHeight="1" x14ac:dyDescent="0.25">
      <c r="A2875" s="12" t="s">
        <v>4152</v>
      </c>
      <c r="B2875" s="12" t="s">
        <v>545</v>
      </c>
      <c r="C2875" s="14">
        <v>480</v>
      </c>
      <c r="D2875" s="12"/>
      <c r="E2875" s="13"/>
    </row>
    <row r="2876" spans="1:5" ht="11.1" hidden="1" customHeight="1" x14ac:dyDescent="0.25">
      <c r="A2876" s="12" t="s">
        <v>4153</v>
      </c>
      <c r="B2876" s="12" t="s">
        <v>818</v>
      </c>
      <c r="C2876" s="14">
        <v>312.5</v>
      </c>
      <c r="D2876" s="12"/>
      <c r="E2876" s="13"/>
    </row>
    <row r="2877" spans="1:5" ht="11.1" hidden="1" customHeight="1" x14ac:dyDescent="0.25">
      <c r="A2877" s="12" t="s">
        <v>4154</v>
      </c>
      <c r="B2877" s="12" t="s">
        <v>4155</v>
      </c>
      <c r="C2877" s="14">
        <v>291.67</v>
      </c>
      <c r="D2877" s="12"/>
      <c r="E2877" s="13"/>
    </row>
    <row r="2878" spans="1:5" ht="11.1" hidden="1" customHeight="1" x14ac:dyDescent="0.25">
      <c r="A2878" s="12" t="s">
        <v>4156</v>
      </c>
      <c r="B2878" s="12" t="s">
        <v>4155</v>
      </c>
      <c r="C2878" s="14">
        <v>291.67</v>
      </c>
      <c r="D2878" s="12"/>
      <c r="E2878" s="13"/>
    </row>
    <row r="2879" spans="1:5" ht="11.1" hidden="1" customHeight="1" x14ac:dyDescent="0.25">
      <c r="A2879" s="12" t="s">
        <v>4157</v>
      </c>
      <c r="B2879" s="12" t="s">
        <v>4158</v>
      </c>
      <c r="C2879" s="14">
        <v>640</v>
      </c>
      <c r="D2879" s="12"/>
      <c r="E2879" s="13"/>
    </row>
    <row r="2880" spans="1:5" ht="11.1" hidden="1" customHeight="1" x14ac:dyDescent="0.25">
      <c r="A2880" s="12" t="s">
        <v>4159</v>
      </c>
      <c r="B2880" s="12" t="s">
        <v>1368</v>
      </c>
      <c r="C2880" s="14">
        <v>100.83</v>
      </c>
      <c r="D2880" s="12"/>
      <c r="E2880" s="13"/>
    </row>
    <row r="2881" spans="1:5" ht="11.1" hidden="1" customHeight="1" x14ac:dyDescent="0.25">
      <c r="A2881" s="12" t="s">
        <v>4160</v>
      </c>
      <c r="B2881" s="12" t="s">
        <v>4161</v>
      </c>
      <c r="C2881" s="14">
        <v>1670</v>
      </c>
      <c r="D2881" s="12"/>
      <c r="E2881" s="14"/>
    </row>
    <row r="2882" spans="1:5" ht="11.1" hidden="1" customHeight="1" x14ac:dyDescent="0.25">
      <c r="A2882" s="12" t="s">
        <v>4162</v>
      </c>
      <c r="B2882" s="12" t="s">
        <v>786</v>
      </c>
      <c r="C2882" s="14">
        <v>70</v>
      </c>
      <c r="D2882" s="12"/>
      <c r="E2882" s="13"/>
    </row>
    <row r="2883" spans="1:5" ht="11.1" hidden="1" customHeight="1" x14ac:dyDescent="0.25">
      <c r="A2883" s="12" t="s">
        <v>4163</v>
      </c>
      <c r="B2883" s="12" t="s">
        <v>2113</v>
      </c>
      <c r="C2883" s="14">
        <v>28</v>
      </c>
      <c r="D2883" s="12"/>
      <c r="E2883" s="13"/>
    </row>
    <row r="2884" spans="1:5" ht="11.1" hidden="1" customHeight="1" x14ac:dyDescent="0.25">
      <c r="A2884" s="12" t="s">
        <v>4164</v>
      </c>
      <c r="B2884" s="12" t="s">
        <v>2107</v>
      </c>
      <c r="C2884" s="14">
        <v>27.08</v>
      </c>
      <c r="D2884" s="12"/>
      <c r="E2884" s="13"/>
    </row>
    <row r="2885" spans="1:5" ht="23.1" hidden="1" customHeight="1" x14ac:dyDescent="0.25">
      <c r="A2885" s="12" t="s">
        <v>4165</v>
      </c>
      <c r="B2885" s="12" t="s">
        <v>2529</v>
      </c>
      <c r="C2885" s="14">
        <v>37.53</v>
      </c>
      <c r="D2885" s="12"/>
      <c r="E2885" s="13"/>
    </row>
    <row r="2886" spans="1:5" ht="23.1" hidden="1" customHeight="1" x14ac:dyDescent="0.25">
      <c r="A2886" s="12" t="s">
        <v>4166</v>
      </c>
      <c r="B2886" s="12" t="s">
        <v>4167</v>
      </c>
      <c r="C2886" s="14">
        <v>9476.67</v>
      </c>
      <c r="D2886" s="12"/>
      <c r="E2886" s="14"/>
    </row>
    <row r="2887" spans="1:5" ht="11.1" hidden="1" customHeight="1" x14ac:dyDescent="0.25">
      <c r="A2887" s="12" t="s">
        <v>4168</v>
      </c>
      <c r="B2887" s="12" t="s">
        <v>4169</v>
      </c>
      <c r="C2887" s="14">
        <v>5457500</v>
      </c>
      <c r="D2887" s="12"/>
      <c r="E2887" s="14"/>
    </row>
    <row r="2888" spans="1:5" ht="11.1" hidden="1" customHeight="1" x14ac:dyDescent="0.25">
      <c r="A2888" s="12" t="s">
        <v>4170</v>
      </c>
      <c r="B2888" s="12" t="s">
        <v>4171</v>
      </c>
      <c r="C2888" s="14">
        <v>5457500</v>
      </c>
      <c r="D2888" s="12"/>
      <c r="E2888" s="14"/>
    </row>
    <row r="2889" spans="1:5" ht="11.1" hidden="1" customHeight="1" x14ac:dyDescent="0.25">
      <c r="A2889" s="12" t="s">
        <v>4172</v>
      </c>
      <c r="B2889" s="12" t="s">
        <v>4173</v>
      </c>
      <c r="C2889" s="14">
        <v>1041666.67</v>
      </c>
      <c r="D2889" s="12"/>
      <c r="E2889" s="14"/>
    </row>
    <row r="2890" spans="1:5" ht="11.1" hidden="1" customHeight="1" x14ac:dyDescent="0.25">
      <c r="A2890" s="12" t="s">
        <v>4174</v>
      </c>
      <c r="B2890" s="12" t="s">
        <v>4175</v>
      </c>
      <c r="C2890" s="14">
        <v>4950000</v>
      </c>
      <c r="D2890" s="12"/>
      <c r="E2890" s="14"/>
    </row>
    <row r="2891" spans="1:5" ht="11.1" hidden="1" customHeight="1" x14ac:dyDescent="0.25">
      <c r="A2891" s="12" t="s">
        <v>4176</v>
      </c>
      <c r="B2891" s="12" t="s">
        <v>963</v>
      </c>
      <c r="C2891" s="14">
        <v>145</v>
      </c>
      <c r="D2891" s="12"/>
      <c r="E2891" s="13"/>
    </row>
    <row r="2892" spans="1:5" ht="11.1" hidden="1" customHeight="1" x14ac:dyDescent="0.25">
      <c r="A2892" s="12" t="s">
        <v>4177</v>
      </c>
      <c r="B2892" s="12" t="s">
        <v>1754</v>
      </c>
      <c r="C2892" s="14">
        <v>242.5</v>
      </c>
      <c r="D2892" s="12"/>
      <c r="E2892" s="13"/>
    </row>
    <row r="2893" spans="1:5" ht="11.1" hidden="1" customHeight="1" x14ac:dyDescent="0.25">
      <c r="A2893" s="12" t="s">
        <v>4178</v>
      </c>
      <c r="B2893" s="12" t="s">
        <v>1985</v>
      </c>
      <c r="C2893" s="14">
        <v>650</v>
      </c>
      <c r="D2893" s="12"/>
      <c r="E2893" s="13"/>
    </row>
    <row r="2894" spans="1:5" ht="11.1" hidden="1" customHeight="1" x14ac:dyDescent="0.25">
      <c r="A2894" s="12" t="s">
        <v>4179</v>
      </c>
      <c r="B2894" s="12" t="s">
        <v>2053</v>
      </c>
      <c r="C2894" s="14">
        <v>21.67</v>
      </c>
      <c r="D2894" s="12"/>
      <c r="E2894" s="13"/>
    </row>
    <row r="2895" spans="1:5" ht="11.1" hidden="1" customHeight="1" x14ac:dyDescent="0.25">
      <c r="A2895" s="12" t="s">
        <v>4180</v>
      </c>
      <c r="B2895" s="12" t="s">
        <v>2131</v>
      </c>
      <c r="C2895" s="14">
        <v>1430.83</v>
      </c>
      <c r="D2895" s="12"/>
      <c r="E2895" s="14"/>
    </row>
    <row r="2896" spans="1:5" ht="11.1" hidden="1" customHeight="1" x14ac:dyDescent="0.25">
      <c r="A2896" s="12" t="s">
        <v>4181</v>
      </c>
      <c r="B2896" s="12" t="s">
        <v>2131</v>
      </c>
      <c r="C2896" s="14">
        <v>1578.33</v>
      </c>
      <c r="D2896" s="12"/>
      <c r="E2896" s="14"/>
    </row>
    <row r="2897" spans="1:5" ht="11.1" hidden="1" customHeight="1" x14ac:dyDescent="0.25">
      <c r="A2897" s="12" t="s">
        <v>4182</v>
      </c>
      <c r="B2897" s="12" t="s">
        <v>503</v>
      </c>
      <c r="C2897" s="14">
        <v>1645</v>
      </c>
      <c r="D2897" s="12"/>
      <c r="E2897" s="14"/>
    </row>
    <row r="2898" spans="1:5" ht="11.1" hidden="1" customHeight="1" x14ac:dyDescent="0.25">
      <c r="A2898" s="12" t="s">
        <v>4183</v>
      </c>
      <c r="B2898" s="12" t="s">
        <v>3658</v>
      </c>
      <c r="C2898" s="14">
        <v>1002.5</v>
      </c>
      <c r="D2898" s="12"/>
      <c r="E2898" s="14"/>
    </row>
    <row r="2899" spans="1:5" ht="11.1" hidden="1" customHeight="1" x14ac:dyDescent="0.25">
      <c r="A2899" s="12" t="s">
        <v>4184</v>
      </c>
      <c r="B2899" s="12" t="s">
        <v>4185</v>
      </c>
      <c r="C2899" s="14">
        <v>655.83</v>
      </c>
      <c r="D2899" s="12"/>
      <c r="E2899" s="13"/>
    </row>
    <row r="2900" spans="1:5" ht="11.1" hidden="1" customHeight="1" x14ac:dyDescent="0.25">
      <c r="A2900" s="12" t="s">
        <v>4186</v>
      </c>
      <c r="B2900" s="12" t="s">
        <v>979</v>
      </c>
      <c r="C2900" s="14">
        <v>288.33</v>
      </c>
      <c r="D2900" s="12"/>
      <c r="E2900" s="13"/>
    </row>
    <row r="2901" spans="1:5" ht="11.1" hidden="1" customHeight="1" x14ac:dyDescent="0.25">
      <c r="A2901" s="12" t="s">
        <v>4187</v>
      </c>
      <c r="B2901" s="12" t="s">
        <v>4188</v>
      </c>
      <c r="C2901" s="14">
        <v>225</v>
      </c>
      <c r="D2901" s="12"/>
      <c r="E2901" s="13"/>
    </row>
    <row r="2902" spans="1:5" ht="11.1" hidden="1" customHeight="1" x14ac:dyDescent="0.25">
      <c r="A2902" s="12" t="s">
        <v>4189</v>
      </c>
      <c r="B2902" s="12" t="s">
        <v>741</v>
      </c>
      <c r="C2902" s="14">
        <v>161.66999999999999</v>
      </c>
      <c r="D2902" s="12"/>
      <c r="E2902" s="13"/>
    </row>
    <row r="2903" spans="1:5" ht="11.1" hidden="1" customHeight="1" x14ac:dyDescent="0.25">
      <c r="A2903" s="12" t="s">
        <v>4190</v>
      </c>
      <c r="B2903" s="12" t="s">
        <v>563</v>
      </c>
      <c r="C2903" s="14">
        <v>105</v>
      </c>
      <c r="D2903" s="12"/>
      <c r="E2903" s="13"/>
    </row>
    <row r="2904" spans="1:5" ht="11.1" hidden="1" customHeight="1" x14ac:dyDescent="0.25">
      <c r="A2904" s="12" t="s">
        <v>4191</v>
      </c>
      <c r="B2904" s="12" t="s">
        <v>4192</v>
      </c>
      <c r="C2904" s="14">
        <v>260.83</v>
      </c>
      <c r="D2904" s="12"/>
      <c r="E2904" s="13"/>
    </row>
    <row r="2905" spans="1:5" ht="11.1" hidden="1" customHeight="1" x14ac:dyDescent="0.25">
      <c r="A2905" s="12" t="s">
        <v>4193</v>
      </c>
      <c r="B2905" s="12" t="s">
        <v>4194</v>
      </c>
      <c r="C2905" s="14">
        <v>5070.83</v>
      </c>
      <c r="D2905" s="12"/>
      <c r="E2905" s="14"/>
    </row>
    <row r="2906" spans="1:5" ht="11.1" hidden="1" customHeight="1" x14ac:dyDescent="0.25">
      <c r="A2906" s="12" t="s">
        <v>4195</v>
      </c>
      <c r="B2906" s="12" t="s">
        <v>2284</v>
      </c>
      <c r="C2906" s="14">
        <v>193.33</v>
      </c>
      <c r="D2906" s="12"/>
      <c r="E2906" s="13"/>
    </row>
    <row r="2907" spans="1:5" ht="11.1" hidden="1" customHeight="1" x14ac:dyDescent="0.25">
      <c r="A2907" s="12" t="s">
        <v>4196</v>
      </c>
      <c r="B2907" s="12" t="s">
        <v>4197</v>
      </c>
      <c r="C2907" s="14">
        <v>458.33</v>
      </c>
      <c r="D2907" s="12"/>
      <c r="E2907" s="13"/>
    </row>
    <row r="2908" spans="1:5" ht="11.1" hidden="1" customHeight="1" x14ac:dyDescent="0.25">
      <c r="A2908" s="12" t="s">
        <v>4198</v>
      </c>
      <c r="B2908" s="12" t="s">
        <v>4043</v>
      </c>
      <c r="C2908" s="14">
        <v>1435.83</v>
      </c>
      <c r="D2908" s="12"/>
      <c r="E2908" s="14"/>
    </row>
    <row r="2909" spans="1:5" ht="23.1" hidden="1" customHeight="1" x14ac:dyDescent="0.25">
      <c r="A2909" s="12" t="s">
        <v>4199</v>
      </c>
      <c r="B2909" s="12" t="s">
        <v>4200</v>
      </c>
      <c r="C2909" s="14">
        <v>3541.67</v>
      </c>
      <c r="D2909" s="12"/>
      <c r="E2909" s="14"/>
    </row>
    <row r="2910" spans="1:5" ht="11.1" hidden="1" customHeight="1" x14ac:dyDescent="0.25">
      <c r="A2910" s="12" t="s">
        <v>4201</v>
      </c>
      <c r="B2910" s="12" t="s">
        <v>2697</v>
      </c>
      <c r="C2910" s="14">
        <v>75.83</v>
      </c>
      <c r="D2910" s="12"/>
      <c r="E2910" s="13"/>
    </row>
    <row r="2911" spans="1:5" ht="23.1" hidden="1" customHeight="1" x14ac:dyDescent="0.25">
      <c r="A2911" s="12" t="s">
        <v>4202</v>
      </c>
      <c r="B2911" s="12" t="s">
        <v>4203</v>
      </c>
      <c r="C2911" s="14">
        <v>159.16999999999999</v>
      </c>
      <c r="D2911" s="12"/>
      <c r="E2911" s="13"/>
    </row>
    <row r="2912" spans="1:5" ht="11.1" hidden="1" customHeight="1" x14ac:dyDescent="0.25">
      <c r="A2912" s="12" t="s">
        <v>4204</v>
      </c>
      <c r="B2912" s="12" t="s">
        <v>563</v>
      </c>
      <c r="C2912" s="14">
        <v>441.67</v>
      </c>
      <c r="D2912" s="12"/>
      <c r="E2912" s="13"/>
    </row>
    <row r="2913" spans="1:5" ht="11.1" hidden="1" customHeight="1" x14ac:dyDescent="0.25">
      <c r="A2913" s="12" t="s">
        <v>4205</v>
      </c>
      <c r="B2913" s="12" t="s">
        <v>4206</v>
      </c>
      <c r="C2913" s="14">
        <v>68.33</v>
      </c>
      <c r="D2913" s="12"/>
      <c r="E2913" s="13"/>
    </row>
    <row r="2914" spans="1:5" ht="11.1" hidden="1" customHeight="1" x14ac:dyDescent="0.25">
      <c r="A2914" s="12" t="s">
        <v>4207</v>
      </c>
      <c r="B2914" s="12" t="s">
        <v>4208</v>
      </c>
      <c r="C2914" s="14">
        <v>14433.33</v>
      </c>
      <c r="D2914" s="12"/>
      <c r="E2914" s="14"/>
    </row>
    <row r="2915" spans="1:5" ht="11.1" hidden="1" customHeight="1" x14ac:dyDescent="0.25">
      <c r="A2915" s="12" t="s">
        <v>4209</v>
      </c>
      <c r="B2915" s="12" t="s">
        <v>4210</v>
      </c>
      <c r="C2915" s="14">
        <v>17320</v>
      </c>
      <c r="D2915" s="12"/>
      <c r="E2915" s="14"/>
    </row>
    <row r="2916" spans="1:5" ht="11.1" hidden="1" customHeight="1" x14ac:dyDescent="0.25">
      <c r="A2916" s="12" t="s">
        <v>4211</v>
      </c>
      <c r="B2916" s="12" t="s">
        <v>4212</v>
      </c>
      <c r="C2916" s="14">
        <v>10201.35</v>
      </c>
      <c r="D2916" s="12"/>
      <c r="E2916" s="14"/>
    </row>
    <row r="2917" spans="1:5" ht="11.1" hidden="1" customHeight="1" x14ac:dyDescent="0.25">
      <c r="A2917" s="12" t="s">
        <v>4213</v>
      </c>
      <c r="B2917" s="12" t="s">
        <v>4214</v>
      </c>
      <c r="C2917" s="14">
        <v>9166.67</v>
      </c>
      <c r="D2917" s="12"/>
      <c r="E2917" s="14"/>
    </row>
    <row r="2918" spans="1:5" ht="11.1" hidden="1" customHeight="1" x14ac:dyDescent="0.25">
      <c r="A2918" s="12" t="s">
        <v>4215</v>
      </c>
      <c r="B2918" s="12" t="s">
        <v>2841</v>
      </c>
      <c r="C2918" s="14">
        <v>2016.67</v>
      </c>
      <c r="D2918" s="12"/>
      <c r="E2918" s="14"/>
    </row>
    <row r="2919" spans="1:5" ht="11.1" hidden="1" customHeight="1" x14ac:dyDescent="0.25">
      <c r="A2919" s="12" t="s">
        <v>4216</v>
      </c>
      <c r="B2919" s="12" t="s">
        <v>4217</v>
      </c>
      <c r="C2919" s="14">
        <v>993</v>
      </c>
      <c r="D2919" s="12"/>
      <c r="E2919" s="13"/>
    </row>
    <row r="2920" spans="1:5" ht="11.1" hidden="1" customHeight="1" x14ac:dyDescent="0.25">
      <c r="A2920" s="12" t="s">
        <v>4218</v>
      </c>
      <c r="B2920" s="12" t="s">
        <v>2162</v>
      </c>
      <c r="C2920" s="14">
        <v>156.66999999999999</v>
      </c>
      <c r="D2920" s="12"/>
      <c r="E2920" s="13"/>
    </row>
    <row r="2921" spans="1:5" ht="11.1" hidden="1" customHeight="1" x14ac:dyDescent="0.25">
      <c r="A2921" s="12" t="s">
        <v>4219</v>
      </c>
      <c r="B2921" s="12" t="s">
        <v>1985</v>
      </c>
      <c r="C2921" s="14">
        <v>139.18</v>
      </c>
      <c r="D2921" s="12"/>
      <c r="E2921" s="13"/>
    </row>
    <row r="2922" spans="1:5" ht="11.1" hidden="1" customHeight="1" x14ac:dyDescent="0.25">
      <c r="A2922" s="12" t="s">
        <v>4220</v>
      </c>
      <c r="B2922" s="12" t="s">
        <v>2107</v>
      </c>
      <c r="C2922" s="14">
        <v>29.43</v>
      </c>
      <c r="D2922" s="12"/>
      <c r="E2922" s="13"/>
    </row>
    <row r="2923" spans="1:5" ht="11.1" hidden="1" customHeight="1" x14ac:dyDescent="0.25">
      <c r="A2923" s="12" t="s">
        <v>4221</v>
      </c>
      <c r="B2923" s="12" t="s">
        <v>2113</v>
      </c>
      <c r="C2923" s="14">
        <v>95.25</v>
      </c>
      <c r="D2923" s="12"/>
      <c r="E2923" s="13"/>
    </row>
    <row r="2924" spans="1:5" ht="11.1" hidden="1" customHeight="1" x14ac:dyDescent="0.25">
      <c r="A2924" s="12" t="s">
        <v>4222</v>
      </c>
      <c r="B2924" s="12" t="s">
        <v>4223</v>
      </c>
      <c r="C2924" s="14">
        <v>1752</v>
      </c>
      <c r="D2924" s="12"/>
      <c r="E2924" s="14"/>
    </row>
    <row r="2925" spans="1:5" ht="11.1" hidden="1" customHeight="1" x14ac:dyDescent="0.25">
      <c r="A2925" s="12" t="s">
        <v>4224</v>
      </c>
      <c r="B2925" s="12" t="s">
        <v>3314</v>
      </c>
      <c r="C2925" s="14">
        <v>398.43</v>
      </c>
      <c r="D2925" s="12"/>
      <c r="E2925" s="13"/>
    </row>
    <row r="2926" spans="1:5" ht="11.1" hidden="1" customHeight="1" x14ac:dyDescent="0.25">
      <c r="A2926" s="12" t="s">
        <v>4225</v>
      </c>
      <c r="B2926" s="12" t="s">
        <v>4223</v>
      </c>
      <c r="C2926" s="14">
        <v>1130.3900000000001</v>
      </c>
      <c r="D2926" s="12"/>
      <c r="E2926" s="14"/>
    </row>
    <row r="2927" spans="1:5" ht="11.1" hidden="1" customHeight="1" x14ac:dyDescent="0.25">
      <c r="A2927" s="12" t="s">
        <v>4226</v>
      </c>
      <c r="B2927" s="12" t="s">
        <v>4223</v>
      </c>
      <c r="C2927" s="14">
        <v>840.26</v>
      </c>
      <c r="D2927" s="12"/>
      <c r="E2927" s="13"/>
    </row>
    <row r="2928" spans="1:5" ht="11.1" hidden="1" customHeight="1" x14ac:dyDescent="0.25">
      <c r="A2928" s="12" t="s">
        <v>4227</v>
      </c>
      <c r="B2928" s="12" t="s">
        <v>2056</v>
      </c>
      <c r="C2928" s="14">
        <v>59.75</v>
      </c>
      <c r="D2928" s="12"/>
      <c r="E2928" s="13"/>
    </row>
    <row r="2929" spans="1:5" ht="11.1" hidden="1" customHeight="1" x14ac:dyDescent="0.25">
      <c r="A2929" s="12" t="s">
        <v>4228</v>
      </c>
      <c r="B2929" s="12" t="s">
        <v>2113</v>
      </c>
      <c r="C2929" s="14">
        <v>100.83</v>
      </c>
      <c r="D2929" s="12"/>
      <c r="E2929" s="13"/>
    </row>
    <row r="2930" spans="1:5" ht="11.1" hidden="1" customHeight="1" x14ac:dyDescent="0.25">
      <c r="A2930" s="12" t="s">
        <v>4229</v>
      </c>
      <c r="B2930" s="12" t="s">
        <v>4230</v>
      </c>
      <c r="C2930" s="14">
        <v>132.5</v>
      </c>
      <c r="D2930" s="12"/>
      <c r="E2930" s="13"/>
    </row>
    <row r="2931" spans="1:5" ht="11.1" hidden="1" customHeight="1" x14ac:dyDescent="0.25">
      <c r="A2931" s="12" t="s">
        <v>4231</v>
      </c>
      <c r="B2931" s="12" t="s">
        <v>3713</v>
      </c>
      <c r="C2931" s="14">
        <v>185</v>
      </c>
      <c r="D2931" s="12"/>
      <c r="E2931" s="13"/>
    </row>
    <row r="2932" spans="1:5" ht="11.1" hidden="1" customHeight="1" x14ac:dyDescent="0.25">
      <c r="A2932" s="12" t="s">
        <v>4232</v>
      </c>
      <c r="B2932" s="12" t="s">
        <v>2156</v>
      </c>
      <c r="C2932" s="14">
        <v>2136.67</v>
      </c>
      <c r="D2932" s="12"/>
      <c r="E2932" s="14"/>
    </row>
    <row r="2933" spans="1:5" ht="23.1" hidden="1" customHeight="1" x14ac:dyDescent="0.25">
      <c r="A2933" s="12" t="s">
        <v>4233</v>
      </c>
      <c r="B2933" s="12" t="s">
        <v>4234</v>
      </c>
      <c r="C2933" s="14">
        <v>705.83</v>
      </c>
      <c r="D2933" s="12"/>
      <c r="E2933" s="13"/>
    </row>
    <row r="2934" spans="1:5" ht="11.1" hidden="1" customHeight="1" x14ac:dyDescent="0.25">
      <c r="A2934" s="12" t="s">
        <v>4235</v>
      </c>
      <c r="B2934" s="12" t="s">
        <v>2193</v>
      </c>
      <c r="C2934" s="14">
        <v>890.39</v>
      </c>
      <c r="D2934" s="12"/>
      <c r="E2934" s="13"/>
    </row>
    <row r="2935" spans="1:5" ht="23.1" hidden="1" customHeight="1" x14ac:dyDescent="0.25">
      <c r="A2935" s="12" t="s">
        <v>4236</v>
      </c>
      <c r="B2935" s="12" t="s">
        <v>2178</v>
      </c>
      <c r="C2935" s="14">
        <v>183.33</v>
      </c>
      <c r="D2935" s="12"/>
      <c r="E2935" s="13"/>
    </row>
    <row r="2936" spans="1:5" ht="11.1" hidden="1" customHeight="1" x14ac:dyDescent="0.25">
      <c r="A2936" s="12" t="s">
        <v>4237</v>
      </c>
      <c r="B2936" s="12" t="s">
        <v>4238</v>
      </c>
      <c r="C2936" s="14">
        <v>2166.67</v>
      </c>
      <c r="D2936" s="12"/>
      <c r="E2936" s="14"/>
    </row>
    <row r="2937" spans="1:5" ht="23.1" hidden="1" customHeight="1" x14ac:dyDescent="0.25">
      <c r="A2937" s="12" t="s">
        <v>4239</v>
      </c>
      <c r="B2937" s="12" t="s">
        <v>1987</v>
      </c>
      <c r="C2937" s="14">
        <v>1400</v>
      </c>
      <c r="D2937" s="12"/>
      <c r="E2937" s="14"/>
    </row>
    <row r="2938" spans="1:5" ht="11.1" hidden="1" customHeight="1" x14ac:dyDescent="0.25">
      <c r="A2938" s="12" t="s">
        <v>4240</v>
      </c>
      <c r="B2938" s="12" t="s">
        <v>4241</v>
      </c>
      <c r="C2938" s="14">
        <v>7812.5</v>
      </c>
      <c r="D2938" s="12"/>
      <c r="E2938" s="14"/>
    </row>
    <row r="2939" spans="1:5" ht="23.1" hidden="1" customHeight="1" x14ac:dyDescent="0.25">
      <c r="A2939" s="12" t="s">
        <v>4242</v>
      </c>
      <c r="B2939" s="12" t="s">
        <v>4243</v>
      </c>
      <c r="C2939" s="14">
        <v>700</v>
      </c>
      <c r="D2939" s="12"/>
      <c r="E2939" s="13"/>
    </row>
    <row r="2940" spans="1:5" ht="11.1" hidden="1" customHeight="1" x14ac:dyDescent="0.25">
      <c r="A2940" s="12" t="s">
        <v>4244</v>
      </c>
      <c r="B2940" s="12" t="s">
        <v>4245</v>
      </c>
      <c r="C2940" s="14">
        <v>733.33</v>
      </c>
      <c r="D2940" s="12"/>
      <c r="E2940" s="13"/>
    </row>
    <row r="2941" spans="1:5" ht="11.1" hidden="1" customHeight="1" x14ac:dyDescent="0.25">
      <c r="A2941" s="12" t="s">
        <v>4246</v>
      </c>
      <c r="B2941" s="12" t="s">
        <v>4247</v>
      </c>
      <c r="C2941" s="14">
        <v>1047.22</v>
      </c>
      <c r="D2941" s="12"/>
      <c r="E2941" s="14"/>
    </row>
    <row r="2942" spans="1:5" ht="11.1" hidden="1" customHeight="1" x14ac:dyDescent="0.25">
      <c r="A2942" s="12" t="s">
        <v>4248</v>
      </c>
      <c r="B2942" s="12" t="s">
        <v>2806</v>
      </c>
      <c r="C2942" s="14">
        <v>2683.33</v>
      </c>
      <c r="D2942" s="12"/>
      <c r="E2942" s="14"/>
    </row>
    <row r="2943" spans="1:5" ht="23.1" hidden="1" customHeight="1" x14ac:dyDescent="0.25">
      <c r="A2943" s="12" t="s">
        <v>4249</v>
      </c>
      <c r="B2943" s="12" t="s">
        <v>4250</v>
      </c>
      <c r="C2943" s="14">
        <v>3177.5</v>
      </c>
      <c r="D2943" s="12"/>
      <c r="E2943" s="14"/>
    </row>
    <row r="2944" spans="1:5" ht="11.1" hidden="1" customHeight="1" x14ac:dyDescent="0.25">
      <c r="A2944" s="12" t="s">
        <v>4251</v>
      </c>
      <c r="B2944" s="12" t="s">
        <v>4250</v>
      </c>
      <c r="C2944" s="14">
        <v>4758.33</v>
      </c>
      <c r="D2944" s="12"/>
      <c r="E2944" s="14"/>
    </row>
    <row r="2945" spans="1:5" ht="23.1" hidden="1" customHeight="1" x14ac:dyDescent="0.25">
      <c r="A2945" s="12" t="s">
        <v>4252</v>
      </c>
      <c r="B2945" s="12" t="s">
        <v>2806</v>
      </c>
      <c r="C2945" s="14">
        <v>11500</v>
      </c>
      <c r="D2945" s="12"/>
      <c r="E2945" s="14"/>
    </row>
    <row r="2946" spans="1:5" ht="11.1" hidden="1" customHeight="1" x14ac:dyDescent="0.25">
      <c r="A2946" s="12" t="s">
        <v>4253</v>
      </c>
      <c r="B2946" s="12" t="s">
        <v>4254</v>
      </c>
      <c r="C2946" s="14">
        <v>3078</v>
      </c>
      <c r="D2946" s="12"/>
      <c r="E2946" s="14"/>
    </row>
    <row r="2947" spans="1:5" ht="11.1" hidden="1" customHeight="1" x14ac:dyDescent="0.25">
      <c r="A2947" s="12" t="s">
        <v>4255</v>
      </c>
      <c r="B2947" s="12" t="s">
        <v>4254</v>
      </c>
      <c r="C2947" s="14">
        <v>4614</v>
      </c>
      <c r="D2947" s="12"/>
      <c r="E2947" s="14"/>
    </row>
    <row r="2948" spans="1:5" ht="11.1" hidden="1" customHeight="1" x14ac:dyDescent="0.25">
      <c r="A2948" s="12" t="s">
        <v>4256</v>
      </c>
      <c r="B2948" s="12" t="s">
        <v>4254</v>
      </c>
      <c r="C2948" s="14">
        <v>5200</v>
      </c>
      <c r="D2948" s="12"/>
      <c r="E2948" s="14"/>
    </row>
    <row r="2949" spans="1:5" ht="11.1" hidden="1" customHeight="1" x14ac:dyDescent="0.25">
      <c r="A2949" s="12" t="s">
        <v>4257</v>
      </c>
      <c r="B2949" s="12" t="s">
        <v>4258</v>
      </c>
      <c r="C2949" s="14">
        <v>9919.17</v>
      </c>
      <c r="D2949" s="12"/>
      <c r="E2949" s="14"/>
    </row>
    <row r="2950" spans="1:5" ht="11.1" hidden="1" customHeight="1" x14ac:dyDescent="0.25">
      <c r="A2950" s="12" t="s">
        <v>4259</v>
      </c>
      <c r="B2950" s="12" t="s">
        <v>2250</v>
      </c>
      <c r="C2950" s="14">
        <v>1145</v>
      </c>
      <c r="D2950" s="12"/>
      <c r="E2950" s="14"/>
    </row>
    <row r="2951" spans="1:5" ht="11.1" hidden="1" customHeight="1" x14ac:dyDescent="0.25">
      <c r="A2951" s="12" t="s">
        <v>4260</v>
      </c>
      <c r="B2951" s="12" t="s">
        <v>2250</v>
      </c>
      <c r="C2951" s="14">
        <v>4500</v>
      </c>
      <c r="D2951" s="12"/>
      <c r="E2951" s="14"/>
    </row>
    <row r="2952" spans="1:5" ht="11.1" hidden="1" customHeight="1" x14ac:dyDescent="0.25">
      <c r="A2952" s="12" t="s">
        <v>4261</v>
      </c>
      <c r="B2952" s="12" t="s">
        <v>4262</v>
      </c>
      <c r="C2952" s="14">
        <v>3.79</v>
      </c>
      <c r="D2952" s="12"/>
      <c r="E2952" s="13"/>
    </row>
    <row r="2953" spans="1:5" ht="11.1" hidden="1" customHeight="1" x14ac:dyDescent="0.25">
      <c r="A2953" s="12" t="s">
        <v>4263</v>
      </c>
      <c r="B2953" s="12" t="s">
        <v>3509</v>
      </c>
      <c r="C2953" s="14">
        <v>11733.33</v>
      </c>
      <c r="D2953" s="12"/>
      <c r="E2953" s="14"/>
    </row>
    <row r="2954" spans="1:5" ht="11.1" hidden="1" customHeight="1" x14ac:dyDescent="0.25">
      <c r="A2954" s="12" t="s">
        <v>4264</v>
      </c>
      <c r="B2954" s="12" t="s">
        <v>3509</v>
      </c>
      <c r="C2954" s="14">
        <v>17200</v>
      </c>
      <c r="D2954" s="12"/>
      <c r="E2954" s="14"/>
    </row>
    <row r="2955" spans="1:5" ht="23.1" hidden="1" customHeight="1" x14ac:dyDescent="0.25">
      <c r="A2955" s="12" t="s">
        <v>4265</v>
      </c>
      <c r="B2955" s="12" t="s">
        <v>4266</v>
      </c>
      <c r="C2955" s="14">
        <v>375</v>
      </c>
      <c r="D2955" s="12"/>
      <c r="E2955" s="13"/>
    </row>
    <row r="2956" spans="1:5" ht="23.1" hidden="1" customHeight="1" x14ac:dyDescent="0.25">
      <c r="A2956" s="12" t="s">
        <v>4267</v>
      </c>
      <c r="B2956" s="12" t="s">
        <v>4268</v>
      </c>
      <c r="C2956" s="14">
        <v>375</v>
      </c>
      <c r="D2956" s="12"/>
      <c r="E2956" s="13"/>
    </row>
    <row r="2957" spans="1:5" ht="11.1" hidden="1" customHeight="1" x14ac:dyDescent="0.25">
      <c r="A2957" s="12" t="s">
        <v>4269</v>
      </c>
      <c r="B2957" s="12" t="s">
        <v>4268</v>
      </c>
      <c r="C2957" s="14">
        <v>500</v>
      </c>
      <c r="D2957" s="12"/>
      <c r="E2957" s="13"/>
    </row>
    <row r="2958" spans="1:5" ht="11.1" hidden="1" customHeight="1" x14ac:dyDescent="0.25">
      <c r="A2958" s="12" t="s">
        <v>4270</v>
      </c>
      <c r="B2958" s="12" t="s">
        <v>4271</v>
      </c>
      <c r="C2958" s="14">
        <v>22</v>
      </c>
      <c r="D2958" s="12"/>
      <c r="E2958" s="13"/>
    </row>
    <row r="2959" spans="1:5" ht="11.1" hidden="1" customHeight="1" x14ac:dyDescent="0.25">
      <c r="A2959" s="12" t="s">
        <v>4272</v>
      </c>
      <c r="B2959" s="12" t="s">
        <v>4273</v>
      </c>
      <c r="C2959" s="14">
        <v>6.12</v>
      </c>
      <c r="D2959" s="12"/>
      <c r="E2959" s="13"/>
    </row>
    <row r="2960" spans="1:5" ht="11.1" hidden="1" customHeight="1" x14ac:dyDescent="0.25">
      <c r="A2960" s="12" t="s">
        <v>4274</v>
      </c>
      <c r="B2960" s="12" t="s">
        <v>4275</v>
      </c>
      <c r="C2960" s="14">
        <v>89.76</v>
      </c>
      <c r="D2960" s="12"/>
      <c r="E2960" s="13"/>
    </row>
    <row r="2961" spans="1:5" ht="11.1" hidden="1" customHeight="1" x14ac:dyDescent="0.25">
      <c r="A2961" s="12" t="s">
        <v>4276</v>
      </c>
      <c r="B2961" s="12" t="s">
        <v>4277</v>
      </c>
      <c r="C2961" s="14">
        <v>1262.5</v>
      </c>
      <c r="D2961" s="12"/>
      <c r="E2961" s="14"/>
    </row>
    <row r="2962" spans="1:5" ht="11.1" hidden="1" customHeight="1" x14ac:dyDescent="0.25">
      <c r="A2962" s="12" t="s">
        <v>4278</v>
      </c>
      <c r="B2962" s="12" t="s">
        <v>2588</v>
      </c>
      <c r="C2962" s="14">
        <v>3733.5</v>
      </c>
      <c r="D2962" s="12"/>
      <c r="E2962" s="14"/>
    </row>
    <row r="2963" spans="1:5" ht="11.1" hidden="1" customHeight="1" x14ac:dyDescent="0.25">
      <c r="A2963" s="12" t="s">
        <v>4279</v>
      </c>
      <c r="B2963" s="12" t="s">
        <v>4280</v>
      </c>
      <c r="C2963" s="14">
        <v>109.52</v>
      </c>
      <c r="D2963" s="12"/>
      <c r="E2963" s="13"/>
    </row>
    <row r="2964" spans="1:5" ht="11.1" hidden="1" customHeight="1" x14ac:dyDescent="0.25">
      <c r="A2964" s="12" t="s">
        <v>4281</v>
      </c>
      <c r="B2964" s="12" t="s">
        <v>4282</v>
      </c>
      <c r="C2964" s="14">
        <v>1400</v>
      </c>
      <c r="D2964" s="12"/>
      <c r="E2964" s="14"/>
    </row>
    <row r="2965" spans="1:5" ht="11.1" hidden="1" customHeight="1" x14ac:dyDescent="0.25">
      <c r="A2965" s="12" t="s">
        <v>4283</v>
      </c>
      <c r="B2965" s="12" t="s">
        <v>4284</v>
      </c>
      <c r="C2965" s="14">
        <v>40000</v>
      </c>
      <c r="D2965" s="12"/>
      <c r="E2965" s="14"/>
    </row>
    <row r="2966" spans="1:5" ht="11.1" hidden="1" customHeight="1" x14ac:dyDescent="0.25">
      <c r="A2966" s="12" t="s">
        <v>4285</v>
      </c>
      <c r="B2966" s="12" t="s">
        <v>4284</v>
      </c>
      <c r="C2966" s="14">
        <v>40150</v>
      </c>
      <c r="D2966" s="12"/>
      <c r="E2966" s="14"/>
    </row>
    <row r="2967" spans="1:5" ht="23.1" hidden="1" customHeight="1" x14ac:dyDescent="0.25">
      <c r="A2967" s="12" t="s">
        <v>4286</v>
      </c>
      <c r="B2967" s="12" t="s">
        <v>4284</v>
      </c>
      <c r="C2967" s="14">
        <v>39956</v>
      </c>
      <c r="D2967" s="12"/>
      <c r="E2967" s="14"/>
    </row>
    <row r="2968" spans="1:5" ht="23.1" hidden="1" customHeight="1" x14ac:dyDescent="0.25">
      <c r="A2968" s="12" t="s">
        <v>4287</v>
      </c>
      <c r="B2968" s="12" t="s">
        <v>1565</v>
      </c>
      <c r="C2968" s="14">
        <v>107.5</v>
      </c>
      <c r="D2968" s="12"/>
      <c r="E2968" s="13"/>
    </row>
    <row r="2969" spans="1:5" ht="23.1" hidden="1" customHeight="1" x14ac:dyDescent="0.25">
      <c r="A2969" s="12" t="s">
        <v>4288</v>
      </c>
      <c r="B2969" s="12" t="s">
        <v>4289</v>
      </c>
      <c r="C2969" s="14">
        <v>20000</v>
      </c>
      <c r="D2969" s="12"/>
      <c r="E2969" s="14"/>
    </row>
    <row r="2970" spans="1:5" ht="23.1" hidden="1" customHeight="1" x14ac:dyDescent="0.25">
      <c r="A2970" s="12" t="s">
        <v>4290</v>
      </c>
      <c r="B2970" s="12" t="s">
        <v>4291</v>
      </c>
      <c r="C2970" s="14">
        <v>20000</v>
      </c>
      <c r="D2970" s="12"/>
      <c r="E2970" s="14"/>
    </row>
    <row r="2971" spans="1:5" ht="11.1" hidden="1" customHeight="1" x14ac:dyDescent="0.25">
      <c r="A2971" s="12" t="s">
        <v>4292</v>
      </c>
      <c r="B2971" s="12" t="s">
        <v>1682</v>
      </c>
      <c r="C2971" s="14">
        <v>7026.16</v>
      </c>
      <c r="D2971" s="12"/>
      <c r="E2971" s="14"/>
    </row>
    <row r="2972" spans="1:5" ht="11.1" hidden="1" customHeight="1" x14ac:dyDescent="0.25">
      <c r="A2972" s="12" t="s">
        <v>4293</v>
      </c>
      <c r="B2972" s="12" t="s">
        <v>4294</v>
      </c>
      <c r="C2972" s="14">
        <v>1020</v>
      </c>
      <c r="D2972" s="12"/>
      <c r="E2972" s="14"/>
    </row>
    <row r="2973" spans="1:5" ht="23.1" hidden="1" customHeight="1" x14ac:dyDescent="0.25">
      <c r="A2973" s="12" t="s">
        <v>4295</v>
      </c>
      <c r="B2973" s="12" t="s">
        <v>4296</v>
      </c>
      <c r="C2973" s="14">
        <v>1190.83</v>
      </c>
      <c r="D2973" s="12"/>
      <c r="E2973" s="14"/>
    </row>
    <row r="2974" spans="1:5" ht="11.1" hidden="1" customHeight="1" x14ac:dyDescent="0.25">
      <c r="A2974" s="12" t="s">
        <v>4297</v>
      </c>
      <c r="B2974" s="12" t="s">
        <v>4298</v>
      </c>
      <c r="C2974" s="14">
        <v>1020</v>
      </c>
      <c r="D2974" s="12"/>
      <c r="E2974" s="14"/>
    </row>
    <row r="2975" spans="1:5" ht="11.1" hidden="1" customHeight="1" x14ac:dyDescent="0.25">
      <c r="A2975" s="12" t="s">
        <v>4299</v>
      </c>
      <c r="B2975" s="12" t="s">
        <v>4300</v>
      </c>
      <c r="C2975" s="14">
        <v>1190.83</v>
      </c>
      <c r="D2975" s="12"/>
      <c r="E2975" s="14"/>
    </row>
    <row r="2976" spans="1:5" ht="11.1" hidden="1" customHeight="1" x14ac:dyDescent="0.25">
      <c r="A2976" s="12" t="s">
        <v>4301</v>
      </c>
      <c r="B2976" s="12" t="s">
        <v>4302</v>
      </c>
      <c r="C2976" s="14">
        <v>1020</v>
      </c>
      <c r="D2976" s="12"/>
      <c r="E2976" s="14"/>
    </row>
    <row r="2977" spans="1:5" ht="11.1" hidden="1" customHeight="1" x14ac:dyDescent="0.25">
      <c r="A2977" s="12" t="s">
        <v>4303</v>
      </c>
      <c r="B2977" s="12" t="s">
        <v>4304</v>
      </c>
      <c r="C2977" s="14">
        <v>1190.83</v>
      </c>
      <c r="D2977" s="12"/>
      <c r="E2977" s="14"/>
    </row>
    <row r="2978" spans="1:5" ht="11.1" hidden="1" customHeight="1" x14ac:dyDescent="0.25">
      <c r="A2978" s="12" t="s">
        <v>4305</v>
      </c>
      <c r="B2978" s="12" t="s">
        <v>786</v>
      </c>
      <c r="C2978" s="14">
        <v>5419.17</v>
      </c>
      <c r="D2978" s="12"/>
      <c r="E2978" s="14"/>
    </row>
    <row r="2979" spans="1:5" ht="11.1" hidden="1" customHeight="1" x14ac:dyDescent="0.25">
      <c r="A2979" s="12" t="s">
        <v>4306</v>
      </c>
      <c r="B2979" s="12" t="s">
        <v>4307</v>
      </c>
      <c r="C2979" s="14">
        <v>6635.83</v>
      </c>
      <c r="D2979" s="12"/>
      <c r="E2979" s="14"/>
    </row>
    <row r="2980" spans="1:5" ht="11.1" hidden="1" customHeight="1" x14ac:dyDescent="0.25">
      <c r="A2980" s="12" t="s">
        <v>4308</v>
      </c>
      <c r="B2980" s="12" t="s">
        <v>4298</v>
      </c>
      <c r="C2980" s="14">
        <v>7469.17</v>
      </c>
      <c r="D2980" s="12"/>
      <c r="E2980" s="14"/>
    </row>
    <row r="2981" spans="1:5" ht="11.1" hidden="1" customHeight="1" x14ac:dyDescent="0.25">
      <c r="A2981" s="12" t="s">
        <v>4309</v>
      </c>
      <c r="B2981" s="12" t="s">
        <v>4310</v>
      </c>
      <c r="C2981" s="14">
        <v>12625</v>
      </c>
      <c r="D2981" s="12"/>
      <c r="E2981" s="14"/>
    </row>
    <row r="2982" spans="1:5" ht="11.1" hidden="1" customHeight="1" x14ac:dyDescent="0.25">
      <c r="A2982" s="12" t="s">
        <v>4311</v>
      </c>
      <c r="B2982" s="12" t="s">
        <v>4312</v>
      </c>
      <c r="C2982" s="14">
        <v>3241.67</v>
      </c>
      <c r="D2982" s="12"/>
      <c r="E2982" s="14"/>
    </row>
    <row r="2983" spans="1:5" ht="11.1" hidden="1" customHeight="1" x14ac:dyDescent="0.25">
      <c r="A2983" s="12" t="s">
        <v>4313</v>
      </c>
      <c r="B2983" s="12" t="s">
        <v>4314</v>
      </c>
      <c r="C2983" s="14">
        <v>13733.33</v>
      </c>
      <c r="D2983" s="12"/>
      <c r="E2983" s="14"/>
    </row>
    <row r="2984" spans="1:5" ht="11.1" hidden="1" customHeight="1" x14ac:dyDescent="0.25">
      <c r="A2984" s="12" t="s">
        <v>4315</v>
      </c>
      <c r="B2984" s="12" t="s">
        <v>4298</v>
      </c>
      <c r="C2984" s="14">
        <v>17483.330000000002</v>
      </c>
      <c r="D2984" s="12"/>
      <c r="E2984" s="14"/>
    </row>
    <row r="2985" spans="1:5" ht="11.1" hidden="1" customHeight="1" x14ac:dyDescent="0.25">
      <c r="A2985" s="12" t="s">
        <v>4316</v>
      </c>
      <c r="B2985" s="12" t="s">
        <v>4294</v>
      </c>
      <c r="C2985" s="14">
        <v>17483.330000000002</v>
      </c>
      <c r="D2985" s="12"/>
      <c r="E2985" s="14"/>
    </row>
    <row r="2986" spans="1:5" ht="11.1" hidden="1" customHeight="1" x14ac:dyDescent="0.25">
      <c r="A2986" s="12" t="s">
        <v>4317</v>
      </c>
      <c r="B2986" s="12" t="s">
        <v>4310</v>
      </c>
      <c r="C2986" s="14">
        <v>17483.330000000002</v>
      </c>
      <c r="D2986" s="12"/>
      <c r="E2986" s="14"/>
    </row>
    <row r="2987" spans="1:5" ht="11.1" hidden="1" customHeight="1" x14ac:dyDescent="0.25">
      <c r="A2987" s="12" t="s">
        <v>4318</v>
      </c>
      <c r="B2987" s="12" t="s">
        <v>4319</v>
      </c>
      <c r="C2987" s="14">
        <v>12625</v>
      </c>
      <c r="D2987" s="12"/>
      <c r="E2987" s="14"/>
    </row>
    <row r="2988" spans="1:5" ht="11.1" hidden="1" customHeight="1" x14ac:dyDescent="0.25">
      <c r="A2988" s="12" t="s">
        <v>4320</v>
      </c>
      <c r="B2988" s="12" t="s">
        <v>4321</v>
      </c>
      <c r="C2988" s="14">
        <v>21657.5</v>
      </c>
      <c r="D2988" s="12"/>
      <c r="E2988" s="14"/>
    </row>
    <row r="2989" spans="1:5" ht="11.1" hidden="1" customHeight="1" x14ac:dyDescent="0.25">
      <c r="A2989" s="12" t="s">
        <v>4322</v>
      </c>
      <c r="B2989" s="12" t="s">
        <v>4307</v>
      </c>
      <c r="C2989" s="14">
        <v>21657.5</v>
      </c>
      <c r="D2989" s="12"/>
      <c r="E2989" s="14"/>
    </row>
    <row r="2990" spans="1:5" ht="11.1" hidden="1" customHeight="1" x14ac:dyDescent="0.25">
      <c r="A2990" s="12" t="s">
        <v>4323</v>
      </c>
      <c r="B2990" s="12" t="s">
        <v>4324</v>
      </c>
      <c r="C2990" s="14">
        <v>7469.17</v>
      </c>
      <c r="D2990" s="12"/>
      <c r="E2990" s="14"/>
    </row>
    <row r="2991" spans="1:5" ht="11.1" hidden="1" customHeight="1" x14ac:dyDescent="0.25">
      <c r="A2991" s="12" t="s">
        <v>4325</v>
      </c>
      <c r="B2991" s="12" t="s">
        <v>4326</v>
      </c>
      <c r="C2991" s="14">
        <v>7469.17</v>
      </c>
      <c r="D2991" s="12"/>
      <c r="E2991" s="14"/>
    </row>
    <row r="2992" spans="1:5" ht="11.1" hidden="1" customHeight="1" x14ac:dyDescent="0.25">
      <c r="A2992" s="12" t="s">
        <v>4327</v>
      </c>
      <c r="B2992" s="12" t="s">
        <v>4328</v>
      </c>
      <c r="C2992" s="14">
        <v>6986</v>
      </c>
      <c r="D2992" s="12"/>
      <c r="E2992" s="14"/>
    </row>
    <row r="2993" spans="1:5" ht="11.1" hidden="1" customHeight="1" x14ac:dyDescent="0.25">
      <c r="A2993" s="12" t="s">
        <v>4329</v>
      </c>
      <c r="B2993" s="12" t="s">
        <v>2056</v>
      </c>
      <c r="C2993" s="14">
        <v>280</v>
      </c>
      <c r="D2993" s="12"/>
      <c r="E2993" s="13"/>
    </row>
    <row r="2994" spans="1:5" ht="11.1" hidden="1" customHeight="1" x14ac:dyDescent="0.25">
      <c r="A2994" s="12" t="s">
        <v>4330</v>
      </c>
      <c r="B2994" s="12" t="s">
        <v>2028</v>
      </c>
      <c r="C2994" s="14">
        <v>363.34</v>
      </c>
      <c r="D2994" s="12"/>
      <c r="E2994" s="13"/>
    </row>
    <row r="2995" spans="1:5" ht="11.1" hidden="1" customHeight="1" x14ac:dyDescent="0.25">
      <c r="A2995" s="12" t="s">
        <v>4331</v>
      </c>
      <c r="B2995" s="12" t="s">
        <v>4332</v>
      </c>
      <c r="C2995" s="14">
        <v>829.17</v>
      </c>
      <c r="D2995" s="12"/>
      <c r="E2995" s="13"/>
    </row>
    <row r="2996" spans="1:5" ht="23.1" hidden="1" customHeight="1" x14ac:dyDescent="0.25">
      <c r="A2996" s="12" t="s">
        <v>4333</v>
      </c>
      <c r="B2996" s="12" t="s">
        <v>600</v>
      </c>
      <c r="C2996" s="14">
        <v>633.75</v>
      </c>
      <c r="D2996" s="12"/>
      <c r="E2996" s="13"/>
    </row>
    <row r="2997" spans="1:5" ht="11.1" hidden="1" customHeight="1" x14ac:dyDescent="0.25">
      <c r="A2997" s="12" t="s">
        <v>4334</v>
      </c>
      <c r="B2997" s="12" t="s">
        <v>2028</v>
      </c>
      <c r="C2997" s="14">
        <v>401.68</v>
      </c>
      <c r="D2997" s="12"/>
      <c r="E2997" s="13"/>
    </row>
    <row r="2998" spans="1:5" ht="11.1" hidden="1" customHeight="1" x14ac:dyDescent="0.25">
      <c r="A2998" s="12" t="s">
        <v>4335</v>
      </c>
      <c r="B2998" s="12" t="s">
        <v>2107</v>
      </c>
      <c r="C2998" s="14">
        <v>183.33</v>
      </c>
      <c r="D2998" s="12"/>
      <c r="E2998" s="13"/>
    </row>
    <row r="2999" spans="1:5" ht="11.1" hidden="1" customHeight="1" x14ac:dyDescent="0.25">
      <c r="A2999" s="12" t="s">
        <v>4336</v>
      </c>
      <c r="B2999" s="12" t="s">
        <v>2100</v>
      </c>
      <c r="C2999" s="14">
        <v>178.33</v>
      </c>
      <c r="D2999" s="12"/>
      <c r="E2999" s="13"/>
    </row>
    <row r="3000" spans="1:5" ht="11.1" hidden="1" customHeight="1" x14ac:dyDescent="0.25">
      <c r="A3000" s="12" t="s">
        <v>4337</v>
      </c>
      <c r="B3000" s="12" t="s">
        <v>2053</v>
      </c>
      <c r="C3000" s="14">
        <v>364.16</v>
      </c>
      <c r="D3000" s="12"/>
      <c r="E3000" s="13"/>
    </row>
    <row r="3001" spans="1:5" ht="11.1" hidden="1" customHeight="1" x14ac:dyDescent="0.25">
      <c r="A3001" s="12" t="s">
        <v>4338</v>
      </c>
      <c r="B3001" s="12" t="s">
        <v>2107</v>
      </c>
      <c r="C3001" s="14">
        <v>167.5</v>
      </c>
      <c r="D3001" s="12"/>
      <c r="E3001" s="13"/>
    </row>
    <row r="3002" spans="1:5" ht="11.1" hidden="1" customHeight="1" x14ac:dyDescent="0.25">
      <c r="A3002" s="12" t="s">
        <v>4339</v>
      </c>
      <c r="B3002" s="12" t="s">
        <v>1985</v>
      </c>
      <c r="C3002" s="14">
        <v>260</v>
      </c>
      <c r="D3002" s="12"/>
      <c r="E3002" s="13"/>
    </row>
    <row r="3003" spans="1:5" ht="11.1" hidden="1" customHeight="1" x14ac:dyDescent="0.25">
      <c r="A3003" s="12" t="s">
        <v>4340</v>
      </c>
      <c r="B3003" s="12" t="s">
        <v>2113</v>
      </c>
      <c r="C3003" s="14">
        <v>1094.17</v>
      </c>
      <c r="D3003" s="12"/>
      <c r="E3003" s="14"/>
    </row>
    <row r="3004" spans="1:5" ht="11.1" hidden="1" customHeight="1" x14ac:dyDescent="0.25">
      <c r="A3004" s="12" t="s">
        <v>4341</v>
      </c>
      <c r="B3004" s="12" t="s">
        <v>1985</v>
      </c>
      <c r="C3004" s="14">
        <v>1083.33</v>
      </c>
      <c r="D3004" s="12"/>
      <c r="E3004" s="14"/>
    </row>
    <row r="3005" spans="1:5" ht="11.1" hidden="1" customHeight="1" x14ac:dyDescent="0.25">
      <c r="A3005" s="12" t="s">
        <v>4342</v>
      </c>
      <c r="B3005" s="12" t="s">
        <v>4123</v>
      </c>
      <c r="C3005" s="14">
        <v>174.64</v>
      </c>
      <c r="D3005" s="12"/>
      <c r="E3005" s="13"/>
    </row>
    <row r="3006" spans="1:5" ht="11.1" hidden="1" customHeight="1" x14ac:dyDescent="0.25">
      <c r="A3006" s="12" t="s">
        <v>4343</v>
      </c>
      <c r="B3006" s="12" t="s">
        <v>4344</v>
      </c>
      <c r="C3006" s="14">
        <v>94.54</v>
      </c>
      <c r="D3006" s="12"/>
      <c r="E3006" s="13"/>
    </row>
    <row r="3007" spans="1:5" ht="11.1" hidden="1" customHeight="1" x14ac:dyDescent="0.25">
      <c r="A3007" s="12" t="s">
        <v>4345</v>
      </c>
      <c r="B3007" s="12" t="s">
        <v>4344</v>
      </c>
      <c r="C3007" s="14">
        <v>193.62</v>
      </c>
      <c r="D3007" s="12"/>
      <c r="E3007" s="13"/>
    </row>
    <row r="3008" spans="1:5" ht="11.1" hidden="1" customHeight="1" x14ac:dyDescent="0.25">
      <c r="A3008" s="12" t="s">
        <v>4346</v>
      </c>
      <c r="B3008" s="12" t="s">
        <v>4347</v>
      </c>
      <c r="C3008" s="14">
        <v>268.33</v>
      </c>
      <c r="D3008" s="12"/>
      <c r="E3008" s="13"/>
    </row>
    <row r="3009" spans="1:5" ht="11.1" hidden="1" customHeight="1" x14ac:dyDescent="0.25">
      <c r="A3009" s="12" t="s">
        <v>4348</v>
      </c>
      <c r="B3009" s="12" t="s">
        <v>1643</v>
      </c>
      <c r="C3009" s="14">
        <v>1767.5</v>
      </c>
      <c r="D3009" s="12"/>
      <c r="E3009" s="14"/>
    </row>
    <row r="3010" spans="1:5" ht="11.1" hidden="1" customHeight="1" x14ac:dyDescent="0.25">
      <c r="A3010" s="12" t="s">
        <v>4349</v>
      </c>
      <c r="B3010" s="12" t="s">
        <v>903</v>
      </c>
      <c r="C3010" s="14">
        <v>1330</v>
      </c>
      <c r="D3010" s="12"/>
      <c r="E3010" s="14"/>
    </row>
    <row r="3011" spans="1:5" ht="11.1" hidden="1" customHeight="1" x14ac:dyDescent="0.25">
      <c r="A3011" s="12" t="s">
        <v>4350</v>
      </c>
      <c r="B3011" s="12" t="s">
        <v>4351</v>
      </c>
      <c r="C3011" s="14">
        <v>4246</v>
      </c>
      <c r="D3011" s="12"/>
      <c r="E3011" s="14"/>
    </row>
    <row r="3012" spans="1:5" ht="11.1" hidden="1" customHeight="1" x14ac:dyDescent="0.25">
      <c r="A3012" s="12" t="s">
        <v>4352</v>
      </c>
      <c r="B3012" s="12" t="s">
        <v>2063</v>
      </c>
      <c r="C3012" s="14">
        <v>3684.17</v>
      </c>
      <c r="D3012" s="12"/>
      <c r="E3012" s="14"/>
    </row>
    <row r="3013" spans="1:5" ht="11.1" hidden="1" customHeight="1" x14ac:dyDescent="0.25">
      <c r="A3013" s="12" t="s">
        <v>4353</v>
      </c>
      <c r="B3013" s="12" t="s">
        <v>3127</v>
      </c>
      <c r="C3013" s="14">
        <v>14676.39</v>
      </c>
      <c r="D3013" s="12"/>
      <c r="E3013" s="14"/>
    </row>
    <row r="3014" spans="1:5" ht="11.1" hidden="1" customHeight="1" x14ac:dyDescent="0.25">
      <c r="A3014" s="12" t="s">
        <v>4354</v>
      </c>
      <c r="B3014" s="12" t="s">
        <v>4355</v>
      </c>
      <c r="C3014" s="14">
        <v>2416.67</v>
      </c>
      <c r="D3014" s="12"/>
      <c r="E3014" s="14"/>
    </row>
    <row r="3015" spans="1:5" ht="11.1" hidden="1" customHeight="1" x14ac:dyDescent="0.25">
      <c r="A3015" s="12" t="s">
        <v>4356</v>
      </c>
      <c r="B3015" s="12" t="s">
        <v>4357</v>
      </c>
      <c r="C3015" s="14">
        <v>352.5</v>
      </c>
      <c r="D3015" s="12"/>
      <c r="E3015" s="13"/>
    </row>
    <row r="3016" spans="1:5" ht="11.1" hidden="1" customHeight="1" x14ac:dyDescent="0.25">
      <c r="A3016" s="12" t="s">
        <v>4358</v>
      </c>
      <c r="B3016" s="12" t="s">
        <v>3691</v>
      </c>
      <c r="C3016" s="14">
        <v>333.33</v>
      </c>
      <c r="D3016" s="12"/>
      <c r="E3016" s="13"/>
    </row>
    <row r="3017" spans="1:5" ht="11.1" hidden="1" customHeight="1" x14ac:dyDescent="0.25">
      <c r="A3017" s="12" t="s">
        <v>4359</v>
      </c>
      <c r="B3017" s="12" t="s">
        <v>646</v>
      </c>
      <c r="C3017" s="14">
        <v>669.17</v>
      </c>
      <c r="D3017" s="12"/>
      <c r="E3017" s="13"/>
    </row>
    <row r="3018" spans="1:5" ht="11.1" hidden="1" customHeight="1" x14ac:dyDescent="0.25">
      <c r="A3018" s="12" t="s">
        <v>4360</v>
      </c>
      <c r="B3018" s="12" t="s">
        <v>4361</v>
      </c>
      <c r="C3018" s="14">
        <v>350</v>
      </c>
      <c r="D3018" s="12"/>
      <c r="E3018" s="13"/>
    </row>
    <row r="3019" spans="1:5" ht="11.1" hidden="1" customHeight="1" x14ac:dyDescent="0.25">
      <c r="A3019" s="12" t="s">
        <v>4362</v>
      </c>
      <c r="B3019" s="12" t="s">
        <v>2113</v>
      </c>
      <c r="C3019" s="14">
        <v>126.68</v>
      </c>
      <c r="D3019" s="12"/>
      <c r="E3019" s="13"/>
    </row>
    <row r="3020" spans="1:5" ht="11.1" hidden="1" customHeight="1" x14ac:dyDescent="0.25">
      <c r="A3020" s="12" t="s">
        <v>4363</v>
      </c>
      <c r="B3020" s="12" t="s">
        <v>4364</v>
      </c>
      <c r="C3020" s="14">
        <v>50</v>
      </c>
      <c r="D3020" s="12"/>
      <c r="E3020" s="13"/>
    </row>
    <row r="3021" spans="1:5" ht="11.1" hidden="1" customHeight="1" x14ac:dyDescent="0.25">
      <c r="A3021" s="12" t="s">
        <v>4365</v>
      </c>
      <c r="B3021" s="12" t="s">
        <v>780</v>
      </c>
      <c r="C3021" s="14">
        <v>654.16999999999996</v>
      </c>
      <c r="D3021" s="12"/>
      <c r="E3021" s="13"/>
    </row>
    <row r="3022" spans="1:5" ht="11.1" hidden="1" customHeight="1" x14ac:dyDescent="0.25">
      <c r="A3022" s="12" t="s">
        <v>4366</v>
      </c>
      <c r="B3022" s="12" t="s">
        <v>4367</v>
      </c>
      <c r="C3022" s="14">
        <v>3066.67</v>
      </c>
      <c r="D3022" s="12"/>
      <c r="E3022" s="14"/>
    </row>
    <row r="3023" spans="1:5" ht="11.1" hidden="1" customHeight="1" x14ac:dyDescent="0.25">
      <c r="A3023" s="12" t="s">
        <v>4368</v>
      </c>
      <c r="B3023" s="12" t="s">
        <v>2335</v>
      </c>
      <c r="C3023" s="14">
        <v>5224.49</v>
      </c>
      <c r="D3023" s="12"/>
      <c r="E3023" s="14"/>
    </row>
    <row r="3024" spans="1:5" ht="11.1" hidden="1" customHeight="1" x14ac:dyDescent="0.25">
      <c r="A3024" s="12" t="s">
        <v>4369</v>
      </c>
      <c r="B3024" s="12" t="s">
        <v>1810</v>
      </c>
      <c r="C3024" s="14">
        <v>671.82</v>
      </c>
      <c r="D3024" s="12"/>
      <c r="E3024" s="13"/>
    </row>
    <row r="3025" spans="1:5" ht="11.1" hidden="1" customHeight="1" x14ac:dyDescent="0.25">
      <c r="A3025" s="12" t="s">
        <v>4370</v>
      </c>
      <c r="B3025" s="12" t="s">
        <v>3298</v>
      </c>
      <c r="C3025" s="14">
        <v>70.83</v>
      </c>
      <c r="D3025" s="12"/>
      <c r="E3025" s="13"/>
    </row>
    <row r="3026" spans="1:5" ht="11.1" hidden="1" customHeight="1" x14ac:dyDescent="0.25">
      <c r="A3026" s="12" t="s">
        <v>4371</v>
      </c>
      <c r="B3026" s="12" t="s">
        <v>2131</v>
      </c>
      <c r="C3026" s="14">
        <v>156.66999999999999</v>
      </c>
      <c r="D3026" s="12"/>
      <c r="E3026" s="13"/>
    </row>
    <row r="3027" spans="1:5" ht="11.1" hidden="1" customHeight="1" x14ac:dyDescent="0.25">
      <c r="A3027" s="12" t="s">
        <v>4372</v>
      </c>
      <c r="B3027" s="12" t="s">
        <v>497</v>
      </c>
      <c r="C3027" s="14">
        <v>180</v>
      </c>
      <c r="D3027" s="12"/>
      <c r="E3027" s="13"/>
    </row>
    <row r="3028" spans="1:5" ht="11.1" hidden="1" customHeight="1" x14ac:dyDescent="0.25">
      <c r="A3028" s="12" t="s">
        <v>4373</v>
      </c>
      <c r="B3028" s="12" t="s">
        <v>1706</v>
      </c>
      <c r="C3028" s="14">
        <v>179.17</v>
      </c>
      <c r="D3028" s="12"/>
      <c r="E3028" s="13"/>
    </row>
    <row r="3029" spans="1:5" ht="11.1" hidden="1" customHeight="1" x14ac:dyDescent="0.25">
      <c r="A3029" s="12" t="s">
        <v>4374</v>
      </c>
      <c r="B3029" s="12" t="s">
        <v>1810</v>
      </c>
      <c r="C3029" s="14">
        <v>182.28</v>
      </c>
      <c r="D3029" s="12"/>
      <c r="E3029" s="13"/>
    </row>
    <row r="3030" spans="1:5" ht="11.1" hidden="1" customHeight="1" x14ac:dyDescent="0.25">
      <c r="A3030" s="12" t="s">
        <v>4375</v>
      </c>
      <c r="B3030" s="12" t="s">
        <v>4376</v>
      </c>
      <c r="C3030" s="14">
        <v>9015</v>
      </c>
      <c r="D3030" s="12"/>
      <c r="E3030" s="14"/>
    </row>
    <row r="3031" spans="1:5" ht="11.1" hidden="1" customHeight="1" x14ac:dyDescent="0.25">
      <c r="A3031" s="12" t="s">
        <v>4377</v>
      </c>
      <c r="B3031" s="12" t="s">
        <v>4378</v>
      </c>
      <c r="C3031" s="14">
        <v>25</v>
      </c>
      <c r="D3031" s="12"/>
      <c r="E3031" s="13"/>
    </row>
    <row r="3032" spans="1:5" ht="11.1" hidden="1" customHeight="1" x14ac:dyDescent="0.25">
      <c r="A3032" s="12" t="s">
        <v>4379</v>
      </c>
      <c r="B3032" s="12" t="s">
        <v>4378</v>
      </c>
      <c r="C3032" s="14">
        <v>23.33</v>
      </c>
      <c r="D3032" s="12"/>
      <c r="E3032" s="13"/>
    </row>
    <row r="3033" spans="1:5" ht="11.1" hidden="1" customHeight="1" x14ac:dyDescent="0.25">
      <c r="A3033" s="12" t="s">
        <v>4380</v>
      </c>
      <c r="B3033" s="12" t="s">
        <v>2100</v>
      </c>
      <c r="C3033" s="14">
        <v>243.33</v>
      </c>
      <c r="D3033" s="12"/>
      <c r="E3033" s="13"/>
    </row>
    <row r="3034" spans="1:5" ht="11.1" hidden="1" customHeight="1" x14ac:dyDescent="0.25">
      <c r="A3034" s="12" t="s">
        <v>4381</v>
      </c>
      <c r="B3034" s="12" t="s">
        <v>2113</v>
      </c>
      <c r="C3034" s="14">
        <v>104.17</v>
      </c>
      <c r="D3034" s="12"/>
      <c r="E3034" s="13"/>
    </row>
    <row r="3035" spans="1:5" ht="11.1" hidden="1" customHeight="1" x14ac:dyDescent="0.25">
      <c r="A3035" s="12" t="s">
        <v>4382</v>
      </c>
      <c r="B3035" s="12" t="s">
        <v>2113</v>
      </c>
      <c r="C3035" s="14">
        <v>127.5</v>
      </c>
      <c r="D3035" s="12"/>
      <c r="E3035" s="13"/>
    </row>
    <row r="3036" spans="1:5" ht="11.1" hidden="1" customHeight="1" x14ac:dyDescent="0.25">
      <c r="A3036" s="12" t="s">
        <v>4383</v>
      </c>
      <c r="B3036" s="12" t="s">
        <v>2113</v>
      </c>
      <c r="C3036" s="14">
        <v>150</v>
      </c>
      <c r="D3036" s="12"/>
      <c r="E3036" s="13"/>
    </row>
    <row r="3037" spans="1:5" ht="11.1" hidden="1" customHeight="1" x14ac:dyDescent="0.25">
      <c r="A3037" s="12" t="s">
        <v>4384</v>
      </c>
      <c r="B3037" s="12" t="s">
        <v>4385</v>
      </c>
      <c r="C3037" s="14">
        <v>133.33000000000001</v>
      </c>
      <c r="D3037" s="12"/>
      <c r="E3037" s="13"/>
    </row>
    <row r="3038" spans="1:5" ht="11.1" hidden="1" customHeight="1" x14ac:dyDescent="0.25">
      <c r="A3038" s="12" t="s">
        <v>4386</v>
      </c>
      <c r="B3038" s="12" t="s">
        <v>2156</v>
      </c>
      <c r="C3038" s="14">
        <v>105.83</v>
      </c>
      <c r="D3038" s="12"/>
      <c r="E3038" s="13"/>
    </row>
    <row r="3039" spans="1:5" ht="11.1" hidden="1" customHeight="1" x14ac:dyDescent="0.25">
      <c r="A3039" s="12" t="s">
        <v>4387</v>
      </c>
      <c r="B3039" s="12" t="s">
        <v>4378</v>
      </c>
      <c r="C3039" s="14">
        <v>350</v>
      </c>
      <c r="D3039" s="12"/>
      <c r="E3039" s="13"/>
    </row>
    <row r="3040" spans="1:5" ht="11.1" hidden="1" customHeight="1" x14ac:dyDescent="0.25">
      <c r="A3040" s="12" t="s">
        <v>4388</v>
      </c>
      <c r="B3040" s="12" t="s">
        <v>2113</v>
      </c>
      <c r="C3040" s="14">
        <v>633.33000000000004</v>
      </c>
      <c r="D3040" s="12"/>
      <c r="E3040" s="13"/>
    </row>
    <row r="3041" spans="1:5" ht="11.1" hidden="1" customHeight="1" x14ac:dyDescent="0.25">
      <c r="A3041" s="12" t="s">
        <v>4389</v>
      </c>
      <c r="B3041" s="12" t="s">
        <v>3040</v>
      </c>
      <c r="C3041" s="14">
        <v>66.67</v>
      </c>
      <c r="D3041" s="12"/>
      <c r="E3041" s="13"/>
    </row>
    <row r="3042" spans="1:5" ht="11.1" hidden="1" customHeight="1" x14ac:dyDescent="0.25">
      <c r="A3042" s="12" t="s">
        <v>4390</v>
      </c>
      <c r="B3042" s="12" t="s">
        <v>3040</v>
      </c>
      <c r="C3042" s="14">
        <v>75</v>
      </c>
      <c r="D3042" s="12"/>
      <c r="E3042" s="13"/>
    </row>
    <row r="3043" spans="1:5" ht="11.1" hidden="1" customHeight="1" x14ac:dyDescent="0.25">
      <c r="A3043" s="12" t="s">
        <v>4391</v>
      </c>
      <c r="B3043" s="12" t="s">
        <v>1704</v>
      </c>
      <c r="C3043" s="14">
        <v>408.33</v>
      </c>
      <c r="D3043" s="12"/>
      <c r="E3043" s="13"/>
    </row>
    <row r="3044" spans="1:5" ht="11.1" hidden="1" customHeight="1" x14ac:dyDescent="0.25">
      <c r="A3044" s="12" t="s">
        <v>4392</v>
      </c>
      <c r="B3044" s="12" t="s">
        <v>3696</v>
      </c>
      <c r="C3044" s="14">
        <v>143.33000000000001</v>
      </c>
      <c r="D3044" s="12"/>
      <c r="E3044" s="13"/>
    </row>
    <row r="3045" spans="1:5" ht="11.1" hidden="1" customHeight="1" x14ac:dyDescent="0.25">
      <c r="A3045" s="12" t="s">
        <v>4393</v>
      </c>
      <c r="B3045" s="12" t="s">
        <v>769</v>
      </c>
      <c r="C3045" s="14">
        <v>225</v>
      </c>
      <c r="D3045" s="12"/>
      <c r="E3045" s="13"/>
    </row>
    <row r="3046" spans="1:5" ht="11.1" hidden="1" customHeight="1" x14ac:dyDescent="0.25">
      <c r="A3046" s="12" t="s">
        <v>4394</v>
      </c>
      <c r="B3046" s="12" t="s">
        <v>4378</v>
      </c>
      <c r="C3046" s="14">
        <v>265</v>
      </c>
      <c r="D3046" s="12"/>
      <c r="E3046" s="13"/>
    </row>
    <row r="3047" spans="1:5" ht="23.1" hidden="1" customHeight="1" x14ac:dyDescent="0.25">
      <c r="A3047" s="12" t="s">
        <v>4395</v>
      </c>
      <c r="B3047" s="12" t="s">
        <v>3713</v>
      </c>
      <c r="C3047" s="14">
        <v>316.67</v>
      </c>
      <c r="D3047" s="12"/>
      <c r="E3047" s="13"/>
    </row>
    <row r="3048" spans="1:5" ht="11.1" hidden="1" customHeight="1" x14ac:dyDescent="0.25">
      <c r="A3048" s="12" t="s">
        <v>4396</v>
      </c>
      <c r="B3048" s="12" t="s">
        <v>4397</v>
      </c>
      <c r="C3048" s="14">
        <v>116.78</v>
      </c>
      <c r="D3048" s="12"/>
      <c r="E3048" s="13"/>
    </row>
    <row r="3049" spans="1:5" ht="11.1" hidden="1" customHeight="1" x14ac:dyDescent="0.25">
      <c r="A3049" s="12" t="s">
        <v>4398</v>
      </c>
      <c r="B3049" s="12" t="s">
        <v>285</v>
      </c>
      <c r="C3049" s="14">
        <v>416.67</v>
      </c>
      <c r="D3049" s="12"/>
      <c r="E3049" s="13"/>
    </row>
    <row r="3050" spans="1:5" ht="11.1" hidden="1" customHeight="1" x14ac:dyDescent="0.25">
      <c r="A3050" s="12" t="s">
        <v>4399</v>
      </c>
      <c r="B3050" s="12" t="s">
        <v>285</v>
      </c>
      <c r="C3050" s="14">
        <v>415.83</v>
      </c>
      <c r="D3050" s="12"/>
      <c r="E3050" s="13"/>
    </row>
    <row r="3051" spans="1:5" ht="11.1" hidden="1" customHeight="1" x14ac:dyDescent="0.25">
      <c r="A3051" s="12" t="s">
        <v>4400</v>
      </c>
      <c r="B3051" s="12" t="s">
        <v>2156</v>
      </c>
      <c r="C3051" s="14">
        <v>67.42</v>
      </c>
      <c r="D3051" s="12"/>
      <c r="E3051" s="13"/>
    </row>
    <row r="3052" spans="1:5" ht="11.1" hidden="1" customHeight="1" x14ac:dyDescent="0.25">
      <c r="A3052" s="12" t="s">
        <v>4401</v>
      </c>
      <c r="B3052" s="12" t="s">
        <v>2105</v>
      </c>
      <c r="C3052" s="14">
        <v>79.3</v>
      </c>
      <c r="D3052" s="12"/>
      <c r="E3052" s="13"/>
    </row>
    <row r="3053" spans="1:5" ht="11.1" hidden="1" customHeight="1" x14ac:dyDescent="0.25">
      <c r="A3053" s="12" t="s">
        <v>4402</v>
      </c>
      <c r="B3053" s="12" t="s">
        <v>2107</v>
      </c>
      <c r="C3053" s="14">
        <v>34.08</v>
      </c>
      <c r="D3053" s="12"/>
      <c r="E3053" s="13"/>
    </row>
    <row r="3054" spans="1:5" ht="11.1" hidden="1" customHeight="1" x14ac:dyDescent="0.25">
      <c r="A3054" s="12" t="s">
        <v>4403</v>
      </c>
      <c r="B3054" s="12" t="s">
        <v>2053</v>
      </c>
      <c r="C3054" s="14">
        <v>66.09</v>
      </c>
      <c r="D3054" s="12"/>
      <c r="E3054" s="13"/>
    </row>
    <row r="3055" spans="1:5" ht="11.1" hidden="1" customHeight="1" x14ac:dyDescent="0.25">
      <c r="A3055" s="12" t="s">
        <v>4404</v>
      </c>
      <c r="B3055" s="12" t="s">
        <v>2056</v>
      </c>
      <c r="C3055" s="14">
        <v>112.5</v>
      </c>
      <c r="D3055" s="12"/>
      <c r="E3055" s="13"/>
    </row>
    <row r="3056" spans="1:5" ht="11.1" hidden="1" customHeight="1" x14ac:dyDescent="0.25">
      <c r="A3056" s="12" t="s">
        <v>4405</v>
      </c>
      <c r="B3056" s="12" t="s">
        <v>2113</v>
      </c>
      <c r="C3056" s="14">
        <v>112.99</v>
      </c>
      <c r="D3056" s="12"/>
      <c r="E3056" s="13"/>
    </row>
    <row r="3057" spans="1:5" ht="11.1" hidden="1" customHeight="1" x14ac:dyDescent="0.25">
      <c r="A3057" s="12" t="s">
        <v>4406</v>
      </c>
      <c r="B3057" s="12" t="s">
        <v>2156</v>
      </c>
      <c r="C3057" s="14">
        <v>84.17</v>
      </c>
      <c r="D3057" s="12"/>
      <c r="E3057" s="13"/>
    </row>
    <row r="3058" spans="1:5" ht="11.1" hidden="1" customHeight="1" x14ac:dyDescent="0.25">
      <c r="A3058" s="12" t="s">
        <v>4407</v>
      </c>
      <c r="B3058" s="12" t="s">
        <v>1754</v>
      </c>
      <c r="C3058" s="14">
        <v>42.5</v>
      </c>
      <c r="D3058" s="12"/>
      <c r="E3058" s="13"/>
    </row>
    <row r="3059" spans="1:5" ht="11.1" hidden="1" customHeight="1" x14ac:dyDescent="0.25">
      <c r="A3059" s="12" t="s">
        <v>4408</v>
      </c>
      <c r="B3059" s="12" t="s">
        <v>1704</v>
      </c>
      <c r="C3059" s="14">
        <v>208.33</v>
      </c>
      <c r="D3059" s="12"/>
      <c r="E3059" s="13"/>
    </row>
    <row r="3060" spans="1:5" ht="11.1" hidden="1" customHeight="1" x14ac:dyDescent="0.25">
      <c r="A3060" s="12" t="s">
        <v>4409</v>
      </c>
      <c r="B3060" s="12" t="s">
        <v>563</v>
      </c>
      <c r="C3060" s="14">
        <v>333.33</v>
      </c>
      <c r="D3060" s="12"/>
      <c r="E3060" s="13"/>
    </row>
    <row r="3061" spans="1:5" ht="11.1" hidden="1" customHeight="1" x14ac:dyDescent="0.25">
      <c r="A3061" s="12" t="s">
        <v>4410</v>
      </c>
      <c r="B3061" s="12" t="s">
        <v>523</v>
      </c>
      <c r="C3061" s="14">
        <v>13.33</v>
      </c>
      <c r="D3061" s="12"/>
      <c r="E3061" s="13"/>
    </row>
    <row r="3062" spans="1:5" ht="11.1" hidden="1" customHeight="1" x14ac:dyDescent="0.25">
      <c r="A3062" s="12" t="s">
        <v>4411</v>
      </c>
      <c r="B3062" s="12" t="s">
        <v>2162</v>
      </c>
      <c r="C3062" s="14">
        <v>18.21</v>
      </c>
      <c r="D3062" s="12"/>
      <c r="E3062" s="13"/>
    </row>
    <row r="3063" spans="1:5" ht="11.1" hidden="1" customHeight="1" x14ac:dyDescent="0.25">
      <c r="A3063" s="12" t="s">
        <v>4412</v>
      </c>
      <c r="B3063" s="12" t="s">
        <v>4413</v>
      </c>
      <c r="C3063" s="14">
        <v>40</v>
      </c>
      <c r="D3063" s="12"/>
      <c r="E3063" s="13"/>
    </row>
    <row r="3064" spans="1:5" ht="11.1" hidden="1" customHeight="1" x14ac:dyDescent="0.25">
      <c r="A3064" s="12" t="s">
        <v>4414</v>
      </c>
      <c r="B3064" s="12" t="s">
        <v>4415</v>
      </c>
      <c r="C3064" s="14">
        <v>36.25</v>
      </c>
      <c r="D3064" s="12"/>
      <c r="E3064" s="13"/>
    </row>
    <row r="3065" spans="1:5" ht="11.1" hidden="1" customHeight="1" x14ac:dyDescent="0.25">
      <c r="A3065" s="12" t="s">
        <v>4416</v>
      </c>
      <c r="B3065" s="12" t="s">
        <v>4417</v>
      </c>
      <c r="C3065" s="14">
        <v>28.33</v>
      </c>
      <c r="D3065" s="12"/>
      <c r="E3065" s="13"/>
    </row>
    <row r="3066" spans="1:5" ht="11.1" hidden="1" customHeight="1" x14ac:dyDescent="0.25">
      <c r="A3066" s="12" t="s">
        <v>4418</v>
      </c>
      <c r="B3066" s="12" t="s">
        <v>2113</v>
      </c>
      <c r="C3066" s="14">
        <v>33.6</v>
      </c>
      <c r="D3066" s="12"/>
      <c r="E3066" s="13"/>
    </row>
    <row r="3067" spans="1:5" ht="11.1" hidden="1" customHeight="1" x14ac:dyDescent="0.25">
      <c r="A3067" s="12" t="s">
        <v>4419</v>
      </c>
      <c r="B3067" s="12" t="s">
        <v>2156</v>
      </c>
      <c r="C3067" s="14">
        <v>20.5</v>
      </c>
      <c r="D3067" s="12"/>
      <c r="E3067" s="13"/>
    </row>
    <row r="3068" spans="1:5" ht="11.1" hidden="1" customHeight="1" x14ac:dyDescent="0.25">
      <c r="A3068" s="12" t="s">
        <v>4420</v>
      </c>
      <c r="B3068" s="12" t="s">
        <v>1985</v>
      </c>
      <c r="C3068" s="14">
        <v>19.43</v>
      </c>
      <c r="D3068" s="12"/>
      <c r="E3068" s="13"/>
    </row>
    <row r="3069" spans="1:5" ht="11.1" hidden="1" customHeight="1" x14ac:dyDescent="0.25">
      <c r="A3069" s="12" t="s">
        <v>4421</v>
      </c>
      <c r="B3069" s="12" t="s">
        <v>3696</v>
      </c>
      <c r="C3069" s="14">
        <v>252.5</v>
      </c>
      <c r="D3069" s="12"/>
      <c r="E3069" s="13"/>
    </row>
    <row r="3070" spans="1:5" ht="11.1" hidden="1" customHeight="1" x14ac:dyDescent="0.25">
      <c r="A3070" s="12" t="s">
        <v>4422</v>
      </c>
      <c r="B3070" s="12" t="s">
        <v>4378</v>
      </c>
      <c r="C3070" s="14">
        <v>408.34</v>
      </c>
      <c r="D3070" s="12"/>
      <c r="E3070" s="13"/>
    </row>
    <row r="3071" spans="1:5" ht="11.1" hidden="1" customHeight="1" x14ac:dyDescent="0.25">
      <c r="A3071" s="12" t="s">
        <v>4423</v>
      </c>
      <c r="B3071" s="12" t="s">
        <v>4378</v>
      </c>
      <c r="C3071" s="14">
        <v>408.34</v>
      </c>
      <c r="D3071" s="12"/>
      <c r="E3071" s="13"/>
    </row>
    <row r="3072" spans="1:5" ht="11.1" hidden="1" customHeight="1" x14ac:dyDescent="0.25">
      <c r="A3072" s="12" t="s">
        <v>4424</v>
      </c>
      <c r="B3072" s="12" t="s">
        <v>4425</v>
      </c>
      <c r="C3072" s="14">
        <v>252</v>
      </c>
      <c r="D3072" s="12"/>
      <c r="E3072" s="13"/>
    </row>
    <row r="3073" spans="1:5" ht="11.1" hidden="1" customHeight="1" x14ac:dyDescent="0.25">
      <c r="A3073" s="12" t="s">
        <v>4426</v>
      </c>
      <c r="B3073" s="12" t="s">
        <v>3623</v>
      </c>
      <c r="C3073" s="14">
        <v>5866.67</v>
      </c>
      <c r="D3073" s="12"/>
      <c r="E3073" s="14"/>
    </row>
    <row r="3074" spans="1:5" ht="11.1" hidden="1" customHeight="1" x14ac:dyDescent="0.25">
      <c r="A3074" s="12" t="s">
        <v>4427</v>
      </c>
      <c r="B3074" s="12" t="s">
        <v>2087</v>
      </c>
      <c r="C3074" s="14">
        <v>9208.33</v>
      </c>
      <c r="D3074" s="12"/>
      <c r="E3074" s="14"/>
    </row>
    <row r="3075" spans="1:5" ht="11.1" hidden="1" customHeight="1" x14ac:dyDescent="0.25">
      <c r="A3075" s="12" t="s">
        <v>4428</v>
      </c>
      <c r="B3075" s="12" t="s">
        <v>80</v>
      </c>
      <c r="C3075" s="14">
        <v>433.33</v>
      </c>
      <c r="D3075" s="12"/>
      <c r="E3075" s="13"/>
    </row>
    <row r="3076" spans="1:5" ht="11.1" hidden="1" customHeight="1" x14ac:dyDescent="0.25">
      <c r="A3076" s="12" t="s">
        <v>4429</v>
      </c>
      <c r="B3076" s="12" t="s">
        <v>2076</v>
      </c>
      <c r="C3076" s="14">
        <v>7790.25</v>
      </c>
      <c r="D3076" s="12"/>
      <c r="E3076" s="14"/>
    </row>
    <row r="3077" spans="1:5" ht="11.1" hidden="1" customHeight="1" x14ac:dyDescent="0.25">
      <c r="A3077" s="12" t="s">
        <v>4430</v>
      </c>
      <c r="B3077" s="12" t="s">
        <v>2693</v>
      </c>
      <c r="C3077" s="14">
        <v>2822</v>
      </c>
      <c r="D3077" s="12"/>
      <c r="E3077" s="14"/>
    </row>
    <row r="3078" spans="1:5" ht="11.1" hidden="1" customHeight="1" x14ac:dyDescent="0.25">
      <c r="A3078" s="12" t="s">
        <v>4431</v>
      </c>
      <c r="B3078" s="12" t="s">
        <v>2640</v>
      </c>
      <c r="C3078" s="14">
        <v>1590</v>
      </c>
      <c r="D3078" s="12"/>
      <c r="E3078" s="14"/>
    </row>
    <row r="3079" spans="1:5" ht="11.1" hidden="1" customHeight="1" x14ac:dyDescent="0.25">
      <c r="A3079" s="12" t="s">
        <v>4432</v>
      </c>
      <c r="B3079" s="12" t="s">
        <v>4433</v>
      </c>
      <c r="C3079" s="14">
        <v>71200</v>
      </c>
      <c r="D3079" s="12"/>
      <c r="E3079" s="14"/>
    </row>
    <row r="3080" spans="1:5" ht="23.1" hidden="1" customHeight="1" x14ac:dyDescent="0.25">
      <c r="A3080" s="12" t="s">
        <v>4434</v>
      </c>
      <c r="B3080" s="12" t="s">
        <v>268</v>
      </c>
      <c r="C3080" s="14">
        <v>1647.5</v>
      </c>
      <c r="D3080" s="12"/>
      <c r="E3080" s="14"/>
    </row>
    <row r="3081" spans="1:5" ht="11.1" hidden="1" customHeight="1" x14ac:dyDescent="0.25">
      <c r="A3081" s="12" t="s">
        <v>4435</v>
      </c>
      <c r="B3081" s="12" t="s">
        <v>4436</v>
      </c>
      <c r="C3081" s="14">
        <v>430</v>
      </c>
      <c r="D3081" s="12"/>
      <c r="E3081" s="13"/>
    </row>
    <row r="3082" spans="1:5" ht="11.1" hidden="1" customHeight="1" x14ac:dyDescent="0.25">
      <c r="A3082" s="12" t="s">
        <v>4437</v>
      </c>
      <c r="B3082" s="12" t="s">
        <v>4436</v>
      </c>
      <c r="C3082" s="14">
        <v>430</v>
      </c>
      <c r="D3082" s="12"/>
      <c r="E3082" s="13"/>
    </row>
    <row r="3083" spans="1:5" ht="11.1" hidden="1" customHeight="1" x14ac:dyDescent="0.25">
      <c r="A3083" s="12" t="s">
        <v>4438</v>
      </c>
      <c r="B3083" s="12" t="s">
        <v>4436</v>
      </c>
      <c r="C3083" s="14">
        <v>430</v>
      </c>
      <c r="D3083" s="12"/>
      <c r="E3083" s="13"/>
    </row>
    <row r="3084" spans="1:5" ht="11.1" hidden="1" customHeight="1" x14ac:dyDescent="0.25">
      <c r="A3084" s="12" t="s">
        <v>4439</v>
      </c>
      <c r="B3084" s="12" t="s">
        <v>4436</v>
      </c>
      <c r="C3084" s="14">
        <v>430</v>
      </c>
      <c r="D3084" s="12"/>
      <c r="E3084" s="13"/>
    </row>
    <row r="3085" spans="1:5" ht="11.1" hidden="1" customHeight="1" x14ac:dyDescent="0.25">
      <c r="A3085" s="12" t="s">
        <v>4440</v>
      </c>
      <c r="B3085" s="12" t="s">
        <v>4436</v>
      </c>
      <c r="C3085" s="14">
        <v>430</v>
      </c>
      <c r="D3085" s="12"/>
      <c r="E3085" s="13"/>
    </row>
    <row r="3086" spans="1:5" ht="11.1" hidden="1" customHeight="1" x14ac:dyDescent="0.25">
      <c r="A3086" s="12" t="s">
        <v>4441</v>
      </c>
      <c r="B3086" s="12" t="s">
        <v>4436</v>
      </c>
      <c r="C3086" s="14">
        <v>430</v>
      </c>
      <c r="D3086" s="12"/>
      <c r="E3086" s="13"/>
    </row>
    <row r="3087" spans="1:5" ht="11.1" hidden="1" customHeight="1" x14ac:dyDescent="0.25">
      <c r="A3087" s="12" t="s">
        <v>4442</v>
      </c>
      <c r="B3087" s="12" t="s">
        <v>4436</v>
      </c>
      <c r="C3087" s="14">
        <v>430</v>
      </c>
      <c r="D3087" s="12"/>
      <c r="E3087" s="13"/>
    </row>
    <row r="3088" spans="1:5" ht="11.1" hidden="1" customHeight="1" x14ac:dyDescent="0.25">
      <c r="A3088" s="12" t="s">
        <v>4443</v>
      </c>
      <c r="B3088" s="12" t="s">
        <v>4436</v>
      </c>
      <c r="C3088" s="14">
        <v>430</v>
      </c>
      <c r="D3088" s="12"/>
      <c r="E3088" s="13"/>
    </row>
    <row r="3089" spans="1:5" ht="11.1" hidden="1" customHeight="1" x14ac:dyDescent="0.25">
      <c r="A3089" s="12" t="s">
        <v>4444</v>
      </c>
      <c r="B3089" s="12" t="s">
        <v>4436</v>
      </c>
      <c r="C3089" s="14">
        <v>430</v>
      </c>
      <c r="D3089" s="12"/>
      <c r="E3089" s="13"/>
    </row>
    <row r="3090" spans="1:5" ht="11.1" hidden="1" customHeight="1" x14ac:dyDescent="0.25">
      <c r="A3090" s="12" t="s">
        <v>4445</v>
      </c>
      <c r="B3090" s="12" t="s">
        <v>4436</v>
      </c>
      <c r="C3090" s="14">
        <v>430</v>
      </c>
      <c r="D3090" s="12"/>
      <c r="E3090" s="13"/>
    </row>
    <row r="3091" spans="1:5" ht="11.1" hidden="1" customHeight="1" x14ac:dyDescent="0.25">
      <c r="A3091" s="12" t="s">
        <v>4446</v>
      </c>
      <c r="B3091" s="12" t="s">
        <v>4436</v>
      </c>
      <c r="C3091" s="14">
        <v>430</v>
      </c>
      <c r="D3091" s="12"/>
      <c r="E3091" s="13"/>
    </row>
    <row r="3092" spans="1:5" ht="11.1" hidden="1" customHeight="1" x14ac:dyDescent="0.25">
      <c r="A3092" s="12" t="s">
        <v>4447</v>
      </c>
      <c r="B3092" s="12" t="s">
        <v>4436</v>
      </c>
      <c r="C3092" s="14">
        <v>430</v>
      </c>
      <c r="D3092" s="12"/>
      <c r="E3092" s="13"/>
    </row>
    <row r="3093" spans="1:5" ht="11.1" hidden="1" customHeight="1" x14ac:dyDescent="0.25">
      <c r="A3093" s="12" t="s">
        <v>4448</v>
      </c>
      <c r="B3093" s="12" t="s">
        <v>4449</v>
      </c>
      <c r="C3093" s="14">
        <v>1566.67</v>
      </c>
      <c r="D3093" s="12"/>
      <c r="E3093" s="14"/>
    </row>
    <row r="3094" spans="1:5" ht="11.1" hidden="1" customHeight="1" x14ac:dyDescent="0.25">
      <c r="A3094" s="12" t="s">
        <v>4450</v>
      </c>
      <c r="B3094" s="12" t="s">
        <v>4449</v>
      </c>
      <c r="C3094" s="14">
        <v>1566.67</v>
      </c>
      <c r="D3094" s="12"/>
      <c r="E3094" s="14"/>
    </row>
    <row r="3095" spans="1:5" ht="11.1" hidden="1" customHeight="1" x14ac:dyDescent="0.25">
      <c r="A3095" s="12" t="s">
        <v>4451</v>
      </c>
      <c r="B3095" s="12" t="s">
        <v>4449</v>
      </c>
      <c r="C3095" s="14">
        <v>1566.67</v>
      </c>
      <c r="D3095" s="12"/>
      <c r="E3095" s="14"/>
    </row>
    <row r="3096" spans="1:5" ht="11.1" hidden="1" customHeight="1" x14ac:dyDescent="0.25">
      <c r="A3096" s="12" t="s">
        <v>4452</v>
      </c>
      <c r="B3096" s="12" t="s">
        <v>4449</v>
      </c>
      <c r="C3096" s="14">
        <v>1566.67</v>
      </c>
      <c r="D3096" s="12"/>
      <c r="E3096" s="14"/>
    </row>
    <row r="3097" spans="1:5" ht="11.1" hidden="1" customHeight="1" x14ac:dyDescent="0.25">
      <c r="A3097" s="12" t="s">
        <v>4453</v>
      </c>
      <c r="B3097" s="12" t="s">
        <v>3830</v>
      </c>
      <c r="C3097" s="14">
        <v>833.33</v>
      </c>
      <c r="D3097" s="12"/>
      <c r="E3097" s="13"/>
    </row>
    <row r="3098" spans="1:5" ht="11.1" hidden="1" customHeight="1" x14ac:dyDescent="0.25">
      <c r="A3098" s="12" t="s">
        <v>4454</v>
      </c>
      <c r="B3098" s="12" t="s">
        <v>4449</v>
      </c>
      <c r="C3098" s="14">
        <v>1253.33</v>
      </c>
      <c r="D3098" s="12"/>
      <c r="E3098" s="14"/>
    </row>
    <row r="3099" spans="1:5" ht="11.1" hidden="1" customHeight="1" x14ac:dyDescent="0.25">
      <c r="A3099" s="12" t="s">
        <v>4455</v>
      </c>
      <c r="B3099" s="12" t="s">
        <v>4449</v>
      </c>
      <c r="C3099" s="14">
        <v>1208.33</v>
      </c>
      <c r="D3099" s="12"/>
      <c r="E3099" s="14"/>
    </row>
    <row r="3100" spans="1:5" ht="11.1" hidden="1" customHeight="1" x14ac:dyDescent="0.25">
      <c r="A3100" s="12" t="s">
        <v>4456</v>
      </c>
      <c r="B3100" s="12" t="s">
        <v>4449</v>
      </c>
      <c r="C3100" s="14">
        <v>1208.33</v>
      </c>
      <c r="D3100" s="12"/>
      <c r="E3100" s="14"/>
    </row>
    <row r="3101" spans="1:5" ht="11.1" hidden="1" customHeight="1" x14ac:dyDescent="0.25">
      <c r="A3101" s="12" t="s">
        <v>4457</v>
      </c>
      <c r="B3101" s="12" t="s">
        <v>1000</v>
      </c>
      <c r="C3101" s="14">
        <v>7785</v>
      </c>
      <c r="D3101" s="12"/>
      <c r="E3101" s="14"/>
    </row>
    <row r="3102" spans="1:5" ht="11.1" hidden="1" customHeight="1" x14ac:dyDescent="0.25">
      <c r="A3102" s="12" t="s">
        <v>4458</v>
      </c>
      <c r="B3102" s="12" t="s">
        <v>395</v>
      </c>
      <c r="C3102" s="14">
        <v>8010</v>
      </c>
      <c r="D3102" s="12"/>
      <c r="E3102" s="14"/>
    </row>
    <row r="3103" spans="1:5" ht="11.1" hidden="1" customHeight="1" x14ac:dyDescent="0.25">
      <c r="A3103" s="12" t="s">
        <v>4459</v>
      </c>
      <c r="B3103" s="12" t="s">
        <v>257</v>
      </c>
      <c r="C3103" s="14">
        <v>4516.2299999999996</v>
      </c>
      <c r="D3103" s="12"/>
      <c r="E3103" s="14"/>
    </row>
    <row r="3104" spans="1:5" ht="11.1" hidden="1" customHeight="1" x14ac:dyDescent="0.25">
      <c r="A3104" s="12" t="s">
        <v>4460</v>
      </c>
      <c r="B3104" s="12" t="s">
        <v>4461</v>
      </c>
      <c r="C3104" s="14">
        <v>4250</v>
      </c>
      <c r="D3104" s="12"/>
      <c r="E3104" s="14"/>
    </row>
    <row r="3105" spans="1:6" ht="11.1" hidden="1" customHeight="1" x14ac:dyDescent="0.25">
      <c r="A3105" s="12" t="s">
        <v>4462</v>
      </c>
      <c r="B3105" s="12" t="s">
        <v>4463</v>
      </c>
      <c r="C3105" s="14">
        <v>6233.33</v>
      </c>
      <c r="D3105" s="12"/>
      <c r="E3105" s="14"/>
    </row>
    <row r="3106" spans="1:6" ht="11.1" hidden="1" customHeight="1" x14ac:dyDescent="0.25">
      <c r="A3106" s="12" t="s">
        <v>4464</v>
      </c>
      <c r="B3106" s="12" t="s">
        <v>4465</v>
      </c>
      <c r="C3106" s="14">
        <v>3731.67</v>
      </c>
      <c r="D3106" s="12"/>
      <c r="E3106" s="14"/>
    </row>
    <row r="3107" spans="1:6" ht="11.1" hidden="1" customHeight="1" x14ac:dyDescent="0.25">
      <c r="A3107" s="12" t="s">
        <v>4466</v>
      </c>
      <c r="B3107" s="12" t="s">
        <v>4467</v>
      </c>
      <c r="C3107" s="14">
        <v>7691.67</v>
      </c>
      <c r="D3107" s="12"/>
      <c r="E3107" s="14"/>
    </row>
    <row r="3108" spans="1:6" ht="11.1" customHeight="1" x14ac:dyDescent="0.25">
      <c r="A3108" s="12" t="s">
        <v>4468</v>
      </c>
      <c r="B3108" s="12" t="s">
        <v>4469</v>
      </c>
      <c r="C3108" s="14">
        <v>4440.72</v>
      </c>
      <c r="D3108" s="12"/>
      <c r="E3108" s="14"/>
      <c r="F3108">
        <f>C3108/100</f>
        <v>44.407200000000003</v>
      </c>
    </row>
    <row r="3109" spans="1:6" ht="11.1" hidden="1" customHeight="1" x14ac:dyDescent="0.25">
      <c r="A3109" s="12" t="s">
        <v>4470</v>
      </c>
      <c r="B3109" s="12" t="s">
        <v>4471</v>
      </c>
      <c r="C3109" s="14">
        <v>181.86</v>
      </c>
      <c r="D3109" s="12"/>
      <c r="E3109" s="13"/>
    </row>
    <row r="3110" spans="1:6" ht="11.1" hidden="1" customHeight="1" x14ac:dyDescent="0.25">
      <c r="A3110" s="12" t="s">
        <v>4472</v>
      </c>
      <c r="B3110" s="12" t="s">
        <v>4473</v>
      </c>
      <c r="C3110" s="14">
        <v>9167.5</v>
      </c>
      <c r="D3110" s="12"/>
      <c r="E3110" s="14"/>
    </row>
    <row r="3111" spans="1:6" ht="11.1" hidden="1" customHeight="1" x14ac:dyDescent="0.25">
      <c r="A3111" s="12" t="s">
        <v>4474</v>
      </c>
      <c r="B3111" s="12" t="s">
        <v>552</v>
      </c>
      <c r="C3111" s="14">
        <v>12791.67</v>
      </c>
      <c r="D3111" s="12"/>
      <c r="E3111" s="14"/>
    </row>
    <row r="3112" spans="1:6" ht="11.1" hidden="1" customHeight="1" x14ac:dyDescent="0.25">
      <c r="A3112" s="12" t="s">
        <v>4475</v>
      </c>
      <c r="B3112" s="12" t="s">
        <v>4476</v>
      </c>
      <c r="C3112" s="14">
        <v>27805</v>
      </c>
      <c r="D3112" s="12"/>
      <c r="E3112" s="14"/>
    </row>
    <row r="3113" spans="1:6" ht="11.1" hidden="1" customHeight="1" x14ac:dyDescent="0.25">
      <c r="A3113" s="12" t="s">
        <v>4477</v>
      </c>
      <c r="B3113" s="12" t="s">
        <v>2377</v>
      </c>
      <c r="C3113" s="14">
        <v>1946.67</v>
      </c>
      <c r="D3113" s="12"/>
      <c r="E3113" s="14"/>
    </row>
    <row r="3114" spans="1:6" ht="11.1" hidden="1" customHeight="1" x14ac:dyDescent="0.25">
      <c r="A3114" s="12" t="s">
        <v>4478</v>
      </c>
      <c r="B3114" s="12" t="s">
        <v>745</v>
      </c>
      <c r="C3114" s="14">
        <v>1888.33</v>
      </c>
      <c r="D3114" s="12"/>
      <c r="E3114" s="14"/>
    </row>
    <row r="3115" spans="1:6" ht="11.1" hidden="1" customHeight="1" x14ac:dyDescent="0.25">
      <c r="A3115" s="12" t="s">
        <v>4479</v>
      </c>
      <c r="B3115" s="12" t="s">
        <v>497</v>
      </c>
      <c r="C3115" s="14">
        <v>6677.5</v>
      </c>
      <c r="D3115" s="12"/>
      <c r="E3115" s="14"/>
    </row>
    <row r="3116" spans="1:6" ht="11.1" hidden="1" customHeight="1" x14ac:dyDescent="0.25">
      <c r="A3116" s="12" t="s">
        <v>4480</v>
      </c>
      <c r="B3116" s="12" t="s">
        <v>387</v>
      </c>
      <c r="C3116" s="14">
        <v>458.33</v>
      </c>
      <c r="D3116" s="12"/>
      <c r="E3116" s="13"/>
    </row>
    <row r="3117" spans="1:6" ht="11.1" hidden="1" customHeight="1" x14ac:dyDescent="0.25">
      <c r="A3117" s="12" t="s">
        <v>4481</v>
      </c>
      <c r="B3117" s="12" t="s">
        <v>387</v>
      </c>
      <c r="C3117" s="14">
        <v>470</v>
      </c>
      <c r="D3117" s="12"/>
      <c r="E3117" s="13"/>
    </row>
    <row r="3118" spans="1:6" ht="11.1" hidden="1" customHeight="1" x14ac:dyDescent="0.25">
      <c r="A3118" s="12" t="s">
        <v>4482</v>
      </c>
      <c r="B3118" s="12" t="s">
        <v>497</v>
      </c>
      <c r="C3118" s="14">
        <v>391.67</v>
      </c>
      <c r="D3118" s="12"/>
      <c r="E3118" s="13"/>
    </row>
    <row r="3119" spans="1:6" ht="11.1" hidden="1" customHeight="1" x14ac:dyDescent="0.25">
      <c r="A3119" s="12" t="s">
        <v>4483</v>
      </c>
      <c r="B3119" s="12" t="s">
        <v>4484</v>
      </c>
      <c r="C3119" s="14">
        <v>11848.34</v>
      </c>
      <c r="D3119" s="12"/>
      <c r="E3119" s="14"/>
    </row>
    <row r="3120" spans="1:6" ht="11.1" hidden="1" customHeight="1" x14ac:dyDescent="0.25">
      <c r="A3120" s="12" t="s">
        <v>4485</v>
      </c>
      <c r="B3120" s="12" t="s">
        <v>1247</v>
      </c>
      <c r="C3120" s="14">
        <v>2355.83</v>
      </c>
      <c r="D3120" s="12"/>
      <c r="E3120" s="14"/>
    </row>
    <row r="3121" spans="1:5" ht="11.1" hidden="1" customHeight="1" x14ac:dyDescent="0.25">
      <c r="A3121" s="12" t="s">
        <v>4486</v>
      </c>
      <c r="B3121" s="12" t="s">
        <v>1247</v>
      </c>
      <c r="C3121" s="14">
        <v>2355.83</v>
      </c>
      <c r="D3121" s="12"/>
      <c r="E3121" s="14"/>
    </row>
    <row r="3122" spans="1:5" ht="11.1" hidden="1" customHeight="1" x14ac:dyDescent="0.25">
      <c r="A3122" s="12" t="s">
        <v>4487</v>
      </c>
      <c r="B3122" s="12" t="s">
        <v>1247</v>
      </c>
      <c r="C3122" s="14">
        <v>2355.83</v>
      </c>
      <c r="D3122" s="12"/>
      <c r="E3122" s="14"/>
    </row>
    <row r="3123" spans="1:5" ht="11.1" hidden="1" customHeight="1" x14ac:dyDescent="0.25">
      <c r="A3123" s="12" t="s">
        <v>4488</v>
      </c>
      <c r="B3123" s="12" t="s">
        <v>1247</v>
      </c>
      <c r="C3123" s="14">
        <v>2355.83</v>
      </c>
      <c r="D3123" s="12"/>
      <c r="E3123" s="14"/>
    </row>
    <row r="3124" spans="1:5" ht="11.1" hidden="1" customHeight="1" x14ac:dyDescent="0.25">
      <c r="A3124" s="12" t="s">
        <v>4489</v>
      </c>
      <c r="B3124" s="12" t="s">
        <v>1247</v>
      </c>
      <c r="C3124" s="14">
        <v>2355.83</v>
      </c>
      <c r="D3124" s="12"/>
      <c r="E3124" s="14"/>
    </row>
    <row r="3125" spans="1:5" ht="11.1" hidden="1" customHeight="1" x14ac:dyDescent="0.25">
      <c r="A3125" s="12" t="s">
        <v>4490</v>
      </c>
      <c r="B3125" s="12" t="s">
        <v>565</v>
      </c>
      <c r="C3125" s="14">
        <v>8458.33</v>
      </c>
      <c r="D3125" s="12"/>
      <c r="E3125" s="14"/>
    </row>
    <row r="3126" spans="1:5" ht="11.1" hidden="1" customHeight="1" x14ac:dyDescent="0.25">
      <c r="A3126" s="12" t="s">
        <v>4491</v>
      </c>
      <c r="B3126" s="12" t="s">
        <v>497</v>
      </c>
      <c r="C3126" s="14">
        <v>2442.5</v>
      </c>
      <c r="D3126" s="12"/>
      <c r="E3126" s="14"/>
    </row>
    <row r="3127" spans="1:5" ht="11.1" hidden="1" customHeight="1" x14ac:dyDescent="0.25">
      <c r="A3127" s="12" t="s">
        <v>4492</v>
      </c>
      <c r="B3127" s="12" t="s">
        <v>3326</v>
      </c>
      <c r="C3127" s="14">
        <v>2042.5</v>
      </c>
      <c r="D3127" s="12"/>
      <c r="E3127" s="14"/>
    </row>
    <row r="3128" spans="1:5" ht="11.1" hidden="1" customHeight="1" x14ac:dyDescent="0.25">
      <c r="A3128" s="12" t="s">
        <v>4493</v>
      </c>
      <c r="B3128" s="12" t="s">
        <v>1913</v>
      </c>
      <c r="C3128" s="14">
        <v>8361.67</v>
      </c>
      <c r="D3128" s="12"/>
      <c r="E3128" s="14"/>
    </row>
    <row r="3129" spans="1:5" ht="11.1" hidden="1" customHeight="1" x14ac:dyDescent="0.25">
      <c r="A3129" s="12" t="s">
        <v>4494</v>
      </c>
      <c r="B3129" s="12" t="s">
        <v>387</v>
      </c>
      <c r="C3129" s="14">
        <v>1689.17</v>
      </c>
      <c r="D3129" s="12"/>
      <c r="E3129" s="14"/>
    </row>
    <row r="3130" spans="1:5" ht="11.1" hidden="1" customHeight="1" x14ac:dyDescent="0.25">
      <c r="A3130" s="12" t="s">
        <v>4495</v>
      </c>
      <c r="B3130" s="12" t="s">
        <v>318</v>
      </c>
      <c r="C3130" s="14">
        <v>1725</v>
      </c>
      <c r="D3130" s="12"/>
      <c r="E3130" s="14"/>
    </row>
    <row r="3131" spans="1:5" ht="11.1" hidden="1" customHeight="1" x14ac:dyDescent="0.25">
      <c r="A3131" s="12" t="s">
        <v>4496</v>
      </c>
      <c r="B3131" s="12" t="s">
        <v>1245</v>
      </c>
      <c r="C3131" s="14">
        <v>220.83</v>
      </c>
      <c r="D3131" s="12"/>
      <c r="E3131" s="13"/>
    </row>
    <row r="3132" spans="1:5" ht="11.1" hidden="1" customHeight="1" x14ac:dyDescent="0.25">
      <c r="A3132" s="12" t="s">
        <v>4497</v>
      </c>
      <c r="B3132" s="12" t="s">
        <v>4498</v>
      </c>
      <c r="C3132" s="14">
        <v>177.5</v>
      </c>
      <c r="D3132" s="12"/>
      <c r="E3132" s="13"/>
    </row>
    <row r="3133" spans="1:5" ht="11.1" hidden="1" customHeight="1" x14ac:dyDescent="0.25">
      <c r="A3133" s="12" t="s">
        <v>4499</v>
      </c>
      <c r="B3133" s="12" t="s">
        <v>4498</v>
      </c>
      <c r="C3133" s="14">
        <v>177.5</v>
      </c>
      <c r="D3133" s="12"/>
      <c r="E3133" s="13"/>
    </row>
    <row r="3134" spans="1:5" ht="11.1" hidden="1" customHeight="1" x14ac:dyDescent="0.25">
      <c r="A3134" s="12" t="s">
        <v>4500</v>
      </c>
      <c r="B3134" s="12" t="s">
        <v>4501</v>
      </c>
      <c r="C3134" s="14">
        <v>2750</v>
      </c>
      <c r="D3134" s="12"/>
      <c r="E3134" s="14"/>
    </row>
    <row r="3135" spans="1:5" ht="11.1" hidden="1" customHeight="1" x14ac:dyDescent="0.25">
      <c r="A3135" s="12" t="s">
        <v>4502</v>
      </c>
      <c r="B3135" s="12" t="s">
        <v>4503</v>
      </c>
      <c r="C3135" s="14">
        <v>166.67</v>
      </c>
      <c r="D3135" s="12"/>
      <c r="E3135" s="13"/>
    </row>
    <row r="3136" spans="1:5" ht="11.1" hidden="1" customHeight="1" x14ac:dyDescent="0.25">
      <c r="A3136" s="12" t="s">
        <v>4504</v>
      </c>
      <c r="B3136" s="12" t="s">
        <v>4503</v>
      </c>
      <c r="C3136" s="14">
        <v>166.67</v>
      </c>
      <c r="D3136" s="12"/>
      <c r="E3136" s="13"/>
    </row>
    <row r="3137" spans="1:5" ht="11.1" hidden="1" customHeight="1" x14ac:dyDescent="0.25">
      <c r="A3137" s="12" t="s">
        <v>4505</v>
      </c>
      <c r="B3137" s="12" t="s">
        <v>4501</v>
      </c>
      <c r="C3137" s="14">
        <v>5750</v>
      </c>
      <c r="D3137" s="12"/>
      <c r="E3137" s="14"/>
    </row>
    <row r="3138" spans="1:5" ht="11.1" hidden="1" customHeight="1" x14ac:dyDescent="0.25">
      <c r="A3138" s="12" t="s">
        <v>4506</v>
      </c>
      <c r="B3138" s="12" t="s">
        <v>4501</v>
      </c>
      <c r="C3138" s="14">
        <v>5750</v>
      </c>
      <c r="D3138" s="12"/>
      <c r="E3138" s="14"/>
    </row>
    <row r="3139" spans="1:5" ht="11.1" hidden="1" customHeight="1" x14ac:dyDescent="0.25">
      <c r="A3139" s="12" t="s">
        <v>4507</v>
      </c>
      <c r="B3139" s="12" t="s">
        <v>4501</v>
      </c>
      <c r="C3139" s="14">
        <v>3250</v>
      </c>
      <c r="D3139" s="12"/>
      <c r="E3139" s="14"/>
    </row>
    <row r="3140" spans="1:5" ht="11.1" hidden="1" customHeight="1" x14ac:dyDescent="0.25">
      <c r="A3140" s="12" t="s">
        <v>4508</v>
      </c>
      <c r="B3140" s="12" t="s">
        <v>4509</v>
      </c>
      <c r="C3140" s="14">
        <v>112.5</v>
      </c>
      <c r="D3140" s="12"/>
      <c r="E3140" s="13"/>
    </row>
    <row r="3141" spans="1:5" ht="11.1" hidden="1" customHeight="1" x14ac:dyDescent="0.25">
      <c r="A3141" s="12" t="s">
        <v>4510</v>
      </c>
      <c r="B3141" s="12" t="s">
        <v>4509</v>
      </c>
      <c r="C3141" s="14">
        <v>112.5</v>
      </c>
      <c r="D3141" s="12"/>
      <c r="E3141" s="13"/>
    </row>
    <row r="3142" spans="1:5" ht="11.1" hidden="1" customHeight="1" x14ac:dyDescent="0.25">
      <c r="A3142" s="12" t="s">
        <v>4511</v>
      </c>
      <c r="B3142" s="12" t="s">
        <v>4501</v>
      </c>
      <c r="C3142" s="14">
        <v>2750</v>
      </c>
      <c r="D3142" s="12"/>
      <c r="E3142" s="14"/>
    </row>
    <row r="3143" spans="1:5" ht="11.1" hidden="1" customHeight="1" x14ac:dyDescent="0.25">
      <c r="A3143" s="12" t="s">
        <v>4512</v>
      </c>
      <c r="B3143" s="12" t="s">
        <v>4513</v>
      </c>
      <c r="C3143" s="14">
        <v>37.5</v>
      </c>
      <c r="D3143" s="12"/>
      <c r="E3143" s="13"/>
    </row>
    <row r="3144" spans="1:5" ht="11.1" hidden="1" customHeight="1" x14ac:dyDescent="0.25">
      <c r="A3144" s="12" t="s">
        <v>4514</v>
      </c>
      <c r="B3144" s="12" t="s">
        <v>4513</v>
      </c>
      <c r="C3144" s="14">
        <v>37.5</v>
      </c>
      <c r="D3144" s="12"/>
      <c r="E3144" s="13"/>
    </row>
    <row r="3145" spans="1:5" ht="11.1" hidden="1" customHeight="1" x14ac:dyDescent="0.25">
      <c r="A3145" s="12" t="s">
        <v>4515</v>
      </c>
      <c r="B3145" s="12" t="s">
        <v>4513</v>
      </c>
      <c r="C3145" s="14">
        <v>37.5</v>
      </c>
      <c r="D3145" s="12"/>
      <c r="E3145" s="13"/>
    </row>
    <row r="3146" spans="1:5" ht="11.1" hidden="1" customHeight="1" x14ac:dyDescent="0.25">
      <c r="A3146" s="12" t="s">
        <v>4516</v>
      </c>
      <c r="B3146" s="12" t="s">
        <v>4517</v>
      </c>
      <c r="C3146" s="14">
        <v>1291.97</v>
      </c>
      <c r="D3146" s="12"/>
      <c r="E3146" s="14"/>
    </row>
    <row r="3147" spans="1:5" ht="11.1" hidden="1" customHeight="1" x14ac:dyDescent="0.25">
      <c r="A3147" s="12" t="s">
        <v>4518</v>
      </c>
      <c r="B3147" s="12" t="s">
        <v>4519</v>
      </c>
      <c r="C3147" s="14">
        <v>4340</v>
      </c>
      <c r="D3147" s="12"/>
      <c r="E3147" s="14"/>
    </row>
    <row r="3148" spans="1:5" ht="11.1" hidden="1" customHeight="1" x14ac:dyDescent="0.25">
      <c r="A3148" s="12" t="s">
        <v>4520</v>
      </c>
      <c r="B3148" s="12" t="s">
        <v>4521</v>
      </c>
      <c r="C3148" s="14">
        <v>1800</v>
      </c>
      <c r="D3148" s="12"/>
      <c r="E3148" s="14"/>
    </row>
    <row r="3149" spans="1:5" ht="11.1" hidden="1" customHeight="1" x14ac:dyDescent="0.25">
      <c r="A3149" s="12" t="s">
        <v>4522</v>
      </c>
      <c r="B3149" s="12" t="s">
        <v>4523</v>
      </c>
      <c r="C3149" s="14">
        <v>1670.84</v>
      </c>
      <c r="D3149" s="12"/>
      <c r="E3149" s="14"/>
    </row>
    <row r="3150" spans="1:5" ht="11.1" hidden="1" customHeight="1" x14ac:dyDescent="0.25">
      <c r="A3150" s="12" t="s">
        <v>4524</v>
      </c>
      <c r="B3150" s="12" t="s">
        <v>4525</v>
      </c>
      <c r="C3150" s="14">
        <v>657</v>
      </c>
      <c r="D3150" s="12"/>
      <c r="E3150" s="13"/>
    </row>
    <row r="3151" spans="1:5" ht="11.1" hidden="1" customHeight="1" x14ac:dyDescent="0.25">
      <c r="A3151" s="12" t="s">
        <v>4526</v>
      </c>
      <c r="B3151" s="12" t="s">
        <v>745</v>
      </c>
      <c r="C3151" s="14">
        <v>55</v>
      </c>
      <c r="D3151" s="12"/>
      <c r="E3151" s="13"/>
    </row>
    <row r="3152" spans="1:5" ht="23.1" hidden="1" customHeight="1" x14ac:dyDescent="0.25">
      <c r="A3152" s="12" t="s">
        <v>4527</v>
      </c>
      <c r="B3152" s="12" t="s">
        <v>4528</v>
      </c>
      <c r="C3152" s="14">
        <v>220833.33</v>
      </c>
      <c r="D3152" s="12"/>
      <c r="E3152" s="14"/>
    </row>
    <row r="3153" spans="1:5" ht="23.1" hidden="1" customHeight="1" x14ac:dyDescent="0.25">
      <c r="A3153" s="12" t="s">
        <v>4529</v>
      </c>
      <c r="B3153" s="12" t="s">
        <v>4528</v>
      </c>
      <c r="C3153" s="14">
        <v>220833.34</v>
      </c>
      <c r="D3153" s="12"/>
      <c r="E3153" s="14"/>
    </row>
    <row r="3154" spans="1:5" ht="11.1" hidden="1" customHeight="1" x14ac:dyDescent="0.25">
      <c r="A3154" s="12" t="s">
        <v>4530</v>
      </c>
      <c r="B3154" s="12" t="s">
        <v>1405</v>
      </c>
      <c r="C3154" s="14">
        <v>2637.5</v>
      </c>
      <c r="D3154" s="12"/>
      <c r="E3154" s="14"/>
    </row>
    <row r="3155" spans="1:5" ht="11.1" hidden="1" customHeight="1" x14ac:dyDescent="0.25">
      <c r="A3155" s="12" t="s">
        <v>4531</v>
      </c>
      <c r="B3155" s="12" t="s">
        <v>1405</v>
      </c>
      <c r="C3155" s="14">
        <v>2781.67</v>
      </c>
      <c r="D3155" s="12"/>
      <c r="E3155" s="14"/>
    </row>
    <row r="3156" spans="1:5" ht="11.1" hidden="1" customHeight="1" x14ac:dyDescent="0.25">
      <c r="A3156" s="12" t="s">
        <v>4532</v>
      </c>
      <c r="B3156" s="12" t="s">
        <v>1613</v>
      </c>
      <c r="C3156" s="14">
        <v>197</v>
      </c>
      <c r="D3156" s="12"/>
      <c r="E3156" s="13"/>
    </row>
    <row r="3157" spans="1:5" ht="11.1" hidden="1" customHeight="1" x14ac:dyDescent="0.25">
      <c r="A3157" s="12" t="s">
        <v>4533</v>
      </c>
      <c r="B3157" s="12" t="s">
        <v>1573</v>
      </c>
      <c r="C3157" s="14">
        <v>231.67</v>
      </c>
      <c r="D3157" s="12"/>
      <c r="E3157" s="13"/>
    </row>
    <row r="3158" spans="1:5" ht="23.1" hidden="1" customHeight="1" x14ac:dyDescent="0.25">
      <c r="A3158" s="12" t="s">
        <v>4534</v>
      </c>
      <c r="B3158" s="12" t="s">
        <v>745</v>
      </c>
      <c r="C3158" s="14">
        <v>64.17</v>
      </c>
      <c r="D3158" s="12"/>
      <c r="E3158" s="13"/>
    </row>
    <row r="3159" spans="1:5" ht="11.1" hidden="1" customHeight="1" x14ac:dyDescent="0.25">
      <c r="A3159" s="12" t="s">
        <v>4535</v>
      </c>
      <c r="B3159" s="12" t="s">
        <v>266</v>
      </c>
      <c r="C3159" s="14">
        <v>2914.17</v>
      </c>
      <c r="D3159" s="12"/>
      <c r="E3159" s="14"/>
    </row>
    <row r="3160" spans="1:5" ht="11.1" hidden="1" customHeight="1" x14ac:dyDescent="0.25">
      <c r="A3160" s="12" t="s">
        <v>4536</v>
      </c>
      <c r="B3160" s="12" t="s">
        <v>266</v>
      </c>
      <c r="C3160" s="14">
        <v>3513.33</v>
      </c>
      <c r="D3160" s="12"/>
      <c r="E3160" s="14"/>
    </row>
    <row r="3161" spans="1:5" ht="11.1" hidden="1" customHeight="1" x14ac:dyDescent="0.25">
      <c r="A3161" s="12" t="s">
        <v>4537</v>
      </c>
      <c r="B3161" s="12" t="s">
        <v>266</v>
      </c>
      <c r="C3161" s="14">
        <v>1410.83</v>
      </c>
      <c r="D3161" s="12"/>
      <c r="E3161" s="14"/>
    </row>
    <row r="3162" spans="1:5" ht="11.1" hidden="1" customHeight="1" x14ac:dyDescent="0.25">
      <c r="A3162" s="12" t="s">
        <v>4538</v>
      </c>
      <c r="B3162" s="12" t="s">
        <v>4539</v>
      </c>
      <c r="C3162" s="14">
        <v>958.33</v>
      </c>
      <c r="D3162" s="12"/>
      <c r="E3162" s="13"/>
    </row>
    <row r="3163" spans="1:5" ht="11.1" hidden="1" customHeight="1" x14ac:dyDescent="0.25">
      <c r="A3163" s="12" t="s">
        <v>4540</v>
      </c>
      <c r="B3163" s="12" t="s">
        <v>4539</v>
      </c>
      <c r="C3163" s="14">
        <v>414.17</v>
      </c>
      <c r="D3163" s="12"/>
      <c r="E3163" s="13"/>
    </row>
    <row r="3164" spans="1:5" ht="11.1" hidden="1" customHeight="1" x14ac:dyDescent="0.25">
      <c r="A3164" s="12" t="s">
        <v>4541</v>
      </c>
      <c r="B3164" s="12" t="s">
        <v>372</v>
      </c>
      <c r="C3164" s="14">
        <v>452.5</v>
      </c>
      <c r="D3164" s="12"/>
      <c r="E3164" s="13"/>
    </row>
    <row r="3165" spans="1:5" ht="11.1" hidden="1" customHeight="1" x14ac:dyDescent="0.25">
      <c r="A3165" s="12" t="s">
        <v>4542</v>
      </c>
      <c r="B3165" s="12" t="s">
        <v>372</v>
      </c>
      <c r="C3165" s="14">
        <v>149.16999999999999</v>
      </c>
      <c r="D3165" s="12"/>
      <c r="E3165" s="13"/>
    </row>
    <row r="3166" spans="1:5" ht="11.1" hidden="1" customHeight="1" x14ac:dyDescent="0.25">
      <c r="A3166" s="12" t="s">
        <v>4543</v>
      </c>
      <c r="B3166" s="12" t="s">
        <v>1110</v>
      </c>
      <c r="C3166" s="14">
        <v>426.67</v>
      </c>
      <c r="D3166" s="12"/>
      <c r="E3166" s="13"/>
    </row>
    <row r="3167" spans="1:5" ht="11.1" hidden="1" customHeight="1" x14ac:dyDescent="0.25">
      <c r="A3167" s="12" t="s">
        <v>4544</v>
      </c>
      <c r="B3167" s="12" t="s">
        <v>4545</v>
      </c>
      <c r="C3167" s="14">
        <v>88.34</v>
      </c>
      <c r="D3167" s="12"/>
      <c r="E3167" s="13"/>
    </row>
    <row r="3168" spans="1:5" ht="11.1" hidden="1" customHeight="1" x14ac:dyDescent="0.25">
      <c r="A3168" s="12" t="s">
        <v>4546</v>
      </c>
      <c r="B3168" s="12" t="s">
        <v>4547</v>
      </c>
      <c r="C3168" s="14">
        <v>325</v>
      </c>
      <c r="D3168" s="12"/>
      <c r="E3168" s="13"/>
    </row>
    <row r="3169" spans="1:5" ht="11.1" hidden="1" customHeight="1" x14ac:dyDescent="0.25">
      <c r="A3169" s="12" t="s">
        <v>4548</v>
      </c>
      <c r="B3169" s="12" t="s">
        <v>3605</v>
      </c>
      <c r="C3169" s="14">
        <v>698.33</v>
      </c>
      <c r="D3169" s="12"/>
      <c r="E3169" s="13"/>
    </row>
    <row r="3170" spans="1:5" ht="11.1" hidden="1" customHeight="1" x14ac:dyDescent="0.25">
      <c r="A3170" s="12" t="s">
        <v>4549</v>
      </c>
      <c r="B3170" s="12" t="s">
        <v>4550</v>
      </c>
      <c r="C3170" s="14">
        <v>79.17</v>
      </c>
      <c r="D3170" s="12"/>
      <c r="E3170" s="13"/>
    </row>
    <row r="3171" spans="1:5" ht="11.1" hidden="1" customHeight="1" x14ac:dyDescent="0.25">
      <c r="A3171" s="12" t="s">
        <v>4551</v>
      </c>
      <c r="B3171" s="12" t="s">
        <v>2826</v>
      </c>
      <c r="C3171" s="14">
        <v>633.33000000000004</v>
      </c>
      <c r="D3171" s="12"/>
      <c r="E3171" s="13"/>
    </row>
    <row r="3172" spans="1:5" ht="11.1" hidden="1" customHeight="1" x14ac:dyDescent="0.25">
      <c r="A3172" s="12" t="s">
        <v>4552</v>
      </c>
      <c r="B3172" s="12" t="s">
        <v>4550</v>
      </c>
      <c r="C3172" s="14">
        <v>316.67</v>
      </c>
      <c r="D3172" s="12"/>
      <c r="E3172" s="13"/>
    </row>
    <row r="3173" spans="1:5" ht="11.1" hidden="1" customHeight="1" x14ac:dyDescent="0.25">
      <c r="A3173" s="12" t="s">
        <v>4553</v>
      </c>
      <c r="B3173" s="12" t="s">
        <v>2826</v>
      </c>
      <c r="C3173" s="14">
        <v>129.16999999999999</v>
      </c>
      <c r="D3173" s="12"/>
      <c r="E3173" s="13"/>
    </row>
    <row r="3174" spans="1:5" ht="11.1" hidden="1" customHeight="1" x14ac:dyDescent="0.25">
      <c r="A3174" s="12" t="s">
        <v>4554</v>
      </c>
      <c r="B3174" s="12" t="s">
        <v>4550</v>
      </c>
      <c r="C3174" s="14">
        <v>41.67</v>
      </c>
      <c r="D3174" s="12"/>
      <c r="E3174" s="13"/>
    </row>
    <row r="3175" spans="1:5" ht="11.1" hidden="1" customHeight="1" x14ac:dyDescent="0.25">
      <c r="A3175" s="12" t="s">
        <v>4555</v>
      </c>
      <c r="B3175" s="12" t="s">
        <v>2100</v>
      </c>
      <c r="C3175" s="14">
        <v>26.42</v>
      </c>
      <c r="D3175" s="12"/>
      <c r="E3175" s="13"/>
    </row>
    <row r="3176" spans="1:5" ht="11.1" hidden="1" customHeight="1" x14ac:dyDescent="0.25">
      <c r="A3176" s="12" t="s">
        <v>4556</v>
      </c>
      <c r="B3176" s="12" t="s">
        <v>2326</v>
      </c>
      <c r="C3176" s="14">
        <v>53.25</v>
      </c>
      <c r="D3176" s="12"/>
      <c r="E3176" s="13"/>
    </row>
    <row r="3177" spans="1:5" ht="11.1" hidden="1" customHeight="1" x14ac:dyDescent="0.25">
      <c r="A3177" s="12" t="s">
        <v>4557</v>
      </c>
      <c r="B3177" s="12" t="s">
        <v>4558</v>
      </c>
      <c r="C3177" s="14">
        <v>196</v>
      </c>
      <c r="D3177" s="12"/>
      <c r="E3177" s="13"/>
    </row>
    <row r="3178" spans="1:5" ht="11.1" hidden="1" customHeight="1" x14ac:dyDescent="0.25">
      <c r="A3178" s="12" t="s">
        <v>4559</v>
      </c>
      <c r="B3178" s="12" t="s">
        <v>4560</v>
      </c>
      <c r="C3178" s="14">
        <v>406</v>
      </c>
      <c r="D3178" s="12"/>
      <c r="E3178" s="13"/>
    </row>
    <row r="3179" spans="1:5" ht="11.1" hidden="1" customHeight="1" x14ac:dyDescent="0.25">
      <c r="A3179" s="12" t="s">
        <v>4561</v>
      </c>
      <c r="B3179" s="12" t="s">
        <v>4562</v>
      </c>
      <c r="C3179" s="14">
        <v>2280</v>
      </c>
      <c r="D3179" s="12"/>
      <c r="E3179" s="14"/>
    </row>
    <row r="3180" spans="1:5" ht="11.1" hidden="1" customHeight="1" x14ac:dyDescent="0.25">
      <c r="A3180" s="12" t="s">
        <v>4563</v>
      </c>
      <c r="B3180" s="12" t="s">
        <v>4119</v>
      </c>
      <c r="C3180" s="14">
        <v>5083.33</v>
      </c>
      <c r="D3180" s="12"/>
      <c r="E3180" s="14"/>
    </row>
    <row r="3181" spans="1:5" ht="11.1" hidden="1" customHeight="1" x14ac:dyDescent="0.25">
      <c r="A3181" s="12" t="s">
        <v>4564</v>
      </c>
      <c r="B3181" s="12" t="s">
        <v>264</v>
      </c>
      <c r="C3181" s="14">
        <v>13411</v>
      </c>
      <c r="D3181" s="12"/>
      <c r="E3181" s="14"/>
    </row>
    <row r="3182" spans="1:5" ht="11.1" hidden="1" customHeight="1" x14ac:dyDescent="0.25">
      <c r="A3182" s="12" t="s">
        <v>4565</v>
      </c>
      <c r="B3182" s="12" t="s">
        <v>2753</v>
      </c>
      <c r="C3182" s="14">
        <v>833</v>
      </c>
      <c r="D3182" s="12"/>
      <c r="E3182" s="13"/>
    </row>
    <row r="3183" spans="1:5" ht="11.1" hidden="1" customHeight="1" x14ac:dyDescent="0.25">
      <c r="A3183" s="12" t="s">
        <v>4566</v>
      </c>
      <c r="B3183" s="12" t="s">
        <v>4567</v>
      </c>
      <c r="C3183" s="14">
        <v>3241.67</v>
      </c>
      <c r="D3183" s="12"/>
      <c r="E3183" s="14"/>
    </row>
    <row r="3184" spans="1:5" ht="11.1" hidden="1" customHeight="1" x14ac:dyDescent="0.25">
      <c r="A3184" s="12" t="s">
        <v>4568</v>
      </c>
      <c r="B3184" s="12" t="s">
        <v>2990</v>
      </c>
      <c r="C3184" s="14">
        <v>45</v>
      </c>
      <c r="D3184" s="12"/>
      <c r="E3184" s="13"/>
    </row>
    <row r="3185" spans="1:5" ht="23.1" hidden="1" customHeight="1" x14ac:dyDescent="0.25">
      <c r="A3185" s="12" t="s">
        <v>4569</v>
      </c>
      <c r="B3185" s="12" t="s">
        <v>2990</v>
      </c>
      <c r="C3185" s="14">
        <v>114</v>
      </c>
      <c r="D3185" s="12"/>
      <c r="E3185" s="13"/>
    </row>
    <row r="3186" spans="1:5" ht="11.1" hidden="1" customHeight="1" x14ac:dyDescent="0.25">
      <c r="A3186" s="12" t="s">
        <v>4570</v>
      </c>
      <c r="B3186" s="12" t="s">
        <v>2990</v>
      </c>
      <c r="C3186" s="14">
        <v>45</v>
      </c>
      <c r="D3186" s="12"/>
      <c r="E3186" s="13"/>
    </row>
    <row r="3187" spans="1:5" ht="11.1" hidden="1" customHeight="1" x14ac:dyDescent="0.25">
      <c r="A3187" s="12" t="s">
        <v>4571</v>
      </c>
      <c r="B3187" s="12" t="s">
        <v>4572</v>
      </c>
      <c r="C3187" s="14">
        <v>480</v>
      </c>
      <c r="D3187" s="12"/>
      <c r="E3187" s="13"/>
    </row>
    <row r="3188" spans="1:5" ht="11.1" hidden="1" customHeight="1" x14ac:dyDescent="0.25">
      <c r="A3188" s="12" t="s">
        <v>4573</v>
      </c>
      <c r="B3188" s="12" t="s">
        <v>4574</v>
      </c>
      <c r="C3188" s="14">
        <v>70</v>
      </c>
      <c r="D3188" s="12"/>
      <c r="E3188" s="13"/>
    </row>
    <row r="3189" spans="1:5" ht="11.1" hidden="1" customHeight="1" x14ac:dyDescent="0.25">
      <c r="A3189" s="12" t="s">
        <v>4575</v>
      </c>
      <c r="B3189" s="12" t="s">
        <v>1843</v>
      </c>
      <c r="C3189" s="14">
        <v>115901.67</v>
      </c>
      <c r="D3189" s="12"/>
      <c r="E3189" s="14"/>
    </row>
    <row r="3190" spans="1:5" ht="11.1" hidden="1" customHeight="1" x14ac:dyDescent="0.25">
      <c r="A3190" s="12" t="s">
        <v>4576</v>
      </c>
      <c r="B3190" s="12" t="s">
        <v>3594</v>
      </c>
      <c r="C3190" s="14">
        <v>319</v>
      </c>
      <c r="D3190" s="12"/>
      <c r="E3190" s="13"/>
    </row>
    <row r="3191" spans="1:5" ht="11.1" hidden="1" customHeight="1" x14ac:dyDescent="0.25">
      <c r="A3191" s="12" t="s">
        <v>4577</v>
      </c>
      <c r="B3191" s="12" t="s">
        <v>4578</v>
      </c>
      <c r="C3191" s="14">
        <v>100</v>
      </c>
      <c r="D3191" s="12"/>
      <c r="E3191" s="13"/>
    </row>
    <row r="3192" spans="1:5" ht="11.1" hidden="1" customHeight="1" x14ac:dyDescent="0.25">
      <c r="A3192" s="12" t="s">
        <v>4579</v>
      </c>
      <c r="B3192" s="12" t="s">
        <v>4580</v>
      </c>
      <c r="C3192" s="14">
        <v>223.33</v>
      </c>
      <c r="D3192" s="12"/>
      <c r="E3192" s="13"/>
    </row>
    <row r="3193" spans="1:5" ht="11.1" hidden="1" customHeight="1" x14ac:dyDescent="0.25">
      <c r="A3193" s="12" t="s">
        <v>4581</v>
      </c>
      <c r="B3193" s="12" t="s">
        <v>4582</v>
      </c>
      <c r="C3193" s="14">
        <v>229.17</v>
      </c>
      <c r="D3193" s="12"/>
      <c r="E3193" s="13"/>
    </row>
    <row r="3194" spans="1:5" ht="11.1" hidden="1" customHeight="1" x14ac:dyDescent="0.25">
      <c r="A3194" s="12" t="s">
        <v>4583</v>
      </c>
      <c r="B3194" s="12" t="s">
        <v>3658</v>
      </c>
      <c r="C3194" s="14">
        <v>65</v>
      </c>
      <c r="D3194" s="12"/>
      <c r="E3194" s="13"/>
    </row>
    <row r="3195" spans="1:5" ht="11.1" hidden="1" customHeight="1" x14ac:dyDescent="0.25">
      <c r="A3195" s="12" t="s">
        <v>4584</v>
      </c>
      <c r="B3195" s="12" t="s">
        <v>4585</v>
      </c>
      <c r="C3195" s="14">
        <v>6596</v>
      </c>
      <c r="D3195" s="12"/>
      <c r="E3195" s="14"/>
    </row>
    <row r="3196" spans="1:5" ht="11.1" hidden="1" customHeight="1" x14ac:dyDescent="0.25">
      <c r="A3196" s="12" t="s">
        <v>4586</v>
      </c>
      <c r="B3196" s="12" t="s">
        <v>2588</v>
      </c>
      <c r="C3196" s="14">
        <v>2548.89</v>
      </c>
      <c r="D3196" s="12"/>
      <c r="E3196" s="14"/>
    </row>
    <row r="3197" spans="1:5" ht="23.1" hidden="1" customHeight="1" x14ac:dyDescent="0.25">
      <c r="A3197" s="12" t="s">
        <v>4587</v>
      </c>
      <c r="B3197" s="12" t="s">
        <v>4588</v>
      </c>
      <c r="C3197" s="14">
        <v>900</v>
      </c>
      <c r="D3197" s="12"/>
      <c r="E3197" s="13"/>
    </row>
    <row r="3198" spans="1:5" ht="11.1" hidden="1" customHeight="1" x14ac:dyDescent="0.25">
      <c r="A3198" s="12" t="s">
        <v>4589</v>
      </c>
      <c r="B3198" s="12" t="s">
        <v>4590</v>
      </c>
      <c r="C3198" s="14">
        <v>18300</v>
      </c>
      <c r="D3198" s="12"/>
      <c r="E3198" s="14"/>
    </row>
    <row r="3199" spans="1:5" ht="11.1" hidden="1" customHeight="1" x14ac:dyDescent="0.25">
      <c r="A3199" s="12" t="s">
        <v>4591</v>
      </c>
      <c r="B3199" s="12" t="s">
        <v>4592</v>
      </c>
      <c r="C3199" s="14">
        <v>250000</v>
      </c>
      <c r="D3199" s="12"/>
      <c r="E3199" s="14"/>
    </row>
    <row r="3200" spans="1:5" ht="11.1" hidden="1" customHeight="1" x14ac:dyDescent="0.25">
      <c r="A3200" s="12" t="s">
        <v>4593</v>
      </c>
      <c r="B3200" s="12" t="s">
        <v>4594</v>
      </c>
      <c r="C3200" s="14">
        <v>8188</v>
      </c>
      <c r="D3200" s="12"/>
      <c r="E3200" s="14"/>
    </row>
    <row r="3201" spans="1:5" ht="11.1" hidden="1" customHeight="1" x14ac:dyDescent="0.25">
      <c r="A3201" s="12" t="s">
        <v>4595</v>
      </c>
      <c r="B3201" s="12" t="s">
        <v>4596</v>
      </c>
      <c r="C3201" s="14">
        <v>1011720</v>
      </c>
      <c r="D3201" s="12"/>
      <c r="E3201" s="14"/>
    </row>
    <row r="3202" spans="1:5" ht="11.1" hidden="1" customHeight="1" x14ac:dyDescent="0.25">
      <c r="A3202" s="12" t="s">
        <v>4597</v>
      </c>
      <c r="B3202" s="12" t="s">
        <v>4598</v>
      </c>
      <c r="C3202" s="14">
        <v>29033.34</v>
      </c>
      <c r="D3202" s="12"/>
      <c r="E3202" s="14"/>
    </row>
    <row r="3203" spans="1:5" ht="11.1" hidden="1" customHeight="1" x14ac:dyDescent="0.25">
      <c r="A3203" s="12" t="s">
        <v>4599</v>
      </c>
      <c r="B3203" s="12" t="s">
        <v>4600</v>
      </c>
      <c r="C3203" s="14">
        <v>36312.97</v>
      </c>
      <c r="D3203" s="12"/>
      <c r="E3203" s="14"/>
    </row>
    <row r="3204" spans="1:5" ht="11.1" hidden="1" customHeight="1" x14ac:dyDescent="0.25">
      <c r="A3204" s="12" t="s">
        <v>4601</v>
      </c>
      <c r="B3204" s="12" t="s">
        <v>4600</v>
      </c>
      <c r="C3204" s="14">
        <v>18156.490000000002</v>
      </c>
      <c r="D3204" s="12"/>
      <c r="E3204" s="14"/>
    </row>
    <row r="3205" spans="1:5" ht="11.1" hidden="1" customHeight="1" x14ac:dyDescent="0.25">
      <c r="A3205" s="12" t="s">
        <v>4602</v>
      </c>
      <c r="B3205" s="12" t="s">
        <v>4600</v>
      </c>
      <c r="C3205" s="14">
        <v>27234.73</v>
      </c>
      <c r="D3205" s="12"/>
      <c r="E3205" s="14"/>
    </row>
    <row r="3206" spans="1:5" ht="11.1" hidden="1" customHeight="1" x14ac:dyDescent="0.25">
      <c r="A3206" s="12" t="s">
        <v>4603</v>
      </c>
      <c r="B3206" s="12" t="s">
        <v>4604</v>
      </c>
      <c r="C3206" s="14">
        <v>43766.67</v>
      </c>
      <c r="D3206" s="12"/>
      <c r="E3206" s="14"/>
    </row>
    <row r="3207" spans="1:5" ht="11.1" hidden="1" customHeight="1" x14ac:dyDescent="0.25">
      <c r="A3207" s="12" t="s">
        <v>4605</v>
      </c>
      <c r="B3207" s="12" t="s">
        <v>4606</v>
      </c>
      <c r="C3207" s="14">
        <v>2082.5</v>
      </c>
      <c r="D3207" s="12"/>
      <c r="E3207" s="14"/>
    </row>
    <row r="3208" spans="1:5" ht="11.1" hidden="1" customHeight="1" x14ac:dyDescent="0.25">
      <c r="A3208" s="12" t="s">
        <v>4607</v>
      </c>
      <c r="B3208" s="12" t="s">
        <v>4608</v>
      </c>
      <c r="C3208" s="14">
        <v>1990</v>
      </c>
      <c r="D3208" s="12"/>
      <c r="E3208" s="14"/>
    </row>
    <row r="3209" spans="1:5" ht="11.1" hidden="1" customHeight="1" x14ac:dyDescent="0.25">
      <c r="A3209" s="12" t="s">
        <v>4609</v>
      </c>
      <c r="B3209" s="12" t="s">
        <v>4610</v>
      </c>
      <c r="C3209" s="14">
        <v>2500</v>
      </c>
      <c r="D3209" s="12"/>
      <c r="E3209" s="14"/>
    </row>
    <row r="3210" spans="1:5" ht="11.1" hidden="1" customHeight="1" x14ac:dyDescent="0.25">
      <c r="A3210" s="12" t="s">
        <v>4611</v>
      </c>
      <c r="B3210" s="12" t="s">
        <v>4608</v>
      </c>
      <c r="C3210" s="14">
        <v>6490</v>
      </c>
      <c r="D3210" s="12"/>
      <c r="E3210" s="14"/>
    </row>
    <row r="3211" spans="1:5" ht="11.1" hidden="1" customHeight="1" x14ac:dyDescent="0.25">
      <c r="A3211" s="12" t="s">
        <v>4612</v>
      </c>
      <c r="B3211" s="12" t="s">
        <v>4613</v>
      </c>
      <c r="C3211" s="14">
        <v>619189.73</v>
      </c>
      <c r="D3211" s="12"/>
      <c r="E3211" s="14"/>
    </row>
    <row r="3212" spans="1:5" ht="11.1" hidden="1" customHeight="1" x14ac:dyDescent="0.25">
      <c r="A3212" s="12" t="s">
        <v>4614</v>
      </c>
      <c r="B3212" s="12" t="s">
        <v>482</v>
      </c>
      <c r="C3212" s="14">
        <v>11748.33</v>
      </c>
      <c r="D3212" s="12"/>
      <c r="E3212" s="14"/>
    </row>
    <row r="3213" spans="1:5" ht="11.1" hidden="1" customHeight="1" x14ac:dyDescent="0.25">
      <c r="A3213" s="12" t="s">
        <v>4615</v>
      </c>
      <c r="B3213" s="12" t="s">
        <v>4616</v>
      </c>
      <c r="C3213" s="14">
        <v>46391.67</v>
      </c>
      <c r="D3213" s="12"/>
      <c r="E3213" s="14"/>
    </row>
    <row r="3214" spans="1:5" ht="11.1" hidden="1" customHeight="1" x14ac:dyDescent="0.25">
      <c r="A3214" s="12" t="s">
        <v>4617</v>
      </c>
      <c r="B3214" s="12" t="s">
        <v>1958</v>
      </c>
      <c r="C3214" s="14">
        <v>8790.83</v>
      </c>
      <c r="D3214" s="12"/>
      <c r="E3214" s="14"/>
    </row>
    <row r="3215" spans="1:5" ht="11.1" hidden="1" customHeight="1" x14ac:dyDescent="0.25">
      <c r="A3215" s="12" t="s">
        <v>4618</v>
      </c>
      <c r="B3215" s="12" t="s">
        <v>1958</v>
      </c>
      <c r="C3215" s="14">
        <v>45210</v>
      </c>
      <c r="D3215" s="12"/>
      <c r="E3215" s="14"/>
    </row>
    <row r="3216" spans="1:5" ht="11.1" hidden="1" customHeight="1" x14ac:dyDescent="0.25">
      <c r="A3216" s="12" t="s">
        <v>4619</v>
      </c>
      <c r="B3216" s="12" t="s">
        <v>4620</v>
      </c>
      <c r="C3216" s="14">
        <v>4741</v>
      </c>
      <c r="D3216" s="12"/>
      <c r="E3216" s="14"/>
    </row>
    <row r="3217" spans="1:5" ht="11.1" hidden="1" customHeight="1" x14ac:dyDescent="0.25">
      <c r="A3217" s="12" t="s">
        <v>4621</v>
      </c>
      <c r="B3217" s="12" t="s">
        <v>554</v>
      </c>
      <c r="C3217" s="14">
        <v>817</v>
      </c>
      <c r="D3217" s="12"/>
      <c r="E3217" s="13"/>
    </row>
    <row r="3218" spans="1:5" ht="11.1" hidden="1" customHeight="1" x14ac:dyDescent="0.25">
      <c r="A3218" s="12" t="s">
        <v>4622</v>
      </c>
      <c r="B3218" s="12" t="s">
        <v>4623</v>
      </c>
      <c r="C3218" s="14">
        <v>6411</v>
      </c>
      <c r="D3218" s="12"/>
      <c r="E3218" s="14"/>
    </row>
    <row r="3219" spans="1:5" ht="11.1" hidden="1" customHeight="1" x14ac:dyDescent="0.25">
      <c r="A3219" s="12" t="s">
        <v>4624</v>
      </c>
      <c r="B3219" s="12" t="s">
        <v>2182</v>
      </c>
      <c r="C3219" s="14">
        <v>1416.67</v>
      </c>
      <c r="D3219" s="12"/>
      <c r="E3219" s="14"/>
    </row>
    <row r="3220" spans="1:5" ht="11.1" hidden="1" customHeight="1" x14ac:dyDescent="0.25">
      <c r="A3220" s="12" t="s">
        <v>4625</v>
      </c>
      <c r="B3220" s="12" t="s">
        <v>4626</v>
      </c>
      <c r="C3220" s="14">
        <v>7916.67</v>
      </c>
      <c r="D3220" s="12"/>
      <c r="E3220" s="14"/>
    </row>
    <row r="3221" spans="1:5" ht="11.1" hidden="1" customHeight="1" x14ac:dyDescent="0.25">
      <c r="A3221" s="12" t="s">
        <v>4627</v>
      </c>
      <c r="B3221" s="12" t="s">
        <v>1925</v>
      </c>
      <c r="C3221" s="14">
        <v>1133</v>
      </c>
      <c r="D3221" s="12"/>
      <c r="E3221" s="14"/>
    </row>
    <row r="3222" spans="1:5" ht="11.1" hidden="1" customHeight="1" x14ac:dyDescent="0.25">
      <c r="A3222" s="12" t="s">
        <v>4628</v>
      </c>
      <c r="B3222" s="12" t="s">
        <v>2650</v>
      </c>
      <c r="C3222" s="14">
        <v>944.17</v>
      </c>
      <c r="D3222" s="12"/>
      <c r="E3222" s="13"/>
    </row>
    <row r="3223" spans="1:5" ht="11.1" hidden="1" customHeight="1" x14ac:dyDescent="0.25">
      <c r="A3223" s="12" t="s">
        <v>4629</v>
      </c>
      <c r="B3223" s="12" t="s">
        <v>4630</v>
      </c>
      <c r="C3223" s="14">
        <v>577.39</v>
      </c>
      <c r="D3223" s="12"/>
      <c r="E3223" s="13"/>
    </row>
    <row r="3224" spans="1:5" ht="11.1" hidden="1" customHeight="1" x14ac:dyDescent="0.25">
      <c r="A3224" s="12" t="s">
        <v>4631</v>
      </c>
      <c r="B3224" s="12" t="s">
        <v>146</v>
      </c>
      <c r="C3224" s="14">
        <v>160</v>
      </c>
      <c r="D3224" s="12"/>
      <c r="E3224" s="13"/>
    </row>
    <row r="3225" spans="1:5" ht="11.1" hidden="1" customHeight="1" x14ac:dyDescent="0.25">
      <c r="A3225" s="12" t="s">
        <v>4632</v>
      </c>
      <c r="B3225" s="12" t="s">
        <v>4633</v>
      </c>
      <c r="C3225" s="14">
        <v>3716.23</v>
      </c>
      <c r="D3225" s="12"/>
      <c r="E3225" s="14"/>
    </row>
    <row r="3226" spans="1:5" ht="11.1" hidden="1" customHeight="1" x14ac:dyDescent="0.25">
      <c r="A3226" s="12" t="s">
        <v>4634</v>
      </c>
      <c r="B3226" s="12" t="s">
        <v>1958</v>
      </c>
      <c r="C3226" s="14">
        <v>452.83</v>
      </c>
      <c r="D3226" s="12"/>
      <c r="E3226" s="13"/>
    </row>
    <row r="3227" spans="1:5" ht="11.1" hidden="1" customHeight="1" x14ac:dyDescent="0.25">
      <c r="A3227" s="12" t="s">
        <v>4635</v>
      </c>
      <c r="B3227" s="12" t="s">
        <v>193</v>
      </c>
      <c r="C3227" s="14">
        <v>70.89</v>
      </c>
      <c r="D3227" s="12"/>
      <c r="E3227" s="13"/>
    </row>
    <row r="3228" spans="1:5" ht="11.1" hidden="1" customHeight="1" x14ac:dyDescent="0.25">
      <c r="A3228" s="12" t="s">
        <v>4636</v>
      </c>
      <c r="B3228" s="12" t="s">
        <v>4637</v>
      </c>
      <c r="C3228" s="14">
        <v>105415.6</v>
      </c>
      <c r="D3228" s="12"/>
      <c r="E3228" s="14"/>
    </row>
    <row r="3229" spans="1:5" ht="11.1" hidden="1" customHeight="1" x14ac:dyDescent="0.25">
      <c r="A3229" s="12" t="s">
        <v>4638</v>
      </c>
      <c r="B3229" s="12" t="s">
        <v>1958</v>
      </c>
      <c r="C3229" s="14">
        <v>1130.25</v>
      </c>
      <c r="D3229" s="12"/>
      <c r="E3229" s="14"/>
    </row>
    <row r="3230" spans="1:5" ht="11.1" hidden="1" customHeight="1" x14ac:dyDescent="0.25">
      <c r="A3230" s="12" t="s">
        <v>4639</v>
      </c>
      <c r="B3230" s="12" t="s">
        <v>4640</v>
      </c>
      <c r="C3230" s="14">
        <v>6360</v>
      </c>
      <c r="D3230" s="12"/>
      <c r="E3230" s="14"/>
    </row>
    <row r="3231" spans="1:5" ht="11.1" hidden="1" customHeight="1" x14ac:dyDescent="0.25">
      <c r="A3231" s="12" t="s">
        <v>4641</v>
      </c>
      <c r="B3231" s="12" t="s">
        <v>1110</v>
      </c>
      <c r="C3231" s="14">
        <v>3300</v>
      </c>
      <c r="D3231" s="12"/>
      <c r="E3231" s="14"/>
    </row>
    <row r="3232" spans="1:5" ht="11.1" hidden="1" customHeight="1" x14ac:dyDescent="0.25">
      <c r="A3232" s="12" t="s">
        <v>4642</v>
      </c>
      <c r="B3232" s="12" t="s">
        <v>4643</v>
      </c>
      <c r="C3232" s="14">
        <v>2387.5</v>
      </c>
      <c r="D3232" s="12"/>
      <c r="E3232" s="14"/>
    </row>
    <row r="3233" spans="1:5" ht="11.1" hidden="1" customHeight="1" x14ac:dyDescent="0.25">
      <c r="A3233" s="12" t="s">
        <v>4644</v>
      </c>
      <c r="B3233" s="12" t="s">
        <v>3061</v>
      </c>
      <c r="C3233" s="14">
        <v>3605</v>
      </c>
      <c r="D3233" s="12"/>
      <c r="E3233" s="14"/>
    </row>
    <row r="3234" spans="1:5" ht="11.1" hidden="1" customHeight="1" x14ac:dyDescent="0.25">
      <c r="A3234" s="12" t="s">
        <v>4645</v>
      </c>
      <c r="B3234" s="12" t="s">
        <v>4646</v>
      </c>
      <c r="C3234" s="14">
        <v>3663.33</v>
      </c>
      <c r="D3234" s="12"/>
      <c r="E3234" s="14"/>
    </row>
    <row r="3235" spans="1:5" ht="11.1" hidden="1" customHeight="1" x14ac:dyDescent="0.25">
      <c r="A3235" s="12" t="s">
        <v>4647</v>
      </c>
      <c r="B3235" s="12" t="s">
        <v>1958</v>
      </c>
      <c r="C3235" s="14">
        <v>627.91999999999996</v>
      </c>
      <c r="D3235" s="12"/>
      <c r="E3235" s="13"/>
    </row>
    <row r="3236" spans="1:5" ht="11.1" hidden="1" customHeight="1" x14ac:dyDescent="0.25">
      <c r="A3236" s="12" t="s">
        <v>4648</v>
      </c>
      <c r="B3236" s="12" t="s">
        <v>612</v>
      </c>
      <c r="C3236" s="14">
        <v>25120</v>
      </c>
      <c r="D3236" s="12"/>
      <c r="E3236" s="14"/>
    </row>
    <row r="3237" spans="1:5" ht="11.1" hidden="1" customHeight="1" x14ac:dyDescent="0.25">
      <c r="A3237" s="12" t="s">
        <v>4649</v>
      </c>
      <c r="B3237" s="12" t="s">
        <v>4608</v>
      </c>
      <c r="C3237" s="14">
        <v>198.33</v>
      </c>
      <c r="D3237" s="12"/>
      <c r="E3237" s="13"/>
    </row>
    <row r="3238" spans="1:5" ht="11.1" hidden="1" customHeight="1" x14ac:dyDescent="0.25">
      <c r="A3238" s="12" t="s">
        <v>4650</v>
      </c>
      <c r="B3238" s="12" t="s">
        <v>4651</v>
      </c>
      <c r="C3238" s="14">
        <v>4680</v>
      </c>
      <c r="D3238" s="12"/>
      <c r="E3238" s="14"/>
    </row>
    <row r="3239" spans="1:5" ht="11.1" hidden="1" customHeight="1" x14ac:dyDescent="0.25">
      <c r="A3239" s="12" t="s">
        <v>4652</v>
      </c>
      <c r="B3239" s="12" t="s">
        <v>4651</v>
      </c>
      <c r="C3239" s="14">
        <v>450</v>
      </c>
      <c r="D3239" s="12"/>
      <c r="E3239" s="13"/>
    </row>
    <row r="3240" spans="1:5" ht="11.1" hidden="1" customHeight="1" x14ac:dyDescent="0.25">
      <c r="A3240" s="12" t="s">
        <v>4653</v>
      </c>
      <c r="B3240" s="12" t="s">
        <v>1925</v>
      </c>
      <c r="C3240" s="14">
        <v>152</v>
      </c>
      <c r="D3240" s="12"/>
      <c r="E3240" s="13"/>
    </row>
    <row r="3241" spans="1:5" ht="11.1" hidden="1" customHeight="1" x14ac:dyDescent="0.25">
      <c r="A3241" s="12" t="s">
        <v>4654</v>
      </c>
      <c r="B3241" s="12" t="s">
        <v>482</v>
      </c>
      <c r="C3241" s="14">
        <v>8729.17</v>
      </c>
      <c r="D3241" s="12"/>
      <c r="E3241" s="14"/>
    </row>
    <row r="3242" spans="1:5" ht="11.1" hidden="1" customHeight="1" x14ac:dyDescent="0.25">
      <c r="A3242" s="12" t="s">
        <v>4655</v>
      </c>
      <c r="B3242" s="12" t="s">
        <v>4594</v>
      </c>
      <c r="C3242" s="14">
        <v>17900</v>
      </c>
      <c r="D3242" s="12"/>
      <c r="E3242" s="14"/>
    </row>
    <row r="3243" spans="1:5" ht="11.1" hidden="1" customHeight="1" x14ac:dyDescent="0.25">
      <c r="A3243" s="12" t="s">
        <v>4656</v>
      </c>
      <c r="B3243" s="12" t="s">
        <v>4657</v>
      </c>
      <c r="C3243" s="14">
        <v>305</v>
      </c>
      <c r="D3243" s="12"/>
      <c r="E3243" s="13"/>
    </row>
    <row r="3244" spans="1:5" ht="11.1" hidden="1" customHeight="1" x14ac:dyDescent="0.25">
      <c r="A3244" s="12" t="s">
        <v>4658</v>
      </c>
      <c r="B3244" s="12" t="s">
        <v>4659</v>
      </c>
      <c r="C3244" s="14">
        <v>1050</v>
      </c>
      <c r="D3244" s="12"/>
      <c r="E3244" s="14"/>
    </row>
    <row r="3245" spans="1:5" ht="11.1" hidden="1" customHeight="1" x14ac:dyDescent="0.25">
      <c r="A3245" s="12" t="s">
        <v>4660</v>
      </c>
      <c r="B3245" s="12" t="s">
        <v>1041</v>
      </c>
      <c r="C3245" s="14">
        <v>3543</v>
      </c>
      <c r="D3245" s="12"/>
      <c r="E3245" s="14"/>
    </row>
    <row r="3246" spans="1:5" ht="11.1" hidden="1" customHeight="1" x14ac:dyDescent="0.25">
      <c r="A3246" s="12" t="s">
        <v>4661</v>
      </c>
      <c r="B3246" s="12" t="s">
        <v>1806</v>
      </c>
      <c r="C3246" s="14">
        <v>2232.5</v>
      </c>
      <c r="D3246" s="12"/>
      <c r="E3246" s="14"/>
    </row>
    <row r="3247" spans="1:5" ht="11.1" hidden="1" customHeight="1" x14ac:dyDescent="0.25">
      <c r="A3247" s="12" t="s">
        <v>4662</v>
      </c>
      <c r="B3247" s="12" t="s">
        <v>4663</v>
      </c>
      <c r="C3247" s="14">
        <v>85.9</v>
      </c>
      <c r="D3247" s="12"/>
      <c r="E3247" s="13"/>
    </row>
    <row r="3248" spans="1:5" ht="11.1" hidden="1" customHeight="1" x14ac:dyDescent="0.25">
      <c r="A3248" s="12" t="s">
        <v>4664</v>
      </c>
      <c r="B3248" s="12" t="s">
        <v>191</v>
      </c>
      <c r="C3248" s="14">
        <v>113.64</v>
      </c>
      <c r="D3248" s="12"/>
      <c r="E3248" s="13"/>
    </row>
    <row r="3249" spans="1:5" ht="11.1" hidden="1" customHeight="1" x14ac:dyDescent="0.25">
      <c r="A3249" s="12" t="s">
        <v>4665</v>
      </c>
      <c r="B3249" s="12" t="s">
        <v>4666</v>
      </c>
      <c r="C3249" s="14">
        <v>63.48</v>
      </c>
      <c r="D3249" s="12"/>
      <c r="E3249" s="13"/>
    </row>
    <row r="3250" spans="1:5" ht="11.1" hidden="1" customHeight="1" x14ac:dyDescent="0.25">
      <c r="A3250" s="12" t="s">
        <v>4667</v>
      </c>
      <c r="B3250" s="12" t="s">
        <v>866</v>
      </c>
      <c r="C3250" s="14">
        <v>190.84</v>
      </c>
      <c r="D3250" s="12"/>
      <c r="E3250" s="13"/>
    </row>
    <row r="3251" spans="1:5" ht="11.1" hidden="1" customHeight="1" x14ac:dyDescent="0.25">
      <c r="A3251" s="12" t="s">
        <v>4668</v>
      </c>
      <c r="B3251" s="12" t="s">
        <v>4669</v>
      </c>
      <c r="C3251" s="14">
        <v>926.67</v>
      </c>
      <c r="D3251" s="12"/>
      <c r="E3251" s="13"/>
    </row>
    <row r="3252" spans="1:5" ht="11.1" hidden="1" customHeight="1" x14ac:dyDescent="0.25">
      <c r="A3252" s="12" t="s">
        <v>4670</v>
      </c>
      <c r="B3252" s="12" t="s">
        <v>786</v>
      </c>
      <c r="C3252" s="14">
        <v>465.83</v>
      </c>
      <c r="D3252" s="12"/>
      <c r="E3252" s="13"/>
    </row>
    <row r="3253" spans="1:5" ht="11.1" hidden="1" customHeight="1" x14ac:dyDescent="0.25">
      <c r="A3253" s="12" t="s">
        <v>4671</v>
      </c>
      <c r="B3253" s="12" t="s">
        <v>1436</v>
      </c>
      <c r="C3253" s="14">
        <v>366.67</v>
      </c>
      <c r="D3253" s="12"/>
      <c r="E3253" s="13"/>
    </row>
    <row r="3254" spans="1:5" ht="23.1" hidden="1" customHeight="1" x14ac:dyDescent="0.25">
      <c r="A3254" s="12" t="s">
        <v>4672</v>
      </c>
      <c r="B3254" s="12" t="s">
        <v>4673</v>
      </c>
      <c r="C3254" s="14">
        <v>407.5</v>
      </c>
      <c r="D3254" s="12"/>
      <c r="E3254" s="13"/>
    </row>
    <row r="3255" spans="1:5" ht="11.1" hidden="1" customHeight="1" x14ac:dyDescent="0.25">
      <c r="A3255" s="12" t="s">
        <v>4674</v>
      </c>
      <c r="B3255" s="12" t="s">
        <v>3855</v>
      </c>
      <c r="C3255" s="14">
        <v>10480</v>
      </c>
      <c r="D3255" s="12"/>
      <c r="E3255" s="14"/>
    </row>
    <row r="3256" spans="1:5" ht="23.1" hidden="1" customHeight="1" x14ac:dyDescent="0.25">
      <c r="A3256" s="12" t="s">
        <v>4675</v>
      </c>
      <c r="B3256" s="12" t="s">
        <v>128</v>
      </c>
      <c r="C3256" s="14">
        <v>18665.84</v>
      </c>
      <c r="D3256" s="12"/>
      <c r="E3256" s="14"/>
    </row>
    <row r="3257" spans="1:5" ht="11.1" hidden="1" customHeight="1" x14ac:dyDescent="0.25">
      <c r="A3257" s="12" t="s">
        <v>4676</v>
      </c>
      <c r="B3257" s="12" t="s">
        <v>4677</v>
      </c>
      <c r="C3257" s="14">
        <v>70607.5</v>
      </c>
      <c r="D3257" s="12"/>
      <c r="E3257" s="14"/>
    </row>
    <row r="3258" spans="1:5" ht="11.1" hidden="1" customHeight="1" x14ac:dyDescent="0.25">
      <c r="A3258" s="12" t="s">
        <v>4678</v>
      </c>
      <c r="B3258" s="12" t="s">
        <v>3614</v>
      </c>
      <c r="C3258" s="14">
        <v>12469.17</v>
      </c>
      <c r="D3258" s="12"/>
      <c r="E3258" s="14"/>
    </row>
    <row r="3259" spans="1:5" ht="11.1" hidden="1" customHeight="1" x14ac:dyDescent="0.25">
      <c r="A3259" s="12" t="s">
        <v>4679</v>
      </c>
      <c r="B3259" s="12" t="s">
        <v>3839</v>
      </c>
      <c r="C3259" s="14">
        <v>12413.34</v>
      </c>
      <c r="D3259" s="12"/>
      <c r="E3259" s="14"/>
    </row>
    <row r="3260" spans="1:5" ht="11.1" hidden="1" customHeight="1" x14ac:dyDescent="0.25">
      <c r="A3260" s="12" t="s">
        <v>4680</v>
      </c>
      <c r="B3260" s="12" t="s">
        <v>2392</v>
      </c>
      <c r="C3260" s="14">
        <v>9799.17</v>
      </c>
      <c r="D3260" s="12"/>
      <c r="E3260" s="14"/>
    </row>
    <row r="3261" spans="1:5" ht="11.1" hidden="1" customHeight="1" x14ac:dyDescent="0.25">
      <c r="A3261" s="12" t="s">
        <v>4681</v>
      </c>
      <c r="B3261" s="12" t="s">
        <v>476</v>
      </c>
      <c r="C3261" s="14">
        <v>7333.33</v>
      </c>
      <c r="D3261" s="12"/>
      <c r="E3261" s="14"/>
    </row>
    <row r="3262" spans="1:5" ht="11.1" hidden="1" customHeight="1" x14ac:dyDescent="0.25">
      <c r="A3262" s="12" t="s">
        <v>4682</v>
      </c>
      <c r="B3262" s="12" t="s">
        <v>4683</v>
      </c>
      <c r="C3262" s="14">
        <v>4991.67</v>
      </c>
      <c r="D3262" s="12"/>
      <c r="E3262" s="14"/>
    </row>
    <row r="3263" spans="1:5" ht="11.1" hidden="1" customHeight="1" x14ac:dyDescent="0.25">
      <c r="A3263" s="12" t="s">
        <v>4684</v>
      </c>
      <c r="B3263" s="12" t="s">
        <v>4685</v>
      </c>
      <c r="C3263" s="14">
        <v>14966.67</v>
      </c>
      <c r="D3263" s="12"/>
      <c r="E3263" s="14"/>
    </row>
    <row r="3264" spans="1:5" ht="11.1" hidden="1" customHeight="1" x14ac:dyDescent="0.25">
      <c r="A3264" s="12" t="s">
        <v>4686</v>
      </c>
      <c r="B3264" s="12" t="s">
        <v>4687</v>
      </c>
      <c r="C3264" s="14">
        <v>5825</v>
      </c>
      <c r="D3264" s="12"/>
      <c r="E3264" s="14"/>
    </row>
    <row r="3265" spans="1:5" ht="11.1" hidden="1" customHeight="1" x14ac:dyDescent="0.25">
      <c r="A3265" s="12" t="s">
        <v>4688</v>
      </c>
      <c r="B3265" s="12" t="s">
        <v>4689</v>
      </c>
      <c r="C3265" s="14">
        <v>8332.5</v>
      </c>
      <c r="D3265" s="12"/>
      <c r="E3265" s="14"/>
    </row>
    <row r="3266" spans="1:5" ht="11.1" hidden="1" customHeight="1" x14ac:dyDescent="0.25">
      <c r="A3266" s="12" t="s">
        <v>4690</v>
      </c>
      <c r="B3266" s="12" t="s">
        <v>126</v>
      </c>
      <c r="C3266" s="14">
        <v>8332.5</v>
      </c>
      <c r="D3266" s="12"/>
      <c r="E3266" s="14"/>
    </row>
    <row r="3267" spans="1:5" ht="11.1" hidden="1" customHeight="1" x14ac:dyDescent="0.25">
      <c r="A3267" s="12" t="s">
        <v>4691</v>
      </c>
      <c r="B3267" s="12" t="s">
        <v>4098</v>
      </c>
      <c r="C3267" s="14">
        <v>31249.17</v>
      </c>
      <c r="D3267" s="12"/>
      <c r="E3267" s="14"/>
    </row>
    <row r="3268" spans="1:5" ht="11.1" hidden="1" customHeight="1" x14ac:dyDescent="0.25">
      <c r="A3268" s="12" t="s">
        <v>4692</v>
      </c>
      <c r="B3268" s="12" t="s">
        <v>2237</v>
      </c>
      <c r="C3268" s="14">
        <v>2916.67</v>
      </c>
      <c r="D3268" s="12"/>
      <c r="E3268" s="14"/>
    </row>
    <row r="3269" spans="1:5" ht="11.1" hidden="1" customHeight="1" x14ac:dyDescent="0.25">
      <c r="A3269" s="12" t="s">
        <v>4693</v>
      </c>
      <c r="B3269" s="12" t="s">
        <v>4694</v>
      </c>
      <c r="C3269" s="14">
        <v>195.83</v>
      </c>
      <c r="D3269" s="12"/>
      <c r="E3269" s="13"/>
    </row>
    <row r="3270" spans="1:5" ht="11.1" hidden="1" customHeight="1" x14ac:dyDescent="0.25">
      <c r="A3270" s="12" t="s">
        <v>4695</v>
      </c>
      <c r="B3270" s="12" t="s">
        <v>713</v>
      </c>
      <c r="C3270" s="14">
        <v>465</v>
      </c>
      <c r="D3270" s="12"/>
      <c r="E3270" s="13"/>
    </row>
    <row r="3271" spans="1:5" ht="11.1" hidden="1" customHeight="1" x14ac:dyDescent="0.25">
      <c r="A3271" s="12" t="s">
        <v>4696</v>
      </c>
      <c r="B3271" s="12" t="s">
        <v>4539</v>
      </c>
      <c r="C3271" s="14">
        <v>199.17</v>
      </c>
      <c r="D3271" s="12"/>
      <c r="E3271" s="13"/>
    </row>
    <row r="3272" spans="1:5" ht="23.1" hidden="1" customHeight="1" x14ac:dyDescent="0.25">
      <c r="A3272" s="12" t="s">
        <v>4697</v>
      </c>
      <c r="B3272" s="12" t="s">
        <v>2939</v>
      </c>
      <c r="C3272" s="14">
        <v>1550</v>
      </c>
      <c r="D3272" s="12"/>
      <c r="E3272" s="14"/>
    </row>
    <row r="3273" spans="1:5" ht="11.1" hidden="1" customHeight="1" x14ac:dyDescent="0.25">
      <c r="A3273" s="12" t="s">
        <v>4698</v>
      </c>
      <c r="B3273" s="12" t="s">
        <v>266</v>
      </c>
      <c r="C3273" s="14">
        <v>2329.17</v>
      </c>
      <c r="D3273" s="12"/>
      <c r="E3273" s="14"/>
    </row>
    <row r="3274" spans="1:5" ht="11.1" hidden="1" customHeight="1" x14ac:dyDescent="0.25">
      <c r="A3274" s="12" t="s">
        <v>4699</v>
      </c>
      <c r="B3274" s="12" t="s">
        <v>918</v>
      </c>
      <c r="C3274" s="14">
        <v>4768.33</v>
      </c>
      <c r="D3274" s="12"/>
      <c r="E3274" s="14"/>
    </row>
    <row r="3275" spans="1:5" ht="11.1" hidden="1" customHeight="1" x14ac:dyDescent="0.25">
      <c r="A3275" s="12" t="s">
        <v>4700</v>
      </c>
      <c r="B3275" s="12" t="s">
        <v>4701</v>
      </c>
      <c r="C3275" s="14">
        <v>14894.17</v>
      </c>
      <c r="D3275" s="12"/>
      <c r="E3275" s="14"/>
    </row>
    <row r="3276" spans="1:5" ht="11.1" hidden="1" customHeight="1" x14ac:dyDescent="0.25">
      <c r="A3276" s="12" t="s">
        <v>4702</v>
      </c>
      <c r="B3276" s="12" t="s">
        <v>2063</v>
      </c>
      <c r="C3276" s="14">
        <v>2397.5</v>
      </c>
      <c r="D3276" s="12"/>
      <c r="E3276" s="14"/>
    </row>
    <row r="3277" spans="1:5" ht="11.1" hidden="1" customHeight="1" x14ac:dyDescent="0.25">
      <c r="A3277" s="12" t="s">
        <v>4703</v>
      </c>
      <c r="B3277" s="12" t="s">
        <v>4704</v>
      </c>
      <c r="C3277" s="14">
        <v>8860</v>
      </c>
      <c r="D3277" s="12"/>
      <c r="E3277" s="14"/>
    </row>
    <row r="3278" spans="1:5" ht="11.1" hidden="1" customHeight="1" x14ac:dyDescent="0.25">
      <c r="A3278" s="12" t="s">
        <v>4705</v>
      </c>
      <c r="B3278" s="12" t="s">
        <v>4706</v>
      </c>
      <c r="C3278" s="14">
        <v>8550</v>
      </c>
      <c r="D3278" s="12"/>
      <c r="E3278" s="14"/>
    </row>
    <row r="3279" spans="1:5" ht="11.1" hidden="1" customHeight="1" x14ac:dyDescent="0.25">
      <c r="A3279" s="12" t="s">
        <v>4707</v>
      </c>
      <c r="B3279" s="12" t="s">
        <v>4708</v>
      </c>
      <c r="C3279" s="14">
        <v>41340</v>
      </c>
      <c r="D3279" s="12"/>
      <c r="E3279" s="14"/>
    </row>
    <row r="3280" spans="1:5" ht="11.1" hidden="1" customHeight="1" x14ac:dyDescent="0.25">
      <c r="A3280" s="12" t="s">
        <v>4709</v>
      </c>
      <c r="B3280" s="12" t="s">
        <v>796</v>
      </c>
      <c r="C3280" s="14">
        <v>13750</v>
      </c>
      <c r="D3280" s="12"/>
      <c r="E3280" s="14"/>
    </row>
    <row r="3281" spans="1:5" ht="11.1" hidden="1" customHeight="1" x14ac:dyDescent="0.25">
      <c r="A3281" s="12" t="s">
        <v>4710</v>
      </c>
      <c r="B3281" s="12" t="s">
        <v>4711</v>
      </c>
      <c r="C3281" s="14">
        <v>13616.67</v>
      </c>
      <c r="D3281" s="12"/>
      <c r="E3281" s="14"/>
    </row>
    <row r="3282" spans="1:5" ht="11.1" hidden="1" customHeight="1" x14ac:dyDescent="0.25">
      <c r="A3282" s="12" t="s">
        <v>4712</v>
      </c>
      <c r="B3282" s="12" t="s">
        <v>4711</v>
      </c>
      <c r="C3282" s="14">
        <v>13750.02</v>
      </c>
      <c r="D3282" s="12"/>
      <c r="E3282" s="14"/>
    </row>
    <row r="3283" spans="1:5" ht="23.1" hidden="1" customHeight="1" x14ac:dyDescent="0.25">
      <c r="A3283" s="12" t="s">
        <v>4713</v>
      </c>
      <c r="B3283" s="12" t="s">
        <v>4706</v>
      </c>
      <c r="C3283" s="14">
        <v>32100</v>
      </c>
      <c r="D3283" s="12"/>
      <c r="E3283" s="14"/>
    </row>
    <row r="3284" spans="1:5" ht="11.1" hidden="1" customHeight="1" x14ac:dyDescent="0.25">
      <c r="A3284" s="12" t="s">
        <v>4714</v>
      </c>
      <c r="B3284" s="12" t="s">
        <v>4715</v>
      </c>
      <c r="C3284" s="14">
        <v>3681</v>
      </c>
      <c r="D3284" s="12"/>
      <c r="E3284" s="14"/>
    </row>
    <row r="3285" spans="1:5" ht="11.1" hidden="1" customHeight="1" x14ac:dyDescent="0.25">
      <c r="A3285" s="12" t="s">
        <v>4716</v>
      </c>
      <c r="B3285" s="12" t="s">
        <v>4717</v>
      </c>
      <c r="C3285" s="14">
        <v>24500</v>
      </c>
      <c r="D3285" s="12"/>
      <c r="E3285" s="14"/>
    </row>
    <row r="3286" spans="1:5" ht="11.1" hidden="1" customHeight="1" x14ac:dyDescent="0.25">
      <c r="A3286" s="12" t="s">
        <v>4718</v>
      </c>
      <c r="B3286" s="12" t="s">
        <v>4719</v>
      </c>
      <c r="C3286" s="14">
        <v>2666.67</v>
      </c>
      <c r="D3286" s="12"/>
      <c r="E3286" s="14"/>
    </row>
    <row r="3287" spans="1:5" ht="11.1" hidden="1" customHeight="1" x14ac:dyDescent="0.25">
      <c r="A3287" s="12" t="s">
        <v>4720</v>
      </c>
      <c r="B3287" s="12" t="s">
        <v>146</v>
      </c>
      <c r="C3287" s="14">
        <v>21202.959999999999</v>
      </c>
      <c r="D3287" s="12"/>
      <c r="E3287" s="14"/>
    </row>
    <row r="3288" spans="1:5" ht="11.1" hidden="1" customHeight="1" x14ac:dyDescent="0.25">
      <c r="A3288" s="12" t="s">
        <v>4721</v>
      </c>
      <c r="B3288" s="12" t="s">
        <v>188</v>
      </c>
      <c r="C3288" s="14">
        <v>16108.33</v>
      </c>
      <c r="D3288" s="12"/>
      <c r="E3288" s="14"/>
    </row>
    <row r="3289" spans="1:5" ht="11.1" hidden="1" customHeight="1" x14ac:dyDescent="0.25">
      <c r="A3289" s="12" t="s">
        <v>4722</v>
      </c>
      <c r="B3289" s="12" t="s">
        <v>2932</v>
      </c>
      <c r="C3289" s="14">
        <v>1062.5</v>
      </c>
      <c r="D3289" s="12"/>
      <c r="E3289" s="14"/>
    </row>
    <row r="3290" spans="1:5" ht="11.1" hidden="1" customHeight="1" x14ac:dyDescent="0.25">
      <c r="A3290" s="12" t="s">
        <v>4723</v>
      </c>
      <c r="B3290" s="12" t="s">
        <v>4724</v>
      </c>
      <c r="C3290" s="14">
        <v>4612.25</v>
      </c>
      <c r="D3290" s="12"/>
      <c r="E3290" s="14"/>
    </row>
    <row r="3291" spans="1:5" ht="11.1" hidden="1" customHeight="1" x14ac:dyDescent="0.25">
      <c r="A3291" s="12" t="s">
        <v>4725</v>
      </c>
      <c r="B3291" s="12" t="s">
        <v>880</v>
      </c>
      <c r="C3291" s="14">
        <v>18066.669999999998</v>
      </c>
      <c r="D3291" s="12"/>
      <c r="E3291" s="14"/>
    </row>
    <row r="3292" spans="1:5" ht="11.1" hidden="1" customHeight="1" x14ac:dyDescent="0.25">
      <c r="A3292" s="12" t="s">
        <v>4726</v>
      </c>
      <c r="B3292" s="12" t="s">
        <v>4727</v>
      </c>
      <c r="C3292" s="14">
        <v>20000</v>
      </c>
      <c r="D3292" s="12"/>
      <c r="E3292" s="14"/>
    </row>
    <row r="3293" spans="1:5" ht="11.1" hidden="1" customHeight="1" x14ac:dyDescent="0.25">
      <c r="A3293" s="12" t="s">
        <v>4728</v>
      </c>
      <c r="B3293" s="12" t="s">
        <v>3045</v>
      </c>
      <c r="C3293" s="14">
        <v>2901.67</v>
      </c>
      <c r="D3293" s="12"/>
      <c r="E3293" s="14"/>
    </row>
    <row r="3294" spans="1:5" ht="11.1" hidden="1" customHeight="1" x14ac:dyDescent="0.25">
      <c r="A3294" s="12" t="s">
        <v>4729</v>
      </c>
      <c r="B3294" s="12" t="s">
        <v>4730</v>
      </c>
      <c r="C3294" s="14">
        <v>349.17</v>
      </c>
      <c r="D3294" s="12"/>
      <c r="E3294" s="13"/>
    </row>
    <row r="3295" spans="1:5" ht="11.1" hidden="1" customHeight="1" x14ac:dyDescent="0.25">
      <c r="A3295" s="12" t="s">
        <v>4731</v>
      </c>
      <c r="B3295" s="12" t="s">
        <v>1841</v>
      </c>
      <c r="C3295" s="14">
        <v>7533595.1399999997</v>
      </c>
      <c r="D3295" s="12"/>
      <c r="E3295" s="14"/>
    </row>
    <row r="3296" spans="1:5" ht="11.1" hidden="1" customHeight="1" x14ac:dyDescent="0.25">
      <c r="A3296" s="12" t="s">
        <v>4732</v>
      </c>
      <c r="B3296" s="12" t="s">
        <v>4733</v>
      </c>
      <c r="C3296" s="14">
        <v>22118</v>
      </c>
      <c r="D3296" s="12"/>
      <c r="E3296" s="14"/>
    </row>
    <row r="3297" spans="1:5" ht="11.1" hidden="1" customHeight="1" x14ac:dyDescent="0.25">
      <c r="A3297" s="12" t="s">
        <v>4734</v>
      </c>
      <c r="B3297" s="12" t="s">
        <v>1041</v>
      </c>
      <c r="C3297" s="14">
        <v>22324</v>
      </c>
      <c r="D3297" s="12"/>
      <c r="E3297" s="14"/>
    </row>
    <row r="3298" spans="1:5" ht="11.1" hidden="1" customHeight="1" x14ac:dyDescent="0.25">
      <c r="A3298" s="12" t="s">
        <v>4735</v>
      </c>
      <c r="B3298" s="12" t="s">
        <v>3754</v>
      </c>
      <c r="C3298" s="14">
        <v>1960.31</v>
      </c>
      <c r="D3298" s="12"/>
      <c r="E3298" s="14"/>
    </row>
    <row r="3299" spans="1:5" ht="11.1" hidden="1" customHeight="1" x14ac:dyDescent="0.25">
      <c r="A3299" s="12" t="s">
        <v>4736</v>
      </c>
      <c r="B3299" s="12" t="s">
        <v>3754</v>
      </c>
      <c r="C3299" s="14">
        <v>190.13</v>
      </c>
      <c r="D3299" s="12"/>
      <c r="E3299" s="13"/>
    </row>
    <row r="3300" spans="1:5" ht="11.1" hidden="1" customHeight="1" x14ac:dyDescent="0.25">
      <c r="A3300" s="12" t="s">
        <v>4737</v>
      </c>
      <c r="B3300" s="12" t="s">
        <v>1041</v>
      </c>
      <c r="C3300" s="14">
        <v>13</v>
      </c>
      <c r="D3300" s="12"/>
      <c r="E3300" s="13"/>
    </row>
    <row r="3301" spans="1:5" ht="11.1" hidden="1" customHeight="1" x14ac:dyDescent="0.25">
      <c r="A3301" s="12" t="s">
        <v>4738</v>
      </c>
      <c r="B3301" s="12" t="s">
        <v>4739</v>
      </c>
      <c r="C3301" s="14">
        <v>73708.33</v>
      </c>
      <c r="D3301" s="12"/>
      <c r="E3301" s="14"/>
    </row>
    <row r="3302" spans="1:5" ht="11.1" hidden="1" customHeight="1" x14ac:dyDescent="0.25">
      <c r="A3302" s="12" t="s">
        <v>4740</v>
      </c>
      <c r="B3302" s="12" t="s">
        <v>4741</v>
      </c>
      <c r="C3302" s="14">
        <v>48330.83</v>
      </c>
      <c r="D3302" s="12"/>
      <c r="E3302" s="14"/>
    </row>
    <row r="3303" spans="1:5" ht="11.1" hidden="1" customHeight="1" x14ac:dyDescent="0.25">
      <c r="A3303" s="12" t="s">
        <v>4742</v>
      </c>
      <c r="B3303" s="12" t="s">
        <v>4739</v>
      </c>
      <c r="C3303" s="14">
        <v>53553.33</v>
      </c>
      <c r="D3303" s="12"/>
      <c r="E3303" s="14"/>
    </row>
    <row r="3304" spans="1:5" ht="11.1" hidden="1" customHeight="1" x14ac:dyDescent="0.25">
      <c r="A3304" s="12" t="s">
        <v>4743</v>
      </c>
      <c r="B3304" s="12" t="s">
        <v>2826</v>
      </c>
      <c r="C3304" s="14">
        <v>582.5</v>
      </c>
      <c r="D3304" s="12"/>
      <c r="E3304" s="13"/>
    </row>
    <row r="3305" spans="1:5" ht="11.1" hidden="1" customHeight="1" x14ac:dyDescent="0.25">
      <c r="A3305" s="12" t="s">
        <v>4744</v>
      </c>
      <c r="B3305" s="12" t="s">
        <v>2826</v>
      </c>
      <c r="C3305" s="14">
        <v>345.83</v>
      </c>
      <c r="D3305" s="12"/>
      <c r="E3305" s="13"/>
    </row>
    <row r="3306" spans="1:5" ht="11.1" hidden="1" customHeight="1" x14ac:dyDescent="0.25">
      <c r="A3306" s="12" t="s">
        <v>4745</v>
      </c>
      <c r="B3306" s="12" t="s">
        <v>2044</v>
      </c>
      <c r="C3306" s="14">
        <v>145.83000000000001</v>
      </c>
      <c r="D3306" s="12"/>
      <c r="E3306" s="13"/>
    </row>
    <row r="3307" spans="1:5" ht="11.1" hidden="1" customHeight="1" x14ac:dyDescent="0.25">
      <c r="A3307" s="12" t="s">
        <v>4746</v>
      </c>
      <c r="B3307" s="12" t="s">
        <v>2826</v>
      </c>
      <c r="C3307" s="14">
        <v>21</v>
      </c>
      <c r="D3307" s="12"/>
      <c r="E3307" s="13"/>
    </row>
    <row r="3308" spans="1:5" ht="11.1" hidden="1" customHeight="1" x14ac:dyDescent="0.25">
      <c r="A3308" s="12" t="s">
        <v>4747</v>
      </c>
      <c r="B3308" s="12" t="s">
        <v>2044</v>
      </c>
      <c r="C3308" s="14">
        <v>24.83</v>
      </c>
      <c r="D3308" s="12"/>
      <c r="E3308" s="13"/>
    </row>
    <row r="3309" spans="1:5" ht="11.1" hidden="1" customHeight="1" x14ac:dyDescent="0.25">
      <c r="A3309" s="12" t="s">
        <v>4748</v>
      </c>
      <c r="B3309" s="12" t="s">
        <v>4749</v>
      </c>
      <c r="C3309" s="14">
        <v>725</v>
      </c>
      <c r="D3309" s="12"/>
      <c r="E3309" s="13"/>
    </row>
    <row r="3310" spans="1:5" ht="11.1" hidden="1" customHeight="1" x14ac:dyDescent="0.25">
      <c r="A3310" s="12" t="s">
        <v>4750</v>
      </c>
      <c r="B3310" s="12" t="s">
        <v>4751</v>
      </c>
      <c r="C3310" s="14">
        <v>541.66999999999996</v>
      </c>
      <c r="D3310" s="12"/>
      <c r="E3310" s="13"/>
    </row>
    <row r="3311" spans="1:5" ht="11.1" hidden="1" customHeight="1" x14ac:dyDescent="0.25">
      <c r="A3311" s="12" t="s">
        <v>4752</v>
      </c>
      <c r="B3311" s="12" t="s">
        <v>4753</v>
      </c>
      <c r="C3311" s="14">
        <v>512.5</v>
      </c>
      <c r="D3311" s="12"/>
      <c r="E3311" s="13"/>
    </row>
    <row r="3312" spans="1:5" ht="11.1" hidden="1" customHeight="1" x14ac:dyDescent="0.25">
      <c r="A3312" s="12" t="s">
        <v>4754</v>
      </c>
      <c r="B3312" s="12" t="s">
        <v>1000</v>
      </c>
      <c r="C3312" s="14">
        <v>610</v>
      </c>
      <c r="D3312" s="12"/>
      <c r="E3312" s="13"/>
    </row>
    <row r="3313" spans="1:5" ht="11.1" hidden="1" customHeight="1" x14ac:dyDescent="0.25">
      <c r="A3313" s="12" t="s">
        <v>4755</v>
      </c>
      <c r="B3313" s="12" t="s">
        <v>3614</v>
      </c>
      <c r="C3313" s="14">
        <v>411.67</v>
      </c>
      <c r="D3313" s="12"/>
      <c r="E3313" s="13"/>
    </row>
    <row r="3314" spans="1:5" ht="11.1" hidden="1" customHeight="1" x14ac:dyDescent="0.25">
      <c r="A3314" s="12" t="s">
        <v>4756</v>
      </c>
      <c r="B3314" s="12" t="s">
        <v>3612</v>
      </c>
      <c r="C3314" s="14">
        <v>1083.33</v>
      </c>
      <c r="D3314" s="12"/>
      <c r="E3314" s="14"/>
    </row>
    <row r="3315" spans="1:5" ht="11.1" hidden="1" customHeight="1" x14ac:dyDescent="0.25">
      <c r="A3315" s="12" t="s">
        <v>4757</v>
      </c>
      <c r="B3315" s="12" t="s">
        <v>4758</v>
      </c>
      <c r="C3315" s="14">
        <v>990</v>
      </c>
      <c r="D3315" s="12"/>
      <c r="E3315" s="13"/>
    </row>
    <row r="3316" spans="1:5" ht="11.1" hidden="1" customHeight="1" x14ac:dyDescent="0.25">
      <c r="A3316" s="12" t="s">
        <v>4759</v>
      </c>
      <c r="B3316" s="12" t="s">
        <v>3726</v>
      </c>
      <c r="C3316" s="14">
        <v>3749.17</v>
      </c>
      <c r="D3316" s="12"/>
      <c r="E3316" s="14"/>
    </row>
    <row r="3317" spans="1:5" ht="11.1" hidden="1" customHeight="1" x14ac:dyDescent="0.25">
      <c r="A3317" s="12" t="s">
        <v>4760</v>
      </c>
      <c r="B3317" s="12" t="s">
        <v>4761</v>
      </c>
      <c r="C3317" s="14">
        <v>5333.33</v>
      </c>
      <c r="D3317" s="12"/>
      <c r="E3317" s="14"/>
    </row>
    <row r="3318" spans="1:5" ht="11.1" hidden="1" customHeight="1" x14ac:dyDescent="0.25">
      <c r="A3318" s="12" t="s">
        <v>4762</v>
      </c>
      <c r="B3318" s="12" t="s">
        <v>4763</v>
      </c>
      <c r="C3318" s="14">
        <v>4080</v>
      </c>
      <c r="D3318" s="12"/>
      <c r="E3318" s="14"/>
    </row>
    <row r="3319" spans="1:5" ht="11.1" hidden="1" customHeight="1" x14ac:dyDescent="0.25">
      <c r="A3319" s="12" t="s">
        <v>4764</v>
      </c>
      <c r="B3319" s="12" t="s">
        <v>786</v>
      </c>
      <c r="C3319" s="14">
        <v>677.5</v>
      </c>
      <c r="D3319" s="12"/>
      <c r="E3319" s="13"/>
    </row>
    <row r="3320" spans="1:5" ht="11.1" hidden="1" customHeight="1" x14ac:dyDescent="0.25">
      <c r="A3320" s="12" t="s">
        <v>4765</v>
      </c>
      <c r="B3320" s="12" t="s">
        <v>1704</v>
      </c>
      <c r="C3320" s="14">
        <v>2740</v>
      </c>
      <c r="D3320" s="12"/>
      <c r="E3320" s="14"/>
    </row>
    <row r="3321" spans="1:5" ht="11.1" hidden="1" customHeight="1" x14ac:dyDescent="0.25">
      <c r="A3321" s="12" t="s">
        <v>4766</v>
      </c>
      <c r="B3321" s="12" t="s">
        <v>2932</v>
      </c>
      <c r="C3321" s="14">
        <v>316.67</v>
      </c>
      <c r="D3321" s="12"/>
      <c r="E3321" s="13"/>
    </row>
    <row r="3322" spans="1:5" ht="11.1" hidden="1" customHeight="1" x14ac:dyDescent="0.25">
      <c r="A3322" s="12" t="s">
        <v>4767</v>
      </c>
      <c r="B3322" s="12" t="s">
        <v>786</v>
      </c>
      <c r="C3322" s="14">
        <v>7576.67</v>
      </c>
      <c r="D3322" s="12"/>
      <c r="E3322" s="14"/>
    </row>
    <row r="3323" spans="1:5" ht="11.1" hidden="1" customHeight="1" x14ac:dyDescent="0.25">
      <c r="A3323" s="12" t="s">
        <v>4768</v>
      </c>
      <c r="B3323" s="12" t="s">
        <v>1129</v>
      </c>
      <c r="C3323" s="14">
        <v>1877.5</v>
      </c>
      <c r="D3323" s="12"/>
      <c r="E3323" s="14"/>
    </row>
    <row r="3324" spans="1:5" ht="11.1" hidden="1" customHeight="1" x14ac:dyDescent="0.25">
      <c r="A3324" s="12" t="s">
        <v>4769</v>
      </c>
      <c r="B3324" s="12" t="s">
        <v>2377</v>
      </c>
      <c r="C3324" s="14">
        <v>400.83</v>
      </c>
      <c r="D3324" s="12"/>
      <c r="E3324" s="13"/>
    </row>
    <row r="3325" spans="1:5" ht="11.1" hidden="1" customHeight="1" x14ac:dyDescent="0.25">
      <c r="A3325" s="12" t="s">
        <v>4770</v>
      </c>
      <c r="B3325" s="12" t="s">
        <v>1014</v>
      </c>
      <c r="C3325" s="14">
        <v>174.17</v>
      </c>
      <c r="D3325" s="12"/>
      <c r="E3325" s="13"/>
    </row>
    <row r="3326" spans="1:5" ht="11.1" hidden="1" customHeight="1" x14ac:dyDescent="0.25">
      <c r="A3326" s="12" t="s">
        <v>4771</v>
      </c>
      <c r="B3326" s="12" t="s">
        <v>786</v>
      </c>
      <c r="C3326" s="14">
        <v>2857.5</v>
      </c>
      <c r="D3326" s="12"/>
      <c r="E3326" s="14"/>
    </row>
    <row r="3327" spans="1:5" ht="11.1" hidden="1" customHeight="1" x14ac:dyDescent="0.25">
      <c r="A3327" s="12" t="s">
        <v>4772</v>
      </c>
      <c r="B3327" s="12" t="s">
        <v>3111</v>
      </c>
      <c r="C3327" s="14">
        <v>562.5</v>
      </c>
      <c r="D3327" s="12"/>
      <c r="E3327" s="13"/>
    </row>
    <row r="3328" spans="1:5" ht="11.1" hidden="1" customHeight="1" x14ac:dyDescent="0.25">
      <c r="A3328" s="12" t="s">
        <v>4773</v>
      </c>
      <c r="B3328" s="12" t="s">
        <v>241</v>
      </c>
      <c r="C3328" s="14">
        <v>640</v>
      </c>
      <c r="D3328" s="12"/>
      <c r="E3328" s="13"/>
    </row>
    <row r="3329" spans="1:5" ht="11.1" hidden="1" customHeight="1" x14ac:dyDescent="0.25">
      <c r="A3329" s="12" t="s">
        <v>4774</v>
      </c>
      <c r="B3329" s="12" t="s">
        <v>4775</v>
      </c>
      <c r="C3329" s="14">
        <v>296.67</v>
      </c>
      <c r="D3329" s="12"/>
      <c r="E3329" s="13"/>
    </row>
    <row r="3330" spans="1:5" ht="23.1" hidden="1" customHeight="1" x14ac:dyDescent="0.25">
      <c r="A3330" s="12" t="s">
        <v>4776</v>
      </c>
      <c r="B3330" s="12" t="s">
        <v>1245</v>
      </c>
      <c r="C3330" s="14">
        <v>485.84</v>
      </c>
      <c r="D3330" s="12"/>
      <c r="E3330" s="13"/>
    </row>
    <row r="3331" spans="1:5" ht="23.1" hidden="1" customHeight="1" x14ac:dyDescent="0.25">
      <c r="A3331" s="12" t="s">
        <v>4777</v>
      </c>
      <c r="B3331" s="12" t="s">
        <v>4778</v>
      </c>
      <c r="C3331" s="14">
        <v>9.99</v>
      </c>
      <c r="D3331" s="12"/>
      <c r="E3331" s="13"/>
    </row>
    <row r="3332" spans="1:5" ht="11.1" hidden="1" customHeight="1" x14ac:dyDescent="0.25">
      <c r="A3332" s="12" t="s">
        <v>4779</v>
      </c>
      <c r="B3332" s="12" t="s">
        <v>4780</v>
      </c>
      <c r="C3332" s="14">
        <v>3166.67</v>
      </c>
      <c r="D3332" s="12"/>
      <c r="E3332" s="14"/>
    </row>
    <row r="3333" spans="1:5" ht="11.1" hidden="1" customHeight="1" x14ac:dyDescent="0.25">
      <c r="A3333" s="12" t="s">
        <v>4781</v>
      </c>
      <c r="B3333" s="12" t="s">
        <v>4782</v>
      </c>
      <c r="C3333" s="14">
        <v>13966.67</v>
      </c>
      <c r="D3333" s="12"/>
      <c r="E3333" s="14"/>
    </row>
    <row r="3334" spans="1:5" ht="11.1" hidden="1" customHeight="1" x14ac:dyDescent="0.25">
      <c r="A3334" s="12" t="s">
        <v>4783</v>
      </c>
      <c r="B3334" s="12" t="s">
        <v>571</v>
      </c>
      <c r="C3334" s="14">
        <v>5857.5</v>
      </c>
      <c r="D3334" s="12"/>
      <c r="E3334" s="14"/>
    </row>
    <row r="3335" spans="1:5" ht="11.1" hidden="1" customHeight="1" x14ac:dyDescent="0.25">
      <c r="A3335" s="12" t="s">
        <v>4784</v>
      </c>
      <c r="B3335" s="12" t="s">
        <v>786</v>
      </c>
      <c r="C3335" s="14">
        <v>7624.17</v>
      </c>
      <c r="D3335" s="12"/>
      <c r="E3335" s="14"/>
    </row>
    <row r="3336" spans="1:5" ht="11.1" hidden="1" customHeight="1" x14ac:dyDescent="0.25">
      <c r="A3336" s="12" t="s">
        <v>4785</v>
      </c>
      <c r="B3336" s="12" t="s">
        <v>4786</v>
      </c>
      <c r="C3336" s="14">
        <v>51000</v>
      </c>
      <c r="D3336" s="12"/>
      <c r="E3336" s="14"/>
    </row>
    <row r="3337" spans="1:5" ht="23.1" hidden="1" customHeight="1" x14ac:dyDescent="0.25">
      <c r="A3337" s="12" t="s">
        <v>4787</v>
      </c>
      <c r="B3337" s="12" t="s">
        <v>2377</v>
      </c>
      <c r="C3337" s="14">
        <v>297.5</v>
      </c>
      <c r="D3337" s="12"/>
      <c r="E3337" s="13"/>
    </row>
    <row r="3338" spans="1:5" ht="11.1" hidden="1" customHeight="1" x14ac:dyDescent="0.25">
      <c r="A3338" s="12" t="s">
        <v>4788</v>
      </c>
      <c r="B3338" s="12" t="s">
        <v>786</v>
      </c>
      <c r="C3338" s="14">
        <v>998.33</v>
      </c>
      <c r="D3338" s="12"/>
      <c r="E3338" s="13"/>
    </row>
    <row r="3339" spans="1:5" ht="23.1" hidden="1" customHeight="1" x14ac:dyDescent="0.25">
      <c r="A3339" s="12" t="s">
        <v>4789</v>
      </c>
      <c r="B3339" s="12" t="s">
        <v>4790</v>
      </c>
      <c r="C3339" s="14">
        <v>14190.83</v>
      </c>
      <c r="D3339" s="12"/>
      <c r="E3339" s="14"/>
    </row>
    <row r="3340" spans="1:5" ht="11.1" hidden="1" customHeight="1" x14ac:dyDescent="0.25">
      <c r="A3340" s="12" t="s">
        <v>4791</v>
      </c>
      <c r="B3340" s="12" t="s">
        <v>786</v>
      </c>
      <c r="C3340" s="14">
        <v>8520</v>
      </c>
      <c r="D3340" s="12"/>
      <c r="E3340" s="14"/>
    </row>
    <row r="3341" spans="1:5" ht="11.1" hidden="1" customHeight="1" x14ac:dyDescent="0.25">
      <c r="A3341" s="12" t="s">
        <v>4792</v>
      </c>
      <c r="B3341" s="12" t="s">
        <v>2105</v>
      </c>
      <c r="C3341" s="14">
        <v>1049</v>
      </c>
      <c r="D3341" s="12"/>
      <c r="E3341" s="14"/>
    </row>
    <row r="3342" spans="1:5" ht="11.1" hidden="1" customHeight="1" x14ac:dyDescent="0.25">
      <c r="A3342" s="12" t="s">
        <v>4793</v>
      </c>
      <c r="B3342" s="12" t="s">
        <v>2107</v>
      </c>
      <c r="C3342" s="14">
        <v>250</v>
      </c>
      <c r="D3342" s="12"/>
      <c r="E3342" s="13"/>
    </row>
    <row r="3343" spans="1:5" ht="11.1" hidden="1" customHeight="1" x14ac:dyDescent="0.25">
      <c r="A3343" s="12" t="s">
        <v>4794</v>
      </c>
      <c r="B3343" s="12" t="s">
        <v>2107</v>
      </c>
      <c r="C3343" s="14">
        <v>223.98</v>
      </c>
      <c r="D3343" s="12"/>
      <c r="E3343" s="13"/>
    </row>
    <row r="3344" spans="1:5" ht="11.1" hidden="1" customHeight="1" x14ac:dyDescent="0.25">
      <c r="A3344" s="12" t="s">
        <v>4795</v>
      </c>
      <c r="B3344" s="12" t="s">
        <v>2156</v>
      </c>
      <c r="C3344" s="14">
        <v>163.33000000000001</v>
      </c>
      <c r="D3344" s="12"/>
      <c r="E3344" s="13"/>
    </row>
    <row r="3345" spans="1:5" ht="11.1" hidden="1" customHeight="1" x14ac:dyDescent="0.25">
      <c r="A3345" s="12" t="s">
        <v>4796</v>
      </c>
      <c r="B3345" s="12" t="s">
        <v>1985</v>
      </c>
      <c r="C3345" s="14">
        <v>904.17</v>
      </c>
      <c r="D3345" s="12"/>
      <c r="E3345" s="13"/>
    </row>
    <row r="3346" spans="1:5" ht="11.1" hidden="1" customHeight="1" x14ac:dyDescent="0.25">
      <c r="A3346" s="12" t="s">
        <v>4797</v>
      </c>
      <c r="B3346" s="12" t="s">
        <v>4798</v>
      </c>
      <c r="C3346" s="14">
        <v>289.17</v>
      </c>
      <c r="D3346" s="12"/>
      <c r="E3346" s="13"/>
    </row>
    <row r="3347" spans="1:5" ht="11.1" hidden="1" customHeight="1" x14ac:dyDescent="0.25">
      <c r="A3347" s="12" t="s">
        <v>4799</v>
      </c>
      <c r="B3347" s="12" t="s">
        <v>4798</v>
      </c>
      <c r="C3347" s="14">
        <v>216.67</v>
      </c>
      <c r="D3347" s="12"/>
      <c r="E3347" s="13"/>
    </row>
    <row r="3348" spans="1:5" ht="11.1" hidden="1" customHeight="1" x14ac:dyDescent="0.25">
      <c r="A3348" s="12" t="s">
        <v>4800</v>
      </c>
      <c r="B3348" s="12" t="s">
        <v>4523</v>
      </c>
      <c r="C3348" s="14">
        <v>19073.330000000002</v>
      </c>
      <c r="D3348" s="12"/>
      <c r="E3348" s="14"/>
    </row>
    <row r="3349" spans="1:5" ht="23.1" hidden="1" customHeight="1" x14ac:dyDescent="0.25">
      <c r="A3349" s="12" t="s">
        <v>4801</v>
      </c>
      <c r="B3349" s="12" t="s">
        <v>2208</v>
      </c>
      <c r="C3349" s="14">
        <v>1764.17</v>
      </c>
      <c r="D3349" s="12"/>
      <c r="E3349" s="14"/>
    </row>
    <row r="3350" spans="1:5" ht="11.1" hidden="1" customHeight="1" x14ac:dyDescent="0.25">
      <c r="A3350" s="12" t="s">
        <v>4802</v>
      </c>
      <c r="B3350" s="12" t="s">
        <v>741</v>
      </c>
      <c r="C3350" s="14">
        <v>253.33</v>
      </c>
      <c r="D3350" s="12"/>
      <c r="E3350" s="13"/>
    </row>
    <row r="3351" spans="1:5" ht="11.1" hidden="1" customHeight="1" x14ac:dyDescent="0.25">
      <c r="A3351" s="12" t="s">
        <v>4803</v>
      </c>
      <c r="B3351" s="12" t="s">
        <v>2131</v>
      </c>
      <c r="C3351" s="14">
        <v>4559.17</v>
      </c>
      <c r="D3351" s="12"/>
      <c r="E3351" s="14"/>
    </row>
    <row r="3352" spans="1:5" ht="11.1" hidden="1" customHeight="1" x14ac:dyDescent="0.25">
      <c r="A3352" s="12" t="s">
        <v>4804</v>
      </c>
      <c r="B3352" s="12" t="s">
        <v>2131</v>
      </c>
      <c r="C3352" s="14">
        <v>510</v>
      </c>
      <c r="D3352" s="12"/>
      <c r="E3352" s="13"/>
    </row>
    <row r="3353" spans="1:5" ht="11.1" hidden="1" customHeight="1" x14ac:dyDescent="0.25">
      <c r="A3353" s="12" t="s">
        <v>4805</v>
      </c>
      <c r="B3353" s="12" t="s">
        <v>4806</v>
      </c>
      <c r="C3353" s="14">
        <v>1119</v>
      </c>
      <c r="D3353" s="12"/>
      <c r="E3353" s="14"/>
    </row>
    <row r="3354" spans="1:5" ht="11.1" hidden="1" customHeight="1" x14ac:dyDescent="0.25">
      <c r="A3354" s="12" t="s">
        <v>4807</v>
      </c>
      <c r="B3354" s="12" t="s">
        <v>309</v>
      </c>
      <c r="C3354" s="14">
        <v>695.83</v>
      </c>
      <c r="D3354" s="12"/>
      <c r="E3354" s="13"/>
    </row>
    <row r="3355" spans="1:5" ht="11.1" hidden="1" customHeight="1" x14ac:dyDescent="0.25">
      <c r="A3355" s="12" t="s">
        <v>4808</v>
      </c>
      <c r="B3355" s="12" t="s">
        <v>4809</v>
      </c>
      <c r="C3355" s="14">
        <v>554.16999999999996</v>
      </c>
      <c r="D3355" s="12"/>
      <c r="E3355" s="13"/>
    </row>
    <row r="3356" spans="1:5" ht="11.1" hidden="1" customHeight="1" x14ac:dyDescent="0.25">
      <c r="A3356" s="12" t="s">
        <v>4810</v>
      </c>
      <c r="B3356" s="12" t="s">
        <v>2053</v>
      </c>
      <c r="C3356" s="14">
        <v>793.34</v>
      </c>
      <c r="D3356" s="12"/>
      <c r="E3356" s="13"/>
    </row>
    <row r="3357" spans="1:5" ht="11.1" hidden="1" customHeight="1" x14ac:dyDescent="0.25">
      <c r="A3357" s="12" t="s">
        <v>4811</v>
      </c>
      <c r="B3357" s="12" t="s">
        <v>2100</v>
      </c>
      <c r="C3357" s="14">
        <v>651.66999999999996</v>
      </c>
      <c r="D3357" s="12"/>
      <c r="E3357" s="13"/>
    </row>
    <row r="3358" spans="1:5" ht="11.1" hidden="1" customHeight="1" x14ac:dyDescent="0.25">
      <c r="A3358" s="12" t="s">
        <v>4812</v>
      </c>
      <c r="B3358" s="12" t="s">
        <v>3809</v>
      </c>
      <c r="C3358" s="14">
        <v>50.6</v>
      </c>
      <c r="D3358" s="12"/>
      <c r="E3358" s="13"/>
    </row>
    <row r="3359" spans="1:5" ht="11.1" hidden="1" customHeight="1" x14ac:dyDescent="0.25">
      <c r="A3359" s="12" t="s">
        <v>4813</v>
      </c>
      <c r="B3359" s="12" t="s">
        <v>4814</v>
      </c>
      <c r="C3359" s="14">
        <v>1332.5</v>
      </c>
      <c r="D3359" s="12"/>
      <c r="E3359" s="14"/>
    </row>
    <row r="3360" spans="1:5" ht="11.1" hidden="1" customHeight="1" x14ac:dyDescent="0.25">
      <c r="A3360" s="12" t="s">
        <v>4815</v>
      </c>
      <c r="B3360" s="12" t="s">
        <v>4816</v>
      </c>
      <c r="C3360" s="14">
        <v>28583.599999999999</v>
      </c>
      <c r="D3360" s="12"/>
      <c r="E3360" s="14"/>
    </row>
    <row r="3361" spans="1:5" ht="11.1" hidden="1" customHeight="1" x14ac:dyDescent="0.25">
      <c r="A3361" s="12" t="s">
        <v>4817</v>
      </c>
      <c r="B3361" s="12" t="s">
        <v>4816</v>
      </c>
      <c r="C3361" s="14">
        <v>23536.25</v>
      </c>
      <c r="D3361" s="12"/>
      <c r="E3361" s="14"/>
    </row>
    <row r="3362" spans="1:5" ht="11.1" hidden="1" customHeight="1" x14ac:dyDescent="0.25">
      <c r="A3362" s="12" t="s">
        <v>4818</v>
      </c>
      <c r="B3362" s="12" t="s">
        <v>4819</v>
      </c>
      <c r="C3362" s="14">
        <v>5583.33</v>
      </c>
      <c r="D3362" s="12"/>
      <c r="E3362" s="14"/>
    </row>
    <row r="3363" spans="1:5" ht="11.1" hidden="1" customHeight="1" x14ac:dyDescent="0.25">
      <c r="A3363" s="12" t="s">
        <v>4820</v>
      </c>
      <c r="B3363" s="12" t="s">
        <v>1913</v>
      </c>
      <c r="C3363" s="14">
        <v>2235.83</v>
      </c>
      <c r="D3363" s="12"/>
      <c r="E3363" s="14"/>
    </row>
    <row r="3364" spans="1:5" ht="11.1" hidden="1" customHeight="1" x14ac:dyDescent="0.25">
      <c r="A3364" s="12" t="s">
        <v>4821</v>
      </c>
      <c r="B3364" s="12" t="s">
        <v>959</v>
      </c>
      <c r="C3364" s="14">
        <v>708.34</v>
      </c>
      <c r="D3364" s="12"/>
      <c r="E3364" s="13"/>
    </row>
    <row r="3365" spans="1:5" ht="11.1" hidden="1" customHeight="1" x14ac:dyDescent="0.25">
      <c r="A3365" s="12" t="s">
        <v>4822</v>
      </c>
      <c r="B3365" s="12" t="s">
        <v>489</v>
      </c>
      <c r="C3365" s="14">
        <v>440.83</v>
      </c>
      <c r="D3365" s="12"/>
      <c r="E3365" s="13"/>
    </row>
    <row r="3366" spans="1:5" ht="11.1" hidden="1" customHeight="1" x14ac:dyDescent="0.25">
      <c r="A3366" s="12" t="s">
        <v>4823</v>
      </c>
      <c r="B3366" s="12" t="s">
        <v>1245</v>
      </c>
      <c r="C3366" s="14">
        <v>1390</v>
      </c>
      <c r="D3366" s="12"/>
      <c r="E3366" s="14"/>
    </row>
    <row r="3367" spans="1:5" ht="11.1" hidden="1" customHeight="1" x14ac:dyDescent="0.25">
      <c r="A3367" s="12" t="s">
        <v>4824</v>
      </c>
      <c r="B3367" s="12" t="s">
        <v>4825</v>
      </c>
      <c r="C3367" s="14">
        <v>1120</v>
      </c>
      <c r="D3367" s="12"/>
      <c r="E3367" s="14"/>
    </row>
    <row r="3368" spans="1:5" ht="11.1" hidden="1" customHeight="1" x14ac:dyDescent="0.25">
      <c r="A3368" s="12" t="s">
        <v>4826</v>
      </c>
      <c r="B3368" s="12" t="s">
        <v>1913</v>
      </c>
      <c r="C3368" s="14">
        <v>469.17</v>
      </c>
      <c r="D3368" s="12"/>
      <c r="E3368" s="13"/>
    </row>
    <row r="3369" spans="1:5" ht="11.1" hidden="1" customHeight="1" x14ac:dyDescent="0.25">
      <c r="A3369" s="12" t="s">
        <v>4827</v>
      </c>
      <c r="B3369" s="12" t="s">
        <v>4828</v>
      </c>
      <c r="C3369" s="14">
        <v>427.27</v>
      </c>
      <c r="D3369" s="12"/>
      <c r="E3369" s="13"/>
    </row>
    <row r="3370" spans="1:5" ht="11.1" hidden="1" customHeight="1" x14ac:dyDescent="0.25">
      <c r="A3370" s="12" t="s">
        <v>4829</v>
      </c>
      <c r="B3370" s="12" t="s">
        <v>4830</v>
      </c>
      <c r="C3370" s="14">
        <v>837.5</v>
      </c>
      <c r="D3370" s="12"/>
      <c r="E3370" s="13"/>
    </row>
    <row r="3371" spans="1:5" ht="11.1" hidden="1" customHeight="1" x14ac:dyDescent="0.25">
      <c r="A3371" s="12" t="s">
        <v>4831</v>
      </c>
      <c r="B3371" s="12" t="s">
        <v>862</v>
      </c>
      <c r="C3371" s="14">
        <v>1593.33</v>
      </c>
      <c r="D3371" s="12"/>
      <c r="E3371" s="14"/>
    </row>
    <row r="3372" spans="1:5" ht="11.1" hidden="1" customHeight="1" x14ac:dyDescent="0.25">
      <c r="A3372" s="12" t="s">
        <v>4832</v>
      </c>
      <c r="B3372" s="12" t="s">
        <v>1170</v>
      </c>
      <c r="C3372" s="14">
        <v>2563.34</v>
      </c>
      <c r="D3372" s="12"/>
      <c r="E3372" s="14"/>
    </row>
    <row r="3373" spans="1:5" ht="11.1" hidden="1" customHeight="1" x14ac:dyDescent="0.25">
      <c r="A3373" s="12" t="s">
        <v>4833</v>
      </c>
      <c r="B3373" s="12" t="s">
        <v>786</v>
      </c>
      <c r="C3373" s="14">
        <v>3992.5</v>
      </c>
      <c r="D3373" s="12"/>
      <c r="E3373" s="14"/>
    </row>
    <row r="3374" spans="1:5" ht="11.1" hidden="1" customHeight="1" x14ac:dyDescent="0.25">
      <c r="A3374" s="12" t="s">
        <v>4834</v>
      </c>
      <c r="B3374" s="12" t="s">
        <v>4835</v>
      </c>
      <c r="C3374" s="14">
        <v>2011.67</v>
      </c>
      <c r="D3374" s="12"/>
      <c r="E3374" s="14"/>
    </row>
    <row r="3375" spans="1:5" ht="11.1" hidden="1" customHeight="1" x14ac:dyDescent="0.25">
      <c r="A3375" s="12" t="s">
        <v>4836</v>
      </c>
      <c r="B3375" s="12" t="s">
        <v>4837</v>
      </c>
      <c r="C3375" s="14">
        <v>187.5</v>
      </c>
      <c r="D3375" s="12"/>
      <c r="E3375" s="13"/>
    </row>
    <row r="3376" spans="1:5" ht="11.1" hidden="1" customHeight="1" x14ac:dyDescent="0.25">
      <c r="A3376" s="12" t="s">
        <v>4838</v>
      </c>
      <c r="B3376" s="12" t="s">
        <v>780</v>
      </c>
      <c r="C3376" s="14">
        <v>310.83</v>
      </c>
      <c r="D3376" s="12"/>
      <c r="E3376" s="13"/>
    </row>
    <row r="3377" spans="1:5" ht="11.1" hidden="1" customHeight="1" x14ac:dyDescent="0.25">
      <c r="A3377" s="12" t="s">
        <v>4839</v>
      </c>
      <c r="B3377" s="12" t="s">
        <v>4465</v>
      </c>
      <c r="C3377" s="14">
        <v>4035</v>
      </c>
      <c r="D3377" s="12"/>
      <c r="E3377" s="14"/>
    </row>
    <row r="3378" spans="1:5" ht="23.1" hidden="1" customHeight="1" x14ac:dyDescent="0.25">
      <c r="A3378" s="12" t="s">
        <v>4840</v>
      </c>
      <c r="B3378" s="12" t="s">
        <v>778</v>
      </c>
      <c r="C3378" s="14">
        <v>608.33000000000004</v>
      </c>
      <c r="D3378" s="12"/>
      <c r="E3378" s="13"/>
    </row>
    <row r="3379" spans="1:5" ht="11.1" hidden="1" customHeight="1" x14ac:dyDescent="0.25">
      <c r="A3379" s="12" t="s">
        <v>4841</v>
      </c>
      <c r="B3379" s="12" t="s">
        <v>4842</v>
      </c>
      <c r="C3379" s="14">
        <v>495</v>
      </c>
      <c r="D3379" s="12"/>
      <c r="E3379" s="13"/>
    </row>
    <row r="3380" spans="1:5" ht="11.1" hidden="1" customHeight="1" x14ac:dyDescent="0.25">
      <c r="A3380" s="12" t="s">
        <v>4843</v>
      </c>
      <c r="B3380" s="12" t="s">
        <v>2100</v>
      </c>
      <c r="C3380" s="14">
        <v>183.33</v>
      </c>
      <c r="D3380" s="12"/>
      <c r="E3380" s="13"/>
    </row>
    <row r="3381" spans="1:5" ht="11.1" hidden="1" customHeight="1" x14ac:dyDescent="0.25">
      <c r="A3381" s="12" t="s">
        <v>4844</v>
      </c>
      <c r="B3381" s="12" t="s">
        <v>2107</v>
      </c>
      <c r="C3381" s="14">
        <v>81.75</v>
      </c>
      <c r="D3381" s="12"/>
      <c r="E3381" s="13"/>
    </row>
    <row r="3382" spans="1:5" ht="11.1" hidden="1" customHeight="1" x14ac:dyDescent="0.25">
      <c r="A3382" s="12" t="s">
        <v>4845</v>
      </c>
      <c r="B3382" s="12" t="s">
        <v>2100</v>
      </c>
      <c r="C3382" s="14">
        <v>105</v>
      </c>
      <c r="D3382" s="12"/>
      <c r="E3382" s="13"/>
    </row>
    <row r="3383" spans="1:5" ht="11.1" hidden="1" customHeight="1" x14ac:dyDescent="0.25">
      <c r="A3383" s="12" t="s">
        <v>4846</v>
      </c>
      <c r="B3383" s="12" t="s">
        <v>2100</v>
      </c>
      <c r="C3383" s="14">
        <v>330.83</v>
      </c>
      <c r="D3383" s="12"/>
      <c r="E3383" s="13"/>
    </row>
    <row r="3384" spans="1:5" ht="11.1" hidden="1" customHeight="1" x14ac:dyDescent="0.25">
      <c r="A3384" s="12" t="s">
        <v>4847</v>
      </c>
      <c r="B3384" s="12" t="s">
        <v>2053</v>
      </c>
      <c r="C3384" s="14">
        <v>202.5</v>
      </c>
      <c r="D3384" s="12"/>
      <c r="E3384" s="13"/>
    </row>
    <row r="3385" spans="1:5" ht="11.1" hidden="1" customHeight="1" x14ac:dyDescent="0.25">
      <c r="A3385" s="12" t="s">
        <v>4848</v>
      </c>
      <c r="B3385" s="12" t="s">
        <v>571</v>
      </c>
      <c r="C3385" s="14">
        <v>10115.83</v>
      </c>
      <c r="D3385" s="12"/>
      <c r="E3385" s="14"/>
    </row>
    <row r="3386" spans="1:5" ht="11.1" hidden="1" customHeight="1" x14ac:dyDescent="0.25">
      <c r="A3386" s="12" t="s">
        <v>4849</v>
      </c>
      <c r="B3386" s="12" t="s">
        <v>4669</v>
      </c>
      <c r="C3386" s="14">
        <v>4595.83</v>
      </c>
      <c r="D3386" s="12"/>
      <c r="E3386" s="14"/>
    </row>
    <row r="3387" spans="1:5" ht="11.1" hidden="1" customHeight="1" x14ac:dyDescent="0.25">
      <c r="A3387" s="12" t="s">
        <v>4850</v>
      </c>
      <c r="B3387" s="12" t="s">
        <v>963</v>
      </c>
      <c r="C3387" s="14">
        <v>133.33000000000001</v>
      </c>
      <c r="D3387" s="12"/>
      <c r="E3387" s="13"/>
    </row>
    <row r="3388" spans="1:5" ht="11.1" hidden="1" customHeight="1" x14ac:dyDescent="0.25">
      <c r="A3388" s="12" t="s">
        <v>4851</v>
      </c>
      <c r="B3388" s="12" t="s">
        <v>2284</v>
      </c>
      <c r="C3388" s="14">
        <v>3166.67</v>
      </c>
      <c r="D3388" s="12"/>
      <c r="E3388" s="14"/>
    </row>
    <row r="3389" spans="1:5" ht="23.1" hidden="1" customHeight="1" x14ac:dyDescent="0.25">
      <c r="A3389" s="12" t="s">
        <v>4852</v>
      </c>
      <c r="B3389" s="12" t="s">
        <v>4853</v>
      </c>
      <c r="C3389" s="14">
        <v>5311.67</v>
      </c>
      <c r="D3389" s="12"/>
      <c r="E3389" s="14"/>
    </row>
    <row r="3390" spans="1:5" ht="11.1" hidden="1" customHeight="1" x14ac:dyDescent="0.25">
      <c r="A3390" s="12" t="s">
        <v>4854</v>
      </c>
      <c r="B3390" s="12" t="s">
        <v>4855</v>
      </c>
      <c r="C3390" s="14">
        <v>6915</v>
      </c>
      <c r="D3390" s="12"/>
      <c r="E3390" s="14"/>
    </row>
    <row r="3391" spans="1:5" ht="11.1" hidden="1" customHeight="1" x14ac:dyDescent="0.25">
      <c r="A3391" s="12" t="s">
        <v>4856</v>
      </c>
      <c r="B3391" s="12" t="s">
        <v>4857</v>
      </c>
      <c r="C3391" s="14">
        <v>283.33</v>
      </c>
      <c r="D3391" s="12"/>
      <c r="E3391" s="13"/>
    </row>
    <row r="3392" spans="1:5" ht="11.1" hidden="1" customHeight="1" x14ac:dyDescent="0.25">
      <c r="A3392" s="12" t="s">
        <v>4858</v>
      </c>
      <c r="B3392" s="12" t="s">
        <v>741</v>
      </c>
      <c r="C3392" s="14">
        <v>105.83</v>
      </c>
      <c r="D3392" s="12"/>
      <c r="E3392" s="13"/>
    </row>
    <row r="3393" spans="1:5" ht="11.1" hidden="1" customHeight="1" x14ac:dyDescent="0.25">
      <c r="A3393" s="12" t="s">
        <v>4859</v>
      </c>
      <c r="B3393" s="12" t="s">
        <v>1754</v>
      </c>
      <c r="C3393" s="14">
        <v>2797.5</v>
      </c>
      <c r="D3393" s="12"/>
      <c r="E3393" s="14"/>
    </row>
    <row r="3394" spans="1:5" ht="11.1" hidden="1" customHeight="1" x14ac:dyDescent="0.25">
      <c r="A3394" s="12" t="s">
        <v>4860</v>
      </c>
      <c r="B3394" s="12" t="s">
        <v>2324</v>
      </c>
      <c r="C3394" s="14">
        <v>1105.8399999999999</v>
      </c>
      <c r="D3394" s="12"/>
      <c r="E3394" s="14"/>
    </row>
    <row r="3395" spans="1:5" ht="11.1" hidden="1" customHeight="1" x14ac:dyDescent="0.25">
      <c r="A3395" s="12" t="s">
        <v>4861</v>
      </c>
      <c r="B3395" s="12" t="s">
        <v>241</v>
      </c>
      <c r="C3395" s="14">
        <v>2737.5</v>
      </c>
      <c r="D3395" s="12"/>
      <c r="E3395" s="14"/>
    </row>
    <row r="3396" spans="1:5" ht="11.1" hidden="1" customHeight="1" x14ac:dyDescent="0.25">
      <c r="A3396" s="12" t="s">
        <v>4862</v>
      </c>
      <c r="B3396" s="12" t="s">
        <v>4863</v>
      </c>
      <c r="C3396" s="14">
        <v>1091.25</v>
      </c>
      <c r="D3396" s="12"/>
      <c r="E3396" s="14"/>
    </row>
    <row r="3397" spans="1:5" ht="11.1" hidden="1" customHeight="1" x14ac:dyDescent="0.25">
      <c r="A3397" s="12" t="s">
        <v>4864</v>
      </c>
      <c r="B3397" s="12" t="s">
        <v>4865</v>
      </c>
      <c r="C3397" s="14">
        <v>2100</v>
      </c>
      <c r="D3397" s="12"/>
      <c r="E3397" s="14"/>
    </row>
    <row r="3398" spans="1:5" ht="11.1" hidden="1" customHeight="1" x14ac:dyDescent="0.25">
      <c r="A3398" s="12" t="s">
        <v>4866</v>
      </c>
      <c r="B3398" s="12" t="s">
        <v>558</v>
      </c>
      <c r="C3398" s="14">
        <v>10200</v>
      </c>
      <c r="D3398" s="12"/>
      <c r="E3398" s="14"/>
    </row>
    <row r="3399" spans="1:5" ht="11.1" hidden="1" customHeight="1" x14ac:dyDescent="0.25">
      <c r="A3399" s="12" t="s">
        <v>4867</v>
      </c>
      <c r="B3399" s="12" t="s">
        <v>558</v>
      </c>
      <c r="C3399" s="14">
        <v>11000</v>
      </c>
      <c r="D3399" s="12"/>
      <c r="E3399" s="14"/>
    </row>
    <row r="3400" spans="1:5" ht="11.1" hidden="1" customHeight="1" x14ac:dyDescent="0.25">
      <c r="A3400" s="12" t="s">
        <v>4868</v>
      </c>
      <c r="B3400" s="12" t="s">
        <v>2176</v>
      </c>
      <c r="C3400" s="14">
        <v>1150</v>
      </c>
      <c r="D3400" s="12"/>
      <c r="E3400" s="14"/>
    </row>
    <row r="3401" spans="1:5" ht="11.1" hidden="1" customHeight="1" x14ac:dyDescent="0.25">
      <c r="A3401" s="12" t="s">
        <v>4869</v>
      </c>
      <c r="B3401" s="12" t="s">
        <v>2131</v>
      </c>
      <c r="C3401" s="14">
        <v>744.17</v>
      </c>
      <c r="D3401" s="12"/>
      <c r="E3401" s="13"/>
    </row>
    <row r="3402" spans="1:5" ht="11.1" hidden="1" customHeight="1" x14ac:dyDescent="0.25">
      <c r="A3402" s="12" t="s">
        <v>4870</v>
      </c>
      <c r="B3402" s="12" t="s">
        <v>4871</v>
      </c>
      <c r="C3402" s="14">
        <v>2288</v>
      </c>
      <c r="D3402" s="12"/>
      <c r="E3402" s="14"/>
    </row>
    <row r="3403" spans="1:5" ht="11.1" hidden="1" customHeight="1" x14ac:dyDescent="0.25">
      <c r="A3403" s="12" t="s">
        <v>4872</v>
      </c>
      <c r="B3403" s="12" t="s">
        <v>2178</v>
      </c>
      <c r="C3403" s="14">
        <v>4450</v>
      </c>
      <c r="D3403" s="12"/>
      <c r="E3403" s="14"/>
    </row>
    <row r="3404" spans="1:5" ht="11.1" hidden="1" customHeight="1" x14ac:dyDescent="0.25">
      <c r="A3404" s="12" t="s">
        <v>4873</v>
      </c>
      <c r="B3404" s="12" t="s">
        <v>523</v>
      </c>
      <c r="C3404" s="14">
        <v>107.5</v>
      </c>
      <c r="D3404" s="12"/>
      <c r="E3404" s="13"/>
    </row>
    <row r="3405" spans="1:5" ht="11.1" hidden="1" customHeight="1" x14ac:dyDescent="0.25">
      <c r="A3405" s="12" t="s">
        <v>4874</v>
      </c>
      <c r="B3405" s="12" t="s">
        <v>2030</v>
      </c>
      <c r="C3405" s="14">
        <v>71.33</v>
      </c>
      <c r="D3405" s="12"/>
      <c r="E3405" s="13"/>
    </row>
    <row r="3406" spans="1:5" ht="11.1" hidden="1" customHeight="1" x14ac:dyDescent="0.25">
      <c r="A3406" s="12" t="s">
        <v>4875</v>
      </c>
      <c r="B3406" s="12" t="s">
        <v>4876</v>
      </c>
      <c r="C3406" s="14">
        <v>220</v>
      </c>
      <c r="D3406" s="12"/>
      <c r="E3406" s="13"/>
    </row>
    <row r="3407" spans="1:5" ht="11.1" hidden="1" customHeight="1" x14ac:dyDescent="0.25">
      <c r="A3407" s="12" t="s">
        <v>4877</v>
      </c>
      <c r="B3407" s="12" t="s">
        <v>4878</v>
      </c>
      <c r="C3407" s="14">
        <v>5596.84</v>
      </c>
      <c r="D3407" s="12"/>
      <c r="E3407" s="14"/>
    </row>
    <row r="3408" spans="1:5" ht="11.1" hidden="1" customHeight="1" x14ac:dyDescent="0.25">
      <c r="A3408" s="12" t="s">
        <v>4879</v>
      </c>
      <c r="B3408" s="12" t="s">
        <v>4880</v>
      </c>
      <c r="C3408" s="14">
        <v>383.33</v>
      </c>
      <c r="D3408" s="12"/>
      <c r="E3408" s="13"/>
    </row>
    <row r="3409" spans="1:5" ht="11.1" hidden="1" customHeight="1" x14ac:dyDescent="0.25">
      <c r="A3409" s="12" t="s">
        <v>4881</v>
      </c>
      <c r="B3409" s="12" t="s">
        <v>4882</v>
      </c>
      <c r="C3409" s="14">
        <v>9.7200000000000006</v>
      </c>
      <c r="D3409" s="12"/>
      <c r="E3409" s="13"/>
    </row>
    <row r="3410" spans="1:5" ht="11.1" hidden="1" customHeight="1" x14ac:dyDescent="0.25">
      <c r="A3410" s="12" t="s">
        <v>4883</v>
      </c>
      <c r="B3410" s="12" t="s">
        <v>2422</v>
      </c>
      <c r="C3410" s="14">
        <v>471.67</v>
      </c>
      <c r="D3410" s="12"/>
      <c r="E3410" s="13"/>
    </row>
    <row r="3411" spans="1:5" ht="11.1" hidden="1" customHeight="1" x14ac:dyDescent="0.25">
      <c r="A3411" s="12" t="s">
        <v>4884</v>
      </c>
      <c r="B3411" s="12" t="s">
        <v>309</v>
      </c>
      <c r="C3411" s="14">
        <v>319.17</v>
      </c>
      <c r="D3411" s="12"/>
      <c r="E3411" s="13"/>
    </row>
    <row r="3412" spans="1:5" ht="11.1" hidden="1" customHeight="1" x14ac:dyDescent="0.25">
      <c r="A3412" s="12" t="s">
        <v>4885</v>
      </c>
      <c r="B3412" s="12" t="s">
        <v>2119</v>
      </c>
      <c r="C3412" s="14">
        <v>24.73</v>
      </c>
      <c r="D3412" s="12"/>
      <c r="E3412" s="13"/>
    </row>
    <row r="3413" spans="1:5" ht="11.1" hidden="1" customHeight="1" x14ac:dyDescent="0.25">
      <c r="A3413" s="12" t="s">
        <v>4886</v>
      </c>
      <c r="B3413" s="12" t="s">
        <v>4887</v>
      </c>
      <c r="C3413" s="14">
        <v>23.98</v>
      </c>
      <c r="D3413" s="12"/>
      <c r="E3413" s="13"/>
    </row>
    <row r="3414" spans="1:5" ht="11.1" hidden="1" customHeight="1" x14ac:dyDescent="0.25">
      <c r="A3414" s="12" t="s">
        <v>4888</v>
      </c>
      <c r="B3414" s="12" t="s">
        <v>515</v>
      </c>
      <c r="C3414" s="14">
        <v>18.62</v>
      </c>
      <c r="D3414" s="12"/>
      <c r="E3414" s="13"/>
    </row>
    <row r="3415" spans="1:5" ht="11.1" hidden="1" customHeight="1" x14ac:dyDescent="0.25">
      <c r="A3415" s="12" t="s">
        <v>4889</v>
      </c>
      <c r="B3415" s="12" t="s">
        <v>515</v>
      </c>
      <c r="C3415" s="14">
        <v>38.47</v>
      </c>
      <c r="D3415" s="12"/>
      <c r="E3415" s="13"/>
    </row>
    <row r="3416" spans="1:5" ht="11.1" hidden="1" customHeight="1" x14ac:dyDescent="0.25">
      <c r="A3416" s="12" t="s">
        <v>4890</v>
      </c>
      <c r="B3416" s="12" t="s">
        <v>2119</v>
      </c>
      <c r="C3416" s="14">
        <v>19.399999999999999</v>
      </c>
      <c r="D3416" s="12"/>
      <c r="E3416" s="13"/>
    </row>
    <row r="3417" spans="1:5" ht="11.1" hidden="1" customHeight="1" x14ac:dyDescent="0.25">
      <c r="A3417" s="12" t="s">
        <v>4891</v>
      </c>
      <c r="B3417" s="12" t="s">
        <v>4055</v>
      </c>
      <c r="C3417" s="14">
        <v>0.59</v>
      </c>
      <c r="D3417" s="12"/>
      <c r="E3417" s="13"/>
    </row>
    <row r="3418" spans="1:5" ht="11.1" hidden="1" customHeight="1" x14ac:dyDescent="0.25">
      <c r="A3418" s="12" t="s">
        <v>4892</v>
      </c>
      <c r="B3418" s="12" t="s">
        <v>4893</v>
      </c>
      <c r="C3418" s="14">
        <v>13535</v>
      </c>
      <c r="D3418" s="12"/>
      <c r="E3418" s="14"/>
    </row>
    <row r="3419" spans="1:5" ht="11.1" hidden="1" customHeight="1" x14ac:dyDescent="0.25">
      <c r="A3419" s="12" t="s">
        <v>4894</v>
      </c>
      <c r="B3419" s="12" t="s">
        <v>257</v>
      </c>
      <c r="C3419" s="14">
        <v>3126.5</v>
      </c>
      <c r="D3419" s="12"/>
      <c r="E3419" s="14"/>
    </row>
    <row r="3420" spans="1:5" ht="11.1" hidden="1" customHeight="1" x14ac:dyDescent="0.25">
      <c r="A3420" s="12" t="s">
        <v>4895</v>
      </c>
      <c r="B3420" s="12" t="s">
        <v>4896</v>
      </c>
      <c r="C3420" s="14">
        <v>89.9</v>
      </c>
      <c r="D3420" s="12"/>
      <c r="E3420" s="13"/>
    </row>
    <row r="3421" spans="1:5" ht="11.1" hidden="1" customHeight="1" x14ac:dyDescent="0.25">
      <c r="A3421" s="12" t="s">
        <v>4897</v>
      </c>
      <c r="B3421" s="12" t="s">
        <v>866</v>
      </c>
      <c r="C3421" s="14">
        <v>3440.84</v>
      </c>
      <c r="D3421" s="12"/>
      <c r="E3421" s="14"/>
    </row>
    <row r="3422" spans="1:5" ht="11.1" hidden="1" customHeight="1" x14ac:dyDescent="0.25">
      <c r="A3422" s="12" t="s">
        <v>4898</v>
      </c>
      <c r="B3422" s="12" t="s">
        <v>4899</v>
      </c>
      <c r="C3422" s="14">
        <v>279</v>
      </c>
      <c r="D3422" s="12"/>
      <c r="E3422" s="13"/>
    </row>
    <row r="3423" spans="1:5" ht="11.1" hidden="1" customHeight="1" x14ac:dyDescent="0.25">
      <c r="A3423" s="12" t="s">
        <v>4900</v>
      </c>
      <c r="B3423" s="12" t="s">
        <v>3985</v>
      </c>
      <c r="C3423" s="14">
        <v>269.88</v>
      </c>
      <c r="D3423" s="12"/>
      <c r="E3423" s="13"/>
    </row>
    <row r="3424" spans="1:5" ht="11.1" hidden="1" customHeight="1" x14ac:dyDescent="0.25">
      <c r="A3424" s="12" t="s">
        <v>4901</v>
      </c>
      <c r="B3424" s="12" t="s">
        <v>4902</v>
      </c>
      <c r="C3424" s="14">
        <v>95</v>
      </c>
      <c r="D3424" s="12"/>
      <c r="E3424" s="13"/>
    </row>
    <row r="3425" spans="1:5" ht="11.1" hidden="1" customHeight="1" x14ac:dyDescent="0.25">
      <c r="A3425" s="12" t="s">
        <v>4903</v>
      </c>
      <c r="B3425" s="12" t="s">
        <v>4904</v>
      </c>
      <c r="C3425" s="14">
        <v>120.83</v>
      </c>
      <c r="D3425" s="12"/>
      <c r="E3425" s="13"/>
    </row>
    <row r="3426" spans="1:5" ht="11.1" hidden="1" customHeight="1" x14ac:dyDescent="0.25">
      <c r="A3426" s="12" t="s">
        <v>4905</v>
      </c>
      <c r="B3426" s="12" t="s">
        <v>918</v>
      </c>
      <c r="C3426" s="14">
        <v>106.67</v>
      </c>
      <c r="D3426" s="12"/>
      <c r="E3426" s="13"/>
    </row>
    <row r="3427" spans="1:5" ht="11.1" hidden="1" customHeight="1" x14ac:dyDescent="0.25">
      <c r="A3427" s="12" t="s">
        <v>4906</v>
      </c>
      <c r="B3427" s="12" t="s">
        <v>2044</v>
      </c>
      <c r="C3427" s="14">
        <v>176.67</v>
      </c>
      <c r="D3427" s="12"/>
      <c r="E3427" s="13"/>
    </row>
    <row r="3428" spans="1:5" ht="11.1" hidden="1" customHeight="1" x14ac:dyDescent="0.25">
      <c r="A3428" s="12" t="s">
        <v>4907</v>
      </c>
      <c r="B3428" s="12" t="s">
        <v>2044</v>
      </c>
      <c r="C3428" s="14">
        <v>213.33</v>
      </c>
      <c r="D3428" s="12"/>
      <c r="E3428" s="13"/>
    </row>
    <row r="3429" spans="1:5" ht="11.1" hidden="1" customHeight="1" x14ac:dyDescent="0.25">
      <c r="A3429" s="12" t="s">
        <v>4908</v>
      </c>
      <c r="B3429" s="12" t="s">
        <v>2044</v>
      </c>
      <c r="C3429" s="14">
        <v>242.27</v>
      </c>
      <c r="D3429" s="12"/>
      <c r="E3429" s="13"/>
    </row>
    <row r="3430" spans="1:5" ht="11.1" hidden="1" customHeight="1" x14ac:dyDescent="0.25">
      <c r="A3430" s="12" t="s">
        <v>4909</v>
      </c>
      <c r="B3430" s="12" t="s">
        <v>4910</v>
      </c>
      <c r="C3430" s="14">
        <v>419</v>
      </c>
      <c r="D3430" s="12"/>
      <c r="E3430" s="13"/>
    </row>
    <row r="3431" spans="1:5" ht="11.1" hidden="1" customHeight="1" x14ac:dyDescent="0.25">
      <c r="A3431" s="12" t="s">
        <v>4911</v>
      </c>
      <c r="B3431" s="12" t="s">
        <v>4912</v>
      </c>
      <c r="C3431" s="14">
        <v>324.17</v>
      </c>
      <c r="D3431" s="12"/>
      <c r="E3431" s="13"/>
    </row>
    <row r="3432" spans="1:5" ht="11.1" hidden="1" customHeight="1" x14ac:dyDescent="0.25">
      <c r="A3432" s="12" t="s">
        <v>4913</v>
      </c>
      <c r="B3432" s="12" t="s">
        <v>4912</v>
      </c>
      <c r="C3432" s="14">
        <v>196.67</v>
      </c>
      <c r="D3432" s="12"/>
      <c r="E3432" s="13"/>
    </row>
    <row r="3433" spans="1:5" ht="11.1" hidden="1" customHeight="1" x14ac:dyDescent="0.25">
      <c r="A3433" s="12" t="s">
        <v>4914</v>
      </c>
      <c r="B3433" s="12" t="s">
        <v>4915</v>
      </c>
      <c r="C3433" s="14">
        <v>14837.5</v>
      </c>
      <c r="D3433" s="12"/>
      <c r="E3433" s="14"/>
    </row>
    <row r="3434" spans="1:5" ht="11.1" hidden="1" customHeight="1" x14ac:dyDescent="0.25">
      <c r="A3434" s="12" t="s">
        <v>4916</v>
      </c>
      <c r="B3434" s="12" t="s">
        <v>4917</v>
      </c>
      <c r="C3434" s="14">
        <v>7763.33</v>
      </c>
      <c r="D3434" s="12"/>
      <c r="E3434" s="14"/>
    </row>
    <row r="3435" spans="1:5" ht="11.1" hidden="1" customHeight="1" x14ac:dyDescent="0.25">
      <c r="A3435" s="12" t="s">
        <v>4918</v>
      </c>
      <c r="B3435" s="12" t="s">
        <v>1041</v>
      </c>
      <c r="C3435" s="14">
        <v>653</v>
      </c>
      <c r="D3435" s="12"/>
      <c r="E3435" s="13"/>
    </row>
    <row r="3436" spans="1:5" ht="11.1" hidden="1" customHeight="1" x14ac:dyDescent="0.25">
      <c r="A3436" s="12" t="s">
        <v>4919</v>
      </c>
      <c r="B3436" s="12" t="s">
        <v>4920</v>
      </c>
      <c r="C3436" s="14">
        <v>41000</v>
      </c>
      <c r="D3436" s="12"/>
      <c r="E3436" s="14"/>
    </row>
    <row r="3437" spans="1:5" ht="11.1" hidden="1" customHeight="1" x14ac:dyDescent="0.25">
      <c r="A3437" s="12" t="s">
        <v>4921</v>
      </c>
      <c r="B3437" s="12" t="s">
        <v>1756</v>
      </c>
      <c r="C3437" s="14">
        <v>1455.83</v>
      </c>
      <c r="D3437" s="12"/>
      <c r="E3437" s="14"/>
    </row>
    <row r="3438" spans="1:5" ht="11.1" hidden="1" customHeight="1" x14ac:dyDescent="0.25">
      <c r="A3438" s="12" t="s">
        <v>4922</v>
      </c>
      <c r="B3438" s="12" t="s">
        <v>1812</v>
      </c>
      <c r="C3438" s="14">
        <v>259</v>
      </c>
      <c r="D3438" s="12"/>
      <c r="E3438" s="13"/>
    </row>
    <row r="3439" spans="1:5" ht="11.1" hidden="1" customHeight="1" x14ac:dyDescent="0.25">
      <c r="A3439" s="12" t="s">
        <v>4923</v>
      </c>
      <c r="B3439" s="12" t="s">
        <v>4924</v>
      </c>
      <c r="C3439" s="14">
        <v>249</v>
      </c>
      <c r="D3439" s="12"/>
      <c r="E3439" s="13"/>
    </row>
    <row r="3440" spans="1:5" ht="11.1" hidden="1" customHeight="1" x14ac:dyDescent="0.25">
      <c r="A3440" s="12" t="s">
        <v>4925</v>
      </c>
      <c r="B3440" s="12" t="s">
        <v>1812</v>
      </c>
      <c r="C3440" s="14">
        <v>179</v>
      </c>
      <c r="D3440" s="12"/>
      <c r="E3440" s="13"/>
    </row>
    <row r="3441" spans="1:5" ht="11.1" hidden="1" customHeight="1" x14ac:dyDescent="0.25">
      <c r="A3441" s="12" t="s">
        <v>4926</v>
      </c>
      <c r="B3441" s="12" t="s">
        <v>4924</v>
      </c>
      <c r="C3441" s="14">
        <v>235</v>
      </c>
      <c r="D3441" s="12"/>
      <c r="E3441" s="13"/>
    </row>
    <row r="3442" spans="1:5" ht="11.1" hidden="1" customHeight="1" x14ac:dyDescent="0.25">
      <c r="A3442" s="12" t="s">
        <v>4927</v>
      </c>
      <c r="B3442" s="12" t="s">
        <v>2598</v>
      </c>
      <c r="C3442" s="14">
        <v>240.91</v>
      </c>
      <c r="D3442" s="12"/>
      <c r="E3442" s="13"/>
    </row>
    <row r="3443" spans="1:5" ht="11.1" hidden="1" customHeight="1" x14ac:dyDescent="0.25">
      <c r="A3443" s="12" t="s">
        <v>4928</v>
      </c>
      <c r="B3443" s="12" t="s">
        <v>2598</v>
      </c>
      <c r="C3443" s="14">
        <v>240.91</v>
      </c>
      <c r="D3443" s="12"/>
      <c r="E3443" s="13"/>
    </row>
    <row r="3444" spans="1:5" ht="11.1" hidden="1" customHeight="1" x14ac:dyDescent="0.25">
      <c r="A3444" s="12" t="s">
        <v>4929</v>
      </c>
      <c r="B3444" s="12" t="s">
        <v>4896</v>
      </c>
      <c r="C3444" s="14">
        <v>194</v>
      </c>
      <c r="D3444" s="12"/>
      <c r="E3444" s="13"/>
    </row>
    <row r="3445" spans="1:5" ht="11.1" hidden="1" customHeight="1" x14ac:dyDescent="0.25">
      <c r="A3445" s="12" t="s">
        <v>4930</v>
      </c>
      <c r="B3445" s="12" t="s">
        <v>1810</v>
      </c>
      <c r="C3445" s="14">
        <v>182.31</v>
      </c>
      <c r="D3445" s="12"/>
      <c r="E3445" s="13"/>
    </row>
    <row r="3446" spans="1:5" ht="11.1" hidden="1" customHeight="1" x14ac:dyDescent="0.25">
      <c r="A3446" s="12" t="s">
        <v>4931</v>
      </c>
      <c r="B3446" s="12" t="s">
        <v>4932</v>
      </c>
      <c r="C3446" s="14">
        <v>523.33000000000004</v>
      </c>
      <c r="D3446" s="12"/>
      <c r="E3446" s="13"/>
    </row>
    <row r="3447" spans="1:5" ht="11.1" hidden="1" customHeight="1" x14ac:dyDescent="0.25">
      <c r="A3447" s="12" t="s">
        <v>4933</v>
      </c>
      <c r="B3447" s="12" t="s">
        <v>3691</v>
      </c>
      <c r="C3447" s="14">
        <v>532.5</v>
      </c>
      <c r="D3447" s="12"/>
      <c r="E3447" s="13"/>
    </row>
    <row r="3448" spans="1:5" ht="11.1" hidden="1" customHeight="1" x14ac:dyDescent="0.25">
      <c r="A3448" s="12" t="s">
        <v>4934</v>
      </c>
      <c r="B3448" s="12" t="s">
        <v>4932</v>
      </c>
      <c r="C3448" s="14">
        <v>198.33</v>
      </c>
      <c r="D3448" s="12"/>
      <c r="E3448" s="13"/>
    </row>
    <row r="3449" spans="1:5" ht="11.1" hidden="1" customHeight="1" x14ac:dyDescent="0.25">
      <c r="A3449" s="12" t="s">
        <v>4935</v>
      </c>
      <c r="B3449" s="12" t="s">
        <v>2098</v>
      </c>
      <c r="C3449" s="14">
        <v>380</v>
      </c>
      <c r="D3449" s="12"/>
      <c r="E3449" s="13"/>
    </row>
    <row r="3450" spans="1:5" ht="11.1" hidden="1" customHeight="1" x14ac:dyDescent="0.25">
      <c r="A3450" s="12" t="s">
        <v>4936</v>
      </c>
      <c r="B3450" s="12" t="s">
        <v>1245</v>
      </c>
      <c r="C3450" s="14">
        <v>122.5</v>
      </c>
      <c r="D3450" s="12"/>
      <c r="E3450" s="13"/>
    </row>
    <row r="3451" spans="1:5" ht="11.1" hidden="1" customHeight="1" x14ac:dyDescent="0.25">
      <c r="A3451" s="12" t="s">
        <v>4937</v>
      </c>
      <c r="B3451" s="12" t="s">
        <v>2358</v>
      </c>
      <c r="C3451" s="14">
        <v>430</v>
      </c>
      <c r="D3451" s="12"/>
      <c r="E3451" s="13"/>
    </row>
    <row r="3452" spans="1:5" ht="11.1" hidden="1" customHeight="1" x14ac:dyDescent="0.25">
      <c r="A3452" s="12" t="s">
        <v>4938</v>
      </c>
      <c r="B3452" s="12" t="s">
        <v>4939</v>
      </c>
      <c r="C3452" s="14">
        <v>3505</v>
      </c>
      <c r="D3452" s="12"/>
      <c r="E3452" s="14"/>
    </row>
    <row r="3453" spans="1:5" ht="11.1" hidden="1" customHeight="1" x14ac:dyDescent="0.25">
      <c r="A3453" s="12" t="s">
        <v>4940</v>
      </c>
      <c r="B3453" s="12" t="s">
        <v>86</v>
      </c>
      <c r="C3453" s="14">
        <v>241.67</v>
      </c>
      <c r="D3453" s="12"/>
      <c r="E3453" s="13"/>
    </row>
    <row r="3454" spans="1:5" ht="11.1" hidden="1" customHeight="1" x14ac:dyDescent="0.25">
      <c r="A3454" s="12" t="s">
        <v>4941</v>
      </c>
      <c r="B3454" s="12" t="s">
        <v>3754</v>
      </c>
      <c r="C3454" s="14">
        <v>1012.68</v>
      </c>
      <c r="D3454" s="12"/>
      <c r="E3454" s="14"/>
    </row>
    <row r="3455" spans="1:5" ht="11.1" hidden="1" customHeight="1" x14ac:dyDescent="0.25">
      <c r="A3455" s="12" t="s">
        <v>4942</v>
      </c>
      <c r="B3455" s="12" t="s">
        <v>3754</v>
      </c>
      <c r="C3455" s="14">
        <v>856.58</v>
      </c>
      <c r="D3455" s="12"/>
      <c r="E3455" s="13"/>
    </row>
    <row r="3456" spans="1:5" ht="11.1" hidden="1" customHeight="1" x14ac:dyDescent="0.25">
      <c r="A3456" s="12" t="s">
        <v>4943</v>
      </c>
      <c r="B3456" s="12" t="s">
        <v>3754</v>
      </c>
      <c r="C3456" s="14">
        <v>856.59</v>
      </c>
      <c r="D3456" s="12"/>
      <c r="E3456" s="13"/>
    </row>
    <row r="3457" spans="1:5" ht="11.1" hidden="1" customHeight="1" x14ac:dyDescent="0.25">
      <c r="A3457" s="12" t="s">
        <v>4944</v>
      </c>
      <c r="B3457" s="12" t="s">
        <v>1436</v>
      </c>
      <c r="C3457" s="14">
        <v>152.5</v>
      </c>
      <c r="D3457" s="12"/>
      <c r="E3457" s="13"/>
    </row>
    <row r="3458" spans="1:5" ht="11.1" hidden="1" customHeight="1" x14ac:dyDescent="0.25">
      <c r="A3458" s="12" t="s">
        <v>4945</v>
      </c>
      <c r="B3458" s="12" t="s">
        <v>2131</v>
      </c>
      <c r="C3458" s="14">
        <v>205.83</v>
      </c>
      <c r="D3458" s="12"/>
      <c r="E3458" s="13"/>
    </row>
    <row r="3459" spans="1:5" ht="11.1" hidden="1" customHeight="1" x14ac:dyDescent="0.25">
      <c r="A3459" s="12" t="s">
        <v>4946</v>
      </c>
      <c r="B3459" s="12" t="s">
        <v>1754</v>
      </c>
      <c r="C3459" s="14">
        <v>160</v>
      </c>
      <c r="D3459" s="12"/>
      <c r="E3459" s="13"/>
    </row>
    <row r="3460" spans="1:5" ht="11.1" hidden="1" customHeight="1" x14ac:dyDescent="0.25">
      <c r="A3460" s="12" t="s">
        <v>4947</v>
      </c>
      <c r="B3460" s="12" t="s">
        <v>2107</v>
      </c>
      <c r="C3460" s="14">
        <v>30.83</v>
      </c>
      <c r="D3460" s="12"/>
      <c r="E3460" s="13"/>
    </row>
    <row r="3461" spans="1:5" ht="11.1" hidden="1" customHeight="1" x14ac:dyDescent="0.25">
      <c r="A3461" s="12" t="s">
        <v>4948</v>
      </c>
      <c r="B3461" s="12" t="s">
        <v>2053</v>
      </c>
      <c r="C3461" s="14">
        <v>33.33</v>
      </c>
      <c r="D3461" s="12"/>
      <c r="E3461" s="13"/>
    </row>
    <row r="3462" spans="1:5" ht="11.1" hidden="1" customHeight="1" x14ac:dyDescent="0.25">
      <c r="A3462" s="12" t="s">
        <v>4949</v>
      </c>
      <c r="B3462" s="12" t="s">
        <v>2113</v>
      </c>
      <c r="C3462" s="14">
        <v>55.83</v>
      </c>
      <c r="D3462" s="12"/>
      <c r="E3462" s="13"/>
    </row>
    <row r="3463" spans="1:5" ht="11.1" hidden="1" customHeight="1" x14ac:dyDescent="0.25">
      <c r="A3463" s="12" t="s">
        <v>4950</v>
      </c>
      <c r="B3463" s="12" t="s">
        <v>2107</v>
      </c>
      <c r="C3463" s="14">
        <v>34.83</v>
      </c>
      <c r="D3463" s="12"/>
      <c r="E3463" s="13"/>
    </row>
    <row r="3464" spans="1:5" ht="11.1" hidden="1" customHeight="1" x14ac:dyDescent="0.25">
      <c r="A3464" s="12" t="s">
        <v>4951</v>
      </c>
      <c r="B3464" s="12" t="s">
        <v>2053</v>
      </c>
      <c r="C3464" s="14">
        <v>69.17</v>
      </c>
      <c r="D3464" s="12"/>
      <c r="E3464" s="13"/>
    </row>
    <row r="3465" spans="1:5" ht="11.1" hidden="1" customHeight="1" x14ac:dyDescent="0.25">
      <c r="A3465" s="12" t="s">
        <v>4952</v>
      </c>
      <c r="B3465" s="12" t="s">
        <v>2113</v>
      </c>
      <c r="C3465" s="14">
        <v>24.16</v>
      </c>
      <c r="D3465" s="12"/>
      <c r="E3465" s="13"/>
    </row>
    <row r="3466" spans="1:5" ht="11.1" hidden="1" customHeight="1" x14ac:dyDescent="0.25">
      <c r="A3466" s="12" t="s">
        <v>4953</v>
      </c>
      <c r="B3466" s="12" t="s">
        <v>4954</v>
      </c>
      <c r="C3466" s="14">
        <v>208.33</v>
      </c>
      <c r="D3466" s="12"/>
      <c r="E3466" s="13"/>
    </row>
    <row r="3467" spans="1:5" ht="11.1" hidden="1" customHeight="1" x14ac:dyDescent="0.25">
      <c r="A3467" s="12" t="s">
        <v>4955</v>
      </c>
      <c r="B3467" s="12" t="s">
        <v>963</v>
      </c>
      <c r="C3467" s="14">
        <v>699.17</v>
      </c>
      <c r="D3467" s="12"/>
      <c r="E3467" s="13"/>
    </row>
    <row r="3468" spans="1:5" ht="11.1" hidden="1" customHeight="1" x14ac:dyDescent="0.25">
      <c r="A3468" s="12" t="s">
        <v>4956</v>
      </c>
      <c r="B3468" s="12" t="s">
        <v>2105</v>
      </c>
      <c r="C3468" s="14">
        <v>828</v>
      </c>
      <c r="D3468" s="12"/>
      <c r="E3468" s="13"/>
    </row>
    <row r="3469" spans="1:5" ht="11.1" hidden="1" customHeight="1" x14ac:dyDescent="0.25">
      <c r="A3469" s="12" t="s">
        <v>4957</v>
      </c>
      <c r="B3469" s="12" t="s">
        <v>1985</v>
      </c>
      <c r="C3469" s="14">
        <v>1100</v>
      </c>
      <c r="D3469" s="12"/>
      <c r="E3469" s="14"/>
    </row>
    <row r="3470" spans="1:5" ht="11.1" hidden="1" customHeight="1" x14ac:dyDescent="0.25">
      <c r="A3470" s="12" t="s">
        <v>4958</v>
      </c>
      <c r="B3470" s="12" t="s">
        <v>2162</v>
      </c>
      <c r="C3470" s="14">
        <v>226.67</v>
      </c>
      <c r="D3470" s="12"/>
      <c r="E3470" s="13"/>
    </row>
    <row r="3471" spans="1:5" ht="11.1" hidden="1" customHeight="1" x14ac:dyDescent="0.25">
      <c r="A3471" s="12" t="s">
        <v>4959</v>
      </c>
      <c r="B3471" s="12" t="s">
        <v>285</v>
      </c>
      <c r="C3471" s="14">
        <v>465</v>
      </c>
      <c r="D3471" s="12"/>
      <c r="E3471" s="13"/>
    </row>
    <row r="3472" spans="1:5" ht="11.1" hidden="1" customHeight="1" x14ac:dyDescent="0.25">
      <c r="A3472" s="12" t="s">
        <v>4960</v>
      </c>
      <c r="B3472" s="12" t="s">
        <v>3691</v>
      </c>
      <c r="C3472" s="14">
        <v>535</v>
      </c>
      <c r="D3472" s="12"/>
      <c r="E3472" s="13"/>
    </row>
    <row r="3473" spans="1:5" ht="11.1" hidden="1" customHeight="1" x14ac:dyDescent="0.25">
      <c r="A3473" s="12" t="s">
        <v>4961</v>
      </c>
      <c r="B3473" s="12" t="s">
        <v>1014</v>
      </c>
      <c r="C3473" s="14">
        <v>361.67</v>
      </c>
      <c r="D3473" s="12"/>
      <c r="E3473" s="13"/>
    </row>
    <row r="3474" spans="1:5" ht="11.1" hidden="1" customHeight="1" x14ac:dyDescent="0.25">
      <c r="A3474" s="12" t="s">
        <v>4962</v>
      </c>
      <c r="B3474" s="12" t="s">
        <v>241</v>
      </c>
      <c r="C3474" s="14">
        <v>249.17</v>
      </c>
      <c r="D3474" s="12"/>
      <c r="E3474" s="13"/>
    </row>
    <row r="3475" spans="1:5" ht="11.1" hidden="1" customHeight="1" x14ac:dyDescent="0.25">
      <c r="A3475" s="12" t="s">
        <v>4963</v>
      </c>
      <c r="B3475" s="12" t="s">
        <v>4378</v>
      </c>
      <c r="C3475" s="14">
        <v>75.19</v>
      </c>
      <c r="D3475" s="12"/>
      <c r="E3475" s="13"/>
    </row>
    <row r="3476" spans="1:5" ht="11.1" hidden="1" customHeight="1" x14ac:dyDescent="0.25">
      <c r="A3476" s="12" t="s">
        <v>4964</v>
      </c>
      <c r="B3476" s="12" t="s">
        <v>285</v>
      </c>
      <c r="C3476" s="14">
        <v>2925.84</v>
      </c>
      <c r="D3476" s="12"/>
      <c r="E3476" s="14"/>
    </row>
    <row r="3477" spans="1:5" ht="11.1" hidden="1" customHeight="1" x14ac:dyDescent="0.25">
      <c r="A3477" s="12" t="s">
        <v>4965</v>
      </c>
      <c r="B3477" s="12" t="s">
        <v>2056</v>
      </c>
      <c r="C3477" s="14">
        <v>117.5</v>
      </c>
      <c r="D3477" s="12"/>
      <c r="E3477" s="13"/>
    </row>
    <row r="3478" spans="1:5" ht="11.1" hidden="1" customHeight="1" x14ac:dyDescent="0.25">
      <c r="A3478" s="12" t="s">
        <v>4966</v>
      </c>
      <c r="B3478" s="12" t="s">
        <v>2100</v>
      </c>
      <c r="C3478" s="14">
        <v>111.67</v>
      </c>
      <c r="D3478" s="12"/>
      <c r="E3478" s="13"/>
    </row>
    <row r="3479" spans="1:5" ht="11.1" hidden="1" customHeight="1" x14ac:dyDescent="0.25">
      <c r="A3479" s="12" t="s">
        <v>4967</v>
      </c>
      <c r="B3479" s="12" t="s">
        <v>2162</v>
      </c>
      <c r="C3479" s="14">
        <v>200.83</v>
      </c>
      <c r="D3479" s="12"/>
      <c r="E3479" s="13"/>
    </row>
    <row r="3480" spans="1:5" ht="11.1" hidden="1" customHeight="1" x14ac:dyDescent="0.25">
      <c r="A3480" s="12" t="s">
        <v>4968</v>
      </c>
      <c r="B3480" s="12" t="s">
        <v>780</v>
      </c>
      <c r="C3480" s="14">
        <v>145</v>
      </c>
      <c r="D3480" s="12"/>
      <c r="E3480" s="13"/>
    </row>
    <row r="3481" spans="1:5" ht="11.1" hidden="1" customHeight="1" x14ac:dyDescent="0.25">
      <c r="A3481" s="12" t="s">
        <v>4969</v>
      </c>
      <c r="B3481" s="12" t="s">
        <v>1985</v>
      </c>
      <c r="C3481" s="14">
        <v>255.83</v>
      </c>
      <c r="D3481" s="12"/>
      <c r="E3481" s="13"/>
    </row>
    <row r="3482" spans="1:5" ht="11.1" hidden="1" customHeight="1" x14ac:dyDescent="0.25">
      <c r="A3482" s="12" t="s">
        <v>4970</v>
      </c>
      <c r="B3482" s="12" t="s">
        <v>2107</v>
      </c>
      <c r="C3482" s="14">
        <v>270.83</v>
      </c>
      <c r="D3482" s="12"/>
      <c r="E3482" s="13"/>
    </row>
    <row r="3483" spans="1:5" ht="11.1" hidden="1" customHeight="1" x14ac:dyDescent="0.25">
      <c r="A3483" s="12" t="s">
        <v>4971</v>
      </c>
      <c r="B3483" s="12" t="s">
        <v>2105</v>
      </c>
      <c r="C3483" s="14">
        <v>517</v>
      </c>
      <c r="D3483" s="12"/>
      <c r="E3483" s="13"/>
    </row>
    <row r="3484" spans="1:5" ht="11.1" hidden="1" customHeight="1" x14ac:dyDescent="0.25">
      <c r="A3484" s="12" t="s">
        <v>4972</v>
      </c>
      <c r="B3484" s="12" t="s">
        <v>4973</v>
      </c>
      <c r="C3484" s="14">
        <v>703.33</v>
      </c>
      <c r="D3484" s="12"/>
      <c r="E3484" s="13"/>
    </row>
    <row r="3485" spans="1:5" ht="23.1" hidden="1" customHeight="1" x14ac:dyDescent="0.25">
      <c r="A3485" s="12" t="s">
        <v>4974</v>
      </c>
      <c r="B3485" s="12" t="s">
        <v>309</v>
      </c>
      <c r="C3485" s="14">
        <v>5607.5</v>
      </c>
      <c r="D3485" s="12"/>
      <c r="E3485" s="14"/>
    </row>
    <row r="3486" spans="1:5" ht="11.1" hidden="1" customHeight="1" x14ac:dyDescent="0.25">
      <c r="A3486" s="12" t="s">
        <v>4975</v>
      </c>
      <c r="B3486" s="12" t="s">
        <v>2115</v>
      </c>
      <c r="C3486" s="14">
        <v>336.67</v>
      </c>
      <c r="D3486" s="12"/>
      <c r="E3486" s="13"/>
    </row>
    <row r="3487" spans="1:5" ht="23.1" hidden="1" customHeight="1" x14ac:dyDescent="0.25">
      <c r="A3487" s="12" t="s">
        <v>4976</v>
      </c>
      <c r="B3487" s="12" t="s">
        <v>4977</v>
      </c>
      <c r="C3487" s="14">
        <v>27.5</v>
      </c>
      <c r="D3487" s="12"/>
      <c r="E3487" s="13"/>
    </row>
    <row r="3488" spans="1:5" ht="11.1" hidden="1" customHeight="1" x14ac:dyDescent="0.25">
      <c r="A3488" s="12" t="s">
        <v>4978</v>
      </c>
      <c r="B3488" s="12" t="s">
        <v>4979</v>
      </c>
      <c r="C3488" s="14">
        <v>126500</v>
      </c>
      <c r="D3488" s="12"/>
      <c r="E3488" s="14"/>
    </row>
    <row r="3489" spans="1:5" ht="23.1" hidden="1" customHeight="1" x14ac:dyDescent="0.25">
      <c r="A3489" s="12" t="s">
        <v>4980</v>
      </c>
      <c r="B3489" s="12" t="s">
        <v>4981</v>
      </c>
      <c r="C3489" s="14">
        <v>47491.67</v>
      </c>
      <c r="D3489" s="12"/>
      <c r="E3489" s="14"/>
    </row>
    <row r="3490" spans="1:5" ht="11.1" hidden="1" customHeight="1" x14ac:dyDescent="0.25">
      <c r="A3490" s="12" t="s">
        <v>4982</v>
      </c>
      <c r="B3490" s="12" t="s">
        <v>4983</v>
      </c>
      <c r="C3490" s="14">
        <v>86583.33</v>
      </c>
      <c r="D3490" s="12"/>
      <c r="E3490" s="14"/>
    </row>
    <row r="3491" spans="1:5" ht="11.1" hidden="1" customHeight="1" x14ac:dyDescent="0.25">
      <c r="A3491" s="12" t="s">
        <v>4984</v>
      </c>
      <c r="B3491" s="12" t="s">
        <v>4985</v>
      </c>
      <c r="C3491" s="14">
        <v>44158.33</v>
      </c>
      <c r="D3491" s="12"/>
      <c r="E3491" s="14"/>
    </row>
    <row r="3492" spans="1:5" ht="11.1" hidden="1" customHeight="1" x14ac:dyDescent="0.25">
      <c r="A3492" s="12" t="s">
        <v>4986</v>
      </c>
      <c r="B3492" s="12" t="s">
        <v>4987</v>
      </c>
      <c r="C3492" s="14">
        <v>51666.67</v>
      </c>
      <c r="D3492" s="12"/>
      <c r="E3492" s="14"/>
    </row>
    <row r="3493" spans="1:5" ht="11.1" hidden="1" customHeight="1" x14ac:dyDescent="0.25">
      <c r="A3493" s="12" t="s">
        <v>4988</v>
      </c>
      <c r="B3493" s="12" t="s">
        <v>4989</v>
      </c>
      <c r="C3493" s="14">
        <v>42287.5</v>
      </c>
      <c r="D3493" s="12"/>
      <c r="E3493" s="14"/>
    </row>
    <row r="3494" spans="1:5" ht="11.1" hidden="1" customHeight="1" x14ac:dyDescent="0.25">
      <c r="A3494" s="12" t="s">
        <v>4990</v>
      </c>
      <c r="B3494" s="12" t="s">
        <v>4991</v>
      </c>
      <c r="C3494" s="14">
        <v>44787.5</v>
      </c>
      <c r="D3494" s="12"/>
      <c r="E3494" s="14"/>
    </row>
    <row r="3495" spans="1:5" ht="11.1" hidden="1" customHeight="1" x14ac:dyDescent="0.25">
      <c r="A3495" s="12" t="s">
        <v>4992</v>
      </c>
      <c r="B3495" s="12" t="s">
        <v>4993</v>
      </c>
      <c r="C3495" s="14">
        <v>91665.83</v>
      </c>
      <c r="D3495" s="12"/>
      <c r="E3495" s="14"/>
    </row>
    <row r="3496" spans="1:5" ht="11.1" hidden="1" customHeight="1" x14ac:dyDescent="0.25">
      <c r="A3496" s="12" t="s">
        <v>4994</v>
      </c>
      <c r="B3496" s="12" t="s">
        <v>4995</v>
      </c>
      <c r="C3496" s="14">
        <v>105207.5</v>
      </c>
      <c r="D3496" s="12"/>
      <c r="E3496" s="14"/>
    </row>
    <row r="3497" spans="1:5" ht="11.1" hidden="1" customHeight="1" x14ac:dyDescent="0.25">
      <c r="A3497" s="12" t="s">
        <v>4996</v>
      </c>
      <c r="B3497" s="12" t="s">
        <v>4997</v>
      </c>
      <c r="C3497" s="14">
        <v>48325</v>
      </c>
      <c r="D3497" s="12"/>
      <c r="E3497" s="14"/>
    </row>
    <row r="3498" spans="1:5" ht="11.1" hidden="1" customHeight="1" x14ac:dyDescent="0.25">
      <c r="A3498" s="12" t="s">
        <v>4998</v>
      </c>
      <c r="B3498" s="12" t="s">
        <v>4689</v>
      </c>
      <c r="C3498" s="14">
        <v>46665.83</v>
      </c>
      <c r="D3498" s="12"/>
      <c r="E3498" s="14"/>
    </row>
    <row r="3499" spans="1:5" ht="11.1" hidden="1" customHeight="1" x14ac:dyDescent="0.25">
      <c r="A3499" s="12" t="s">
        <v>4999</v>
      </c>
      <c r="B3499" s="12" t="s">
        <v>5000</v>
      </c>
      <c r="C3499" s="14">
        <v>52499.17</v>
      </c>
      <c r="D3499" s="12"/>
      <c r="E3499" s="14"/>
    </row>
    <row r="3500" spans="1:5" ht="11.1" hidden="1" customHeight="1" x14ac:dyDescent="0.25">
      <c r="A3500" s="12" t="s">
        <v>5001</v>
      </c>
      <c r="B3500" s="12" t="s">
        <v>5002</v>
      </c>
      <c r="C3500" s="14">
        <v>29908.34</v>
      </c>
      <c r="D3500" s="12"/>
      <c r="E3500" s="14"/>
    </row>
    <row r="3501" spans="1:5" ht="11.1" hidden="1" customHeight="1" x14ac:dyDescent="0.25">
      <c r="A3501" s="12" t="s">
        <v>5003</v>
      </c>
      <c r="B3501" s="12" t="s">
        <v>5004</v>
      </c>
      <c r="C3501" s="14">
        <v>46236.34</v>
      </c>
      <c r="D3501" s="12"/>
      <c r="E3501" s="14"/>
    </row>
    <row r="3502" spans="1:5" ht="11.1" hidden="1" customHeight="1" x14ac:dyDescent="0.25">
      <c r="A3502" s="12" t="s">
        <v>5005</v>
      </c>
      <c r="B3502" s="12" t="s">
        <v>5006</v>
      </c>
      <c r="C3502" s="14">
        <v>79375</v>
      </c>
      <c r="D3502" s="12"/>
      <c r="E3502" s="14"/>
    </row>
    <row r="3503" spans="1:5" ht="23.1" hidden="1" customHeight="1" x14ac:dyDescent="0.25">
      <c r="A3503" s="12" t="s">
        <v>5007</v>
      </c>
      <c r="B3503" s="12" t="s">
        <v>5008</v>
      </c>
      <c r="C3503" s="14">
        <v>47725</v>
      </c>
      <c r="D3503" s="12"/>
      <c r="E3503" s="14"/>
    </row>
    <row r="3504" spans="1:5" ht="11.1" hidden="1" customHeight="1" x14ac:dyDescent="0.25">
      <c r="A3504" s="12" t="s">
        <v>5009</v>
      </c>
      <c r="B3504" s="12" t="s">
        <v>5010</v>
      </c>
      <c r="C3504" s="14">
        <v>88749.17</v>
      </c>
      <c r="D3504" s="12"/>
      <c r="E3504" s="14"/>
    </row>
    <row r="3505" spans="1:5" ht="11.1" hidden="1" customHeight="1" x14ac:dyDescent="0.25">
      <c r="A3505" s="12" t="s">
        <v>5011</v>
      </c>
      <c r="B3505" s="12" t="s">
        <v>5012</v>
      </c>
      <c r="C3505" s="14">
        <v>68325</v>
      </c>
      <c r="D3505" s="12"/>
      <c r="E3505" s="14"/>
    </row>
    <row r="3506" spans="1:5" ht="11.1" hidden="1" customHeight="1" x14ac:dyDescent="0.25">
      <c r="A3506" s="12" t="s">
        <v>5013</v>
      </c>
      <c r="B3506" s="12" t="s">
        <v>5014</v>
      </c>
      <c r="C3506" s="14">
        <v>59908.33</v>
      </c>
      <c r="D3506" s="12"/>
      <c r="E3506" s="14"/>
    </row>
    <row r="3507" spans="1:5" ht="11.1" hidden="1" customHeight="1" x14ac:dyDescent="0.25">
      <c r="A3507" s="12" t="s">
        <v>5015</v>
      </c>
      <c r="B3507" s="12" t="s">
        <v>5016</v>
      </c>
      <c r="C3507" s="14">
        <v>94750</v>
      </c>
      <c r="D3507" s="12"/>
      <c r="E3507" s="14"/>
    </row>
    <row r="3508" spans="1:5" ht="11.1" hidden="1" customHeight="1" x14ac:dyDescent="0.25">
      <c r="A3508" s="12" t="s">
        <v>5017</v>
      </c>
      <c r="B3508" s="12" t="s">
        <v>5018</v>
      </c>
      <c r="C3508" s="14">
        <v>132150</v>
      </c>
      <c r="D3508" s="12"/>
      <c r="E3508" s="14"/>
    </row>
    <row r="3509" spans="1:5" ht="11.1" hidden="1" customHeight="1" x14ac:dyDescent="0.25">
      <c r="A3509" s="12" t="s">
        <v>5019</v>
      </c>
      <c r="B3509" s="12" t="s">
        <v>5020</v>
      </c>
      <c r="C3509" s="14">
        <v>62408.33</v>
      </c>
      <c r="D3509" s="12"/>
      <c r="E3509" s="14"/>
    </row>
    <row r="3510" spans="1:5" ht="11.1" hidden="1" customHeight="1" x14ac:dyDescent="0.25">
      <c r="A3510" s="12" t="s">
        <v>5021</v>
      </c>
      <c r="B3510" s="12" t="s">
        <v>5022</v>
      </c>
      <c r="C3510" s="14">
        <v>64474.17</v>
      </c>
      <c r="D3510" s="12"/>
      <c r="E3510" s="14"/>
    </row>
    <row r="3511" spans="1:5" ht="11.1" hidden="1" customHeight="1" x14ac:dyDescent="0.25">
      <c r="A3511" s="12" t="s">
        <v>5023</v>
      </c>
      <c r="B3511" s="12" t="s">
        <v>309</v>
      </c>
      <c r="C3511" s="14">
        <v>74.17</v>
      </c>
      <c r="D3511" s="12"/>
      <c r="E3511" s="13"/>
    </row>
    <row r="3512" spans="1:5" ht="11.1" hidden="1" customHeight="1" x14ac:dyDescent="0.25">
      <c r="A3512" s="12" t="s">
        <v>5024</v>
      </c>
      <c r="B3512" s="12" t="s">
        <v>5025</v>
      </c>
      <c r="C3512" s="14">
        <v>983896.09</v>
      </c>
      <c r="D3512" s="12"/>
      <c r="E3512" s="14"/>
    </row>
    <row r="3513" spans="1:5" ht="11.1" hidden="1" customHeight="1" x14ac:dyDescent="0.25">
      <c r="A3513" s="12" t="s">
        <v>5026</v>
      </c>
      <c r="B3513" s="12" t="s">
        <v>5027</v>
      </c>
      <c r="C3513" s="14">
        <v>328000</v>
      </c>
      <c r="D3513" s="12"/>
      <c r="E3513" s="14"/>
    </row>
    <row r="3514" spans="1:5" ht="11.1" hidden="1" customHeight="1" x14ac:dyDescent="0.25">
      <c r="A3514" s="12" t="s">
        <v>5028</v>
      </c>
      <c r="B3514" s="12" t="s">
        <v>5029</v>
      </c>
      <c r="C3514" s="14">
        <v>19000</v>
      </c>
      <c r="D3514" s="12"/>
      <c r="E3514" s="14"/>
    </row>
    <row r="3515" spans="1:5" ht="11.1" hidden="1" customHeight="1" x14ac:dyDescent="0.25">
      <c r="A3515" s="12" t="s">
        <v>5030</v>
      </c>
      <c r="B3515" s="12" t="s">
        <v>2123</v>
      </c>
      <c r="C3515" s="14">
        <v>661.67</v>
      </c>
      <c r="D3515" s="12"/>
      <c r="E3515" s="13"/>
    </row>
    <row r="3516" spans="1:5" ht="11.1" hidden="1" customHeight="1" x14ac:dyDescent="0.25">
      <c r="A3516" s="12" t="s">
        <v>5031</v>
      </c>
      <c r="B3516" s="12" t="s">
        <v>5032</v>
      </c>
      <c r="C3516" s="14">
        <v>541.66999999999996</v>
      </c>
      <c r="D3516" s="12"/>
      <c r="E3516" s="13"/>
    </row>
    <row r="3517" spans="1:5" ht="11.1" hidden="1" customHeight="1" x14ac:dyDescent="0.25">
      <c r="A3517" s="12" t="s">
        <v>5033</v>
      </c>
      <c r="B3517" s="12" t="s">
        <v>5034</v>
      </c>
      <c r="C3517" s="14">
        <v>305650</v>
      </c>
      <c r="D3517" s="12"/>
      <c r="E3517" s="14"/>
    </row>
    <row r="3518" spans="1:5" ht="11.1" hidden="1" customHeight="1" x14ac:dyDescent="0.25">
      <c r="A3518" s="12" t="s">
        <v>5035</v>
      </c>
      <c r="B3518" s="12" t="s">
        <v>1247</v>
      </c>
      <c r="C3518" s="14">
        <v>9899.17</v>
      </c>
      <c r="D3518" s="12"/>
      <c r="E3518" s="14"/>
    </row>
    <row r="3519" spans="1:5" ht="11.1" hidden="1" customHeight="1" x14ac:dyDescent="0.25">
      <c r="A3519" s="12" t="s">
        <v>5036</v>
      </c>
      <c r="B3519" s="12" t="s">
        <v>1973</v>
      </c>
      <c r="C3519" s="14">
        <v>5269.17</v>
      </c>
      <c r="D3519" s="12"/>
      <c r="E3519" s="14"/>
    </row>
    <row r="3520" spans="1:5" ht="11.1" hidden="1" customHeight="1" x14ac:dyDescent="0.25">
      <c r="A3520" s="12" t="s">
        <v>5037</v>
      </c>
      <c r="B3520" s="12" t="s">
        <v>1925</v>
      </c>
      <c r="C3520" s="14">
        <v>8</v>
      </c>
      <c r="D3520" s="12"/>
      <c r="E3520" s="13"/>
    </row>
    <row r="3521" spans="1:5" ht="23.1" hidden="1" customHeight="1" x14ac:dyDescent="0.25">
      <c r="A3521" s="12" t="s">
        <v>5038</v>
      </c>
      <c r="B3521" s="12" t="s">
        <v>5039</v>
      </c>
      <c r="C3521" s="14">
        <v>250</v>
      </c>
      <c r="D3521" s="12"/>
      <c r="E3521" s="13"/>
    </row>
    <row r="3522" spans="1:5" ht="23.1" hidden="1" customHeight="1" x14ac:dyDescent="0.25">
      <c r="A3522" s="12" t="s">
        <v>5040</v>
      </c>
      <c r="B3522" s="12" t="s">
        <v>2650</v>
      </c>
      <c r="C3522" s="14">
        <v>6.67</v>
      </c>
      <c r="D3522" s="12"/>
      <c r="E3522" s="13"/>
    </row>
    <row r="3523" spans="1:5" ht="23.1" hidden="1" customHeight="1" x14ac:dyDescent="0.25">
      <c r="A3523" s="12" t="s">
        <v>5041</v>
      </c>
      <c r="B3523" s="12" t="s">
        <v>5042</v>
      </c>
      <c r="C3523" s="14">
        <v>17580</v>
      </c>
      <c r="D3523" s="12"/>
      <c r="E3523" s="14"/>
    </row>
    <row r="3524" spans="1:5" ht="23.1" hidden="1" customHeight="1" x14ac:dyDescent="0.25">
      <c r="A3524" s="12" t="s">
        <v>5043</v>
      </c>
      <c r="B3524" s="12" t="s">
        <v>5044</v>
      </c>
      <c r="C3524" s="14">
        <v>596.66999999999996</v>
      </c>
      <c r="D3524" s="12"/>
      <c r="E3524" s="13"/>
    </row>
    <row r="3525" spans="1:5" ht="23.1" hidden="1" customHeight="1" x14ac:dyDescent="0.25">
      <c r="A3525" s="12" t="s">
        <v>5045</v>
      </c>
      <c r="B3525" s="12" t="s">
        <v>5046</v>
      </c>
      <c r="C3525" s="14">
        <v>550.91999999999996</v>
      </c>
      <c r="D3525" s="12"/>
      <c r="E3525" s="13"/>
    </row>
    <row r="3526" spans="1:5" ht="23.1" hidden="1" customHeight="1" x14ac:dyDescent="0.25">
      <c r="A3526" s="12" t="s">
        <v>5047</v>
      </c>
      <c r="B3526" s="12" t="s">
        <v>5048</v>
      </c>
      <c r="C3526" s="14">
        <v>60</v>
      </c>
      <c r="D3526" s="12"/>
      <c r="E3526" s="13"/>
    </row>
    <row r="3527" spans="1:5" ht="23.1" hidden="1" customHeight="1" x14ac:dyDescent="0.25">
      <c r="A3527" s="12" t="s">
        <v>5049</v>
      </c>
      <c r="B3527" s="12" t="s">
        <v>892</v>
      </c>
      <c r="C3527" s="14">
        <v>147.5</v>
      </c>
      <c r="D3527" s="12"/>
      <c r="E3527" s="13"/>
    </row>
    <row r="3528" spans="1:5" ht="11.1" hidden="1" customHeight="1" x14ac:dyDescent="0.25">
      <c r="A3528" s="12" t="s">
        <v>5050</v>
      </c>
      <c r="B3528" s="12" t="s">
        <v>292</v>
      </c>
      <c r="C3528" s="14">
        <v>724.17</v>
      </c>
      <c r="D3528" s="12"/>
      <c r="E3528" s="13"/>
    </row>
    <row r="3529" spans="1:5" ht="11.1" hidden="1" customHeight="1" x14ac:dyDescent="0.25">
      <c r="A3529" s="12" t="s">
        <v>5051</v>
      </c>
      <c r="B3529" s="12" t="s">
        <v>225</v>
      </c>
      <c r="C3529" s="14">
        <v>812.5</v>
      </c>
      <c r="D3529" s="12"/>
      <c r="E3529" s="13"/>
    </row>
    <row r="3530" spans="1:5" ht="11.1" hidden="1" customHeight="1" x14ac:dyDescent="0.25">
      <c r="A3530" s="12" t="s">
        <v>5052</v>
      </c>
      <c r="B3530" s="12" t="s">
        <v>492</v>
      </c>
      <c r="C3530" s="14">
        <v>138.33000000000001</v>
      </c>
      <c r="D3530" s="12"/>
      <c r="E3530" s="13"/>
    </row>
    <row r="3531" spans="1:5" ht="11.1" hidden="1" customHeight="1" x14ac:dyDescent="0.25">
      <c r="A3531" s="12" t="s">
        <v>5053</v>
      </c>
      <c r="B3531" s="12" t="s">
        <v>5054</v>
      </c>
      <c r="C3531" s="14">
        <v>94.17</v>
      </c>
      <c r="D3531" s="12"/>
      <c r="E3531" s="13"/>
    </row>
    <row r="3532" spans="1:5" ht="11.1" hidden="1" customHeight="1" x14ac:dyDescent="0.25">
      <c r="A3532" s="12" t="s">
        <v>5055</v>
      </c>
      <c r="B3532" s="12" t="s">
        <v>1468</v>
      </c>
      <c r="C3532" s="14">
        <v>144.16999999999999</v>
      </c>
      <c r="D3532" s="12"/>
      <c r="E3532" s="13"/>
    </row>
    <row r="3533" spans="1:5" ht="11.1" hidden="1" customHeight="1" x14ac:dyDescent="0.25">
      <c r="A3533" s="12" t="s">
        <v>5056</v>
      </c>
      <c r="B3533" s="12" t="s">
        <v>818</v>
      </c>
      <c r="C3533" s="14">
        <v>268.33</v>
      </c>
      <c r="D3533" s="12"/>
      <c r="E3533" s="13"/>
    </row>
    <row r="3534" spans="1:5" ht="11.1" hidden="1" customHeight="1" x14ac:dyDescent="0.25">
      <c r="A3534" s="12" t="s">
        <v>5057</v>
      </c>
      <c r="B3534" s="12" t="s">
        <v>1247</v>
      </c>
      <c r="C3534" s="14">
        <v>98.33</v>
      </c>
      <c r="D3534" s="12"/>
      <c r="E3534" s="13"/>
    </row>
    <row r="3535" spans="1:5" ht="11.1" hidden="1" customHeight="1" x14ac:dyDescent="0.25">
      <c r="A3535" s="12" t="s">
        <v>5058</v>
      </c>
      <c r="B3535" s="12" t="s">
        <v>5059</v>
      </c>
      <c r="C3535" s="14">
        <v>4260</v>
      </c>
      <c r="D3535" s="12"/>
      <c r="E3535" s="14"/>
    </row>
    <row r="3536" spans="1:5" ht="23.1" hidden="1" customHeight="1" x14ac:dyDescent="0.25">
      <c r="A3536" s="12" t="s">
        <v>5060</v>
      </c>
      <c r="B3536" s="12" t="s">
        <v>1856</v>
      </c>
      <c r="C3536" s="14">
        <v>11000</v>
      </c>
      <c r="D3536" s="12"/>
      <c r="E3536" s="14"/>
    </row>
    <row r="3537" spans="1:5" ht="11.1" hidden="1" customHeight="1" x14ac:dyDescent="0.25">
      <c r="A3537" s="12" t="s">
        <v>5061</v>
      </c>
      <c r="B3537" s="12" t="s">
        <v>3079</v>
      </c>
      <c r="C3537" s="14">
        <v>303.33</v>
      </c>
      <c r="D3537" s="12"/>
      <c r="E3537" s="13"/>
    </row>
    <row r="3538" spans="1:5" ht="11.1" hidden="1" customHeight="1" x14ac:dyDescent="0.25">
      <c r="A3538" s="12" t="s">
        <v>5062</v>
      </c>
      <c r="B3538" s="12" t="s">
        <v>3079</v>
      </c>
      <c r="C3538" s="14">
        <v>303.33999999999997</v>
      </c>
      <c r="D3538" s="12"/>
      <c r="E3538" s="13"/>
    </row>
    <row r="3539" spans="1:5" ht="11.1" hidden="1" customHeight="1" x14ac:dyDescent="0.25">
      <c r="A3539" s="12" t="s">
        <v>5063</v>
      </c>
      <c r="B3539" s="12" t="s">
        <v>5064</v>
      </c>
      <c r="C3539" s="14">
        <v>477.5</v>
      </c>
      <c r="D3539" s="12"/>
      <c r="E3539" s="13"/>
    </row>
    <row r="3540" spans="1:5" ht="11.1" hidden="1" customHeight="1" x14ac:dyDescent="0.25">
      <c r="A3540" s="12" t="s">
        <v>5065</v>
      </c>
      <c r="B3540" s="12" t="s">
        <v>5066</v>
      </c>
      <c r="C3540" s="14">
        <v>198</v>
      </c>
      <c r="D3540" s="12"/>
      <c r="E3540" s="13"/>
    </row>
    <row r="3541" spans="1:5" ht="11.1" hidden="1" customHeight="1" x14ac:dyDescent="0.25">
      <c r="A3541" s="12" t="s">
        <v>5067</v>
      </c>
      <c r="B3541" s="12" t="s">
        <v>5068</v>
      </c>
      <c r="C3541" s="14">
        <v>46</v>
      </c>
      <c r="D3541" s="12"/>
      <c r="E3541" s="13"/>
    </row>
    <row r="3542" spans="1:5" ht="11.1" hidden="1" customHeight="1" x14ac:dyDescent="0.25">
      <c r="A3542" s="12" t="s">
        <v>5069</v>
      </c>
      <c r="B3542" s="12" t="s">
        <v>5068</v>
      </c>
      <c r="C3542" s="14">
        <v>86.25</v>
      </c>
      <c r="D3542" s="12"/>
      <c r="E3542" s="13"/>
    </row>
    <row r="3543" spans="1:5" ht="11.1" hidden="1" customHeight="1" x14ac:dyDescent="0.25">
      <c r="A3543" s="12" t="s">
        <v>5070</v>
      </c>
      <c r="B3543" s="12" t="s">
        <v>5071</v>
      </c>
      <c r="C3543" s="14">
        <v>958.33</v>
      </c>
      <c r="D3543" s="12"/>
      <c r="E3543" s="13"/>
    </row>
    <row r="3544" spans="1:5" ht="11.1" hidden="1" customHeight="1" x14ac:dyDescent="0.25">
      <c r="A3544" s="12" t="s">
        <v>5072</v>
      </c>
      <c r="B3544" s="12" t="s">
        <v>5073</v>
      </c>
      <c r="C3544" s="14">
        <v>8.66</v>
      </c>
      <c r="D3544" s="12"/>
      <c r="E3544" s="13"/>
    </row>
    <row r="3545" spans="1:5" ht="23.1" hidden="1" customHeight="1" x14ac:dyDescent="0.25">
      <c r="A3545" s="12" t="s">
        <v>5074</v>
      </c>
      <c r="B3545" s="12" t="s">
        <v>5073</v>
      </c>
      <c r="C3545" s="14">
        <v>9.41</v>
      </c>
      <c r="D3545" s="12"/>
      <c r="E3545" s="13"/>
    </row>
    <row r="3546" spans="1:5" ht="11.1" hidden="1" customHeight="1" x14ac:dyDescent="0.25">
      <c r="A3546" s="12" t="s">
        <v>5075</v>
      </c>
      <c r="B3546" s="12" t="s">
        <v>5076</v>
      </c>
      <c r="C3546" s="14">
        <v>83.33</v>
      </c>
      <c r="D3546" s="12"/>
      <c r="E3546" s="13"/>
    </row>
    <row r="3547" spans="1:5" ht="11.1" hidden="1" customHeight="1" x14ac:dyDescent="0.25">
      <c r="A3547" s="12" t="s">
        <v>5077</v>
      </c>
      <c r="B3547" s="12" t="s">
        <v>5078</v>
      </c>
      <c r="C3547" s="14">
        <v>50</v>
      </c>
      <c r="D3547" s="12"/>
      <c r="E3547" s="13"/>
    </row>
    <row r="3548" spans="1:5" ht="11.1" hidden="1" customHeight="1" x14ac:dyDescent="0.25">
      <c r="A3548" s="12" t="s">
        <v>5079</v>
      </c>
      <c r="B3548" s="12" t="s">
        <v>3298</v>
      </c>
      <c r="C3548" s="14">
        <v>20.92</v>
      </c>
      <c r="D3548" s="12"/>
      <c r="E3548" s="13"/>
    </row>
    <row r="3549" spans="1:5" ht="11.1" hidden="1" customHeight="1" x14ac:dyDescent="0.25">
      <c r="A3549" s="12" t="s">
        <v>5080</v>
      </c>
      <c r="B3549" s="12" t="s">
        <v>5081</v>
      </c>
      <c r="C3549" s="14">
        <v>28.33</v>
      </c>
      <c r="D3549" s="12"/>
      <c r="E3549" s="13"/>
    </row>
    <row r="3550" spans="1:5" ht="11.1" hidden="1" customHeight="1" x14ac:dyDescent="0.25">
      <c r="A3550" s="12" t="s">
        <v>5082</v>
      </c>
      <c r="B3550" s="12" t="s">
        <v>2032</v>
      </c>
      <c r="C3550" s="14">
        <v>3537.27</v>
      </c>
      <c r="D3550" s="12"/>
      <c r="E3550" s="14"/>
    </row>
    <row r="3551" spans="1:5" ht="11.1" hidden="1" customHeight="1" x14ac:dyDescent="0.25">
      <c r="A3551" s="12" t="s">
        <v>5083</v>
      </c>
      <c r="B3551" s="12" t="s">
        <v>168</v>
      </c>
      <c r="C3551" s="14">
        <v>3.33</v>
      </c>
      <c r="D3551" s="12"/>
      <c r="E3551" s="13"/>
    </row>
    <row r="3552" spans="1:5" ht="11.1" hidden="1" customHeight="1" x14ac:dyDescent="0.25">
      <c r="A3552" s="12" t="s">
        <v>5084</v>
      </c>
      <c r="B3552" s="12" t="s">
        <v>1041</v>
      </c>
      <c r="C3552" s="14">
        <v>2</v>
      </c>
      <c r="D3552" s="12"/>
      <c r="E3552" s="13"/>
    </row>
    <row r="3553" spans="1:5" ht="11.1" hidden="1" customHeight="1" x14ac:dyDescent="0.25">
      <c r="A3553" s="12" t="s">
        <v>5085</v>
      </c>
      <c r="B3553" s="12" t="s">
        <v>2156</v>
      </c>
      <c r="C3553" s="14">
        <v>223.33</v>
      </c>
      <c r="D3553" s="12"/>
      <c r="E3553" s="13"/>
    </row>
    <row r="3554" spans="1:5" ht="11.1" hidden="1" customHeight="1" x14ac:dyDescent="0.25">
      <c r="A3554" s="12" t="s">
        <v>5086</v>
      </c>
      <c r="B3554" s="12" t="s">
        <v>1987</v>
      </c>
      <c r="C3554" s="14">
        <v>5413.33</v>
      </c>
      <c r="D3554" s="12"/>
      <c r="E3554" s="14"/>
    </row>
    <row r="3555" spans="1:5" ht="11.1" hidden="1" customHeight="1" x14ac:dyDescent="0.25">
      <c r="A3555" s="12" t="s">
        <v>5087</v>
      </c>
      <c r="B3555" s="12" t="s">
        <v>4212</v>
      </c>
      <c r="C3555" s="14">
        <v>3112.86</v>
      </c>
      <c r="D3555" s="12"/>
      <c r="E3555" s="14"/>
    </row>
    <row r="3556" spans="1:5" ht="11.1" hidden="1" customHeight="1" x14ac:dyDescent="0.25">
      <c r="A3556" s="12" t="s">
        <v>5088</v>
      </c>
      <c r="B3556" s="12" t="s">
        <v>2841</v>
      </c>
      <c r="C3556" s="14">
        <v>13933.34</v>
      </c>
      <c r="D3556" s="12"/>
      <c r="E3556" s="14"/>
    </row>
    <row r="3557" spans="1:5" ht="11.1" hidden="1" customHeight="1" x14ac:dyDescent="0.25">
      <c r="A3557" s="12" t="s">
        <v>5089</v>
      </c>
      <c r="B3557" s="12" t="s">
        <v>1110</v>
      </c>
      <c r="C3557" s="14">
        <v>3416.67</v>
      </c>
      <c r="D3557" s="12"/>
      <c r="E3557" s="14"/>
    </row>
    <row r="3558" spans="1:5" ht="11.1" hidden="1" customHeight="1" x14ac:dyDescent="0.25">
      <c r="A3558" s="12" t="s">
        <v>5090</v>
      </c>
      <c r="B3558" s="12" t="s">
        <v>1958</v>
      </c>
      <c r="C3558" s="14">
        <v>7.5</v>
      </c>
      <c r="D3558" s="12"/>
      <c r="E3558" s="13"/>
    </row>
    <row r="3559" spans="1:5" ht="11.1" hidden="1" customHeight="1" x14ac:dyDescent="0.25">
      <c r="A3559" s="12" t="s">
        <v>5091</v>
      </c>
      <c r="B3559" s="12" t="s">
        <v>5092</v>
      </c>
      <c r="C3559" s="14">
        <v>8.33</v>
      </c>
      <c r="D3559" s="12"/>
      <c r="E3559" s="13"/>
    </row>
    <row r="3560" spans="1:5" ht="11.1" hidden="1" customHeight="1" x14ac:dyDescent="0.25">
      <c r="A3560" s="12" t="s">
        <v>5093</v>
      </c>
      <c r="B3560" s="12" t="s">
        <v>5094</v>
      </c>
      <c r="C3560" s="14">
        <v>7211166.6200000001</v>
      </c>
      <c r="D3560" s="12"/>
      <c r="E3560" s="14"/>
    </row>
    <row r="3561" spans="1:5" ht="11.1" hidden="1" customHeight="1" x14ac:dyDescent="0.25">
      <c r="A3561" s="12" t="s">
        <v>5095</v>
      </c>
      <c r="B3561" s="12" t="s">
        <v>5094</v>
      </c>
      <c r="C3561" s="14">
        <v>7562333.29</v>
      </c>
      <c r="D3561" s="12"/>
      <c r="E3561" s="14"/>
    </row>
    <row r="3562" spans="1:5" ht="11.1" hidden="1" customHeight="1" x14ac:dyDescent="0.25">
      <c r="A3562" s="12" t="s">
        <v>5096</v>
      </c>
      <c r="B3562" s="12" t="s">
        <v>2065</v>
      </c>
      <c r="C3562" s="14">
        <v>10050</v>
      </c>
      <c r="D3562" s="12"/>
      <c r="E3562" s="14"/>
    </row>
    <row r="3563" spans="1:5" ht="11.1" hidden="1" customHeight="1" x14ac:dyDescent="0.25">
      <c r="A3563" s="12" t="s">
        <v>5097</v>
      </c>
      <c r="B3563" s="12" t="s">
        <v>5098</v>
      </c>
      <c r="C3563" s="14">
        <v>7919.17</v>
      </c>
      <c r="D3563" s="12"/>
      <c r="E3563" s="14"/>
    </row>
    <row r="3564" spans="1:5" ht="11.1" hidden="1" customHeight="1" x14ac:dyDescent="0.25">
      <c r="A3564" s="12" t="s">
        <v>5099</v>
      </c>
      <c r="B3564" s="12" t="s">
        <v>5100</v>
      </c>
      <c r="C3564" s="14">
        <v>2824.17</v>
      </c>
      <c r="D3564" s="12"/>
      <c r="E3564" s="14"/>
    </row>
    <row r="3565" spans="1:5" ht="11.1" hidden="1" customHeight="1" x14ac:dyDescent="0.25">
      <c r="A3565" s="12" t="s">
        <v>5101</v>
      </c>
      <c r="B3565" s="12" t="s">
        <v>5102</v>
      </c>
      <c r="C3565" s="14">
        <v>46583.33</v>
      </c>
      <c r="D3565" s="12"/>
      <c r="E3565" s="14"/>
    </row>
    <row r="3566" spans="1:5" ht="11.1" hidden="1" customHeight="1" x14ac:dyDescent="0.25">
      <c r="A3566" s="12" t="s">
        <v>5103</v>
      </c>
      <c r="B3566" s="12" t="s">
        <v>5104</v>
      </c>
      <c r="C3566" s="14">
        <v>4041.67</v>
      </c>
      <c r="D3566" s="12"/>
      <c r="E3566" s="14"/>
    </row>
    <row r="3567" spans="1:5" ht="11.1" hidden="1" customHeight="1" x14ac:dyDescent="0.25">
      <c r="A3567" s="12" t="s">
        <v>5105</v>
      </c>
      <c r="B3567" s="12" t="s">
        <v>3523</v>
      </c>
      <c r="C3567" s="14">
        <v>305</v>
      </c>
      <c r="D3567" s="12"/>
      <c r="E3567" s="13"/>
    </row>
    <row r="3568" spans="1:5" ht="11.1" hidden="1" customHeight="1" x14ac:dyDescent="0.25">
      <c r="A3568" s="12" t="s">
        <v>5106</v>
      </c>
      <c r="B3568" s="12" t="s">
        <v>4197</v>
      </c>
      <c r="C3568" s="14">
        <v>1601.02</v>
      </c>
      <c r="D3568" s="12"/>
      <c r="E3568" s="14"/>
    </row>
    <row r="3569" spans="1:5" ht="11.1" hidden="1" customHeight="1" x14ac:dyDescent="0.25">
      <c r="A3569" s="12" t="s">
        <v>5107</v>
      </c>
      <c r="B3569" s="12" t="s">
        <v>2044</v>
      </c>
      <c r="C3569" s="14">
        <v>149.18</v>
      </c>
      <c r="D3569" s="12"/>
      <c r="E3569" s="13"/>
    </row>
    <row r="3570" spans="1:5" ht="11.1" hidden="1" customHeight="1" x14ac:dyDescent="0.25">
      <c r="A3570" s="12" t="s">
        <v>5108</v>
      </c>
      <c r="B3570" s="12" t="s">
        <v>2828</v>
      </c>
      <c r="C3570" s="14">
        <v>106.35</v>
      </c>
      <c r="D3570" s="12"/>
      <c r="E3570" s="13"/>
    </row>
    <row r="3571" spans="1:5" ht="11.1" hidden="1" customHeight="1" x14ac:dyDescent="0.25">
      <c r="A3571" s="12" t="s">
        <v>5109</v>
      </c>
      <c r="B3571" s="12" t="s">
        <v>5110</v>
      </c>
      <c r="C3571" s="14">
        <v>150</v>
      </c>
      <c r="D3571" s="12"/>
      <c r="E3571" s="13"/>
    </row>
    <row r="3572" spans="1:5" ht="11.1" hidden="1" customHeight="1" x14ac:dyDescent="0.25">
      <c r="A3572" s="12" t="s">
        <v>5111</v>
      </c>
      <c r="B3572" s="12" t="s">
        <v>5112</v>
      </c>
      <c r="C3572" s="14">
        <v>91.67</v>
      </c>
      <c r="D3572" s="12"/>
      <c r="E3572" s="13"/>
    </row>
    <row r="3573" spans="1:5" ht="11.1" hidden="1" customHeight="1" x14ac:dyDescent="0.25">
      <c r="A3573" s="12" t="s">
        <v>5113</v>
      </c>
      <c r="B3573" s="12" t="s">
        <v>259</v>
      </c>
      <c r="C3573" s="14">
        <v>116.67</v>
      </c>
      <c r="D3573" s="12"/>
      <c r="E3573" s="13"/>
    </row>
    <row r="3574" spans="1:5" ht="23.1" hidden="1" customHeight="1" x14ac:dyDescent="0.25">
      <c r="A3574" s="12" t="s">
        <v>5114</v>
      </c>
      <c r="B3574" s="12" t="s">
        <v>5115</v>
      </c>
      <c r="C3574" s="14">
        <v>75000</v>
      </c>
      <c r="D3574" s="12"/>
      <c r="E3574" s="14"/>
    </row>
    <row r="3575" spans="1:5" ht="23.1" hidden="1" customHeight="1" x14ac:dyDescent="0.25">
      <c r="A3575" s="12" t="s">
        <v>5116</v>
      </c>
      <c r="B3575" s="12" t="s">
        <v>5117</v>
      </c>
      <c r="C3575" s="14">
        <v>65000</v>
      </c>
      <c r="D3575" s="12"/>
      <c r="E3575" s="14"/>
    </row>
    <row r="3576" spans="1:5" ht="11.1" hidden="1" customHeight="1" x14ac:dyDescent="0.25">
      <c r="A3576" s="12" t="s">
        <v>5118</v>
      </c>
      <c r="B3576" s="12" t="s">
        <v>5119</v>
      </c>
      <c r="C3576" s="14">
        <v>33932.5</v>
      </c>
      <c r="D3576" s="12"/>
      <c r="E3576" s="14"/>
    </row>
    <row r="3577" spans="1:5" ht="11.1" hidden="1" customHeight="1" x14ac:dyDescent="0.25">
      <c r="A3577" s="12" t="s">
        <v>5120</v>
      </c>
      <c r="B3577" s="12" t="s">
        <v>2826</v>
      </c>
      <c r="C3577" s="14">
        <v>28.58</v>
      </c>
      <c r="D3577" s="12"/>
      <c r="E3577" s="13"/>
    </row>
    <row r="3578" spans="1:5" ht="11.1" hidden="1" customHeight="1" x14ac:dyDescent="0.25">
      <c r="A3578" s="12" t="s">
        <v>5121</v>
      </c>
      <c r="B3578" s="12" t="s">
        <v>2040</v>
      </c>
      <c r="C3578" s="14">
        <v>70.42</v>
      </c>
      <c r="D3578" s="12"/>
      <c r="E3578" s="13"/>
    </row>
    <row r="3579" spans="1:5" ht="23.1" hidden="1" customHeight="1" x14ac:dyDescent="0.25">
      <c r="A3579" s="12" t="s">
        <v>5122</v>
      </c>
      <c r="B3579" s="12" t="s">
        <v>5123</v>
      </c>
      <c r="C3579" s="14">
        <v>8500</v>
      </c>
      <c r="D3579" s="12"/>
      <c r="E3579" s="14"/>
    </row>
    <row r="3580" spans="1:5" ht="11.1" hidden="1" customHeight="1" x14ac:dyDescent="0.25">
      <c r="A3580" s="12" t="s">
        <v>5124</v>
      </c>
      <c r="B3580" s="12" t="s">
        <v>4039</v>
      </c>
      <c r="C3580" s="14">
        <v>800</v>
      </c>
      <c r="D3580" s="12"/>
      <c r="E3580" s="13"/>
    </row>
    <row r="3581" spans="1:5" ht="23.1" hidden="1" customHeight="1" x14ac:dyDescent="0.25">
      <c r="A3581" s="12" t="s">
        <v>5125</v>
      </c>
      <c r="B3581" s="12" t="s">
        <v>4036</v>
      </c>
      <c r="C3581" s="14">
        <v>1600</v>
      </c>
      <c r="D3581" s="12"/>
      <c r="E3581" s="14"/>
    </row>
    <row r="3582" spans="1:5" ht="11.1" hidden="1" customHeight="1" x14ac:dyDescent="0.25">
      <c r="A3582" s="12" t="s">
        <v>5126</v>
      </c>
      <c r="B3582" s="12" t="s">
        <v>5127</v>
      </c>
      <c r="C3582" s="14">
        <v>2280</v>
      </c>
      <c r="D3582" s="12"/>
      <c r="E3582" s="14"/>
    </row>
    <row r="3583" spans="1:5" ht="11.1" hidden="1" customHeight="1" x14ac:dyDescent="0.25">
      <c r="A3583" s="12" t="s">
        <v>5128</v>
      </c>
      <c r="B3583" s="12" t="s">
        <v>5129</v>
      </c>
      <c r="C3583" s="14">
        <v>2727.29</v>
      </c>
      <c r="D3583" s="12"/>
      <c r="E3583" s="14"/>
    </row>
    <row r="3584" spans="1:5" ht="23.1" hidden="1" customHeight="1" x14ac:dyDescent="0.25">
      <c r="A3584" s="12" t="s">
        <v>5130</v>
      </c>
      <c r="B3584" s="12" t="s">
        <v>5131</v>
      </c>
      <c r="C3584" s="14">
        <v>1320</v>
      </c>
      <c r="D3584" s="12"/>
      <c r="E3584" s="14"/>
    </row>
    <row r="3585" spans="1:5" ht="11.1" hidden="1" customHeight="1" x14ac:dyDescent="0.25">
      <c r="A3585" s="12" t="s">
        <v>5132</v>
      </c>
      <c r="B3585" s="12" t="s">
        <v>5133</v>
      </c>
      <c r="C3585" s="14">
        <v>1585</v>
      </c>
      <c r="D3585" s="12"/>
      <c r="E3585" s="14"/>
    </row>
    <row r="3586" spans="1:5" ht="23.1" hidden="1" customHeight="1" x14ac:dyDescent="0.25">
      <c r="A3586" s="12" t="s">
        <v>5134</v>
      </c>
      <c r="B3586" s="12" t="s">
        <v>5135</v>
      </c>
      <c r="C3586" s="14">
        <v>593.33000000000004</v>
      </c>
      <c r="D3586" s="12"/>
      <c r="E3586" s="13"/>
    </row>
    <row r="3587" spans="1:5" ht="23.1" hidden="1" customHeight="1" x14ac:dyDescent="0.25">
      <c r="A3587" s="12" t="s">
        <v>5136</v>
      </c>
      <c r="B3587" s="12" t="s">
        <v>5137</v>
      </c>
      <c r="C3587" s="14">
        <v>941.67</v>
      </c>
      <c r="D3587" s="12"/>
      <c r="E3587" s="13"/>
    </row>
    <row r="3588" spans="1:5" ht="11.1" hidden="1" customHeight="1" x14ac:dyDescent="0.25">
      <c r="A3588" s="12" t="s">
        <v>5138</v>
      </c>
      <c r="B3588" s="12" t="s">
        <v>5137</v>
      </c>
      <c r="C3588" s="14">
        <v>1136.67</v>
      </c>
      <c r="D3588" s="12"/>
      <c r="E3588" s="14"/>
    </row>
    <row r="3589" spans="1:5" ht="11.1" hidden="1" customHeight="1" x14ac:dyDescent="0.25">
      <c r="A3589" s="12" t="s">
        <v>5139</v>
      </c>
      <c r="B3589" s="12" t="s">
        <v>288</v>
      </c>
      <c r="C3589" s="14">
        <v>70.83</v>
      </c>
      <c r="D3589" s="12"/>
      <c r="E3589" s="13"/>
    </row>
    <row r="3590" spans="1:5" ht="11.1" hidden="1" customHeight="1" x14ac:dyDescent="0.25">
      <c r="A3590" s="12" t="s">
        <v>5140</v>
      </c>
      <c r="B3590" s="12" t="s">
        <v>1436</v>
      </c>
      <c r="C3590" s="14">
        <v>90</v>
      </c>
      <c r="D3590" s="12"/>
      <c r="E3590" s="13"/>
    </row>
    <row r="3591" spans="1:5" ht="11.1" hidden="1" customHeight="1" x14ac:dyDescent="0.25">
      <c r="A3591" s="12" t="s">
        <v>5141</v>
      </c>
      <c r="B3591" s="12" t="s">
        <v>5137</v>
      </c>
      <c r="C3591" s="14">
        <v>1076.67</v>
      </c>
      <c r="D3591" s="12"/>
      <c r="E3591" s="14"/>
    </row>
    <row r="3592" spans="1:5" ht="11.1" hidden="1" customHeight="1" x14ac:dyDescent="0.25">
      <c r="A3592" s="12" t="s">
        <v>5142</v>
      </c>
      <c r="B3592" s="12" t="s">
        <v>979</v>
      </c>
      <c r="C3592" s="14">
        <v>170.83</v>
      </c>
      <c r="D3592" s="12"/>
      <c r="E3592" s="13"/>
    </row>
    <row r="3593" spans="1:5" ht="23.1" hidden="1" customHeight="1" x14ac:dyDescent="0.25">
      <c r="A3593" s="12" t="s">
        <v>5143</v>
      </c>
      <c r="B3593" s="12" t="s">
        <v>387</v>
      </c>
      <c r="C3593" s="14">
        <v>606.66999999999996</v>
      </c>
      <c r="D3593" s="12"/>
      <c r="E3593" s="13"/>
    </row>
    <row r="3594" spans="1:5" ht="23.1" hidden="1" customHeight="1" x14ac:dyDescent="0.25">
      <c r="A3594" s="12" t="s">
        <v>5144</v>
      </c>
      <c r="B3594" s="12" t="s">
        <v>1245</v>
      </c>
      <c r="C3594" s="14">
        <v>380.83</v>
      </c>
      <c r="D3594" s="12"/>
      <c r="E3594" s="13"/>
    </row>
    <row r="3595" spans="1:5" ht="11.1" hidden="1" customHeight="1" x14ac:dyDescent="0.25">
      <c r="A3595" s="12" t="s">
        <v>5145</v>
      </c>
      <c r="B3595" s="12" t="s">
        <v>1405</v>
      </c>
      <c r="C3595" s="14">
        <v>219.17</v>
      </c>
      <c r="D3595" s="12"/>
      <c r="E3595" s="13"/>
    </row>
    <row r="3596" spans="1:5" ht="11.1" hidden="1" customHeight="1" x14ac:dyDescent="0.25">
      <c r="A3596" s="12" t="s">
        <v>5146</v>
      </c>
      <c r="B3596" s="12" t="s">
        <v>288</v>
      </c>
      <c r="C3596" s="14">
        <v>70.83</v>
      </c>
      <c r="D3596" s="12"/>
      <c r="E3596" s="13"/>
    </row>
    <row r="3597" spans="1:5" ht="11.1" hidden="1" customHeight="1" x14ac:dyDescent="0.25">
      <c r="A3597" s="12" t="s">
        <v>5147</v>
      </c>
      <c r="B3597" s="12" t="s">
        <v>5148</v>
      </c>
      <c r="C3597" s="14">
        <v>176.67</v>
      </c>
      <c r="D3597" s="12"/>
      <c r="E3597" s="13"/>
    </row>
    <row r="3598" spans="1:5" ht="11.1" hidden="1" customHeight="1" x14ac:dyDescent="0.25">
      <c r="A3598" s="12" t="s">
        <v>5149</v>
      </c>
      <c r="B3598" s="12" t="s">
        <v>5150</v>
      </c>
      <c r="C3598" s="14">
        <v>298.33</v>
      </c>
      <c r="D3598" s="12"/>
      <c r="E3598" s="13"/>
    </row>
    <row r="3599" spans="1:5" ht="11.1" hidden="1" customHeight="1" x14ac:dyDescent="0.25">
      <c r="A3599" s="12" t="s">
        <v>5151</v>
      </c>
      <c r="B3599" s="12" t="s">
        <v>5137</v>
      </c>
      <c r="C3599" s="14">
        <v>348.33</v>
      </c>
      <c r="D3599" s="12"/>
      <c r="E3599" s="13"/>
    </row>
    <row r="3600" spans="1:5" ht="11.1" hidden="1" customHeight="1" x14ac:dyDescent="0.25">
      <c r="A3600" s="12" t="s">
        <v>5152</v>
      </c>
      <c r="B3600" s="12" t="s">
        <v>5137</v>
      </c>
      <c r="C3600" s="14">
        <v>714.17</v>
      </c>
      <c r="D3600" s="12"/>
      <c r="E3600" s="13"/>
    </row>
    <row r="3601" spans="1:5" ht="11.1" hidden="1" customHeight="1" x14ac:dyDescent="0.25">
      <c r="A3601" s="12" t="s">
        <v>5153</v>
      </c>
      <c r="B3601" s="12" t="s">
        <v>928</v>
      </c>
      <c r="C3601" s="14">
        <v>2353.33</v>
      </c>
      <c r="D3601" s="12"/>
      <c r="E3601" s="14"/>
    </row>
    <row r="3602" spans="1:5" ht="23.1" hidden="1" customHeight="1" x14ac:dyDescent="0.25">
      <c r="A3602" s="12" t="s">
        <v>5154</v>
      </c>
      <c r="B3602" s="12" t="s">
        <v>241</v>
      </c>
      <c r="C3602" s="14">
        <v>1084.17</v>
      </c>
      <c r="D3602" s="12"/>
      <c r="E3602" s="14"/>
    </row>
    <row r="3603" spans="1:5" ht="11.1" hidden="1" customHeight="1" x14ac:dyDescent="0.25">
      <c r="A3603" s="12" t="s">
        <v>5155</v>
      </c>
      <c r="B3603" s="12" t="s">
        <v>1245</v>
      </c>
      <c r="C3603" s="14">
        <v>1554.17</v>
      </c>
      <c r="D3603" s="12"/>
      <c r="E3603" s="14"/>
    </row>
    <row r="3604" spans="1:5" ht="11.1" hidden="1" customHeight="1" x14ac:dyDescent="0.25">
      <c r="A3604" s="12" t="s">
        <v>5156</v>
      </c>
      <c r="B3604" s="12" t="s">
        <v>2208</v>
      </c>
      <c r="C3604" s="14">
        <v>456.67</v>
      </c>
      <c r="D3604" s="12"/>
      <c r="E3604" s="13"/>
    </row>
    <row r="3605" spans="1:5" ht="11.1" hidden="1" customHeight="1" x14ac:dyDescent="0.25">
      <c r="A3605" s="12" t="s">
        <v>5157</v>
      </c>
      <c r="B3605" s="12" t="s">
        <v>1245</v>
      </c>
      <c r="C3605" s="14">
        <v>616.66999999999996</v>
      </c>
      <c r="D3605" s="12"/>
      <c r="E3605" s="13"/>
    </row>
    <row r="3606" spans="1:5" ht="11.1" hidden="1" customHeight="1" x14ac:dyDescent="0.25">
      <c r="A3606" s="12" t="s">
        <v>5158</v>
      </c>
      <c r="B3606" s="12" t="s">
        <v>1245</v>
      </c>
      <c r="C3606" s="14">
        <v>668.33</v>
      </c>
      <c r="D3606" s="12"/>
      <c r="E3606" s="13"/>
    </row>
    <row r="3607" spans="1:5" ht="11.1" hidden="1" customHeight="1" x14ac:dyDescent="0.25">
      <c r="A3607" s="12" t="s">
        <v>5159</v>
      </c>
      <c r="B3607" s="12" t="s">
        <v>1245</v>
      </c>
      <c r="C3607" s="14">
        <v>622.5</v>
      </c>
      <c r="D3607" s="12"/>
      <c r="E3607" s="13"/>
    </row>
    <row r="3608" spans="1:5" ht="11.1" hidden="1" customHeight="1" x14ac:dyDescent="0.25">
      <c r="A3608" s="12" t="s">
        <v>5160</v>
      </c>
      <c r="B3608" s="12" t="s">
        <v>387</v>
      </c>
      <c r="C3608" s="14">
        <v>605.83000000000004</v>
      </c>
      <c r="D3608" s="12"/>
      <c r="E3608" s="13"/>
    </row>
    <row r="3609" spans="1:5" ht="23.1" hidden="1" customHeight="1" x14ac:dyDescent="0.25">
      <c r="A3609" s="12" t="s">
        <v>5161</v>
      </c>
      <c r="B3609" s="12" t="s">
        <v>959</v>
      </c>
      <c r="C3609" s="14">
        <v>1636.67</v>
      </c>
      <c r="D3609" s="12"/>
      <c r="E3609" s="14"/>
    </row>
    <row r="3610" spans="1:5" ht="11.1" hidden="1" customHeight="1" x14ac:dyDescent="0.25">
      <c r="A3610" s="12" t="s">
        <v>5162</v>
      </c>
      <c r="B3610" s="12" t="s">
        <v>1041</v>
      </c>
      <c r="C3610" s="14">
        <v>29</v>
      </c>
      <c r="D3610" s="12"/>
      <c r="E3610" s="13"/>
    </row>
    <row r="3611" spans="1:5" ht="11.1" hidden="1" customHeight="1" x14ac:dyDescent="0.25">
      <c r="A3611" s="12" t="s">
        <v>5163</v>
      </c>
      <c r="B3611" s="12" t="s">
        <v>4809</v>
      </c>
      <c r="C3611" s="14">
        <v>45</v>
      </c>
      <c r="D3611" s="12"/>
      <c r="E3611" s="13"/>
    </row>
    <row r="3612" spans="1:5" ht="23.1" hidden="1" customHeight="1" x14ac:dyDescent="0.25">
      <c r="A3612" s="12" t="s">
        <v>5164</v>
      </c>
      <c r="B3612" s="12" t="s">
        <v>5165</v>
      </c>
      <c r="C3612" s="14">
        <v>210000</v>
      </c>
      <c r="D3612" s="12"/>
      <c r="E3612" s="14"/>
    </row>
    <row r="3613" spans="1:5" ht="11.1" hidden="1" customHeight="1" x14ac:dyDescent="0.25">
      <c r="A3613" s="12" t="s">
        <v>5166</v>
      </c>
      <c r="B3613" s="12" t="s">
        <v>5167</v>
      </c>
      <c r="C3613" s="14">
        <v>598</v>
      </c>
      <c r="D3613" s="12"/>
      <c r="E3613" s="13"/>
    </row>
    <row r="3614" spans="1:5" ht="11.1" hidden="1" customHeight="1" x14ac:dyDescent="0.25">
      <c r="A3614" s="12" t="s">
        <v>5168</v>
      </c>
      <c r="B3614" s="12" t="s">
        <v>2828</v>
      </c>
      <c r="C3614" s="14">
        <v>92.63</v>
      </c>
      <c r="D3614" s="12"/>
      <c r="E3614" s="13"/>
    </row>
    <row r="3615" spans="1:5" ht="23.1" hidden="1" customHeight="1" x14ac:dyDescent="0.25">
      <c r="A3615" s="12" t="s">
        <v>5169</v>
      </c>
      <c r="B3615" s="12" t="s">
        <v>4000</v>
      </c>
      <c r="C3615" s="14">
        <v>210.37</v>
      </c>
      <c r="D3615" s="12"/>
      <c r="E3615" s="13"/>
    </row>
    <row r="3616" spans="1:5" ht="11.1" hidden="1" customHeight="1" x14ac:dyDescent="0.25">
      <c r="A3616" s="12" t="s">
        <v>5170</v>
      </c>
      <c r="B3616" s="12" t="s">
        <v>5171</v>
      </c>
      <c r="C3616" s="14">
        <v>55.25</v>
      </c>
      <c r="D3616" s="12"/>
      <c r="E3616" s="13"/>
    </row>
    <row r="3617" spans="1:5" ht="11.1" hidden="1" customHeight="1" x14ac:dyDescent="0.25">
      <c r="A3617" s="42" t="s">
        <v>5172</v>
      </c>
      <c r="B3617" s="42" t="s">
        <v>5173</v>
      </c>
      <c r="C3617" s="43">
        <v>11.75</v>
      </c>
      <c r="D3617" s="12"/>
      <c r="E3617" s="13"/>
    </row>
    <row r="3618" spans="1:5" ht="11.1" hidden="1" customHeight="1" x14ac:dyDescent="0.25">
      <c r="A3618" s="42" t="s">
        <v>5174</v>
      </c>
      <c r="B3618" s="42" t="s">
        <v>5175</v>
      </c>
      <c r="C3618" s="43">
        <v>12.6</v>
      </c>
      <c r="D3618" s="12"/>
      <c r="E3618" s="13"/>
    </row>
    <row r="3619" spans="1:5" ht="11.1" hidden="1" customHeight="1" x14ac:dyDescent="0.25">
      <c r="A3619" s="42" t="s">
        <v>5176</v>
      </c>
      <c r="B3619" s="42" t="s">
        <v>725</v>
      </c>
      <c r="C3619" s="43">
        <v>100</v>
      </c>
      <c r="D3619" s="12"/>
      <c r="E3619" s="13"/>
    </row>
    <row r="3620" spans="1:5" ht="23.1" hidden="1" customHeight="1" x14ac:dyDescent="0.25">
      <c r="A3620" s="42" t="s">
        <v>5177</v>
      </c>
      <c r="B3620" s="42" t="s">
        <v>5178</v>
      </c>
      <c r="C3620" s="43">
        <v>306.67</v>
      </c>
      <c r="D3620" s="12"/>
      <c r="E3620" s="13"/>
    </row>
    <row r="3621" spans="1:5" ht="11.1" hidden="1" customHeight="1" x14ac:dyDescent="0.25">
      <c r="A3621" s="42" t="s">
        <v>5179</v>
      </c>
      <c r="B3621" s="42" t="s">
        <v>5180</v>
      </c>
      <c r="C3621" s="43">
        <v>6.42</v>
      </c>
      <c r="D3621" s="12"/>
      <c r="E3621" s="13"/>
    </row>
    <row r="3622" spans="1:5" ht="11.1" hidden="1" customHeight="1" x14ac:dyDescent="0.25">
      <c r="A3622" s="42" t="s">
        <v>5181</v>
      </c>
      <c r="B3622" s="42" t="s">
        <v>5182</v>
      </c>
      <c r="C3622" s="43">
        <v>5.79</v>
      </c>
      <c r="D3622" s="12"/>
      <c r="E3622" s="13"/>
    </row>
    <row r="3623" spans="1:5" ht="11.1" hidden="1" customHeight="1" x14ac:dyDescent="0.25">
      <c r="A3623" s="42" t="s">
        <v>5183</v>
      </c>
      <c r="B3623" s="42" t="s">
        <v>5178</v>
      </c>
      <c r="C3623" s="43">
        <v>207.5</v>
      </c>
      <c r="D3623" s="12"/>
      <c r="E3623" s="13"/>
    </row>
    <row r="3624" spans="1:5" ht="11.1" hidden="1" customHeight="1" x14ac:dyDescent="0.25">
      <c r="A3624" s="42" t="s">
        <v>5184</v>
      </c>
      <c r="B3624" s="42" t="s">
        <v>5185</v>
      </c>
      <c r="C3624" s="43">
        <v>281.67</v>
      </c>
      <c r="D3624" s="12"/>
      <c r="E3624" s="13"/>
    </row>
    <row r="3625" spans="1:5" ht="11.1" hidden="1" customHeight="1" x14ac:dyDescent="0.25">
      <c r="A3625" s="42" t="s">
        <v>5186</v>
      </c>
      <c r="B3625" s="42" t="s">
        <v>5187</v>
      </c>
      <c r="C3625" s="43">
        <v>1422.5</v>
      </c>
      <c r="D3625" s="12"/>
      <c r="E3625" s="14"/>
    </row>
    <row r="3626" spans="1:5" ht="11.1" hidden="1" customHeight="1" x14ac:dyDescent="0.25">
      <c r="A3626" s="42" t="s">
        <v>5188</v>
      </c>
      <c r="B3626" s="42" t="s">
        <v>3678</v>
      </c>
      <c r="C3626" s="43">
        <v>53.33</v>
      </c>
      <c r="D3626" s="12"/>
      <c r="E3626" s="13"/>
    </row>
    <row r="3627" spans="1:5" ht="11.1" hidden="1" customHeight="1" x14ac:dyDescent="0.25">
      <c r="A3627" s="42" t="s">
        <v>5189</v>
      </c>
      <c r="B3627" s="42" t="s">
        <v>725</v>
      </c>
      <c r="C3627" s="43">
        <v>691.67</v>
      </c>
      <c r="D3627" s="12"/>
      <c r="E3627" s="13"/>
    </row>
    <row r="3628" spans="1:5" ht="11.1" hidden="1" customHeight="1" x14ac:dyDescent="0.25">
      <c r="A3628" s="12" t="s">
        <v>5190</v>
      </c>
      <c r="B3628" s="12" t="s">
        <v>786</v>
      </c>
      <c r="C3628" s="14">
        <v>3889.17</v>
      </c>
      <c r="D3628" s="12"/>
      <c r="E3628" s="14"/>
    </row>
    <row r="3629" spans="1:5" ht="11.1" hidden="1" customHeight="1" x14ac:dyDescent="0.25">
      <c r="A3629" s="12" t="s">
        <v>5191</v>
      </c>
      <c r="B3629" s="12" t="s">
        <v>5192</v>
      </c>
      <c r="C3629" s="14">
        <v>3948.33</v>
      </c>
      <c r="D3629" s="12"/>
      <c r="E3629" s="14"/>
    </row>
    <row r="3630" spans="1:5" ht="11.1" hidden="1" customHeight="1" x14ac:dyDescent="0.25">
      <c r="A3630" s="12" t="s">
        <v>5193</v>
      </c>
      <c r="B3630" s="12" t="s">
        <v>5194</v>
      </c>
      <c r="C3630" s="14">
        <v>13050</v>
      </c>
      <c r="D3630" s="12"/>
      <c r="E3630" s="14"/>
    </row>
    <row r="3631" spans="1:5" ht="11.1" hidden="1" customHeight="1" x14ac:dyDescent="0.25">
      <c r="A3631" s="12" t="s">
        <v>5195</v>
      </c>
      <c r="B3631" s="12" t="s">
        <v>2389</v>
      </c>
      <c r="C3631" s="14">
        <v>4000</v>
      </c>
      <c r="D3631" s="12"/>
      <c r="E3631" s="14"/>
    </row>
    <row r="3632" spans="1:5" ht="11.1" hidden="1" customHeight="1" x14ac:dyDescent="0.25">
      <c r="A3632" s="12" t="s">
        <v>5196</v>
      </c>
      <c r="B3632" s="12" t="s">
        <v>1554</v>
      </c>
      <c r="C3632" s="14">
        <v>3475.85</v>
      </c>
      <c r="D3632" s="12"/>
      <c r="E3632" s="14"/>
    </row>
    <row r="3633" spans="1:5" ht="11.1" hidden="1" customHeight="1" x14ac:dyDescent="0.25">
      <c r="A3633" s="12" t="s">
        <v>5197</v>
      </c>
      <c r="B3633" s="12" t="s">
        <v>5198</v>
      </c>
      <c r="C3633" s="14">
        <v>499.17</v>
      </c>
      <c r="D3633" s="12"/>
      <c r="E3633" s="13"/>
    </row>
    <row r="3634" spans="1:5" ht="11.1" hidden="1" customHeight="1" x14ac:dyDescent="0.25">
      <c r="A3634" s="12" t="s">
        <v>5199</v>
      </c>
      <c r="B3634" s="12" t="s">
        <v>5200</v>
      </c>
      <c r="C3634" s="14">
        <v>1588</v>
      </c>
      <c r="D3634" s="12"/>
      <c r="E3634" s="14"/>
    </row>
    <row r="3635" spans="1:5" ht="11.1" hidden="1" customHeight="1" x14ac:dyDescent="0.25">
      <c r="A3635" s="12" t="s">
        <v>5201</v>
      </c>
      <c r="B3635" s="12" t="s">
        <v>2156</v>
      </c>
      <c r="C3635" s="14">
        <v>158.33000000000001</v>
      </c>
      <c r="D3635" s="12"/>
      <c r="E3635" s="13"/>
    </row>
    <row r="3636" spans="1:5" ht="11.1" hidden="1" customHeight="1" x14ac:dyDescent="0.25">
      <c r="A3636" s="12" t="s">
        <v>5202</v>
      </c>
      <c r="B3636" s="12" t="s">
        <v>786</v>
      </c>
      <c r="C3636" s="14">
        <v>218.33</v>
      </c>
      <c r="D3636" s="12"/>
      <c r="E3636" s="13"/>
    </row>
    <row r="3637" spans="1:5" ht="11.1" hidden="1" customHeight="1" x14ac:dyDescent="0.25">
      <c r="A3637" s="12" t="s">
        <v>5203</v>
      </c>
      <c r="B3637" s="12" t="s">
        <v>2107</v>
      </c>
      <c r="C3637" s="14">
        <v>78.64</v>
      </c>
      <c r="D3637" s="12"/>
      <c r="E3637" s="13"/>
    </row>
    <row r="3638" spans="1:5" ht="11.1" hidden="1" customHeight="1" x14ac:dyDescent="0.25">
      <c r="A3638" s="12" t="s">
        <v>5204</v>
      </c>
      <c r="B3638" s="12" t="s">
        <v>2105</v>
      </c>
      <c r="C3638" s="14">
        <v>155.01</v>
      </c>
      <c r="D3638" s="12"/>
      <c r="E3638" s="13"/>
    </row>
    <row r="3639" spans="1:5" ht="23.1" hidden="1" customHeight="1" x14ac:dyDescent="0.25">
      <c r="A3639" s="12" t="s">
        <v>5205</v>
      </c>
      <c r="B3639" s="12" t="s">
        <v>2100</v>
      </c>
      <c r="C3639" s="14">
        <v>3222.5</v>
      </c>
      <c r="D3639" s="12"/>
      <c r="E3639" s="14"/>
    </row>
    <row r="3640" spans="1:5" ht="11.1" hidden="1" customHeight="1" x14ac:dyDescent="0.25">
      <c r="A3640" s="12" t="s">
        <v>5206</v>
      </c>
      <c r="B3640" s="12" t="s">
        <v>2056</v>
      </c>
      <c r="C3640" s="14">
        <v>175</v>
      </c>
      <c r="D3640" s="12"/>
      <c r="E3640" s="13"/>
    </row>
    <row r="3641" spans="1:5" ht="11.1" hidden="1" customHeight="1" x14ac:dyDescent="0.25">
      <c r="A3641" s="12" t="s">
        <v>5207</v>
      </c>
      <c r="B3641" s="12" t="s">
        <v>2107</v>
      </c>
      <c r="C3641" s="14">
        <v>191.67</v>
      </c>
      <c r="D3641" s="12"/>
      <c r="E3641" s="13"/>
    </row>
    <row r="3642" spans="1:5" ht="11.1" hidden="1" customHeight="1" x14ac:dyDescent="0.25">
      <c r="A3642" s="12" t="s">
        <v>5208</v>
      </c>
      <c r="B3642" s="12" t="s">
        <v>2107</v>
      </c>
      <c r="C3642" s="14">
        <v>381.67</v>
      </c>
      <c r="D3642" s="12"/>
      <c r="E3642" s="13"/>
    </row>
    <row r="3643" spans="1:5" ht="11.1" hidden="1" customHeight="1" x14ac:dyDescent="0.25">
      <c r="A3643" s="12" t="s">
        <v>5209</v>
      </c>
      <c r="B3643" s="12" t="s">
        <v>2056</v>
      </c>
      <c r="C3643" s="14">
        <v>440</v>
      </c>
      <c r="D3643" s="12"/>
      <c r="E3643" s="13"/>
    </row>
    <row r="3644" spans="1:5" ht="23.1" hidden="1" customHeight="1" x14ac:dyDescent="0.25">
      <c r="A3644" s="12" t="s">
        <v>5210</v>
      </c>
      <c r="B3644" s="12" t="s">
        <v>2100</v>
      </c>
      <c r="C3644" s="14">
        <v>419.18</v>
      </c>
      <c r="D3644" s="12"/>
      <c r="E3644" s="13"/>
    </row>
    <row r="3645" spans="1:5" ht="23.1" hidden="1" customHeight="1" x14ac:dyDescent="0.25">
      <c r="A3645" s="12" t="s">
        <v>5211</v>
      </c>
      <c r="B3645" s="12" t="s">
        <v>2053</v>
      </c>
      <c r="C3645" s="14">
        <v>386.67</v>
      </c>
      <c r="D3645" s="12"/>
      <c r="E3645" s="13"/>
    </row>
    <row r="3646" spans="1:5" ht="23.1" hidden="1" customHeight="1" x14ac:dyDescent="0.25">
      <c r="A3646" s="12" t="s">
        <v>5212</v>
      </c>
      <c r="B3646" s="12" t="s">
        <v>2113</v>
      </c>
      <c r="C3646" s="14">
        <v>375.83</v>
      </c>
      <c r="D3646" s="12"/>
      <c r="E3646" s="13"/>
    </row>
    <row r="3647" spans="1:5" ht="11.1" hidden="1" customHeight="1" x14ac:dyDescent="0.25">
      <c r="A3647" s="12" t="s">
        <v>5213</v>
      </c>
      <c r="B3647" s="12" t="s">
        <v>2053</v>
      </c>
      <c r="C3647" s="14">
        <v>470</v>
      </c>
      <c r="D3647" s="12"/>
      <c r="E3647" s="13"/>
    </row>
    <row r="3648" spans="1:5" ht="11.1" hidden="1" customHeight="1" x14ac:dyDescent="0.25">
      <c r="A3648" s="12" t="s">
        <v>5214</v>
      </c>
      <c r="B3648" s="12" t="s">
        <v>2113</v>
      </c>
      <c r="C3648" s="14">
        <v>51.75</v>
      </c>
      <c r="D3648" s="12"/>
      <c r="E3648" s="13"/>
    </row>
    <row r="3649" spans="1:5" ht="11.1" hidden="1" customHeight="1" x14ac:dyDescent="0.25">
      <c r="A3649" s="12" t="s">
        <v>5215</v>
      </c>
      <c r="B3649" s="12" t="s">
        <v>2100</v>
      </c>
      <c r="C3649" s="14">
        <v>59.58</v>
      </c>
      <c r="D3649" s="12"/>
      <c r="E3649" s="13"/>
    </row>
    <row r="3650" spans="1:5" ht="11.1" hidden="1" customHeight="1" x14ac:dyDescent="0.25">
      <c r="A3650" s="12" t="s">
        <v>5216</v>
      </c>
      <c r="B3650" s="12" t="s">
        <v>2100</v>
      </c>
      <c r="C3650" s="14">
        <v>44.58</v>
      </c>
      <c r="D3650" s="12"/>
      <c r="E3650" s="13"/>
    </row>
    <row r="3651" spans="1:5" ht="11.1" hidden="1" customHeight="1" x14ac:dyDescent="0.25">
      <c r="A3651" s="12" t="s">
        <v>5217</v>
      </c>
      <c r="B3651" s="12" t="s">
        <v>2156</v>
      </c>
      <c r="C3651" s="14">
        <v>348.33</v>
      </c>
      <c r="D3651" s="12"/>
      <c r="E3651" s="13"/>
    </row>
    <row r="3652" spans="1:5" ht="11.1" hidden="1" customHeight="1" x14ac:dyDescent="0.25">
      <c r="A3652" s="12" t="s">
        <v>5218</v>
      </c>
      <c r="B3652" s="12" t="s">
        <v>2100</v>
      </c>
      <c r="C3652" s="14">
        <v>235</v>
      </c>
      <c r="D3652" s="12"/>
      <c r="E3652" s="13"/>
    </row>
    <row r="3653" spans="1:5" ht="11.1" hidden="1" customHeight="1" x14ac:dyDescent="0.25">
      <c r="A3653" s="12" t="s">
        <v>5219</v>
      </c>
      <c r="B3653" s="12" t="s">
        <v>2105</v>
      </c>
      <c r="C3653" s="14">
        <v>280</v>
      </c>
      <c r="D3653" s="12"/>
      <c r="E3653" s="13"/>
    </row>
    <row r="3654" spans="1:5" ht="11.1" hidden="1" customHeight="1" x14ac:dyDescent="0.25">
      <c r="A3654" s="12" t="s">
        <v>5220</v>
      </c>
      <c r="B3654" s="12" t="s">
        <v>2156</v>
      </c>
      <c r="C3654" s="14">
        <v>150</v>
      </c>
      <c r="D3654" s="12"/>
      <c r="E3654" s="13"/>
    </row>
    <row r="3655" spans="1:5" ht="11.1" hidden="1" customHeight="1" x14ac:dyDescent="0.25">
      <c r="A3655" s="12" t="s">
        <v>5221</v>
      </c>
      <c r="B3655" s="12" t="s">
        <v>1985</v>
      </c>
      <c r="C3655" s="14">
        <v>157.5</v>
      </c>
      <c r="D3655" s="12"/>
      <c r="E3655" s="13"/>
    </row>
    <row r="3656" spans="1:5" ht="11.1" hidden="1" customHeight="1" x14ac:dyDescent="0.25">
      <c r="A3656" s="12" t="s">
        <v>5222</v>
      </c>
      <c r="B3656" s="12" t="s">
        <v>2105</v>
      </c>
      <c r="C3656" s="14">
        <v>372</v>
      </c>
      <c r="D3656" s="12"/>
      <c r="E3656" s="13"/>
    </row>
    <row r="3657" spans="1:5" ht="11.1" hidden="1" customHeight="1" x14ac:dyDescent="0.25">
      <c r="A3657" s="12" t="s">
        <v>5223</v>
      </c>
      <c r="B3657" s="12" t="s">
        <v>786</v>
      </c>
      <c r="C3657" s="14">
        <v>290.83</v>
      </c>
      <c r="D3657" s="12"/>
      <c r="E3657" s="13"/>
    </row>
    <row r="3658" spans="1:5" ht="11.1" hidden="1" customHeight="1" x14ac:dyDescent="0.25">
      <c r="A3658" s="12" t="s">
        <v>5224</v>
      </c>
      <c r="B3658" s="12" t="s">
        <v>2107</v>
      </c>
      <c r="C3658" s="14">
        <v>342.5</v>
      </c>
      <c r="D3658" s="12"/>
      <c r="E3658" s="13"/>
    </row>
    <row r="3659" spans="1:5" ht="11.1" hidden="1" customHeight="1" x14ac:dyDescent="0.25">
      <c r="A3659" s="12" t="s">
        <v>5225</v>
      </c>
      <c r="B3659" s="12" t="s">
        <v>2105</v>
      </c>
      <c r="C3659" s="14">
        <v>422</v>
      </c>
      <c r="D3659" s="12"/>
      <c r="E3659" s="13"/>
    </row>
    <row r="3660" spans="1:5" ht="11.1" hidden="1" customHeight="1" x14ac:dyDescent="0.25">
      <c r="A3660" s="12" t="s">
        <v>5226</v>
      </c>
      <c r="B3660" s="12" t="s">
        <v>2123</v>
      </c>
      <c r="C3660" s="14">
        <v>178.81</v>
      </c>
      <c r="D3660" s="12"/>
      <c r="E3660" s="13"/>
    </row>
    <row r="3661" spans="1:5" ht="11.1" hidden="1" customHeight="1" x14ac:dyDescent="0.25">
      <c r="A3661" s="12" t="s">
        <v>5227</v>
      </c>
      <c r="B3661" s="12" t="s">
        <v>2162</v>
      </c>
      <c r="C3661" s="14">
        <v>145.83000000000001</v>
      </c>
      <c r="D3661" s="12"/>
      <c r="E3661" s="13"/>
    </row>
    <row r="3662" spans="1:5" ht="11.1" hidden="1" customHeight="1" x14ac:dyDescent="0.25">
      <c r="A3662" s="12" t="s">
        <v>5228</v>
      </c>
      <c r="B3662" s="12" t="s">
        <v>2105</v>
      </c>
      <c r="C3662" s="14">
        <v>262.89999999999998</v>
      </c>
      <c r="D3662" s="12"/>
      <c r="E3662" s="13"/>
    </row>
    <row r="3663" spans="1:5" ht="11.1" hidden="1" customHeight="1" x14ac:dyDescent="0.25">
      <c r="A3663" s="12" t="s">
        <v>5229</v>
      </c>
      <c r="B3663" s="12" t="s">
        <v>2056</v>
      </c>
      <c r="C3663" s="14">
        <v>218.33</v>
      </c>
      <c r="D3663" s="12"/>
      <c r="E3663" s="13"/>
    </row>
    <row r="3664" spans="1:5" ht="11.1" hidden="1" customHeight="1" x14ac:dyDescent="0.25">
      <c r="A3664" s="12" t="s">
        <v>5230</v>
      </c>
      <c r="B3664" s="12" t="s">
        <v>2053</v>
      </c>
      <c r="C3664" s="14">
        <v>463.33</v>
      </c>
      <c r="D3664" s="12"/>
      <c r="E3664" s="13"/>
    </row>
    <row r="3665" spans="1:5" ht="11.1" hidden="1" customHeight="1" x14ac:dyDescent="0.25">
      <c r="A3665" s="12" t="s">
        <v>5231</v>
      </c>
      <c r="B3665" s="12" t="s">
        <v>2107</v>
      </c>
      <c r="C3665" s="14">
        <v>342.5</v>
      </c>
      <c r="D3665" s="12"/>
      <c r="E3665" s="13"/>
    </row>
    <row r="3666" spans="1:5" ht="11.1" hidden="1" customHeight="1" x14ac:dyDescent="0.25">
      <c r="A3666" s="12" t="s">
        <v>5232</v>
      </c>
      <c r="B3666" s="12" t="s">
        <v>2100</v>
      </c>
      <c r="C3666" s="14">
        <v>267.5</v>
      </c>
      <c r="D3666" s="12"/>
      <c r="E3666" s="13"/>
    </row>
    <row r="3667" spans="1:5" ht="11.1" hidden="1" customHeight="1" x14ac:dyDescent="0.25">
      <c r="A3667" s="12" t="s">
        <v>5233</v>
      </c>
      <c r="B3667" s="12" t="s">
        <v>2105</v>
      </c>
      <c r="C3667" s="14">
        <v>531</v>
      </c>
      <c r="D3667" s="12"/>
      <c r="E3667" s="13"/>
    </row>
    <row r="3668" spans="1:5" ht="11.1" hidden="1" customHeight="1" x14ac:dyDescent="0.25">
      <c r="A3668" s="12" t="s">
        <v>5234</v>
      </c>
      <c r="B3668" s="12" t="s">
        <v>2105</v>
      </c>
      <c r="C3668" s="14">
        <v>515</v>
      </c>
      <c r="D3668" s="12"/>
      <c r="E3668" s="13"/>
    </row>
    <row r="3669" spans="1:5" ht="11.1" hidden="1" customHeight="1" x14ac:dyDescent="0.25">
      <c r="A3669" s="12" t="s">
        <v>5235</v>
      </c>
      <c r="B3669" s="12" t="s">
        <v>2105</v>
      </c>
      <c r="C3669" s="14">
        <v>498</v>
      </c>
      <c r="D3669" s="12"/>
      <c r="E3669" s="13"/>
    </row>
    <row r="3670" spans="1:5" ht="11.1" hidden="1" customHeight="1" x14ac:dyDescent="0.25">
      <c r="A3670" s="12" t="s">
        <v>5236</v>
      </c>
      <c r="B3670" s="12" t="s">
        <v>2105</v>
      </c>
      <c r="C3670" s="14">
        <v>548</v>
      </c>
      <c r="D3670" s="12"/>
      <c r="E3670" s="13"/>
    </row>
    <row r="3671" spans="1:5" ht="11.1" hidden="1" customHeight="1" x14ac:dyDescent="0.25">
      <c r="A3671" s="12" t="s">
        <v>5237</v>
      </c>
      <c r="B3671" s="12" t="s">
        <v>2053</v>
      </c>
      <c r="C3671" s="14">
        <v>535.83000000000004</v>
      </c>
      <c r="D3671" s="12"/>
      <c r="E3671" s="13"/>
    </row>
    <row r="3672" spans="1:5" ht="11.1" hidden="1" customHeight="1" x14ac:dyDescent="0.25">
      <c r="A3672" s="12" t="s">
        <v>5238</v>
      </c>
      <c r="B3672" s="12" t="s">
        <v>2053</v>
      </c>
      <c r="C3672" s="14">
        <v>463.33</v>
      </c>
      <c r="D3672" s="12"/>
      <c r="E3672" s="13"/>
    </row>
    <row r="3673" spans="1:5" ht="11.1" hidden="1" customHeight="1" x14ac:dyDescent="0.25">
      <c r="A3673" s="12" t="s">
        <v>5239</v>
      </c>
      <c r="B3673" s="12" t="s">
        <v>2053</v>
      </c>
      <c r="C3673" s="14">
        <v>482.5</v>
      </c>
      <c r="D3673" s="12"/>
      <c r="E3673" s="13"/>
    </row>
    <row r="3674" spans="1:5" ht="11.1" hidden="1" customHeight="1" x14ac:dyDescent="0.25">
      <c r="A3674" s="12" t="s">
        <v>5240</v>
      </c>
      <c r="B3674" s="12" t="s">
        <v>1985</v>
      </c>
      <c r="C3674" s="14">
        <v>404.17</v>
      </c>
      <c r="D3674" s="12"/>
      <c r="E3674" s="13"/>
    </row>
    <row r="3675" spans="1:5" ht="11.1" hidden="1" customHeight="1" x14ac:dyDescent="0.25">
      <c r="A3675" s="12" t="s">
        <v>5241</v>
      </c>
      <c r="B3675" s="12" t="s">
        <v>2053</v>
      </c>
      <c r="C3675" s="14">
        <v>505.83</v>
      </c>
      <c r="D3675" s="12"/>
      <c r="E3675" s="13"/>
    </row>
    <row r="3676" spans="1:5" ht="11.1" hidden="1" customHeight="1" x14ac:dyDescent="0.25">
      <c r="A3676" s="12" t="s">
        <v>5242</v>
      </c>
      <c r="B3676" s="12" t="s">
        <v>2053</v>
      </c>
      <c r="C3676" s="14">
        <v>463.33</v>
      </c>
      <c r="D3676" s="12"/>
      <c r="E3676" s="13"/>
    </row>
    <row r="3677" spans="1:5" ht="11.1" hidden="1" customHeight="1" x14ac:dyDescent="0.25">
      <c r="A3677" s="12" t="s">
        <v>5243</v>
      </c>
      <c r="B3677" s="12" t="s">
        <v>1985</v>
      </c>
      <c r="C3677" s="14">
        <v>415.83</v>
      </c>
      <c r="D3677" s="12"/>
      <c r="E3677" s="13"/>
    </row>
    <row r="3678" spans="1:5" ht="11.1" hidden="1" customHeight="1" x14ac:dyDescent="0.25">
      <c r="A3678" s="12" t="s">
        <v>5244</v>
      </c>
      <c r="B3678" s="12" t="s">
        <v>2053</v>
      </c>
      <c r="C3678" s="14">
        <v>500.83</v>
      </c>
      <c r="D3678" s="12"/>
      <c r="E3678" s="13"/>
    </row>
    <row r="3679" spans="1:5" ht="11.1" hidden="1" customHeight="1" x14ac:dyDescent="0.25">
      <c r="A3679" s="12" t="s">
        <v>5245</v>
      </c>
      <c r="B3679" s="12" t="s">
        <v>2162</v>
      </c>
      <c r="C3679" s="14">
        <v>419.17</v>
      </c>
      <c r="D3679" s="12"/>
      <c r="E3679" s="13"/>
    </row>
    <row r="3680" spans="1:5" ht="11.1" hidden="1" customHeight="1" x14ac:dyDescent="0.25">
      <c r="A3680" s="12" t="s">
        <v>5246</v>
      </c>
      <c r="B3680" s="12" t="s">
        <v>2053</v>
      </c>
      <c r="C3680" s="14">
        <v>463.33</v>
      </c>
      <c r="D3680" s="12"/>
      <c r="E3680" s="13"/>
    </row>
    <row r="3681" spans="1:5" ht="11.1" hidden="1" customHeight="1" x14ac:dyDescent="0.25">
      <c r="A3681" s="12" t="s">
        <v>5247</v>
      </c>
      <c r="B3681" s="12" t="s">
        <v>1985</v>
      </c>
      <c r="C3681" s="14">
        <v>410.83</v>
      </c>
      <c r="D3681" s="12"/>
      <c r="E3681" s="13"/>
    </row>
    <row r="3682" spans="1:5" ht="11.1" hidden="1" customHeight="1" x14ac:dyDescent="0.25">
      <c r="A3682" s="12" t="s">
        <v>5248</v>
      </c>
      <c r="B3682" s="12" t="s">
        <v>2056</v>
      </c>
      <c r="C3682" s="14">
        <v>401.67</v>
      </c>
      <c r="D3682" s="12"/>
      <c r="E3682" s="13"/>
    </row>
    <row r="3683" spans="1:5" ht="11.1" hidden="1" customHeight="1" x14ac:dyDescent="0.25">
      <c r="A3683" s="12" t="s">
        <v>5249</v>
      </c>
      <c r="B3683" s="12" t="s">
        <v>2162</v>
      </c>
      <c r="C3683" s="14">
        <v>389.18</v>
      </c>
      <c r="D3683" s="12"/>
      <c r="E3683" s="13"/>
    </row>
    <row r="3684" spans="1:5" ht="11.1" hidden="1" customHeight="1" x14ac:dyDescent="0.25">
      <c r="A3684" s="12" t="s">
        <v>5250</v>
      </c>
      <c r="B3684" s="12" t="s">
        <v>2056</v>
      </c>
      <c r="C3684" s="14">
        <v>369.17</v>
      </c>
      <c r="D3684" s="12"/>
      <c r="E3684" s="13"/>
    </row>
    <row r="3685" spans="1:5" ht="11.1" hidden="1" customHeight="1" x14ac:dyDescent="0.25">
      <c r="A3685" s="12" t="s">
        <v>5251</v>
      </c>
      <c r="B3685" s="12" t="s">
        <v>2105</v>
      </c>
      <c r="C3685" s="14">
        <v>450</v>
      </c>
      <c r="D3685" s="12"/>
      <c r="E3685" s="13"/>
    </row>
    <row r="3686" spans="1:5" ht="11.1" hidden="1" customHeight="1" x14ac:dyDescent="0.25">
      <c r="A3686" s="12" t="s">
        <v>5252</v>
      </c>
      <c r="B3686" s="12" t="s">
        <v>2105</v>
      </c>
      <c r="C3686" s="14">
        <v>450</v>
      </c>
      <c r="D3686" s="12"/>
      <c r="E3686" s="13"/>
    </row>
    <row r="3687" spans="1:5" ht="11.1" hidden="1" customHeight="1" x14ac:dyDescent="0.25">
      <c r="A3687" s="12" t="s">
        <v>5253</v>
      </c>
      <c r="B3687" s="12" t="s">
        <v>2105</v>
      </c>
      <c r="C3687" s="14">
        <v>450</v>
      </c>
      <c r="D3687" s="12"/>
      <c r="E3687" s="13"/>
    </row>
    <row r="3688" spans="1:5" ht="11.1" hidden="1" customHeight="1" x14ac:dyDescent="0.25">
      <c r="A3688" s="12" t="s">
        <v>5254</v>
      </c>
      <c r="B3688" s="12" t="s">
        <v>2056</v>
      </c>
      <c r="C3688" s="14">
        <v>382.5</v>
      </c>
      <c r="D3688" s="12"/>
      <c r="E3688" s="13"/>
    </row>
    <row r="3689" spans="1:5" ht="11.1" hidden="1" customHeight="1" x14ac:dyDescent="0.25">
      <c r="A3689" s="12" t="s">
        <v>5255</v>
      </c>
      <c r="B3689" s="12" t="s">
        <v>5256</v>
      </c>
      <c r="C3689" s="14">
        <v>621.66999999999996</v>
      </c>
      <c r="D3689" s="12"/>
      <c r="E3689" s="13"/>
    </row>
    <row r="3690" spans="1:5" ht="11.1" hidden="1" customHeight="1" x14ac:dyDescent="0.25">
      <c r="A3690" s="12" t="s">
        <v>5257</v>
      </c>
      <c r="B3690" s="12" t="s">
        <v>5258</v>
      </c>
      <c r="C3690" s="14">
        <v>607.5</v>
      </c>
      <c r="D3690" s="12"/>
      <c r="E3690" s="13"/>
    </row>
    <row r="3691" spans="1:5" ht="11.1" hidden="1" customHeight="1" x14ac:dyDescent="0.25">
      <c r="A3691" s="12" t="s">
        <v>5259</v>
      </c>
      <c r="B3691" s="12" t="s">
        <v>1204</v>
      </c>
      <c r="C3691" s="14">
        <v>152.5</v>
      </c>
      <c r="D3691" s="12"/>
      <c r="E3691" s="13"/>
    </row>
    <row r="3692" spans="1:5" ht="11.1" hidden="1" customHeight="1" x14ac:dyDescent="0.25">
      <c r="A3692" s="12" t="s">
        <v>5260</v>
      </c>
      <c r="B3692" s="12" t="s">
        <v>5261</v>
      </c>
      <c r="C3692" s="14">
        <v>170</v>
      </c>
      <c r="D3692" s="12"/>
      <c r="E3692" s="13"/>
    </row>
    <row r="3693" spans="1:5" ht="11.1" hidden="1" customHeight="1" x14ac:dyDescent="0.25">
      <c r="A3693" s="12" t="s">
        <v>5262</v>
      </c>
      <c r="B3693" s="12" t="s">
        <v>5263</v>
      </c>
      <c r="C3693" s="14">
        <v>172.83</v>
      </c>
      <c r="D3693" s="12"/>
      <c r="E3693" s="13"/>
    </row>
    <row r="3694" spans="1:5" ht="11.1" hidden="1" customHeight="1" x14ac:dyDescent="0.25">
      <c r="A3694" s="12" t="s">
        <v>5264</v>
      </c>
      <c r="B3694" s="12" t="s">
        <v>5265</v>
      </c>
      <c r="C3694" s="14">
        <v>283.23</v>
      </c>
      <c r="D3694" s="12"/>
      <c r="E3694" s="13"/>
    </row>
    <row r="3695" spans="1:5" ht="11.1" hidden="1" customHeight="1" x14ac:dyDescent="0.25">
      <c r="A3695" s="12" t="s">
        <v>5266</v>
      </c>
      <c r="B3695" s="12" t="s">
        <v>5267</v>
      </c>
      <c r="C3695" s="14">
        <v>131.72</v>
      </c>
      <c r="D3695" s="12"/>
      <c r="E3695" s="13"/>
    </row>
    <row r="3696" spans="1:5" ht="11.1" hidden="1" customHeight="1" x14ac:dyDescent="0.25">
      <c r="A3696" s="12" t="s">
        <v>5268</v>
      </c>
      <c r="B3696" s="12" t="s">
        <v>5269</v>
      </c>
      <c r="C3696" s="14">
        <v>121.15</v>
      </c>
      <c r="D3696" s="12"/>
      <c r="E3696" s="13"/>
    </row>
    <row r="3697" spans="1:5" ht="11.1" hidden="1" customHeight="1" x14ac:dyDescent="0.25">
      <c r="A3697" s="12" t="s">
        <v>5270</v>
      </c>
      <c r="B3697" s="12" t="s">
        <v>5269</v>
      </c>
      <c r="C3697" s="14">
        <v>139.56</v>
      </c>
      <c r="D3697" s="12"/>
      <c r="E3697" s="13"/>
    </row>
    <row r="3698" spans="1:5" ht="11.1" hidden="1" customHeight="1" x14ac:dyDescent="0.25">
      <c r="A3698" s="12" t="s">
        <v>5271</v>
      </c>
      <c r="B3698" s="12" t="s">
        <v>5265</v>
      </c>
      <c r="C3698" s="14">
        <v>283.23</v>
      </c>
      <c r="D3698" s="12"/>
      <c r="E3698" s="13"/>
    </row>
    <row r="3699" spans="1:5" ht="11.1" hidden="1" customHeight="1" x14ac:dyDescent="0.25">
      <c r="A3699" s="12" t="s">
        <v>5272</v>
      </c>
      <c r="B3699" s="12" t="s">
        <v>5273</v>
      </c>
      <c r="C3699" s="14">
        <v>147.52000000000001</v>
      </c>
      <c r="D3699" s="12"/>
      <c r="E3699" s="13"/>
    </row>
    <row r="3700" spans="1:5" ht="11.1" hidden="1" customHeight="1" x14ac:dyDescent="0.25">
      <c r="A3700" s="12" t="s">
        <v>5274</v>
      </c>
      <c r="B3700" s="12" t="s">
        <v>5275</v>
      </c>
      <c r="C3700" s="14">
        <v>192.67</v>
      </c>
      <c r="D3700" s="12"/>
      <c r="E3700" s="13"/>
    </row>
    <row r="3701" spans="1:5" ht="11.1" hidden="1" customHeight="1" x14ac:dyDescent="0.25">
      <c r="A3701" s="12" t="s">
        <v>5276</v>
      </c>
      <c r="B3701" s="12" t="s">
        <v>5277</v>
      </c>
      <c r="C3701" s="14">
        <v>166.91</v>
      </c>
      <c r="D3701" s="12"/>
      <c r="E3701" s="13"/>
    </row>
    <row r="3702" spans="1:5" ht="23.1" hidden="1" customHeight="1" x14ac:dyDescent="0.25">
      <c r="A3702" s="12" t="s">
        <v>5278</v>
      </c>
      <c r="B3702" s="12" t="s">
        <v>5279</v>
      </c>
      <c r="C3702" s="14">
        <v>182.12</v>
      </c>
      <c r="D3702" s="12"/>
      <c r="E3702" s="13"/>
    </row>
    <row r="3703" spans="1:5" ht="11.1" hidden="1" customHeight="1" x14ac:dyDescent="0.25">
      <c r="A3703" s="12" t="s">
        <v>5280</v>
      </c>
      <c r="B3703" s="12" t="s">
        <v>5281</v>
      </c>
      <c r="C3703" s="14">
        <v>2708.33</v>
      </c>
      <c r="D3703" s="12"/>
      <c r="E3703" s="14"/>
    </row>
    <row r="3704" spans="1:5" ht="23.1" hidden="1" customHeight="1" x14ac:dyDescent="0.25">
      <c r="A3704" s="12" t="s">
        <v>5282</v>
      </c>
      <c r="B3704" s="12" t="s">
        <v>5283</v>
      </c>
      <c r="C3704" s="14">
        <v>153.33000000000001</v>
      </c>
      <c r="D3704" s="12"/>
      <c r="E3704" s="13"/>
    </row>
    <row r="3705" spans="1:5" ht="11.1" hidden="1" customHeight="1" x14ac:dyDescent="0.25">
      <c r="A3705" s="12" t="s">
        <v>5284</v>
      </c>
      <c r="B3705" s="12" t="s">
        <v>1041</v>
      </c>
      <c r="C3705" s="14">
        <v>153</v>
      </c>
      <c r="D3705" s="12"/>
      <c r="E3705" s="13"/>
    </row>
    <row r="3706" spans="1:5" ht="11.1" hidden="1" customHeight="1" x14ac:dyDescent="0.25">
      <c r="A3706" s="12" t="s">
        <v>5285</v>
      </c>
      <c r="B3706" s="12" t="s">
        <v>5286</v>
      </c>
      <c r="C3706" s="14">
        <v>9593.33</v>
      </c>
      <c r="D3706" s="12"/>
      <c r="E3706" s="14"/>
    </row>
    <row r="3707" spans="1:5" ht="11.1" hidden="1" customHeight="1" x14ac:dyDescent="0.25">
      <c r="A3707" s="12" t="s">
        <v>5287</v>
      </c>
      <c r="B3707" s="12" t="s">
        <v>5288</v>
      </c>
      <c r="C3707" s="14">
        <v>13953.33</v>
      </c>
      <c r="D3707" s="12"/>
      <c r="E3707" s="14"/>
    </row>
    <row r="3708" spans="1:5" ht="11.1" hidden="1" customHeight="1" x14ac:dyDescent="0.25">
      <c r="A3708" s="12" t="s">
        <v>5289</v>
      </c>
      <c r="B3708" s="12" t="s">
        <v>5290</v>
      </c>
      <c r="C3708" s="14">
        <v>1087.5</v>
      </c>
      <c r="D3708" s="12"/>
      <c r="E3708" s="14"/>
    </row>
    <row r="3709" spans="1:5" ht="11.1" hidden="1" customHeight="1" x14ac:dyDescent="0.25">
      <c r="A3709" s="12" t="s">
        <v>5291</v>
      </c>
      <c r="B3709" s="12" t="s">
        <v>5292</v>
      </c>
      <c r="C3709" s="14">
        <v>998.75</v>
      </c>
      <c r="D3709" s="12"/>
      <c r="E3709" s="13"/>
    </row>
    <row r="3710" spans="1:5" ht="11.1" hidden="1" customHeight="1" x14ac:dyDescent="0.25">
      <c r="A3710" s="12" t="s">
        <v>5293</v>
      </c>
      <c r="B3710" s="12" t="s">
        <v>3380</v>
      </c>
      <c r="C3710" s="14">
        <v>33.85</v>
      </c>
      <c r="D3710" s="12"/>
      <c r="E3710" s="13"/>
    </row>
    <row r="3711" spans="1:5" ht="11.1" hidden="1" customHeight="1" x14ac:dyDescent="0.25">
      <c r="A3711" s="12" t="s">
        <v>5294</v>
      </c>
      <c r="B3711" s="12" t="s">
        <v>3380</v>
      </c>
      <c r="C3711" s="14">
        <v>42.31</v>
      </c>
      <c r="D3711" s="12"/>
      <c r="E3711" s="13"/>
    </row>
    <row r="3712" spans="1:5" ht="11.1" hidden="1" customHeight="1" x14ac:dyDescent="0.25">
      <c r="A3712" s="12" t="s">
        <v>5295</v>
      </c>
      <c r="B3712" s="12" t="s">
        <v>3380</v>
      </c>
      <c r="C3712" s="14">
        <v>88.29</v>
      </c>
      <c r="D3712" s="12"/>
      <c r="E3712" s="13"/>
    </row>
    <row r="3713" spans="1:5" ht="11.1" hidden="1" customHeight="1" x14ac:dyDescent="0.25">
      <c r="A3713" s="12" t="s">
        <v>5296</v>
      </c>
      <c r="B3713" s="12" t="s">
        <v>3380</v>
      </c>
      <c r="C3713" s="14">
        <v>135.49</v>
      </c>
      <c r="D3713" s="12"/>
      <c r="E3713" s="13"/>
    </row>
    <row r="3714" spans="1:5" ht="11.1" hidden="1" customHeight="1" x14ac:dyDescent="0.25">
      <c r="A3714" s="12" t="s">
        <v>5297</v>
      </c>
      <c r="B3714" s="12" t="s">
        <v>5298</v>
      </c>
      <c r="C3714" s="14">
        <v>4375.42</v>
      </c>
      <c r="D3714" s="12"/>
      <c r="E3714" s="14"/>
    </row>
    <row r="3715" spans="1:5" ht="11.1" hidden="1" customHeight="1" x14ac:dyDescent="0.25">
      <c r="A3715" s="12" t="s">
        <v>5299</v>
      </c>
      <c r="B3715" s="12" t="s">
        <v>5300</v>
      </c>
      <c r="C3715" s="14">
        <v>108.33</v>
      </c>
      <c r="D3715" s="12"/>
      <c r="E3715" s="13"/>
    </row>
    <row r="3716" spans="1:5" ht="11.1" hidden="1" customHeight="1" x14ac:dyDescent="0.25">
      <c r="A3716" s="12" t="s">
        <v>5301</v>
      </c>
      <c r="B3716" s="12" t="s">
        <v>5300</v>
      </c>
      <c r="C3716" s="14">
        <v>83.33</v>
      </c>
      <c r="D3716" s="12"/>
      <c r="E3716" s="13"/>
    </row>
    <row r="3717" spans="1:5" ht="11.1" hidden="1" customHeight="1" x14ac:dyDescent="0.25">
      <c r="A3717" s="12" t="s">
        <v>5302</v>
      </c>
      <c r="B3717" s="12" t="s">
        <v>5303</v>
      </c>
      <c r="C3717" s="14">
        <v>47.5</v>
      </c>
      <c r="D3717" s="12"/>
      <c r="E3717" s="13"/>
    </row>
    <row r="3718" spans="1:5" ht="11.1" hidden="1" customHeight="1" x14ac:dyDescent="0.25">
      <c r="A3718" s="12" t="s">
        <v>5304</v>
      </c>
      <c r="B3718" s="12" t="s">
        <v>5305</v>
      </c>
      <c r="C3718" s="14">
        <v>700</v>
      </c>
      <c r="D3718" s="12"/>
      <c r="E3718" s="13"/>
    </row>
    <row r="3719" spans="1:5" ht="11.1" hidden="1" customHeight="1" x14ac:dyDescent="0.25">
      <c r="A3719" s="12" t="s">
        <v>5306</v>
      </c>
      <c r="B3719" s="12" t="s">
        <v>2248</v>
      </c>
      <c r="C3719" s="14">
        <v>85</v>
      </c>
      <c r="D3719" s="12"/>
      <c r="E3719" s="13"/>
    </row>
    <row r="3720" spans="1:5" ht="23.1" hidden="1" customHeight="1" x14ac:dyDescent="0.25">
      <c r="A3720" s="12" t="s">
        <v>5307</v>
      </c>
      <c r="B3720" s="12" t="s">
        <v>5308</v>
      </c>
      <c r="C3720" s="14">
        <v>12284.14</v>
      </c>
      <c r="D3720" s="12"/>
      <c r="E3720" s="14"/>
    </row>
    <row r="3721" spans="1:5" ht="11.1" hidden="1" customHeight="1" x14ac:dyDescent="0.25">
      <c r="A3721" s="12" t="s">
        <v>5309</v>
      </c>
      <c r="B3721" s="12" t="s">
        <v>497</v>
      </c>
      <c r="C3721" s="14">
        <v>7980</v>
      </c>
      <c r="D3721" s="12"/>
      <c r="E3721" s="14"/>
    </row>
    <row r="3722" spans="1:5" ht="23.1" hidden="1" customHeight="1" x14ac:dyDescent="0.25">
      <c r="A3722" s="12" t="s">
        <v>5310</v>
      </c>
      <c r="B3722" s="12" t="s">
        <v>2354</v>
      </c>
      <c r="C3722" s="14">
        <v>9083.33</v>
      </c>
      <c r="D3722" s="12"/>
      <c r="E3722" s="14"/>
    </row>
    <row r="3723" spans="1:5" ht="11.1" hidden="1" customHeight="1" x14ac:dyDescent="0.25">
      <c r="A3723" s="12" t="s">
        <v>5311</v>
      </c>
      <c r="B3723" s="12" t="s">
        <v>3550</v>
      </c>
      <c r="C3723" s="14">
        <v>93191.45</v>
      </c>
      <c r="D3723" s="12"/>
      <c r="E3723" s="14"/>
    </row>
    <row r="3724" spans="1:5" ht="11.1" hidden="1" customHeight="1" x14ac:dyDescent="0.25">
      <c r="A3724" s="12" t="s">
        <v>5312</v>
      </c>
      <c r="B3724" s="12" t="s">
        <v>5313</v>
      </c>
      <c r="C3724" s="14">
        <v>16025</v>
      </c>
      <c r="D3724" s="12"/>
      <c r="E3724" s="14"/>
    </row>
    <row r="3725" spans="1:5" ht="11.1" hidden="1" customHeight="1" x14ac:dyDescent="0.25">
      <c r="A3725" s="12" t="s">
        <v>5314</v>
      </c>
      <c r="B3725" s="12" t="s">
        <v>563</v>
      </c>
      <c r="C3725" s="14">
        <v>772.5</v>
      </c>
      <c r="D3725" s="12"/>
      <c r="E3725" s="13"/>
    </row>
    <row r="3726" spans="1:5" ht="11.1" hidden="1" customHeight="1" x14ac:dyDescent="0.25">
      <c r="A3726" s="12" t="s">
        <v>5315</v>
      </c>
      <c r="B3726" s="12" t="s">
        <v>1405</v>
      </c>
      <c r="C3726" s="14">
        <v>3159.17</v>
      </c>
      <c r="D3726" s="12"/>
      <c r="E3726" s="14"/>
    </row>
    <row r="3727" spans="1:5" ht="11.1" hidden="1" customHeight="1" x14ac:dyDescent="0.25">
      <c r="A3727" s="12" t="s">
        <v>5316</v>
      </c>
      <c r="B3727" s="12" t="s">
        <v>5317</v>
      </c>
      <c r="C3727" s="14">
        <v>14666.67</v>
      </c>
      <c r="D3727" s="12"/>
      <c r="E3727" s="14"/>
    </row>
    <row r="3728" spans="1:5" ht="11.1" hidden="1" customHeight="1" x14ac:dyDescent="0.25">
      <c r="A3728" s="12" t="s">
        <v>5318</v>
      </c>
      <c r="B3728" s="12" t="s">
        <v>5319</v>
      </c>
      <c r="C3728" s="14">
        <v>527.5</v>
      </c>
      <c r="D3728" s="12"/>
      <c r="E3728" s="13"/>
    </row>
    <row r="3729" spans="1:5" ht="11.1" hidden="1" customHeight="1" x14ac:dyDescent="0.25">
      <c r="A3729" s="12" t="s">
        <v>5320</v>
      </c>
      <c r="B3729" s="12" t="s">
        <v>5321</v>
      </c>
      <c r="C3729" s="14">
        <v>549.72</v>
      </c>
      <c r="D3729" s="12"/>
      <c r="E3729" s="13"/>
    </row>
    <row r="3730" spans="1:5" ht="11.1" hidden="1" customHeight="1" x14ac:dyDescent="0.25">
      <c r="A3730" s="12" t="s">
        <v>5322</v>
      </c>
      <c r="B3730" s="12" t="s">
        <v>5323</v>
      </c>
      <c r="C3730" s="14">
        <v>549.72</v>
      </c>
      <c r="D3730" s="12"/>
      <c r="E3730" s="13"/>
    </row>
    <row r="3731" spans="1:5" ht="11.1" hidden="1" customHeight="1" x14ac:dyDescent="0.25">
      <c r="A3731" s="12" t="s">
        <v>5324</v>
      </c>
      <c r="B3731" s="12" t="s">
        <v>5319</v>
      </c>
      <c r="C3731" s="14">
        <v>527.5</v>
      </c>
      <c r="D3731" s="12"/>
      <c r="E3731" s="13"/>
    </row>
    <row r="3732" spans="1:5" ht="11.1" hidden="1" customHeight="1" x14ac:dyDescent="0.25">
      <c r="A3732" s="12" t="s">
        <v>5325</v>
      </c>
      <c r="B3732" s="12" t="s">
        <v>3009</v>
      </c>
      <c r="C3732" s="14">
        <v>925</v>
      </c>
      <c r="D3732" s="12"/>
      <c r="E3732" s="13"/>
    </row>
    <row r="3733" spans="1:5" ht="11.1" hidden="1" customHeight="1" x14ac:dyDescent="0.25">
      <c r="A3733" s="12" t="s">
        <v>5326</v>
      </c>
      <c r="B3733" s="12" t="s">
        <v>3009</v>
      </c>
      <c r="C3733" s="14">
        <v>1100</v>
      </c>
      <c r="D3733" s="12"/>
      <c r="E3733" s="14"/>
    </row>
    <row r="3734" spans="1:5" ht="11.1" hidden="1" customHeight="1" x14ac:dyDescent="0.25">
      <c r="A3734" s="12" t="s">
        <v>5327</v>
      </c>
      <c r="B3734" s="12" t="s">
        <v>3009</v>
      </c>
      <c r="C3734" s="14">
        <v>1100</v>
      </c>
      <c r="D3734" s="12"/>
      <c r="E3734" s="14"/>
    </row>
    <row r="3735" spans="1:5" ht="11.1" hidden="1" customHeight="1" x14ac:dyDescent="0.25">
      <c r="A3735" s="12" t="s">
        <v>5328</v>
      </c>
      <c r="B3735" s="12" t="s">
        <v>5329</v>
      </c>
      <c r="C3735" s="14">
        <v>925</v>
      </c>
      <c r="D3735" s="12"/>
      <c r="E3735" s="13"/>
    </row>
    <row r="3736" spans="1:5" ht="11.1" hidden="1" customHeight="1" x14ac:dyDescent="0.25">
      <c r="A3736" s="12" t="s">
        <v>5330</v>
      </c>
      <c r="B3736" s="12" t="s">
        <v>5331</v>
      </c>
      <c r="C3736" s="14">
        <v>1100</v>
      </c>
      <c r="D3736" s="12"/>
      <c r="E3736" s="14"/>
    </row>
    <row r="3737" spans="1:5" ht="11.1" hidden="1" customHeight="1" x14ac:dyDescent="0.25">
      <c r="A3737" s="12" t="s">
        <v>5332</v>
      </c>
      <c r="B3737" s="12" t="s">
        <v>5333</v>
      </c>
      <c r="C3737" s="14">
        <v>34762</v>
      </c>
      <c r="D3737" s="12"/>
      <c r="E3737" s="14"/>
    </row>
    <row r="3738" spans="1:5" ht="11.1" hidden="1" customHeight="1" x14ac:dyDescent="0.25">
      <c r="A3738" s="12" t="s">
        <v>5334</v>
      </c>
      <c r="B3738" s="12" t="s">
        <v>4344</v>
      </c>
      <c r="C3738" s="14">
        <v>83.21</v>
      </c>
      <c r="D3738" s="12"/>
      <c r="E3738" s="13"/>
    </row>
    <row r="3739" spans="1:5" ht="11.1" hidden="1" customHeight="1" x14ac:dyDescent="0.25">
      <c r="A3739" s="12" t="s">
        <v>5335</v>
      </c>
      <c r="B3739" s="12" t="s">
        <v>5336</v>
      </c>
      <c r="C3739" s="14">
        <v>6360</v>
      </c>
      <c r="D3739" s="12"/>
      <c r="E3739" s="14"/>
    </row>
    <row r="3740" spans="1:5" ht="11.1" hidden="1" customHeight="1" x14ac:dyDescent="0.25">
      <c r="A3740" s="12" t="s">
        <v>5337</v>
      </c>
      <c r="B3740" s="12" t="s">
        <v>5338</v>
      </c>
      <c r="C3740" s="14">
        <v>618000</v>
      </c>
      <c r="D3740" s="12"/>
      <c r="E3740" s="14"/>
    </row>
    <row r="3741" spans="1:5" ht="11.1" hidden="1" customHeight="1" x14ac:dyDescent="0.25">
      <c r="A3741" s="12" t="s">
        <v>5339</v>
      </c>
      <c r="B3741" s="12" t="s">
        <v>5338</v>
      </c>
      <c r="C3741" s="14">
        <v>618000</v>
      </c>
      <c r="D3741" s="12"/>
      <c r="E3741" s="14"/>
    </row>
    <row r="3742" spans="1:5" ht="11.1" hidden="1" customHeight="1" x14ac:dyDescent="0.25">
      <c r="A3742" s="12" t="s">
        <v>5340</v>
      </c>
      <c r="B3742" s="12" t="s">
        <v>2063</v>
      </c>
      <c r="C3742" s="14">
        <v>943.33</v>
      </c>
      <c r="D3742" s="12"/>
      <c r="E3742" s="13"/>
    </row>
    <row r="3743" spans="1:5" ht="11.1" hidden="1" customHeight="1" x14ac:dyDescent="0.25">
      <c r="A3743" s="12" t="s">
        <v>5341</v>
      </c>
      <c r="B3743" s="12" t="s">
        <v>1934</v>
      </c>
      <c r="C3743" s="14">
        <v>108.33</v>
      </c>
      <c r="D3743" s="12"/>
      <c r="E3743" s="13"/>
    </row>
    <row r="3744" spans="1:5" ht="11.1" hidden="1" customHeight="1" x14ac:dyDescent="0.25">
      <c r="A3744" s="12" t="s">
        <v>5342</v>
      </c>
      <c r="B3744" s="12" t="s">
        <v>1958</v>
      </c>
      <c r="C3744" s="14">
        <v>75.17</v>
      </c>
      <c r="D3744" s="12"/>
      <c r="E3744" s="13"/>
    </row>
    <row r="3745" spans="1:5" ht="11.1" hidden="1" customHeight="1" x14ac:dyDescent="0.25">
      <c r="A3745" s="12" t="s">
        <v>5343</v>
      </c>
      <c r="B3745" s="12" t="s">
        <v>5344</v>
      </c>
      <c r="C3745" s="14">
        <v>401</v>
      </c>
      <c r="D3745" s="12"/>
      <c r="E3745" s="13"/>
    </row>
    <row r="3746" spans="1:5" ht="11.1" hidden="1" customHeight="1" x14ac:dyDescent="0.25">
      <c r="A3746" s="12" t="s">
        <v>5345</v>
      </c>
      <c r="B3746" s="12" t="s">
        <v>5346</v>
      </c>
      <c r="C3746" s="14">
        <v>10500</v>
      </c>
      <c r="D3746" s="12"/>
      <c r="E3746" s="14"/>
    </row>
    <row r="3747" spans="1:5" ht="11.1" hidden="1" customHeight="1" x14ac:dyDescent="0.25">
      <c r="A3747" s="12" t="s">
        <v>5347</v>
      </c>
      <c r="B3747" s="12" t="s">
        <v>5348</v>
      </c>
      <c r="C3747" s="14">
        <v>1225</v>
      </c>
      <c r="D3747" s="12"/>
      <c r="E3747" s="14"/>
    </row>
    <row r="3748" spans="1:5" ht="11.1" hidden="1" customHeight="1" x14ac:dyDescent="0.25">
      <c r="A3748" s="12" t="s">
        <v>5349</v>
      </c>
      <c r="B3748" s="12" t="s">
        <v>5350</v>
      </c>
      <c r="C3748" s="14">
        <v>75.67</v>
      </c>
      <c r="D3748" s="12"/>
      <c r="E3748" s="13"/>
    </row>
    <row r="3749" spans="1:5" ht="11.1" hidden="1" customHeight="1" x14ac:dyDescent="0.25">
      <c r="A3749" s="12" t="s">
        <v>5351</v>
      </c>
      <c r="B3749" s="12" t="s">
        <v>4197</v>
      </c>
      <c r="C3749" s="14">
        <v>166.67</v>
      </c>
      <c r="D3749" s="12"/>
      <c r="E3749" s="13"/>
    </row>
    <row r="3750" spans="1:5" ht="11.1" hidden="1" customHeight="1" x14ac:dyDescent="0.25">
      <c r="A3750" s="12" t="s">
        <v>5352</v>
      </c>
      <c r="B3750" s="12" t="s">
        <v>1214</v>
      </c>
      <c r="C3750" s="14">
        <v>105</v>
      </c>
      <c r="D3750" s="12"/>
      <c r="E3750" s="13"/>
    </row>
    <row r="3751" spans="1:5" ht="11.1" hidden="1" customHeight="1" x14ac:dyDescent="0.25">
      <c r="A3751" s="12" t="s">
        <v>5353</v>
      </c>
      <c r="B3751" s="12" t="s">
        <v>5354</v>
      </c>
      <c r="C3751" s="14">
        <v>95</v>
      </c>
      <c r="D3751" s="12"/>
      <c r="E3751" s="13"/>
    </row>
    <row r="3752" spans="1:5" ht="11.1" hidden="1" customHeight="1" x14ac:dyDescent="0.25">
      <c r="A3752" s="12" t="s">
        <v>5355</v>
      </c>
      <c r="B3752" s="12" t="s">
        <v>646</v>
      </c>
      <c r="C3752" s="14">
        <v>93.33</v>
      </c>
      <c r="D3752" s="12"/>
      <c r="E3752" s="13"/>
    </row>
    <row r="3753" spans="1:5" ht="11.1" hidden="1" customHeight="1" x14ac:dyDescent="0.25">
      <c r="A3753" s="12" t="s">
        <v>5356</v>
      </c>
      <c r="B3753" s="12" t="s">
        <v>3573</v>
      </c>
      <c r="C3753" s="14">
        <v>79.17</v>
      </c>
      <c r="D3753" s="12"/>
      <c r="E3753" s="13"/>
    </row>
    <row r="3754" spans="1:5" ht="23.1" hidden="1" customHeight="1" x14ac:dyDescent="0.25">
      <c r="A3754" s="12" t="s">
        <v>5357</v>
      </c>
      <c r="B3754" s="12" t="s">
        <v>358</v>
      </c>
      <c r="C3754" s="14">
        <v>76.67</v>
      </c>
      <c r="D3754" s="12"/>
      <c r="E3754" s="13"/>
    </row>
    <row r="3755" spans="1:5" ht="11.1" hidden="1" customHeight="1" x14ac:dyDescent="0.25">
      <c r="A3755" s="12" t="s">
        <v>5358</v>
      </c>
      <c r="B3755" s="12" t="s">
        <v>5359</v>
      </c>
      <c r="C3755" s="14">
        <v>83.33</v>
      </c>
      <c r="D3755" s="12"/>
      <c r="E3755" s="13"/>
    </row>
    <row r="3756" spans="1:5" ht="11.1" hidden="1" customHeight="1" x14ac:dyDescent="0.25">
      <c r="A3756" s="12" t="s">
        <v>5360</v>
      </c>
      <c r="B3756" s="12" t="s">
        <v>5361</v>
      </c>
      <c r="C3756" s="14">
        <v>105.52</v>
      </c>
      <c r="D3756" s="12"/>
      <c r="E3756" s="13"/>
    </row>
    <row r="3757" spans="1:5" ht="11.1" hidden="1" customHeight="1" x14ac:dyDescent="0.25">
      <c r="A3757" s="12" t="s">
        <v>5362</v>
      </c>
      <c r="B3757" s="12" t="s">
        <v>5363</v>
      </c>
      <c r="C3757" s="14">
        <v>75.67</v>
      </c>
      <c r="D3757" s="12"/>
      <c r="E3757" s="13"/>
    </row>
    <row r="3758" spans="1:5" ht="11.1" hidden="1" customHeight="1" x14ac:dyDescent="0.25">
      <c r="A3758" s="12" t="s">
        <v>5364</v>
      </c>
      <c r="B3758" s="12" t="s">
        <v>5365</v>
      </c>
      <c r="C3758" s="14">
        <v>482</v>
      </c>
      <c r="D3758" s="12"/>
      <c r="E3758" s="13"/>
    </row>
    <row r="3759" spans="1:5" ht="11.1" hidden="1" customHeight="1" x14ac:dyDescent="0.25">
      <c r="A3759" s="12" t="s">
        <v>5366</v>
      </c>
      <c r="B3759" s="12" t="s">
        <v>358</v>
      </c>
      <c r="C3759" s="14">
        <v>350</v>
      </c>
      <c r="D3759" s="12"/>
      <c r="E3759" s="13"/>
    </row>
    <row r="3760" spans="1:5" ht="11.1" hidden="1" customHeight="1" x14ac:dyDescent="0.25">
      <c r="A3760" s="12" t="s">
        <v>5367</v>
      </c>
      <c r="B3760" s="12" t="s">
        <v>5368</v>
      </c>
      <c r="C3760" s="14">
        <v>18.760000000000002</v>
      </c>
      <c r="D3760" s="12"/>
      <c r="E3760" s="13"/>
    </row>
    <row r="3761" spans="1:5" ht="11.1" hidden="1" customHeight="1" x14ac:dyDescent="0.25">
      <c r="A3761" s="12" t="s">
        <v>5369</v>
      </c>
      <c r="B3761" s="12" t="s">
        <v>5370</v>
      </c>
      <c r="C3761" s="14">
        <v>428.75</v>
      </c>
      <c r="D3761" s="12"/>
      <c r="E3761" s="13"/>
    </row>
    <row r="3762" spans="1:5" ht="11.1" hidden="1" customHeight="1" x14ac:dyDescent="0.25">
      <c r="A3762" s="12" t="s">
        <v>5371</v>
      </c>
      <c r="B3762" s="12" t="s">
        <v>1960</v>
      </c>
      <c r="C3762" s="14">
        <v>390</v>
      </c>
      <c r="D3762" s="12"/>
      <c r="E3762" s="13"/>
    </row>
    <row r="3763" spans="1:5" ht="11.1" hidden="1" customHeight="1" x14ac:dyDescent="0.25">
      <c r="A3763" s="12" t="s">
        <v>5372</v>
      </c>
      <c r="B3763" s="12" t="s">
        <v>2095</v>
      </c>
      <c r="C3763" s="14">
        <v>138.33000000000001</v>
      </c>
      <c r="D3763" s="12"/>
      <c r="E3763" s="13"/>
    </row>
    <row r="3764" spans="1:5" ht="11.1" hidden="1" customHeight="1" x14ac:dyDescent="0.25">
      <c r="A3764" s="12" t="s">
        <v>5373</v>
      </c>
      <c r="B3764" s="12" t="s">
        <v>5374</v>
      </c>
      <c r="C3764" s="14">
        <v>420.84</v>
      </c>
      <c r="D3764" s="12"/>
      <c r="E3764" s="13"/>
    </row>
    <row r="3765" spans="1:5" ht="11.1" hidden="1" customHeight="1" x14ac:dyDescent="0.25">
      <c r="A3765" s="12" t="s">
        <v>5375</v>
      </c>
      <c r="B3765" s="12" t="s">
        <v>1810</v>
      </c>
      <c r="C3765" s="14">
        <v>218.95</v>
      </c>
      <c r="D3765" s="12"/>
      <c r="E3765" s="13"/>
    </row>
    <row r="3766" spans="1:5" ht="11.1" hidden="1" customHeight="1" x14ac:dyDescent="0.25">
      <c r="A3766" s="12" t="s">
        <v>5376</v>
      </c>
      <c r="B3766" s="12" t="s">
        <v>1540</v>
      </c>
      <c r="C3766" s="14">
        <v>3155.61</v>
      </c>
      <c r="D3766" s="12"/>
      <c r="E3766" s="14"/>
    </row>
    <row r="3767" spans="1:5" ht="11.1" hidden="1" customHeight="1" x14ac:dyDescent="0.25">
      <c r="A3767" s="12" t="s">
        <v>5377</v>
      </c>
      <c r="B3767" s="12" t="s">
        <v>3985</v>
      </c>
      <c r="C3767" s="14">
        <v>102</v>
      </c>
      <c r="D3767" s="12"/>
      <c r="E3767" s="13"/>
    </row>
    <row r="3768" spans="1:5" ht="11.1" hidden="1" customHeight="1" x14ac:dyDescent="0.25">
      <c r="A3768" s="12" t="s">
        <v>5378</v>
      </c>
      <c r="B3768" s="12" t="s">
        <v>2076</v>
      </c>
      <c r="C3768" s="14">
        <v>401.62</v>
      </c>
      <c r="D3768" s="12"/>
      <c r="E3768" s="13"/>
    </row>
    <row r="3769" spans="1:5" ht="11.1" hidden="1" customHeight="1" x14ac:dyDescent="0.25">
      <c r="A3769" s="12" t="s">
        <v>5379</v>
      </c>
      <c r="B3769" s="12" t="s">
        <v>2074</v>
      </c>
      <c r="C3769" s="14">
        <v>70.13</v>
      </c>
      <c r="D3769" s="12"/>
      <c r="E3769" s="13"/>
    </row>
    <row r="3770" spans="1:5" ht="11.1" hidden="1" customHeight="1" x14ac:dyDescent="0.25">
      <c r="A3770" s="12" t="s">
        <v>5380</v>
      </c>
      <c r="B3770" s="12" t="s">
        <v>5381</v>
      </c>
      <c r="C3770" s="14">
        <v>8.33</v>
      </c>
      <c r="D3770" s="12"/>
      <c r="E3770" s="13"/>
    </row>
    <row r="3771" spans="1:5" ht="23.1" hidden="1" customHeight="1" x14ac:dyDescent="0.25">
      <c r="A3771" s="12" t="s">
        <v>5382</v>
      </c>
      <c r="B3771" s="12" t="s">
        <v>4000</v>
      </c>
      <c r="C3771" s="14">
        <v>12.41</v>
      </c>
      <c r="D3771" s="12"/>
      <c r="E3771" s="13"/>
    </row>
    <row r="3772" spans="1:5" ht="11.1" hidden="1" customHeight="1" x14ac:dyDescent="0.25">
      <c r="A3772" s="12" t="s">
        <v>5383</v>
      </c>
      <c r="B3772" s="12" t="s">
        <v>5384</v>
      </c>
      <c r="C3772" s="14">
        <v>8.33</v>
      </c>
      <c r="D3772" s="12"/>
      <c r="E3772" s="13"/>
    </row>
    <row r="3773" spans="1:5" ht="23.1" hidden="1" customHeight="1" x14ac:dyDescent="0.25">
      <c r="A3773" s="12" t="s">
        <v>5385</v>
      </c>
      <c r="B3773" s="12" t="s">
        <v>5381</v>
      </c>
      <c r="C3773" s="14">
        <v>8.33</v>
      </c>
      <c r="D3773" s="12"/>
      <c r="E3773" s="13"/>
    </row>
    <row r="3774" spans="1:5" ht="11.1" hidden="1" customHeight="1" x14ac:dyDescent="0.25">
      <c r="A3774" s="12" t="s">
        <v>5386</v>
      </c>
      <c r="B3774" s="12" t="s">
        <v>741</v>
      </c>
      <c r="C3774" s="14">
        <v>374.17</v>
      </c>
      <c r="D3774" s="12"/>
      <c r="E3774" s="13"/>
    </row>
    <row r="3775" spans="1:5" ht="11.1" hidden="1" customHeight="1" x14ac:dyDescent="0.25">
      <c r="A3775" s="12" t="s">
        <v>5387</v>
      </c>
      <c r="B3775" s="12" t="s">
        <v>3605</v>
      </c>
      <c r="C3775" s="14">
        <v>252.5</v>
      </c>
      <c r="D3775" s="12"/>
      <c r="E3775" s="13"/>
    </row>
    <row r="3776" spans="1:5" ht="11.1" hidden="1" customHeight="1" x14ac:dyDescent="0.25">
      <c r="A3776" s="12" t="s">
        <v>5388</v>
      </c>
      <c r="B3776" s="12" t="s">
        <v>3605</v>
      </c>
      <c r="C3776" s="14">
        <v>235.83</v>
      </c>
      <c r="D3776" s="12"/>
      <c r="E3776" s="13"/>
    </row>
    <row r="3777" spans="1:5" ht="11.1" hidden="1" customHeight="1" x14ac:dyDescent="0.25">
      <c r="A3777" s="12" t="s">
        <v>5389</v>
      </c>
      <c r="B3777" s="12" t="s">
        <v>749</v>
      </c>
      <c r="C3777" s="14">
        <v>587.5</v>
      </c>
      <c r="D3777" s="12"/>
      <c r="E3777" s="13"/>
    </row>
    <row r="3778" spans="1:5" ht="11.1" hidden="1" customHeight="1" x14ac:dyDescent="0.25">
      <c r="A3778" s="12" t="s">
        <v>5390</v>
      </c>
      <c r="B3778" s="12" t="s">
        <v>2044</v>
      </c>
      <c r="C3778" s="14">
        <v>25.19</v>
      </c>
      <c r="D3778" s="12"/>
      <c r="E3778" s="13"/>
    </row>
    <row r="3779" spans="1:5" ht="23.1" hidden="1" customHeight="1" x14ac:dyDescent="0.25">
      <c r="A3779" s="12" t="s">
        <v>5391</v>
      </c>
      <c r="B3779" s="12" t="s">
        <v>2044</v>
      </c>
      <c r="C3779" s="14">
        <v>25.75</v>
      </c>
      <c r="D3779" s="12"/>
      <c r="E3779" s="13"/>
    </row>
    <row r="3780" spans="1:5" ht="11.1" hidden="1" customHeight="1" x14ac:dyDescent="0.25">
      <c r="A3780" s="12" t="s">
        <v>5392</v>
      </c>
      <c r="B3780" s="12" t="s">
        <v>3985</v>
      </c>
      <c r="C3780" s="14">
        <v>70.13</v>
      </c>
      <c r="D3780" s="12"/>
      <c r="E3780" s="13"/>
    </row>
    <row r="3781" spans="1:5" ht="11.1" hidden="1" customHeight="1" x14ac:dyDescent="0.25">
      <c r="A3781" s="12" t="s">
        <v>5393</v>
      </c>
      <c r="B3781" s="12" t="s">
        <v>2244</v>
      </c>
      <c r="C3781" s="14">
        <v>70.13</v>
      </c>
      <c r="D3781" s="12"/>
      <c r="E3781" s="13"/>
    </row>
    <row r="3782" spans="1:5" ht="11.1" hidden="1" customHeight="1" x14ac:dyDescent="0.25">
      <c r="A3782" s="12" t="s">
        <v>5394</v>
      </c>
      <c r="B3782" s="12" t="s">
        <v>3623</v>
      </c>
      <c r="C3782" s="14">
        <v>819.17</v>
      </c>
      <c r="D3782" s="12"/>
      <c r="E3782" s="13"/>
    </row>
    <row r="3783" spans="1:5" ht="11.1" hidden="1" customHeight="1" x14ac:dyDescent="0.25">
      <c r="A3783" s="12" t="s">
        <v>5395</v>
      </c>
      <c r="B3783" s="12" t="s">
        <v>72</v>
      </c>
      <c r="C3783" s="14">
        <v>46.75</v>
      </c>
      <c r="D3783" s="12"/>
      <c r="E3783" s="13"/>
    </row>
    <row r="3784" spans="1:5" ht="11.1" hidden="1" customHeight="1" x14ac:dyDescent="0.25">
      <c r="A3784" s="12" t="s">
        <v>5396</v>
      </c>
      <c r="B3784" s="12" t="s">
        <v>72</v>
      </c>
      <c r="C3784" s="14">
        <v>46.75</v>
      </c>
      <c r="D3784" s="12"/>
      <c r="E3784" s="13"/>
    </row>
    <row r="3785" spans="1:5" ht="11.1" hidden="1" customHeight="1" x14ac:dyDescent="0.25">
      <c r="A3785" s="12" t="s">
        <v>5397</v>
      </c>
      <c r="B3785" s="12" t="s">
        <v>4132</v>
      </c>
      <c r="C3785" s="14">
        <v>599.25</v>
      </c>
      <c r="D3785" s="12"/>
      <c r="E3785" s="13"/>
    </row>
    <row r="3786" spans="1:5" ht="11.1" hidden="1" customHeight="1" x14ac:dyDescent="0.25">
      <c r="A3786" s="12" t="s">
        <v>5398</v>
      </c>
      <c r="B3786" s="12" t="s">
        <v>2244</v>
      </c>
      <c r="C3786" s="14">
        <v>93.5</v>
      </c>
      <c r="D3786" s="12"/>
      <c r="E3786" s="13"/>
    </row>
    <row r="3787" spans="1:5" ht="11.1" hidden="1" customHeight="1" x14ac:dyDescent="0.25">
      <c r="A3787" s="12" t="s">
        <v>5399</v>
      </c>
      <c r="B3787" s="12" t="s">
        <v>4000</v>
      </c>
      <c r="C3787" s="14">
        <v>25.5</v>
      </c>
      <c r="D3787" s="12"/>
      <c r="E3787" s="13"/>
    </row>
    <row r="3788" spans="1:5" ht="11.1" hidden="1" customHeight="1" x14ac:dyDescent="0.25">
      <c r="A3788" s="12" t="s">
        <v>5400</v>
      </c>
      <c r="B3788" s="12" t="s">
        <v>5401</v>
      </c>
      <c r="C3788" s="14">
        <v>179.17</v>
      </c>
      <c r="D3788" s="12"/>
      <c r="E3788" s="13"/>
    </row>
    <row r="3789" spans="1:5" ht="11.1" hidden="1" customHeight="1" x14ac:dyDescent="0.25">
      <c r="A3789" s="12" t="s">
        <v>5402</v>
      </c>
      <c r="B3789" s="12" t="s">
        <v>733</v>
      </c>
      <c r="C3789" s="14">
        <v>50</v>
      </c>
      <c r="D3789" s="12"/>
      <c r="E3789" s="13"/>
    </row>
    <row r="3790" spans="1:5" ht="11.1" hidden="1" customHeight="1" x14ac:dyDescent="0.25">
      <c r="A3790" s="12" t="s">
        <v>5403</v>
      </c>
      <c r="B3790" s="12" t="s">
        <v>5404</v>
      </c>
      <c r="C3790" s="14">
        <v>147</v>
      </c>
      <c r="D3790" s="12"/>
      <c r="E3790" s="13"/>
    </row>
    <row r="3791" spans="1:5" ht="11.1" hidden="1" customHeight="1" x14ac:dyDescent="0.25">
      <c r="A3791" s="12" t="s">
        <v>5405</v>
      </c>
      <c r="B3791" s="12" t="s">
        <v>5406</v>
      </c>
      <c r="C3791" s="14">
        <v>1333.24</v>
      </c>
      <c r="D3791" s="12"/>
      <c r="E3791" s="14"/>
    </row>
    <row r="3792" spans="1:5" ht="11.1" hidden="1" customHeight="1" x14ac:dyDescent="0.25">
      <c r="A3792" s="12" t="s">
        <v>5407</v>
      </c>
      <c r="B3792" s="12" t="s">
        <v>5408</v>
      </c>
      <c r="C3792" s="14">
        <v>3050.27</v>
      </c>
      <c r="D3792" s="12"/>
      <c r="E3792" s="14"/>
    </row>
    <row r="3793" spans="1:5" ht="11.1" hidden="1" customHeight="1" x14ac:dyDescent="0.25">
      <c r="A3793" s="12" t="s">
        <v>5409</v>
      </c>
      <c r="B3793" s="12" t="s">
        <v>5410</v>
      </c>
      <c r="C3793" s="14">
        <v>1120.52</v>
      </c>
      <c r="D3793" s="12"/>
      <c r="E3793" s="14"/>
    </row>
    <row r="3794" spans="1:5" ht="11.1" hidden="1" customHeight="1" x14ac:dyDescent="0.25">
      <c r="A3794" s="12" t="s">
        <v>5411</v>
      </c>
      <c r="B3794" s="12" t="s">
        <v>5412</v>
      </c>
      <c r="C3794" s="14">
        <v>3691.93</v>
      </c>
      <c r="D3794" s="12"/>
      <c r="E3794" s="14"/>
    </row>
    <row r="3795" spans="1:5" ht="11.1" hidden="1" customHeight="1" x14ac:dyDescent="0.25">
      <c r="A3795" s="12" t="s">
        <v>5413</v>
      </c>
      <c r="B3795" s="12" t="s">
        <v>5414</v>
      </c>
      <c r="C3795" s="14">
        <v>3897.38</v>
      </c>
      <c r="D3795" s="12"/>
      <c r="E3795" s="14"/>
    </row>
    <row r="3796" spans="1:5" ht="11.1" hidden="1" customHeight="1" x14ac:dyDescent="0.25">
      <c r="A3796" s="12" t="s">
        <v>5415</v>
      </c>
      <c r="B3796" s="12" t="s">
        <v>5416</v>
      </c>
      <c r="C3796" s="14">
        <v>6442.06</v>
      </c>
      <c r="D3796" s="12"/>
      <c r="E3796" s="14"/>
    </row>
    <row r="3797" spans="1:5" ht="11.1" hidden="1" customHeight="1" x14ac:dyDescent="0.25">
      <c r="A3797" s="12" t="s">
        <v>5417</v>
      </c>
      <c r="B3797" s="12" t="s">
        <v>1036</v>
      </c>
      <c r="C3797" s="14">
        <v>123.33</v>
      </c>
      <c r="D3797" s="12"/>
      <c r="E3797" s="13"/>
    </row>
    <row r="3798" spans="1:5" ht="11.1" hidden="1" customHeight="1" x14ac:dyDescent="0.25">
      <c r="A3798" s="12" t="s">
        <v>5418</v>
      </c>
      <c r="B3798" s="12" t="s">
        <v>5419</v>
      </c>
      <c r="C3798" s="14">
        <v>1100</v>
      </c>
      <c r="D3798" s="12"/>
      <c r="E3798" s="14"/>
    </row>
    <row r="3799" spans="1:5" ht="11.1" hidden="1" customHeight="1" x14ac:dyDescent="0.25">
      <c r="A3799" s="12" t="s">
        <v>5420</v>
      </c>
      <c r="B3799" s="12" t="s">
        <v>5421</v>
      </c>
      <c r="C3799" s="14">
        <v>28.75</v>
      </c>
      <c r="D3799" s="12"/>
      <c r="E3799" s="13"/>
    </row>
    <row r="3800" spans="1:5" ht="11.1" hidden="1" customHeight="1" x14ac:dyDescent="0.25">
      <c r="A3800" s="12" t="s">
        <v>5422</v>
      </c>
      <c r="B3800" s="12" t="s">
        <v>1682</v>
      </c>
      <c r="C3800" s="14">
        <v>493.33</v>
      </c>
      <c r="D3800" s="12"/>
      <c r="E3800" s="13"/>
    </row>
    <row r="3801" spans="1:5" ht="11.1" hidden="1" customHeight="1" x14ac:dyDescent="0.25">
      <c r="A3801" s="12" t="s">
        <v>5423</v>
      </c>
      <c r="B3801" s="12" t="s">
        <v>5424</v>
      </c>
      <c r="C3801" s="14">
        <v>971.67</v>
      </c>
      <c r="D3801" s="12"/>
      <c r="E3801" s="13"/>
    </row>
    <row r="3802" spans="1:5" ht="11.1" hidden="1" customHeight="1" x14ac:dyDescent="0.25">
      <c r="A3802" s="12" t="s">
        <v>5425</v>
      </c>
      <c r="B3802" s="12" t="s">
        <v>1841</v>
      </c>
      <c r="C3802" s="14">
        <v>6473404.04</v>
      </c>
      <c r="D3802" s="12"/>
      <c r="E3802" s="14"/>
    </row>
    <row r="3803" spans="1:5" ht="11.1" hidden="1" customHeight="1" x14ac:dyDescent="0.25">
      <c r="A3803" s="12" t="s">
        <v>5426</v>
      </c>
      <c r="B3803" s="12" t="s">
        <v>3127</v>
      </c>
      <c r="C3803" s="14">
        <v>5518505.0499999998</v>
      </c>
      <c r="D3803" s="12"/>
      <c r="E3803" s="14"/>
    </row>
    <row r="3804" spans="1:5" ht="11.1" hidden="1" customHeight="1" x14ac:dyDescent="0.25">
      <c r="A3804" s="12" t="s">
        <v>5427</v>
      </c>
      <c r="B3804" s="12" t="s">
        <v>1159</v>
      </c>
      <c r="C3804" s="14">
        <v>300</v>
      </c>
      <c r="D3804" s="12"/>
      <c r="E3804" s="13"/>
    </row>
    <row r="3805" spans="1:5" ht="11.1" hidden="1" customHeight="1" x14ac:dyDescent="0.25">
      <c r="A3805" s="12" t="s">
        <v>5428</v>
      </c>
      <c r="B3805" s="12" t="s">
        <v>1245</v>
      </c>
      <c r="C3805" s="14">
        <v>419.17</v>
      </c>
      <c r="D3805" s="12"/>
      <c r="E3805" s="13"/>
    </row>
    <row r="3806" spans="1:5" ht="11.1" hidden="1" customHeight="1" x14ac:dyDescent="0.25">
      <c r="A3806" s="12" t="s">
        <v>5429</v>
      </c>
      <c r="B3806" s="12" t="s">
        <v>1245</v>
      </c>
      <c r="C3806" s="14">
        <v>590</v>
      </c>
      <c r="D3806" s="12"/>
      <c r="E3806" s="13"/>
    </row>
    <row r="3807" spans="1:5" ht="11.1" hidden="1" customHeight="1" x14ac:dyDescent="0.25">
      <c r="A3807" s="12" t="s">
        <v>5430</v>
      </c>
      <c r="B3807" s="12" t="s">
        <v>1267</v>
      </c>
      <c r="C3807" s="14">
        <v>386.67</v>
      </c>
      <c r="D3807" s="12"/>
      <c r="E3807" s="13"/>
    </row>
    <row r="3808" spans="1:5" ht="11.1" hidden="1" customHeight="1" x14ac:dyDescent="0.25">
      <c r="A3808" s="12" t="s">
        <v>5431</v>
      </c>
      <c r="B3808" s="12" t="s">
        <v>5432</v>
      </c>
      <c r="C3808" s="14">
        <v>684.79</v>
      </c>
      <c r="D3808" s="12"/>
      <c r="E3808" s="13"/>
    </row>
    <row r="3809" spans="1:5" ht="11.1" hidden="1" customHeight="1" x14ac:dyDescent="0.25">
      <c r="A3809" s="12" t="s">
        <v>5433</v>
      </c>
      <c r="B3809" s="12" t="s">
        <v>5432</v>
      </c>
      <c r="C3809" s="14">
        <v>684.79</v>
      </c>
      <c r="D3809" s="12"/>
      <c r="E3809" s="13"/>
    </row>
    <row r="3810" spans="1:5" ht="11.1" hidden="1" customHeight="1" x14ac:dyDescent="0.25">
      <c r="A3810" s="12" t="s">
        <v>5434</v>
      </c>
      <c r="B3810" s="12" t="s">
        <v>5435</v>
      </c>
      <c r="C3810" s="14">
        <v>10333.15</v>
      </c>
      <c r="D3810" s="12"/>
      <c r="E3810" s="14"/>
    </row>
    <row r="3811" spans="1:5" ht="11.1" hidden="1" customHeight="1" x14ac:dyDescent="0.25">
      <c r="A3811" s="12" t="s">
        <v>5436</v>
      </c>
      <c r="B3811" s="12" t="s">
        <v>4912</v>
      </c>
      <c r="C3811" s="14">
        <v>464.17</v>
      </c>
      <c r="D3811" s="12"/>
      <c r="E3811" s="13"/>
    </row>
    <row r="3812" spans="1:5" ht="11.1" hidden="1" customHeight="1" x14ac:dyDescent="0.25">
      <c r="A3812" s="12" t="s">
        <v>5437</v>
      </c>
      <c r="B3812" s="12" t="s">
        <v>4912</v>
      </c>
      <c r="C3812" s="14">
        <v>545.84</v>
      </c>
      <c r="D3812" s="12"/>
      <c r="E3812" s="13"/>
    </row>
    <row r="3813" spans="1:5" ht="11.1" hidden="1" customHeight="1" x14ac:dyDescent="0.25">
      <c r="A3813" s="12" t="s">
        <v>5438</v>
      </c>
      <c r="B3813" s="12" t="s">
        <v>2100</v>
      </c>
      <c r="C3813" s="14">
        <v>490</v>
      </c>
      <c r="D3813" s="12"/>
      <c r="E3813" s="13"/>
    </row>
    <row r="3814" spans="1:5" ht="11.1" hidden="1" customHeight="1" x14ac:dyDescent="0.25">
      <c r="A3814" s="12" t="s">
        <v>5439</v>
      </c>
      <c r="B3814" s="12" t="s">
        <v>5440</v>
      </c>
      <c r="C3814" s="14">
        <v>1050</v>
      </c>
      <c r="D3814" s="12"/>
      <c r="E3814" s="14"/>
    </row>
    <row r="3815" spans="1:5" ht="11.1" hidden="1" customHeight="1" x14ac:dyDescent="0.25">
      <c r="A3815" s="12" t="s">
        <v>5441</v>
      </c>
      <c r="B3815" s="12" t="s">
        <v>5440</v>
      </c>
      <c r="C3815" s="14">
        <v>833.33</v>
      </c>
      <c r="D3815" s="12"/>
      <c r="E3815" s="13"/>
    </row>
    <row r="3816" spans="1:5" ht="11.1" hidden="1" customHeight="1" x14ac:dyDescent="0.25">
      <c r="A3816" s="12" t="s">
        <v>5442</v>
      </c>
      <c r="B3816" s="12" t="s">
        <v>5440</v>
      </c>
      <c r="C3816" s="14">
        <v>25</v>
      </c>
      <c r="D3816" s="12"/>
      <c r="E3816" s="13"/>
    </row>
    <row r="3817" spans="1:5" ht="11.1" hidden="1" customHeight="1" x14ac:dyDescent="0.25">
      <c r="A3817" s="12" t="s">
        <v>5443</v>
      </c>
      <c r="B3817" s="12" t="s">
        <v>5440</v>
      </c>
      <c r="C3817" s="14">
        <v>25</v>
      </c>
      <c r="D3817" s="12"/>
      <c r="E3817" s="13"/>
    </row>
    <row r="3818" spans="1:5" ht="11.1" hidden="1" customHeight="1" x14ac:dyDescent="0.25">
      <c r="A3818" s="12" t="s">
        <v>5444</v>
      </c>
      <c r="B3818" s="12" t="s">
        <v>5440</v>
      </c>
      <c r="C3818" s="14">
        <v>33.33</v>
      </c>
      <c r="D3818" s="12"/>
      <c r="E3818" s="13"/>
    </row>
    <row r="3819" spans="1:5" ht="11.1" hidden="1" customHeight="1" x14ac:dyDescent="0.25">
      <c r="A3819" s="12" t="s">
        <v>5445</v>
      </c>
      <c r="B3819" s="12" t="s">
        <v>5440</v>
      </c>
      <c r="C3819" s="14">
        <v>33.33</v>
      </c>
      <c r="D3819" s="12"/>
      <c r="E3819" s="13"/>
    </row>
    <row r="3820" spans="1:5" ht="11.1" hidden="1" customHeight="1" x14ac:dyDescent="0.25">
      <c r="A3820" s="12" t="s">
        <v>5446</v>
      </c>
      <c r="B3820" s="12" t="s">
        <v>5440</v>
      </c>
      <c r="C3820" s="14">
        <v>25</v>
      </c>
      <c r="D3820" s="12"/>
      <c r="E3820" s="13"/>
    </row>
    <row r="3821" spans="1:5" ht="11.1" hidden="1" customHeight="1" x14ac:dyDescent="0.25">
      <c r="A3821" s="12" t="s">
        <v>5447</v>
      </c>
      <c r="B3821" s="12" t="s">
        <v>5440</v>
      </c>
      <c r="C3821" s="14">
        <v>33.33</v>
      </c>
      <c r="D3821" s="12"/>
      <c r="E3821" s="13"/>
    </row>
    <row r="3822" spans="1:5" ht="11.1" hidden="1" customHeight="1" x14ac:dyDescent="0.25">
      <c r="A3822" s="12" t="s">
        <v>5448</v>
      </c>
      <c r="B3822" s="12" t="s">
        <v>2304</v>
      </c>
      <c r="C3822" s="14">
        <v>65487.5</v>
      </c>
      <c r="D3822" s="12"/>
      <c r="E3822" s="14"/>
    </row>
    <row r="3823" spans="1:5" ht="11.1" hidden="1" customHeight="1" x14ac:dyDescent="0.25">
      <c r="A3823" s="12" t="s">
        <v>5449</v>
      </c>
      <c r="B3823" s="12" t="s">
        <v>2304</v>
      </c>
      <c r="C3823" s="14">
        <v>67812.5</v>
      </c>
      <c r="D3823" s="12"/>
      <c r="E3823" s="14"/>
    </row>
    <row r="3824" spans="1:5" ht="11.1" hidden="1" customHeight="1" x14ac:dyDescent="0.25">
      <c r="A3824" s="12" t="s">
        <v>5450</v>
      </c>
      <c r="B3824" s="12" t="s">
        <v>2304</v>
      </c>
      <c r="C3824" s="14">
        <v>90907.5</v>
      </c>
      <c r="D3824" s="12"/>
      <c r="E3824" s="14"/>
    </row>
    <row r="3825" spans="1:5" ht="11.1" hidden="1" customHeight="1" x14ac:dyDescent="0.25">
      <c r="A3825" s="12" t="s">
        <v>5451</v>
      </c>
      <c r="B3825" s="12" t="s">
        <v>1841</v>
      </c>
      <c r="C3825" s="14">
        <v>199736.92</v>
      </c>
      <c r="D3825" s="12"/>
      <c r="E3825" s="14"/>
    </row>
    <row r="3826" spans="1:5" ht="11.1" hidden="1" customHeight="1" x14ac:dyDescent="0.25">
      <c r="A3826" s="12" t="s">
        <v>5452</v>
      </c>
      <c r="B3826" s="12" t="s">
        <v>1981</v>
      </c>
      <c r="C3826" s="14">
        <v>51324</v>
      </c>
      <c r="D3826" s="12"/>
      <c r="E3826" s="14"/>
    </row>
    <row r="3827" spans="1:5" ht="11.1" hidden="1" customHeight="1" x14ac:dyDescent="0.25">
      <c r="A3827" s="12" t="s">
        <v>5453</v>
      </c>
      <c r="B3827" s="12" t="s">
        <v>4753</v>
      </c>
      <c r="C3827" s="14">
        <v>50485.83</v>
      </c>
      <c r="D3827" s="12"/>
      <c r="E3827" s="14"/>
    </row>
    <row r="3828" spans="1:5" ht="11.1" hidden="1" customHeight="1" x14ac:dyDescent="0.25">
      <c r="A3828" s="12" t="s">
        <v>5454</v>
      </c>
      <c r="B3828" s="12" t="s">
        <v>5455</v>
      </c>
      <c r="C3828" s="14">
        <v>47408.33</v>
      </c>
      <c r="D3828" s="12"/>
      <c r="E3828" s="14"/>
    </row>
    <row r="3829" spans="1:5" ht="11.1" hidden="1" customHeight="1" x14ac:dyDescent="0.25">
      <c r="A3829" s="12" t="s">
        <v>5456</v>
      </c>
      <c r="B3829" s="12" t="s">
        <v>5457</v>
      </c>
      <c r="C3829" s="14">
        <v>32315.3</v>
      </c>
      <c r="D3829" s="12"/>
      <c r="E3829" s="14"/>
    </row>
    <row r="3830" spans="1:5" ht="11.1" hidden="1" customHeight="1" x14ac:dyDescent="0.25">
      <c r="A3830" s="12" t="s">
        <v>5458</v>
      </c>
      <c r="B3830" s="12" t="s">
        <v>5459</v>
      </c>
      <c r="C3830" s="14">
        <v>116.67</v>
      </c>
      <c r="D3830" s="12"/>
      <c r="E3830" s="13"/>
    </row>
    <row r="3831" spans="1:5" ht="11.1" hidden="1" customHeight="1" x14ac:dyDescent="0.25">
      <c r="A3831" s="12" t="s">
        <v>5460</v>
      </c>
      <c r="B3831" s="12" t="s">
        <v>5461</v>
      </c>
      <c r="C3831" s="14">
        <v>1466.67</v>
      </c>
      <c r="D3831" s="12"/>
      <c r="E3831" s="14"/>
    </row>
    <row r="3832" spans="1:5" ht="11.1" hidden="1" customHeight="1" x14ac:dyDescent="0.25">
      <c r="A3832" s="12" t="s">
        <v>5462</v>
      </c>
      <c r="B3832" s="12" t="s">
        <v>5463</v>
      </c>
      <c r="C3832" s="14">
        <v>11333.33</v>
      </c>
      <c r="D3832" s="12"/>
      <c r="E3832" s="14"/>
    </row>
    <row r="3833" spans="1:5" ht="11.1" hidden="1" customHeight="1" x14ac:dyDescent="0.25">
      <c r="A3833" s="12" t="s">
        <v>5464</v>
      </c>
      <c r="B3833" s="12" t="s">
        <v>5465</v>
      </c>
      <c r="C3833" s="14">
        <v>1446.43</v>
      </c>
      <c r="D3833" s="12"/>
      <c r="E3833" s="14"/>
    </row>
    <row r="3834" spans="1:5" ht="11.1" hidden="1" customHeight="1" x14ac:dyDescent="0.25">
      <c r="A3834" s="12" t="s">
        <v>0</v>
      </c>
      <c r="B3834" s="12" t="s">
        <v>5466</v>
      </c>
      <c r="C3834" s="14">
        <v>4333.33</v>
      </c>
      <c r="D3834" s="12"/>
      <c r="E3834" s="14"/>
    </row>
    <row r="3835" spans="1:5" ht="11.1" hidden="1" customHeight="1" x14ac:dyDescent="0.25">
      <c r="A3835" s="12" t="s">
        <v>5467</v>
      </c>
      <c r="B3835" s="12" t="s">
        <v>5463</v>
      </c>
      <c r="C3835" s="14">
        <v>3111.11</v>
      </c>
      <c r="D3835" s="12"/>
      <c r="E3835" s="14"/>
    </row>
    <row r="3836" spans="1:5" ht="11.1" hidden="1" customHeight="1" x14ac:dyDescent="0.25">
      <c r="A3836" s="12" t="s">
        <v>5468</v>
      </c>
      <c r="B3836" s="12" t="s">
        <v>5469</v>
      </c>
      <c r="C3836" s="14">
        <v>983</v>
      </c>
      <c r="D3836" s="12"/>
      <c r="E3836" s="13"/>
    </row>
    <row r="3837" spans="1:5" ht="11.1" hidden="1" customHeight="1" x14ac:dyDescent="0.25">
      <c r="A3837" s="12" t="s">
        <v>5470</v>
      </c>
      <c r="B3837" s="12" t="s">
        <v>5471</v>
      </c>
      <c r="C3837" s="14">
        <v>2975</v>
      </c>
      <c r="D3837" s="12"/>
      <c r="E3837" s="14"/>
    </row>
    <row r="3838" spans="1:5" ht="11.1" hidden="1" customHeight="1" x14ac:dyDescent="0.25">
      <c r="A3838" s="12" t="s">
        <v>5472</v>
      </c>
      <c r="B3838" s="12" t="s">
        <v>5459</v>
      </c>
      <c r="C3838" s="14">
        <v>136.66999999999999</v>
      </c>
      <c r="D3838" s="12"/>
      <c r="E3838" s="13"/>
    </row>
    <row r="3839" spans="1:5" ht="11.1" hidden="1" customHeight="1" x14ac:dyDescent="0.25">
      <c r="A3839" s="12" t="s">
        <v>5473</v>
      </c>
      <c r="B3839" s="12" t="s">
        <v>288</v>
      </c>
      <c r="C3839" s="14">
        <v>95.83</v>
      </c>
      <c r="D3839" s="12"/>
      <c r="E3839" s="13"/>
    </row>
    <row r="3840" spans="1:5" ht="11.1" hidden="1" customHeight="1" x14ac:dyDescent="0.25">
      <c r="A3840" s="12" t="s">
        <v>5474</v>
      </c>
      <c r="B3840" s="12" t="s">
        <v>2284</v>
      </c>
      <c r="C3840" s="14">
        <v>187.5</v>
      </c>
      <c r="D3840" s="12"/>
      <c r="E3840" s="13"/>
    </row>
    <row r="3841" spans="1:5" ht="11.1" hidden="1" customHeight="1" x14ac:dyDescent="0.25">
      <c r="A3841" s="12" t="s">
        <v>5475</v>
      </c>
      <c r="B3841" s="12" t="s">
        <v>3272</v>
      </c>
      <c r="C3841" s="14">
        <v>322.73</v>
      </c>
      <c r="D3841" s="12"/>
      <c r="E3841" s="13"/>
    </row>
    <row r="3842" spans="1:5" ht="11.1" hidden="1" customHeight="1" x14ac:dyDescent="0.25">
      <c r="A3842" s="12" t="s">
        <v>5476</v>
      </c>
      <c r="B3842" s="12" t="s">
        <v>2030</v>
      </c>
      <c r="C3842" s="14">
        <v>45.85</v>
      </c>
      <c r="D3842" s="12"/>
      <c r="E3842" s="13"/>
    </row>
    <row r="3843" spans="1:5" ht="11.1" hidden="1" customHeight="1" x14ac:dyDescent="0.25">
      <c r="A3843" s="12" t="s">
        <v>5477</v>
      </c>
      <c r="B3843" s="12" t="s">
        <v>5478</v>
      </c>
      <c r="C3843" s="14">
        <v>1433.07</v>
      </c>
      <c r="D3843" s="12"/>
      <c r="E3843" s="14"/>
    </row>
    <row r="3844" spans="1:5" ht="11.1" hidden="1" customHeight="1" x14ac:dyDescent="0.25">
      <c r="A3844" s="12" t="s">
        <v>5479</v>
      </c>
      <c r="B3844" s="12" t="s">
        <v>5480</v>
      </c>
      <c r="C3844" s="14">
        <v>14.17</v>
      </c>
      <c r="D3844" s="12"/>
      <c r="E3844" s="13"/>
    </row>
    <row r="3845" spans="1:5" ht="11.1" hidden="1" customHeight="1" x14ac:dyDescent="0.25">
      <c r="A3845" s="12" t="s">
        <v>5481</v>
      </c>
      <c r="B3845" s="12" t="s">
        <v>1864</v>
      </c>
      <c r="C3845" s="14">
        <v>1390</v>
      </c>
      <c r="D3845" s="12"/>
      <c r="E3845" s="14"/>
    </row>
    <row r="3846" spans="1:5" ht="11.1" hidden="1" customHeight="1" x14ac:dyDescent="0.25">
      <c r="A3846" s="12" t="s">
        <v>5482</v>
      </c>
      <c r="B3846" s="12" t="s">
        <v>4280</v>
      </c>
      <c r="C3846" s="14">
        <v>726.89</v>
      </c>
      <c r="D3846" s="12"/>
      <c r="E3846" s="13"/>
    </row>
    <row r="3847" spans="1:5" ht="11.1" hidden="1" customHeight="1" x14ac:dyDescent="0.25">
      <c r="A3847" s="12" t="s">
        <v>5483</v>
      </c>
      <c r="B3847" s="12" t="s">
        <v>5484</v>
      </c>
      <c r="C3847" s="14">
        <v>20790</v>
      </c>
      <c r="D3847" s="12"/>
      <c r="E3847" s="14"/>
    </row>
    <row r="3848" spans="1:5" ht="11.1" hidden="1" customHeight="1" x14ac:dyDescent="0.25">
      <c r="A3848" s="12" t="s">
        <v>5485</v>
      </c>
      <c r="B3848" s="12" t="s">
        <v>2065</v>
      </c>
      <c r="C3848" s="14">
        <v>12967.5</v>
      </c>
      <c r="D3848" s="12"/>
      <c r="E3848" s="14"/>
    </row>
    <row r="3849" spans="1:5" ht="11.1" hidden="1" customHeight="1" x14ac:dyDescent="0.25">
      <c r="A3849" s="12" t="s">
        <v>5486</v>
      </c>
      <c r="B3849" s="12" t="s">
        <v>2065</v>
      </c>
      <c r="C3849" s="14">
        <v>14965.7</v>
      </c>
      <c r="D3849" s="12"/>
      <c r="E3849" s="14"/>
    </row>
    <row r="3850" spans="1:5" ht="11.1" hidden="1" customHeight="1" x14ac:dyDescent="0.25">
      <c r="A3850" s="12" t="s">
        <v>5487</v>
      </c>
      <c r="B3850" s="12" t="s">
        <v>810</v>
      </c>
      <c r="C3850" s="14">
        <v>583.33000000000004</v>
      </c>
      <c r="D3850" s="12"/>
      <c r="E3850" s="13"/>
    </row>
    <row r="3851" spans="1:5" ht="11.1" hidden="1" customHeight="1" x14ac:dyDescent="0.25">
      <c r="A3851" s="12" t="s">
        <v>5488</v>
      </c>
      <c r="B3851" s="12" t="s">
        <v>5489</v>
      </c>
      <c r="C3851" s="14">
        <v>908.33</v>
      </c>
      <c r="D3851" s="12"/>
      <c r="E3851" s="13"/>
    </row>
    <row r="3852" spans="1:5" ht="11.1" hidden="1" customHeight="1" x14ac:dyDescent="0.25">
      <c r="A3852" s="12" t="s">
        <v>5490</v>
      </c>
      <c r="B3852" s="12" t="s">
        <v>4280</v>
      </c>
      <c r="C3852" s="14">
        <v>102.01</v>
      </c>
      <c r="D3852" s="12"/>
      <c r="E3852" s="13"/>
    </row>
    <row r="3853" spans="1:5" ht="11.1" hidden="1" customHeight="1" x14ac:dyDescent="0.25">
      <c r="A3853" s="12" t="s">
        <v>5491</v>
      </c>
      <c r="B3853" s="12" t="s">
        <v>5492</v>
      </c>
      <c r="C3853" s="14">
        <v>24.21</v>
      </c>
      <c r="D3853" s="12"/>
      <c r="E3853" s="13"/>
    </row>
    <row r="3854" spans="1:5" ht="11.1" hidden="1" customHeight="1" x14ac:dyDescent="0.25">
      <c r="A3854" s="12" t="s">
        <v>5493</v>
      </c>
      <c r="B3854" s="12" t="s">
        <v>5492</v>
      </c>
      <c r="C3854" s="14">
        <v>24.21</v>
      </c>
      <c r="D3854" s="12"/>
      <c r="E3854" s="13"/>
    </row>
    <row r="3855" spans="1:5" ht="11.1" hidden="1" customHeight="1" x14ac:dyDescent="0.25">
      <c r="A3855" s="12" t="s">
        <v>5494</v>
      </c>
      <c r="B3855" s="12" t="s">
        <v>5495</v>
      </c>
      <c r="C3855" s="14">
        <v>749</v>
      </c>
      <c r="D3855" s="12"/>
      <c r="E3855" s="13"/>
    </row>
    <row r="3856" spans="1:5" ht="11.1" hidden="1" customHeight="1" x14ac:dyDescent="0.25">
      <c r="A3856" s="12" t="s">
        <v>5496</v>
      </c>
      <c r="B3856" s="12" t="s">
        <v>5495</v>
      </c>
      <c r="C3856" s="14">
        <v>398</v>
      </c>
      <c r="D3856" s="12"/>
      <c r="E3856" s="13"/>
    </row>
    <row r="3857" spans="1:5" ht="23.1" hidden="1" customHeight="1" x14ac:dyDescent="0.25">
      <c r="A3857" s="12" t="s">
        <v>5497</v>
      </c>
      <c r="B3857" s="12" t="s">
        <v>5492</v>
      </c>
      <c r="C3857" s="14">
        <v>964.17</v>
      </c>
      <c r="D3857" s="12"/>
      <c r="E3857" s="13"/>
    </row>
    <row r="3858" spans="1:5" ht="11.1" hidden="1" customHeight="1" x14ac:dyDescent="0.25">
      <c r="A3858" s="12" t="s">
        <v>5498</v>
      </c>
      <c r="B3858" s="12" t="s">
        <v>5499</v>
      </c>
      <c r="C3858" s="14">
        <v>2416.67</v>
      </c>
      <c r="D3858" s="12"/>
      <c r="E3858" s="14"/>
    </row>
    <row r="3859" spans="1:5" ht="23.1" hidden="1" customHeight="1" x14ac:dyDescent="0.25">
      <c r="A3859" s="12" t="s">
        <v>5500</v>
      </c>
      <c r="B3859" s="12" t="s">
        <v>1973</v>
      </c>
      <c r="C3859" s="14">
        <v>1408.48</v>
      </c>
      <c r="D3859" s="12"/>
      <c r="E3859" s="14"/>
    </row>
    <row r="3860" spans="1:5" ht="11.1" hidden="1" customHeight="1" x14ac:dyDescent="0.25">
      <c r="A3860" s="12" t="s">
        <v>5501</v>
      </c>
      <c r="B3860" s="12" t="s">
        <v>5502</v>
      </c>
      <c r="C3860" s="14">
        <v>2916.67</v>
      </c>
      <c r="D3860" s="12"/>
      <c r="E3860" s="14"/>
    </row>
    <row r="3861" spans="1:5" ht="23.1" hidden="1" customHeight="1" x14ac:dyDescent="0.25">
      <c r="A3861" s="12" t="s">
        <v>5503</v>
      </c>
      <c r="B3861" s="12" t="s">
        <v>5492</v>
      </c>
      <c r="C3861" s="14">
        <v>6.74</v>
      </c>
      <c r="D3861" s="12"/>
      <c r="E3861" s="13"/>
    </row>
    <row r="3862" spans="1:5" ht="11.1" hidden="1" customHeight="1" x14ac:dyDescent="0.25">
      <c r="A3862" s="12" t="s">
        <v>5504</v>
      </c>
      <c r="B3862" s="12" t="s">
        <v>5492</v>
      </c>
      <c r="C3862" s="14">
        <v>6.74</v>
      </c>
      <c r="D3862" s="12"/>
      <c r="E3862" s="13"/>
    </row>
    <row r="3863" spans="1:5" ht="23.1" hidden="1" customHeight="1" x14ac:dyDescent="0.25">
      <c r="A3863" s="12" t="s">
        <v>5505</v>
      </c>
      <c r="B3863" s="12" t="s">
        <v>5506</v>
      </c>
      <c r="C3863" s="14">
        <v>22670</v>
      </c>
      <c r="D3863" s="12"/>
      <c r="E3863" s="14"/>
    </row>
    <row r="3864" spans="1:5" ht="11.1" hidden="1" customHeight="1" x14ac:dyDescent="0.25">
      <c r="A3864" s="12" t="s">
        <v>5507</v>
      </c>
      <c r="B3864" s="12" t="s">
        <v>5478</v>
      </c>
      <c r="C3864" s="14">
        <v>230.64</v>
      </c>
      <c r="D3864" s="12"/>
      <c r="E3864" s="13"/>
    </row>
    <row r="3865" spans="1:5" ht="23.1" hidden="1" customHeight="1" x14ac:dyDescent="0.25">
      <c r="A3865" s="12" t="s">
        <v>5508</v>
      </c>
      <c r="B3865" s="12" t="s">
        <v>2074</v>
      </c>
      <c r="C3865" s="14">
        <v>958.38</v>
      </c>
      <c r="D3865" s="12"/>
      <c r="E3865" s="13"/>
    </row>
    <row r="3866" spans="1:5" ht="11.1" hidden="1" customHeight="1" x14ac:dyDescent="0.25">
      <c r="A3866" s="12" t="s">
        <v>5509</v>
      </c>
      <c r="B3866" s="12" t="s">
        <v>5459</v>
      </c>
      <c r="C3866" s="14">
        <v>201.67</v>
      </c>
      <c r="D3866" s="12"/>
      <c r="E3866" s="13"/>
    </row>
    <row r="3867" spans="1:5" ht="23.1" hidden="1" customHeight="1" x14ac:dyDescent="0.25">
      <c r="A3867" s="12" t="s">
        <v>5510</v>
      </c>
      <c r="B3867" s="12" t="s">
        <v>5511</v>
      </c>
      <c r="C3867" s="14">
        <v>30.32</v>
      </c>
      <c r="D3867" s="12"/>
      <c r="E3867" s="13"/>
    </row>
    <row r="3868" spans="1:5" ht="11.1" hidden="1" customHeight="1" x14ac:dyDescent="0.25">
      <c r="A3868" s="12" t="s">
        <v>5512</v>
      </c>
      <c r="B3868" s="12" t="s">
        <v>5513</v>
      </c>
      <c r="C3868" s="14">
        <v>3325</v>
      </c>
      <c r="D3868" s="12"/>
      <c r="E3868" s="14"/>
    </row>
    <row r="3869" spans="1:5" ht="11.1" hidden="1" customHeight="1" x14ac:dyDescent="0.25">
      <c r="A3869" s="12" t="s">
        <v>5514</v>
      </c>
      <c r="B3869" s="12" t="s">
        <v>5515</v>
      </c>
      <c r="C3869" s="14">
        <v>4220.84</v>
      </c>
      <c r="D3869" s="12"/>
      <c r="E3869" s="14"/>
    </row>
    <row r="3870" spans="1:5" ht="11.1" hidden="1" customHeight="1" x14ac:dyDescent="0.25">
      <c r="A3870" s="12" t="s">
        <v>5516</v>
      </c>
      <c r="B3870" s="12" t="s">
        <v>5517</v>
      </c>
      <c r="C3870" s="14">
        <v>4866.67</v>
      </c>
      <c r="D3870" s="12"/>
      <c r="E3870" s="14"/>
    </row>
    <row r="3871" spans="1:5" ht="11.1" hidden="1" customHeight="1" x14ac:dyDescent="0.25">
      <c r="A3871" s="12" t="s">
        <v>5518</v>
      </c>
      <c r="B3871" s="12" t="s">
        <v>5519</v>
      </c>
      <c r="C3871" s="14">
        <v>3783.33</v>
      </c>
      <c r="D3871" s="12"/>
      <c r="E3871" s="14"/>
    </row>
    <row r="3872" spans="1:5" ht="11.1" hidden="1" customHeight="1" x14ac:dyDescent="0.25">
      <c r="A3872" s="42" t="s">
        <v>5520</v>
      </c>
      <c r="B3872" s="42" t="s">
        <v>786</v>
      </c>
      <c r="C3872" s="43">
        <v>281.67</v>
      </c>
      <c r="D3872" s="12"/>
      <c r="E3872" s="13"/>
    </row>
    <row r="3873" spans="1:5" ht="11.1" hidden="1" customHeight="1" x14ac:dyDescent="0.25">
      <c r="A3873" s="12" t="s">
        <v>5521</v>
      </c>
      <c r="B3873" s="12" t="s">
        <v>5522</v>
      </c>
      <c r="C3873" s="14">
        <v>91790</v>
      </c>
      <c r="D3873" s="12"/>
      <c r="E3873" s="14"/>
    </row>
    <row r="3874" spans="1:5" ht="11.1" hidden="1" customHeight="1" x14ac:dyDescent="0.25">
      <c r="A3874" s="12" t="s">
        <v>5523</v>
      </c>
      <c r="B3874" s="12" t="s">
        <v>5524</v>
      </c>
      <c r="C3874" s="14">
        <v>14562.5</v>
      </c>
      <c r="D3874" s="12"/>
      <c r="E3874" s="14"/>
    </row>
    <row r="3875" spans="1:5" ht="11.1" hidden="1" customHeight="1" x14ac:dyDescent="0.25">
      <c r="A3875" s="12" t="s">
        <v>5525</v>
      </c>
      <c r="B3875" s="12" t="s">
        <v>5526</v>
      </c>
      <c r="C3875" s="14">
        <v>40000</v>
      </c>
      <c r="D3875" s="12"/>
      <c r="E3875" s="14"/>
    </row>
    <row r="3876" spans="1:5" ht="23.1" hidden="1" customHeight="1" x14ac:dyDescent="0.25">
      <c r="A3876" s="12" t="s">
        <v>5527</v>
      </c>
      <c r="B3876" s="12" t="s">
        <v>5528</v>
      </c>
      <c r="C3876" s="14">
        <v>313.33</v>
      </c>
      <c r="D3876" s="12"/>
      <c r="E3876" s="13"/>
    </row>
    <row r="3877" spans="1:5" ht="11.1" hidden="1" customHeight="1" x14ac:dyDescent="0.25">
      <c r="A3877" s="12" t="s">
        <v>5529</v>
      </c>
      <c r="B3877" s="12" t="s">
        <v>5530</v>
      </c>
      <c r="C3877" s="14">
        <v>2.7</v>
      </c>
      <c r="D3877" s="12"/>
      <c r="E3877" s="13"/>
    </row>
    <row r="3878" spans="1:5" ht="11.1" hidden="1" customHeight="1" x14ac:dyDescent="0.25">
      <c r="A3878" s="12" t="s">
        <v>5531</v>
      </c>
      <c r="B3878" s="12" t="s">
        <v>5532</v>
      </c>
      <c r="C3878" s="14">
        <v>2500</v>
      </c>
      <c r="D3878" s="12"/>
      <c r="E3878" s="14"/>
    </row>
    <row r="3879" spans="1:5" ht="23.1" hidden="1" customHeight="1" x14ac:dyDescent="0.25">
      <c r="A3879" s="12" t="s">
        <v>5533</v>
      </c>
      <c r="B3879" s="12" t="s">
        <v>4397</v>
      </c>
      <c r="C3879" s="14">
        <v>313.60000000000002</v>
      </c>
      <c r="D3879" s="12"/>
      <c r="E3879" s="13"/>
    </row>
    <row r="3880" spans="1:5" ht="11.1" hidden="1" customHeight="1" x14ac:dyDescent="0.25">
      <c r="A3880" s="12" t="s">
        <v>5534</v>
      </c>
      <c r="B3880" s="12" t="s">
        <v>5535</v>
      </c>
      <c r="C3880" s="14">
        <v>774</v>
      </c>
      <c r="D3880" s="12"/>
      <c r="E3880" s="13"/>
    </row>
    <row r="3881" spans="1:5" ht="23.1" hidden="1" customHeight="1" x14ac:dyDescent="0.25">
      <c r="A3881" s="12" t="s">
        <v>5536</v>
      </c>
      <c r="B3881" s="12" t="s">
        <v>4397</v>
      </c>
      <c r="C3881" s="14">
        <v>274.39999999999998</v>
      </c>
      <c r="D3881" s="12"/>
      <c r="E3881" s="13"/>
    </row>
    <row r="3882" spans="1:5" ht="11.1" hidden="1" customHeight="1" x14ac:dyDescent="0.25">
      <c r="A3882" s="12" t="s">
        <v>5537</v>
      </c>
      <c r="B3882" s="12" t="s">
        <v>5538</v>
      </c>
      <c r="C3882" s="14">
        <v>833.33</v>
      </c>
      <c r="D3882" s="12"/>
      <c r="E3882" s="13"/>
    </row>
    <row r="3883" spans="1:5" ht="23.1" hidden="1" customHeight="1" x14ac:dyDescent="0.25">
      <c r="A3883" s="12" t="s">
        <v>5539</v>
      </c>
      <c r="B3883" s="12" t="s">
        <v>866</v>
      </c>
      <c r="C3883" s="14">
        <v>738.34</v>
      </c>
      <c r="D3883" s="12"/>
      <c r="E3883" s="13"/>
    </row>
    <row r="3884" spans="1:5" ht="11.1" hidden="1" customHeight="1" x14ac:dyDescent="0.25">
      <c r="A3884" s="12" t="s">
        <v>5540</v>
      </c>
      <c r="B3884" s="12" t="s">
        <v>5541</v>
      </c>
      <c r="C3884" s="14">
        <v>7683</v>
      </c>
      <c r="D3884" s="12"/>
      <c r="E3884" s="14"/>
    </row>
    <row r="3885" spans="1:5" ht="23.1" hidden="1" customHeight="1" x14ac:dyDescent="0.25">
      <c r="A3885" s="12" t="s">
        <v>5542</v>
      </c>
      <c r="B3885" s="12" t="s">
        <v>5543</v>
      </c>
      <c r="C3885" s="14">
        <v>135.51</v>
      </c>
      <c r="D3885" s="12"/>
      <c r="E3885" s="13"/>
    </row>
    <row r="3886" spans="1:5" ht="11.1" hidden="1" customHeight="1" x14ac:dyDescent="0.25">
      <c r="A3886" s="12" t="s">
        <v>5544</v>
      </c>
      <c r="B3886" s="12" t="s">
        <v>4465</v>
      </c>
      <c r="C3886" s="14">
        <v>4573.33</v>
      </c>
      <c r="D3886" s="12"/>
      <c r="E3886" s="14"/>
    </row>
    <row r="3887" spans="1:5" ht="23.1" hidden="1" customHeight="1" x14ac:dyDescent="0.25">
      <c r="A3887" s="12" t="s">
        <v>5545</v>
      </c>
      <c r="B3887" s="12" t="s">
        <v>5546</v>
      </c>
      <c r="C3887" s="14">
        <v>287800</v>
      </c>
      <c r="D3887" s="12"/>
      <c r="E3887" s="14"/>
    </row>
    <row r="3888" spans="1:5" ht="11.1" hidden="1" customHeight="1" x14ac:dyDescent="0.25">
      <c r="A3888" s="12" t="s">
        <v>5547</v>
      </c>
      <c r="B3888" s="12" t="s">
        <v>5440</v>
      </c>
      <c r="C3888" s="14">
        <v>33.33</v>
      </c>
      <c r="D3888" s="12"/>
      <c r="E3888" s="13"/>
    </row>
    <row r="3889" spans="1:5" ht="11.1" hidden="1" customHeight="1" x14ac:dyDescent="0.25">
      <c r="A3889" s="12" t="s">
        <v>5548</v>
      </c>
      <c r="B3889" s="12" t="s">
        <v>5440</v>
      </c>
      <c r="C3889" s="14">
        <v>44.17</v>
      </c>
      <c r="D3889" s="12"/>
      <c r="E3889" s="13"/>
    </row>
    <row r="3890" spans="1:5" ht="23.1" hidden="1" customHeight="1" x14ac:dyDescent="0.25">
      <c r="A3890" s="12" t="s">
        <v>5549</v>
      </c>
      <c r="B3890" s="12" t="s">
        <v>5550</v>
      </c>
      <c r="C3890" s="14">
        <v>54</v>
      </c>
      <c r="D3890" s="12"/>
      <c r="E3890" s="13"/>
    </row>
    <row r="3891" spans="1:5" ht="11.1" hidden="1" customHeight="1" x14ac:dyDescent="0.25">
      <c r="A3891" s="12" t="s">
        <v>5551</v>
      </c>
      <c r="B3891" s="12" t="s">
        <v>5550</v>
      </c>
      <c r="C3891" s="14">
        <v>74</v>
      </c>
      <c r="D3891" s="12"/>
      <c r="E3891" s="13"/>
    </row>
    <row r="3892" spans="1:5" ht="11.1" hidden="1" customHeight="1" x14ac:dyDescent="0.25">
      <c r="A3892" s="12" t="s">
        <v>5552</v>
      </c>
      <c r="B3892" s="12" t="s">
        <v>5553</v>
      </c>
      <c r="C3892" s="14">
        <v>74</v>
      </c>
      <c r="D3892" s="12"/>
      <c r="E3892" s="13"/>
    </row>
    <row r="3893" spans="1:5" ht="11.1" hidden="1" customHeight="1" x14ac:dyDescent="0.25">
      <c r="A3893" s="12" t="s">
        <v>5554</v>
      </c>
      <c r="B3893" s="12" t="s">
        <v>5550</v>
      </c>
      <c r="C3893" s="14">
        <v>27.42</v>
      </c>
      <c r="D3893" s="12"/>
      <c r="E3893" s="13"/>
    </row>
    <row r="3894" spans="1:5" ht="11.1" hidden="1" customHeight="1" x14ac:dyDescent="0.25">
      <c r="A3894" s="12" t="s">
        <v>5555</v>
      </c>
      <c r="B3894" s="12" t="s">
        <v>5556</v>
      </c>
      <c r="C3894" s="14">
        <v>85.83</v>
      </c>
      <c r="D3894" s="12"/>
      <c r="E3894" s="13"/>
    </row>
    <row r="3895" spans="1:5" ht="11.1" hidden="1" customHeight="1" x14ac:dyDescent="0.25">
      <c r="A3895" s="12" t="s">
        <v>5557</v>
      </c>
      <c r="B3895" s="12" t="s">
        <v>5556</v>
      </c>
      <c r="C3895" s="14">
        <v>81.58</v>
      </c>
      <c r="D3895" s="12"/>
      <c r="E3895" s="13"/>
    </row>
    <row r="3896" spans="1:5" ht="11.1" hidden="1" customHeight="1" x14ac:dyDescent="0.25">
      <c r="A3896" s="12" t="s">
        <v>5558</v>
      </c>
      <c r="B3896" s="12" t="s">
        <v>5559</v>
      </c>
      <c r="C3896" s="14">
        <v>98.33</v>
      </c>
      <c r="D3896" s="12"/>
      <c r="E3896" s="13"/>
    </row>
    <row r="3897" spans="1:5" ht="11.1" hidden="1" customHeight="1" x14ac:dyDescent="0.25">
      <c r="A3897" s="12" t="s">
        <v>5560</v>
      </c>
      <c r="B3897" s="12" t="s">
        <v>5556</v>
      </c>
      <c r="C3897" s="14">
        <v>111.67</v>
      </c>
      <c r="D3897" s="12"/>
      <c r="E3897" s="13"/>
    </row>
    <row r="3898" spans="1:5" ht="11.1" hidden="1" customHeight="1" x14ac:dyDescent="0.25">
      <c r="A3898" s="12" t="s">
        <v>5561</v>
      </c>
      <c r="B3898" s="12" t="s">
        <v>5556</v>
      </c>
      <c r="C3898" s="14">
        <v>111.67</v>
      </c>
      <c r="D3898" s="12"/>
      <c r="E3898" s="13"/>
    </row>
    <row r="3899" spans="1:5" ht="11.1" hidden="1" customHeight="1" x14ac:dyDescent="0.25">
      <c r="A3899" s="12" t="s">
        <v>5562</v>
      </c>
      <c r="B3899" s="12" t="s">
        <v>5559</v>
      </c>
      <c r="C3899" s="14">
        <v>108.33</v>
      </c>
      <c r="D3899" s="12"/>
      <c r="E3899" s="13"/>
    </row>
    <row r="3900" spans="1:5" ht="23.1" hidden="1" customHeight="1" x14ac:dyDescent="0.25">
      <c r="A3900" s="12" t="s">
        <v>5563</v>
      </c>
      <c r="B3900" s="12" t="s">
        <v>5556</v>
      </c>
      <c r="C3900" s="14">
        <v>52.25</v>
      </c>
      <c r="D3900" s="12"/>
      <c r="E3900" s="13"/>
    </row>
    <row r="3901" spans="1:5" ht="11.1" hidden="1" customHeight="1" x14ac:dyDescent="0.25">
      <c r="A3901" s="12" t="s">
        <v>5564</v>
      </c>
      <c r="B3901" s="12" t="s">
        <v>5556</v>
      </c>
      <c r="C3901" s="14">
        <v>62.33</v>
      </c>
      <c r="D3901" s="12"/>
      <c r="E3901" s="13"/>
    </row>
    <row r="3902" spans="1:5" ht="23.1" hidden="1" customHeight="1" x14ac:dyDescent="0.25">
      <c r="A3902" s="12" t="s">
        <v>5565</v>
      </c>
      <c r="B3902" s="12" t="s">
        <v>5556</v>
      </c>
      <c r="C3902" s="14">
        <v>120</v>
      </c>
      <c r="D3902" s="12"/>
      <c r="E3902" s="13"/>
    </row>
    <row r="3903" spans="1:5" ht="23.1" hidden="1" customHeight="1" x14ac:dyDescent="0.25">
      <c r="A3903" s="12" t="s">
        <v>5566</v>
      </c>
      <c r="B3903" s="12" t="s">
        <v>5567</v>
      </c>
      <c r="C3903" s="14">
        <v>130</v>
      </c>
      <c r="D3903" s="12"/>
      <c r="E3903" s="13"/>
    </row>
    <row r="3904" spans="1:5" ht="11.1" hidden="1" customHeight="1" x14ac:dyDescent="0.25">
      <c r="A3904" s="12" t="s">
        <v>5568</v>
      </c>
      <c r="B3904" s="12" t="s">
        <v>5569</v>
      </c>
      <c r="C3904" s="14">
        <v>99.17</v>
      </c>
      <c r="D3904" s="12"/>
      <c r="E3904" s="13"/>
    </row>
    <row r="3905" spans="1:5" ht="11.1" hidden="1" customHeight="1" x14ac:dyDescent="0.25">
      <c r="A3905" s="12" t="s">
        <v>5570</v>
      </c>
      <c r="B3905" s="12" t="s">
        <v>474</v>
      </c>
      <c r="C3905" s="14">
        <v>7267.5</v>
      </c>
      <c r="D3905" s="12"/>
      <c r="E3905" s="14"/>
    </row>
    <row r="3906" spans="1:5" ht="11.1" hidden="1" customHeight="1" x14ac:dyDescent="0.25">
      <c r="A3906" s="12" t="s">
        <v>5571</v>
      </c>
      <c r="B3906" s="12" t="s">
        <v>5572</v>
      </c>
      <c r="C3906" s="14">
        <v>7000</v>
      </c>
      <c r="D3906" s="12"/>
      <c r="E3906" s="14"/>
    </row>
    <row r="3907" spans="1:5" ht="11.1" hidden="1" customHeight="1" x14ac:dyDescent="0.25">
      <c r="A3907" s="12" t="s">
        <v>5573</v>
      </c>
      <c r="B3907" s="12" t="s">
        <v>1368</v>
      </c>
      <c r="C3907" s="14">
        <v>410.83</v>
      </c>
      <c r="D3907" s="12"/>
      <c r="E3907" s="13"/>
    </row>
    <row r="3908" spans="1:5" ht="11.1" hidden="1" customHeight="1" x14ac:dyDescent="0.25">
      <c r="A3908" s="12" t="s">
        <v>5574</v>
      </c>
      <c r="B3908" s="12" t="s">
        <v>1405</v>
      </c>
      <c r="C3908" s="14">
        <v>437.5</v>
      </c>
      <c r="D3908" s="12"/>
      <c r="E3908" s="13"/>
    </row>
    <row r="3909" spans="1:5" ht="11.1" hidden="1" customHeight="1" x14ac:dyDescent="0.25">
      <c r="A3909" s="12" t="s">
        <v>5575</v>
      </c>
      <c r="B3909" s="12" t="s">
        <v>5576</v>
      </c>
      <c r="C3909" s="14">
        <v>4083.33</v>
      </c>
      <c r="D3909" s="12"/>
      <c r="E3909" s="14"/>
    </row>
    <row r="3910" spans="1:5" ht="11.1" hidden="1" customHeight="1" x14ac:dyDescent="0.25">
      <c r="A3910" s="12" t="s">
        <v>5577</v>
      </c>
      <c r="B3910" s="12" t="s">
        <v>5578</v>
      </c>
      <c r="C3910" s="14">
        <v>390</v>
      </c>
      <c r="D3910" s="12"/>
      <c r="E3910" s="13"/>
    </row>
    <row r="3911" spans="1:5" ht="11.1" hidden="1" customHeight="1" x14ac:dyDescent="0.25">
      <c r="A3911" s="12" t="s">
        <v>5579</v>
      </c>
      <c r="B3911" s="12" t="s">
        <v>1981</v>
      </c>
      <c r="C3911" s="14">
        <v>96444</v>
      </c>
      <c r="D3911" s="12"/>
      <c r="E3911" s="14"/>
    </row>
    <row r="3912" spans="1:5" ht="11.1" hidden="1" customHeight="1" x14ac:dyDescent="0.25">
      <c r="A3912" s="12" t="s">
        <v>5580</v>
      </c>
      <c r="B3912" s="12" t="s">
        <v>2030</v>
      </c>
      <c r="C3912" s="14">
        <v>344.01</v>
      </c>
      <c r="D3912" s="12"/>
      <c r="E3912" s="13"/>
    </row>
    <row r="3913" spans="1:5" ht="11.1" hidden="1" customHeight="1" x14ac:dyDescent="0.25">
      <c r="A3913" s="12" t="s">
        <v>5581</v>
      </c>
      <c r="B3913" s="12" t="s">
        <v>5582</v>
      </c>
      <c r="C3913" s="14">
        <v>8575</v>
      </c>
      <c r="D3913" s="12"/>
      <c r="E3913" s="14"/>
    </row>
    <row r="3914" spans="1:5" ht="11.1" hidden="1" customHeight="1" x14ac:dyDescent="0.25">
      <c r="A3914" s="12" t="s">
        <v>5583</v>
      </c>
      <c r="B3914" s="12" t="s">
        <v>5584</v>
      </c>
      <c r="C3914" s="14">
        <v>2916.67</v>
      </c>
      <c r="D3914" s="12"/>
      <c r="E3914" s="14"/>
    </row>
    <row r="3915" spans="1:5" ht="11.1" hidden="1" customHeight="1" x14ac:dyDescent="0.25">
      <c r="A3915" s="12" t="s">
        <v>5585</v>
      </c>
      <c r="B3915" s="12" t="s">
        <v>1985</v>
      </c>
      <c r="C3915" s="14">
        <v>674.17</v>
      </c>
      <c r="D3915" s="12"/>
      <c r="E3915" s="13"/>
    </row>
    <row r="3916" spans="1:5" ht="11.1" hidden="1" customHeight="1" x14ac:dyDescent="0.25">
      <c r="A3916" s="12" t="s">
        <v>5586</v>
      </c>
      <c r="B3916" s="12" t="s">
        <v>2110</v>
      </c>
      <c r="C3916" s="14">
        <v>875.83</v>
      </c>
      <c r="D3916" s="12"/>
      <c r="E3916" s="13"/>
    </row>
    <row r="3917" spans="1:5" ht="11.1" hidden="1" customHeight="1" x14ac:dyDescent="0.25">
      <c r="A3917" s="12" t="s">
        <v>5587</v>
      </c>
      <c r="B3917" s="12" t="s">
        <v>2053</v>
      </c>
      <c r="C3917" s="14">
        <v>145</v>
      </c>
      <c r="D3917" s="12"/>
      <c r="E3917" s="13"/>
    </row>
    <row r="3918" spans="1:5" ht="11.1" hidden="1" customHeight="1" x14ac:dyDescent="0.25">
      <c r="A3918" s="12" t="s">
        <v>5588</v>
      </c>
      <c r="B3918" s="12" t="s">
        <v>2107</v>
      </c>
      <c r="C3918" s="14">
        <v>141.66999999999999</v>
      </c>
      <c r="D3918" s="12"/>
      <c r="E3918" s="13"/>
    </row>
    <row r="3919" spans="1:5" ht="11.1" hidden="1" customHeight="1" x14ac:dyDescent="0.25">
      <c r="A3919" s="12" t="s">
        <v>5589</v>
      </c>
      <c r="B3919" s="12" t="s">
        <v>2056</v>
      </c>
      <c r="C3919" s="14">
        <v>170</v>
      </c>
      <c r="D3919" s="12"/>
      <c r="E3919" s="13"/>
    </row>
    <row r="3920" spans="1:5" ht="11.1" hidden="1" customHeight="1" x14ac:dyDescent="0.25">
      <c r="A3920" s="12" t="s">
        <v>5590</v>
      </c>
      <c r="B3920" s="12" t="s">
        <v>2105</v>
      </c>
      <c r="C3920" s="14">
        <v>331</v>
      </c>
      <c r="D3920" s="12"/>
      <c r="E3920" s="13"/>
    </row>
    <row r="3921" spans="1:5" ht="11.1" hidden="1" customHeight="1" x14ac:dyDescent="0.25">
      <c r="A3921" s="12" t="s">
        <v>5591</v>
      </c>
      <c r="B3921" s="12" t="s">
        <v>2107</v>
      </c>
      <c r="C3921" s="14">
        <v>74.17</v>
      </c>
      <c r="D3921" s="12"/>
      <c r="E3921" s="13"/>
    </row>
    <row r="3922" spans="1:5" ht="11.1" hidden="1" customHeight="1" x14ac:dyDescent="0.25">
      <c r="A3922" s="12" t="s">
        <v>5592</v>
      </c>
      <c r="B3922" s="12" t="s">
        <v>600</v>
      </c>
      <c r="C3922" s="14">
        <v>95</v>
      </c>
      <c r="D3922" s="12"/>
      <c r="E3922" s="13"/>
    </row>
    <row r="3923" spans="1:5" ht="11.1" hidden="1" customHeight="1" x14ac:dyDescent="0.25">
      <c r="A3923" s="12" t="s">
        <v>5593</v>
      </c>
      <c r="B3923" s="12" t="s">
        <v>5594</v>
      </c>
      <c r="C3923" s="14">
        <v>625</v>
      </c>
      <c r="D3923" s="12"/>
      <c r="E3923" s="13"/>
    </row>
    <row r="3924" spans="1:5" ht="11.1" hidden="1" customHeight="1" x14ac:dyDescent="0.25">
      <c r="A3924" s="12" t="s">
        <v>5595</v>
      </c>
      <c r="B3924" s="12" t="s">
        <v>5596</v>
      </c>
      <c r="C3924" s="14">
        <v>562</v>
      </c>
      <c r="D3924" s="12"/>
      <c r="E3924" s="13"/>
    </row>
    <row r="3925" spans="1:5" ht="11.1" hidden="1" customHeight="1" x14ac:dyDescent="0.25">
      <c r="A3925" s="12" t="s">
        <v>5597</v>
      </c>
      <c r="B3925" s="12" t="s">
        <v>2258</v>
      </c>
      <c r="C3925" s="14">
        <v>352.75</v>
      </c>
      <c r="D3925" s="12"/>
      <c r="E3925" s="13"/>
    </row>
    <row r="3926" spans="1:5" ht="11.1" hidden="1" customHeight="1" x14ac:dyDescent="0.25">
      <c r="A3926" s="12" t="s">
        <v>5598</v>
      </c>
      <c r="B3926" s="12" t="s">
        <v>3006</v>
      </c>
      <c r="C3926" s="14">
        <v>125</v>
      </c>
      <c r="D3926" s="12"/>
      <c r="E3926" s="13"/>
    </row>
    <row r="3927" spans="1:5" ht="11.1" hidden="1" customHeight="1" x14ac:dyDescent="0.25">
      <c r="A3927" s="12" t="s">
        <v>5599</v>
      </c>
      <c r="B3927" s="12" t="s">
        <v>5600</v>
      </c>
      <c r="C3927" s="14">
        <v>70945.83</v>
      </c>
      <c r="D3927" s="12"/>
      <c r="E3927" s="14"/>
    </row>
    <row r="3928" spans="1:5" ht="11.1" hidden="1" customHeight="1" x14ac:dyDescent="0.25">
      <c r="A3928" s="12" t="s">
        <v>5601</v>
      </c>
      <c r="B3928" s="12" t="s">
        <v>5602</v>
      </c>
      <c r="C3928" s="14">
        <v>75</v>
      </c>
      <c r="D3928" s="12"/>
      <c r="E3928" s="13"/>
    </row>
    <row r="3929" spans="1:5" ht="11.1" hidden="1" customHeight="1" x14ac:dyDescent="0.25">
      <c r="A3929" s="12" t="s">
        <v>5603</v>
      </c>
      <c r="B3929" s="12" t="s">
        <v>3786</v>
      </c>
      <c r="C3929" s="14">
        <v>21340</v>
      </c>
      <c r="D3929" s="12"/>
      <c r="E3929" s="14"/>
    </row>
    <row r="3930" spans="1:5" ht="23.1" hidden="1" customHeight="1" x14ac:dyDescent="0.25">
      <c r="A3930" s="12" t="s">
        <v>5604</v>
      </c>
      <c r="B3930" s="12" t="s">
        <v>5605</v>
      </c>
      <c r="C3930" s="14">
        <v>54166.67</v>
      </c>
      <c r="D3930" s="12"/>
      <c r="E3930" s="14"/>
    </row>
    <row r="3931" spans="1:5" ht="11.1" hidden="1" customHeight="1" x14ac:dyDescent="0.25">
      <c r="A3931" s="12" t="s">
        <v>5606</v>
      </c>
      <c r="B3931" s="12" t="s">
        <v>5607</v>
      </c>
      <c r="C3931" s="14">
        <v>48950</v>
      </c>
      <c r="D3931" s="12"/>
      <c r="E3931" s="14"/>
    </row>
    <row r="3932" spans="1:5" ht="11.1" hidden="1" customHeight="1" x14ac:dyDescent="0.25">
      <c r="A3932" s="12" t="s">
        <v>5608</v>
      </c>
      <c r="B3932" s="12" t="s">
        <v>5609</v>
      </c>
      <c r="C3932" s="14">
        <v>60111.67</v>
      </c>
      <c r="D3932" s="12"/>
      <c r="E3932" s="14"/>
    </row>
    <row r="3933" spans="1:5" ht="11.1" hidden="1" customHeight="1" x14ac:dyDescent="0.25">
      <c r="A3933" s="12" t="s">
        <v>5610</v>
      </c>
      <c r="B3933" s="12" t="s">
        <v>5611</v>
      </c>
      <c r="C3933" s="14">
        <v>43816.67</v>
      </c>
      <c r="D3933" s="12"/>
      <c r="E3933" s="14"/>
    </row>
    <row r="3934" spans="1:5" ht="11.1" hidden="1" customHeight="1" x14ac:dyDescent="0.25">
      <c r="A3934" s="12" t="s">
        <v>5612</v>
      </c>
      <c r="B3934" s="12" t="s">
        <v>4708</v>
      </c>
      <c r="C3934" s="14">
        <v>17100</v>
      </c>
      <c r="D3934" s="12"/>
      <c r="E3934" s="14"/>
    </row>
    <row r="3935" spans="1:5" ht="11.1" hidden="1" customHeight="1" x14ac:dyDescent="0.25">
      <c r="A3935" s="12" t="s">
        <v>5613</v>
      </c>
      <c r="B3935" s="12" t="s">
        <v>4651</v>
      </c>
      <c r="C3935" s="14">
        <v>5060</v>
      </c>
      <c r="D3935" s="12"/>
      <c r="E3935" s="14"/>
    </row>
    <row r="3936" spans="1:5" ht="11.1" hidden="1" customHeight="1" x14ac:dyDescent="0.25">
      <c r="A3936" s="12" t="s">
        <v>5614</v>
      </c>
      <c r="B3936" s="12" t="s">
        <v>5611</v>
      </c>
      <c r="C3936" s="14">
        <v>13664.17</v>
      </c>
      <c r="D3936" s="12"/>
      <c r="E3936" s="14"/>
    </row>
    <row r="3937" spans="1:5" ht="11.1" hidden="1" customHeight="1" x14ac:dyDescent="0.25">
      <c r="A3937" s="12" t="s">
        <v>5615</v>
      </c>
      <c r="B3937" s="12" t="s">
        <v>5489</v>
      </c>
      <c r="C3937" s="14">
        <v>43333.33</v>
      </c>
      <c r="D3937" s="12"/>
      <c r="E3937" s="14"/>
    </row>
    <row r="3938" spans="1:5" ht="11.1" hidden="1" customHeight="1" x14ac:dyDescent="0.25">
      <c r="A3938" s="12" t="s">
        <v>5616</v>
      </c>
      <c r="B3938" s="12" t="s">
        <v>5617</v>
      </c>
      <c r="C3938" s="14">
        <v>43333.33</v>
      </c>
      <c r="D3938" s="12"/>
      <c r="E3938" s="14"/>
    </row>
    <row r="3939" spans="1:5" ht="11.1" hidden="1" customHeight="1" x14ac:dyDescent="0.25">
      <c r="A3939" s="12" t="s">
        <v>5618</v>
      </c>
      <c r="B3939" s="12" t="s">
        <v>482</v>
      </c>
      <c r="C3939" s="14">
        <v>11276.67</v>
      </c>
      <c r="D3939" s="12"/>
      <c r="E3939" s="14"/>
    </row>
    <row r="3940" spans="1:5" ht="11.1" hidden="1" customHeight="1" x14ac:dyDescent="0.25">
      <c r="A3940" s="12" t="s">
        <v>5619</v>
      </c>
      <c r="B3940" s="12" t="s">
        <v>5620</v>
      </c>
      <c r="C3940" s="14">
        <v>241.67</v>
      </c>
      <c r="D3940" s="12"/>
      <c r="E3940" s="13"/>
    </row>
    <row r="3941" spans="1:5" ht="11.1" hidden="1" customHeight="1" x14ac:dyDescent="0.25">
      <c r="A3941" s="12" t="s">
        <v>5621</v>
      </c>
      <c r="B3941" s="12" t="s">
        <v>5622</v>
      </c>
      <c r="C3941" s="14">
        <v>318</v>
      </c>
      <c r="D3941" s="12"/>
      <c r="E3941" s="13"/>
    </row>
    <row r="3942" spans="1:5" ht="11.1" hidden="1" customHeight="1" x14ac:dyDescent="0.25">
      <c r="A3942" s="12" t="s">
        <v>5623</v>
      </c>
      <c r="B3942" s="12" t="s">
        <v>5624</v>
      </c>
      <c r="C3942" s="14">
        <v>300.89999999999998</v>
      </c>
      <c r="D3942" s="12"/>
      <c r="E3942" s="13"/>
    </row>
    <row r="3943" spans="1:5" ht="11.1" hidden="1" customHeight="1" x14ac:dyDescent="0.25">
      <c r="A3943" s="12" t="s">
        <v>5625</v>
      </c>
      <c r="B3943" s="12" t="s">
        <v>5626</v>
      </c>
      <c r="C3943" s="14">
        <v>1270.83</v>
      </c>
      <c r="D3943" s="12"/>
      <c r="E3943" s="14"/>
    </row>
    <row r="3944" spans="1:5" ht="11.1" hidden="1" customHeight="1" x14ac:dyDescent="0.25">
      <c r="A3944" s="12" t="s">
        <v>5627</v>
      </c>
      <c r="B3944" s="12" t="s">
        <v>5628</v>
      </c>
      <c r="C3944" s="14">
        <v>235</v>
      </c>
      <c r="D3944" s="12"/>
      <c r="E3944" s="13"/>
    </row>
    <row r="3945" spans="1:5" ht="11.1" hidden="1" customHeight="1" x14ac:dyDescent="0.25">
      <c r="A3945" s="12" t="s">
        <v>5629</v>
      </c>
      <c r="B3945" s="12" t="s">
        <v>5628</v>
      </c>
      <c r="C3945" s="14">
        <v>245</v>
      </c>
      <c r="D3945" s="12"/>
      <c r="E3945" s="13"/>
    </row>
    <row r="3946" spans="1:5" ht="11.1" hidden="1" customHeight="1" x14ac:dyDescent="0.25">
      <c r="A3946" s="12" t="s">
        <v>5630</v>
      </c>
      <c r="B3946" s="12" t="s">
        <v>5631</v>
      </c>
      <c r="C3946" s="14">
        <v>239</v>
      </c>
      <c r="D3946" s="12"/>
      <c r="E3946" s="13"/>
    </row>
    <row r="3947" spans="1:5" ht="11.1" hidden="1" customHeight="1" x14ac:dyDescent="0.25">
      <c r="A3947" s="12" t="s">
        <v>5632</v>
      </c>
      <c r="B3947" s="12" t="s">
        <v>5633</v>
      </c>
      <c r="C3947" s="14">
        <v>235</v>
      </c>
      <c r="D3947" s="12"/>
      <c r="E3947" s="13"/>
    </row>
    <row r="3948" spans="1:5" ht="11.1" hidden="1" customHeight="1" x14ac:dyDescent="0.25">
      <c r="A3948" s="12" t="s">
        <v>5634</v>
      </c>
      <c r="B3948" s="12" t="s">
        <v>5631</v>
      </c>
      <c r="C3948" s="14">
        <v>235</v>
      </c>
      <c r="D3948" s="12"/>
      <c r="E3948" s="13"/>
    </row>
    <row r="3949" spans="1:5" ht="11.1" hidden="1" customHeight="1" x14ac:dyDescent="0.25">
      <c r="A3949" s="12" t="s">
        <v>5635</v>
      </c>
      <c r="B3949" s="12" t="s">
        <v>5636</v>
      </c>
      <c r="C3949" s="14">
        <v>103.33</v>
      </c>
      <c r="D3949" s="12"/>
      <c r="E3949" s="13"/>
    </row>
    <row r="3950" spans="1:5" ht="11.1" hidden="1" customHeight="1" x14ac:dyDescent="0.25">
      <c r="A3950" s="12" t="s">
        <v>5637</v>
      </c>
      <c r="B3950" s="12" t="s">
        <v>5638</v>
      </c>
      <c r="C3950" s="14">
        <v>18162</v>
      </c>
      <c r="D3950" s="12"/>
      <c r="E3950" s="14"/>
    </row>
    <row r="3951" spans="1:5" ht="11.1" hidden="1" customHeight="1" x14ac:dyDescent="0.25">
      <c r="A3951" s="12" t="s">
        <v>5639</v>
      </c>
      <c r="B3951" s="12" t="s">
        <v>5640</v>
      </c>
      <c r="C3951" s="14">
        <v>255.83</v>
      </c>
      <c r="D3951" s="12"/>
      <c r="E3951" s="13"/>
    </row>
    <row r="3952" spans="1:5" ht="11.1" hidden="1" customHeight="1" x14ac:dyDescent="0.25">
      <c r="A3952" s="12" t="s">
        <v>5641</v>
      </c>
      <c r="B3952" s="12" t="s">
        <v>5640</v>
      </c>
      <c r="C3952" s="14">
        <v>346.67</v>
      </c>
      <c r="D3952" s="12"/>
      <c r="E3952" s="13"/>
    </row>
    <row r="3953" spans="1:5" ht="11.1" hidden="1" customHeight="1" x14ac:dyDescent="0.25">
      <c r="A3953" s="12" t="s">
        <v>5642</v>
      </c>
      <c r="B3953" s="12" t="s">
        <v>4917</v>
      </c>
      <c r="C3953" s="14">
        <v>10950</v>
      </c>
      <c r="D3953" s="12"/>
      <c r="E3953" s="14"/>
    </row>
    <row r="3954" spans="1:5" ht="11.1" hidden="1" customHeight="1" x14ac:dyDescent="0.25">
      <c r="A3954" s="12" t="s">
        <v>5643</v>
      </c>
      <c r="B3954" s="12" t="s">
        <v>5644</v>
      </c>
      <c r="C3954" s="14">
        <v>1180.83</v>
      </c>
      <c r="D3954" s="12"/>
      <c r="E3954" s="14"/>
    </row>
    <row r="3955" spans="1:5" ht="11.1" hidden="1" customHeight="1" x14ac:dyDescent="0.25">
      <c r="A3955" s="12" t="s">
        <v>5645</v>
      </c>
      <c r="B3955" s="12" t="s">
        <v>2030</v>
      </c>
      <c r="C3955" s="14">
        <v>513.17999999999995</v>
      </c>
      <c r="D3955" s="12"/>
      <c r="E3955" s="13"/>
    </row>
    <row r="3956" spans="1:5" ht="11.1" hidden="1" customHeight="1" x14ac:dyDescent="0.25">
      <c r="A3956" s="12" t="s">
        <v>5646</v>
      </c>
      <c r="B3956" s="12" t="s">
        <v>1151</v>
      </c>
      <c r="C3956" s="14">
        <v>1243.33</v>
      </c>
      <c r="D3956" s="12"/>
      <c r="E3956" s="14"/>
    </row>
    <row r="3957" spans="1:5" ht="11.1" hidden="1" customHeight="1" x14ac:dyDescent="0.25">
      <c r="A3957" s="12" t="s">
        <v>5647</v>
      </c>
      <c r="B3957" s="12" t="s">
        <v>2032</v>
      </c>
      <c r="C3957" s="14">
        <v>253.01</v>
      </c>
      <c r="D3957" s="12"/>
      <c r="E3957" s="13"/>
    </row>
    <row r="3958" spans="1:5" ht="11.1" hidden="1" customHeight="1" x14ac:dyDescent="0.25">
      <c r="A3958" s="12" t="s">
        <v>5648</v>
      </c>
      <c r="B3958" s="12" t="s">
        <v>5649</v>
      </c>
      <c r="C3958" s="14">
        <v>14805</v>
      </c>
      <c r="D3958" s="12"/>
      <c r="E3958" s="14"/>
    </row>
    <row r="3959" spans="1:5" ht="11.1" hidden="1" customHeight="1" x14ac:dyDescent="0.25">
      <c r="A3959" s="12" t="s">
        <v>5650</v>
      </c>
      <c r="B3959" s="12" t="s">
        <v>2210</v>
      </c>
      <c r="C3959" s="14">
        <v>24.17</v>
      </c>
      <c r="D3959" s="12"/>
      <c r="E3959" s="13"/>
    </row>
    <row r="3960" spans="1:5" ht="11.1" hidden="1" customHeight="1" x14ac:dyDescent="0.25">
      <c r="A3960" s="12" t="s">
        <v>5651</v>
      </c>
      <c r="B3960" s="12" t="s">
        <v>2210</v>
      </c>
      <c r="C3960" s="14">
        <v>70</v>
      </c>
      <c r="D3960" s="12"/>
      <c r="E3960" s="13"/>
    </row>
    <row r="3961" spans="1:5" ht="11.1" hidden="1" customHeight="1" x14ac:dyDescent="0.25">
      <c r="A3961" s="12" t="s">
        <v>5652</v>
      </c>
      <c r="B3961" s="12" t="s">
        <v>2282</v>
      </c>
      <c r="C3961" s="14">
        <v>3959.1</v>
      </c>
      <c r="D3961" s="12"/>
      <c r="E3961" s="14"/>
    </row>
    <row r="3962" spans="1:5" ht="11.1" hidden="1" customHeight="1" x14ac:dyDescent="0.25">
      <c r="A3962" s="12" t="s">
        <v>5653</v>
      </c>
      <c r="B3962" s="12" t="s">
        <v>5654</v>
      </c>
      <c r="C3962" s="14">
        <v>83.34</v>
      </c>
      <c r="D3962" s="12"/>
      <c r="E3962" s="13"/>
    </row>
    <row r="3963" spans="1:5" ht="11.1" hidden="1" customHeight="1" x14ac:dyDescent="0.25">
      <c r="A3963" s="12" t="s">
        <v>5655</v>
      </c>
      <c r="B3963" s="12" t="s">
        <v>5656</v>
      </c>
      <c r="C3963" s="14">
        <v>947</v>
      </c>
      <c r="D3963" s="12"/>
      <c r="E3963" s="13"/>
    </row>
    <row r="3964" spans="1:5" ht="11.1" hidden="1" customHeight="1" x14ac:dyDescent="0.25">
      <c r="A3964" s="12" t="s">
        <v>5657</v>
      </c>
      <c r="B3964" s="12" t="s">
        <v>2028</v>
      </c>
      <c r="C3964" s="14">
        <v>328.33</v>
      </c>
      <c r="D3964" s="12"/>
      <c r="E3964" s="13"/>
    </row>
    <row r="3965" spans="1:5" ht="11.1" hidden="1" customHeight="1" x14ac:dyDescent="0.25">
      <c r="A3965" s="12" t="s">
        <v>5658</v>
      </c>
      <c r="B3965" s="12" t="s">
        <v>752</v>
      </c>
      <c r="C3965" s="14">
        <v>1670.83</v>
      </c>
      <c r="D3965" s="12"/>
      <c r="E3965" s="14"/>
    </row>
    <row r="3966" spans="1:5" ht="11.1" hidden="1" customHeight="1" x14ac:dyDescent="0.25">
      <c r="A3966" s="12" t="s">
        <v>5659</v>
      </c>
      <c r="B3966" s="12" t="s">
        <v>5660</v>
      </c>
      <c r="C3966" s="14">
        <v>1415.83</v>
      </c>
      <c r="D3966" s="12"/>
      <c r="E3966" s="14"/>
    </row>
    <row r="3967" spans="1:5" ht="11.1" hidden="1" customHeight="1" x14ac:dyDescent="0.25">
      <c r="A3967" s="12" t="s">
        <v>5661</v>
      </c>
      <c r="B3967" s="12" t="s">
        <v>5662</v>
      </c>
      <c r="C3967" s="14">
        <v>3996</v>
      </c>
      <c r="D3967" s="12"/>
      <c r="E3967" s="14"/>
    </row>
    <row r="3968" spans="1:5" ht="11.1" hidden="1" customHeight="1" x14ac:dyDescent="0.25">
      <c r="A3968" s="12" t="s">
        <v>5663</v>
      </c>
      <c r="B3968" s="12" t="s">
        <v>5664</v>
      </c>
      <c r="C3968" s="14">
        <v>3187.5</v>
      </c>
      <c r="D3968" s="12"/>
      <c r="E3968" s="14"/>
    </row>
    <row r="3969" spans="1:5" ht="23.1" hidden="1" customHeight="1" x14ac:dyDescent="0.25">
      <c r="A3969" s="12" t="s">
        <v>5665</v>
      </c>
      <c r="B3969" s="12" t="s">
        <v>3993</v>
      </c>
      <c r="C3969" s="14">
        <v>2329</v>
      </c>
      <c r="D3969" s="12"/>
      <c r="E3969" s="14"/>
    </row>
    <row r="3970" spans="1:5" ht="11.1" hidden="1" customHeight="1" x14ac:dyDescent="0.25">
      <c r="A3970" s="12" t="s">
        <v>5666</v>
      </c>
      <c r="B3970" s="12" t="s">
        <v>2076</v>
      </c>
      <c r="C3970" s="14">
        <v>4322.25</v>
      </c>
      <c r="D3970" s="12"/>
      <c r="E3970" s="14"/>
    </row>
    <row r="3971" spans="1:5" ht="11.1" hidden="1" customHeight="1" x14ac:dyDescent="0.25">
      <c r="A3971" s="12" t="s">
        <v>5667</v>
      </c>
      <c r="B3971" s="12" t="s">
        <v>2076</v>
      </c>
      <c r="C3971" s="14">
        <v>4322.25</v>
      </c>
      <c r="D3971" s="12"/>
      <c r="E3971" s="14"/>
    </row>
    <row r="3972" spans="1:5" ht="11.1" hidden="1" customHeight="1" x14ac:dyDescent="0.25">
      <c r="A3972" s="12" t="s">
        <v>5668</v>
      </c>
      <c r="B3972" s="12" t="s">
        <v>2076</v>
      </c>
      <c r="C3972" s="14">
        <v>4322.25</v>
      </c>
      <c r="D3972" s="12"/>
      <c r="E3972" s="14"/>
    </row>
    <row r="3973" spans="1:5" ht="11.1" hidden="1" customHeight="1" x14ac:dyDescent="0.25">
      <c r="A3973" s="12" t="s">
        <v>5669</v>
      </c>
      <c r="B3973" s="12" t="s">
        <v>3985</v>
      </c>
      <c r="C3973" s="14">
        <v>4322.25</v>
      </c>
      <c r="D3973" s="12"/>
      <c r="E3973" s="14"/>
    </row>
    <row r="3974" spans="1:5" ht="11.1" hidden="1" customHeight="1" x14ac:dyDescent="0.25">
      <c r="A3974" s="12" t="s">
        <v>5670</v>
      </c>
      <c r="B3974" s="12" t="s">
        <v>2244</v>
      </c>
      <c r="C3974" s="14">
        <v>4322.25</v>
      </c>
      <c r="D3974" s="12"/>
      <c r="E3974" s="14"/>
    </row>
    <row r="3975" spans="1:5" ht="11.1" hidden="1" customHeight="1" x14ac:dyDescent="0.25">
      <c r="A3975" s="12" t="s">
        <v>5671</v>
      </c>
      <c r="B3975" s="12" t="s">
        <v>4002</v>
      </c>
      <c r="C3975" s="14">
        <v>4322.25</v>
      </c>
      <c r="D3975" s="12"/>
      <c r="E3975" s="14"/>
    </row>
    <row r="3976" spans="1:5" ht="11.1" hidden="1" customHeight="1" x14ac:dyDescent="0.25">
      <c r="A3976" s="12" t="s">
        <v>5672</v>
      </c>
      <c r="B3976" s="12" t="s">
        <v>4000</v>
      </c>
      <c r="C3976" s="14">
        <v>4322.25</v>
      </c>
      <c r="D3976" s="12"/>
      <c r="E3976" s="14"/>
    </row>
    <row r="3977" spans="1:5" ht="11.1" hidden="1" customHeight="1" x14ac:dyDescent="0.25">
      <c r="A3977" s="12" t="s">
        <v>5673</v>
      </c>
      <c r="B3977" s="12" t="s">
        <v>72</v>
      </c>
      <c r="C3977" s="14">
        <v>2116.5</v>
      </c>
      <c r="D3977" s="12"/>
      <c r="E3977" s="14"/>
    </row>
    <row r="3978" spans="1:5" ht="11.1" hidden="1" customHeight="1" x14ac:dyDescent="0.25">
      <c r="A3978" s="12" t="s">
        <v>5674</v>
      </c>
      <c r="B3978" s="12" t="s">
        <v>72</v>
      </c>
      <c r="C3978" s="14">
        <v>2116.5</v>
      </c>
      <c r="D3978" s="12"/>
      <c r="E3978" s="14"/>
    </row>
    <row r="3979" spans="1:5" ht="11.1" hidden="1" customHeight="1" x14ac:dyDescent="0.25">
      <c r="A3979" s="12" t="s">
        <v>5675</v>
      </c>
      <c r="B3979" s="12" t="s">
        <v>72</v>
      </c>
      <c r="C3979" s="14">
        <v>2116.5</v>
      </c>
      <c r="D3979" s="12"/>
      <c r="E3979" s="14"/>
    </row>
    <row r="3980" spans="1:5" ht="11.1" hidden="1" customHeight="1" x14ac:dyDescent="0.25">
      <c r="A3980" s="12" t="s">
        <v>5676</v>
      </c>
      <c r="B3980" s="12" t="s">
        <v>72</v>
      </c>
      <c r="C3980" s="14">
        <v>2116.5</v>
      </c>
      <c r="D3980" s="12"/>
      <c r="E3980" s="14"/>
    </row>
    <row r="3981" spans="1:5" ht="11.1" hidden="1" customHeight="1" x14ac:dyDescent="0.25">
      <c r="A3981" s="12" t="s">
        <v>5677</v>
      </c>
      <c r="B3981" s="12" t="s">
        <v>72</v>
      </c>
      <c r="C3981" s="14">
        <v>2116.5</v>
      </c>
      <c r="D3981" s="12"/>
      <c r="E3981" s="14"/>
    </row>
    <row r="3982" spans="1:5" ht="11.1" hidden="1" customHeight="1" x14ac:dyDescent="0.25">
      <c r="A3982" s="12" t="s">
        <v>5678</v>
      </c>
      <c r="B3982" s="12" t="s">
        <v>72</v>
      </c>
      <c r="C3982" s="14">
        <v>2116.5</v>
      </c>
      <c r="D3982" s="12"/>
      <c r="E3982" s="14"/>
    </row>
    <row r="3983" spans="1:5" ht="11.1" hidden="1" customHeight="1" x14ac:dyDescent="0.25">
      <c r="A3983" s="12" t="s">
        <v>5679</v>
      </c>
      <c r="B3983" s="12" t="s">
        <v>72</v>
      </c>
      <c r="C3983" s="14">
        <v>2116.5</v>
      </c>
      <c r="D3983" s="12"/>
      <c r="E3983" s="14"/>
    </row>
    <row r="3984" spans="1:5" ht="11.1" hidden="1" customHeight="1" x14ac:dyDescent="0.25">
      <c r="A3984" s="12" t="s">
        <v>5680</v>
      </c>
      <c r="B3984" s="12" t="s">
        <v>2076</v>
      </c>
      <c r="C3984" s="14">
        <v>1598</v>
      </c>
      <c r="D3984" s="12"/>
      <c r="E3984" s="14"/>
    </row>
    <row r="3985" spans="1:5" ht="11.1" hidden="1" customHeight="1" x14ac:dyDescent="0.25">
      <c r="A3985" s="12" t="s">
        <v>5681</v>
      </c>
      <c r="B3985" s="12" t="s">
        <v>4002</v>
      </c>
      <c r="C3985" s="14">
        <v>1598</v>
      </c>
      <c r="D3985" s="12"/>
      <c r="E3985" s="14"/>
    </row>
    <row r="3986" spans="1:5" ht="11.1" hidden="1" customHeight="1" x14ac:dyDescent="0.25">
      <c r="A3986" s="12" t="s">
        <v>5682</v>
      </c>
      <c r="B3986" s="12" t="s">
        <v>2076</v>
      </c>
      <c r="C3986" s="14">
        <v>1598</v>
      </c>
      <c r="D3986" s="12"/>
      <c r="E3986" s="14"/>
    </row>
    <row r="3987" spans="1:5" ht="11.1" hidden="1" customHeight="1" x14ac:dyDescent="0.25">
      <c r="A3987" s="12" t="s">
        <v>5683</v>
      </c>
      <c r="B3987" s="12" t="s">
        <v>2244</v>
      </c>
      <c r="C3987" s="14">
        <v>1598</v>
      </c>
      <c r="D3987" s="12"/>
      <c r="E3987" s="14"/>
    </row>
    <row r="3988" spans="1:5" ht="11.1" hidden="1" customHeight="1" x14ac:dyDescent="0.25">
      <c r="A3988" s="12" t="s">
        <v>5684</v>
      </c>
      <c r="B3988" s="12" t="s">
        <v>2074</v>
      </c>
      <c r="C3988" s="14">
        <v>2329</v>
      </c>
      <c r="D3988" s="12"/>
      <c r="E3988" s="14"/>
    </row>
    <row r="3989" spans="1:5" ht="23.1" hidden="1" customHeight="1" x14ac:dyDescent="0.25">
      <c r="A3989" s="12" t="s">
        <v>5685</v>
      </c>
      <c r="B3989" s="12" t="s">
        <v>2074</v>
      </c>
      <c r="C3989" s="14">
        <v>2329</v>
      </c>
      <c r="D3989" s="12"/>
      <c r="E3989" s="14"/>
    </row>
    <row r="3990" spans="1:5" ht="11.1" hidden="1" customHeight="1" x14ac:dyDescent="0.25">
      <c r="A3990" s="12" t="s">
        <v>5686</v>
      </c>
      <c r="B3990" s="12" t="s">
        <v>5687</v>
      </c>
      <c r="C3990" s="14">
        <v>2329</v>
      </c>
      <c r="D3990" s="12"/>
      <c r="E3990" s="14"/>
    </row>
    <row r="3991" spans="1:5" ht="11.1" hidden="1" customHeight="1" x14ac:dyDescent="0.25">
      <c r="A3991" s="12" t="s">
        <v>5688</v>
      </c>
      <c r="B3991" s="12" t="s">
        <v>5687</v>
      </c>
      <c r="C3991" s="14">
        <v>2329</v>
      </c>
      <c r="D3991" s="12"/>
      <c r="E3991" s="14"/>
    </row>
    <row r="3992" spans="1:5" ht="11.1" hidden="1" customHeight="1" x14ac:dyDescent="0.25">
      <c r="A3992" s="12" t="s">
        <v>5689</v>
      </c>
      <c r="B3992" s="12" t="s">
        <v>5687</v>
      </c>
      <c r="C3992" s="14">
        <v>2329</v>
      </c>
      <c r="D3992" s="12"/>
      <c r="E3992" s="14"/>
    </row>
    <row r="3993" spans="1:5" ht="11.1" hidden="1" customHeight="1" x14ac:dyDescent="0.25">
      <c r="A3993" s="12" t="s">
        <v>5690</v>
      </c>
      <c r="B3993" s="12" t="s">
        <v>5691</v>
      </c>
      <c r="C3993" s="14">
        <v>2329</v>
      </c>
      <c r="D3993" s="12"/>
      <c r="E3993" s="14"/>
    </row>
    <row r="3994" spans="1:5" ht="11.1" hidden="1" customHeight="1" x14ac:dyDescent="0.25">
      <c r="A3994" s="12" t="s">
        <v>5692</v>
      </c>
      <c r="B3994" s="12" t="s">
        <v>3985</v>
      </c>
      <c r="C3994" s="14">
        <v>2329</v>
      </c>
      <c r="D3994" s="12"/>
      <c r="E3994" s="14"/>
    </row>
    <row r="3995" spans="1:5" ht="11.1" hidden="1" customHeight="1" x14ac:dyDescent="0.25">
      <c r="A3995" s="12" t="s">
        <v>5693</v>
      </c>
      <c r="B3995" s="12" t="s">
        <v>4002</v>
      </c>
      <c r="C3995" s="14">
        <v>2435.25</v>
      </c>
      <c r="D3995" s="12"/>
      <c r="E3995" s="14"/>
    </row>
    <row r="3996" spans="1:5" ht="11.1" hidden="1" customHeight="1" x14ac:dyDescent="0.25">
      <c r="A3996" s="12" t="s">
        <v>5694</v>
      </c>
      <c r="B3996" s="12" t="s">
        <v>2893</v>
      </c>
      <c r="C3996" s="14">
        <v>845.9</v>
      </c>
      <c r="D3996" s="12"/>
      <c r="E3996" s="13"/>
    </row>
    <row r="3997" spans="1:5" ht="11.1" hidden="1" customHeight="1" x14ac:dyDescent="0.25">
      <c r="A3997" s="12" t="s">
        <v>5695</v>
      </c>
      <c r="B3997" s="12" t="s">
        <v>1925</v>
      </c>
      <c r="C3997" s="14">
        <v>257</v>
      </c>
      <c r="D3997" s="12"/>
      <c r="E3997" s="13"/>
    </row>
    <row r="3998" spans="1:5" ht="11.1" hidden="1" customHeight="1" x14ac:dyDescent="0.25">
      <c r="A3998" s="12" t="s">
        <v>5696</v>
      </c>
      <c r="B3998" s="12" t="s">
        <v>2650</v>
      </c>
      <c r="C3998" s="14">
        <v>214.17</v>
      </c>
      <c r="D3998" s="12"/>
      <c r="E3998" s="13"/>
    </row>
    <row r="3999" spans="1:5" ht="11.1" hidden="1" customHeight="1" x14ac:dyDescent="0.25">
      <c r="A3999" s="12" t="s">
        <v>5697</v>
      </c>
      <c r="B3999" s="12" t="s">
        <v>5698</v>
      </c>
      <c r="C3999" s="14">
        <v>7925.83</v>
      </c>
      <c r="D3999" s="12"/>
      <c r="E3999" s="14"/>
    </row>
    <row r="4000" spans="1:5" ht="11.1" hidden="1" customHeight="1" x14ac:dyDescent="0.25">
      <c r="A4000" s="12" t="s">
        <v>5699</v>
      </c>
      <c r="B4000" s="12" t="s">
        <v>5700</v>
      </c>
      <c r="C4000" s="14">
        <v>5840</v>
      </c>
      <c r="D4000" s="12"/>
      <c r="E4000" s="14"/>
    </row>
    <row r="4001" spans="1:5" ht="11.1" hidden="1" customHeight="1" x14ac:dyDescent="0.25">
      <c r="A4001" s="12" t="s">
        <v>5701</v>
      </c>
      <c r="B4001" s="12" t="s">
        <v>5702</v>
      </c>
      <c r="C4001" s="14">
        <v>326.67</v>
      </c>
      <c r="D4001" s="12"/>
      <c r="E4001" s="13"/>
    </row>
    <row r="4002" spans="1:5" ht="11.1" hidden="1" customHeight="1" x14ac:dyDescent="0.25">
      <c r="A4002" s="12" t="s">
        <v>5703</v>
      </c>
      <c r="B4002" s="12" t="s">
        <v>2040</v>
      </c>
      <c r="C4002" s="14">
        <v>1063.33</v>
      </c>
      <c r="D4002" s="12"/>
      <c r="E4002" s="14"/>
    </row>
    <row r="4003" spans="1:5" ht="11.1" hidden="1" customHeight="1" x14ac:dyDescent="0.25">
      <c r="A4003" s="12" t="s">
        <v>5704</v>
      </c>
      <c r="B4003" s="12" t="s">
        <v>2044</v>
      </c>
      <c r="C4003" s="14">
        <v>745</v>
      </c>
      <c r="D4003" s="12"/>
      <c r="E4003" s="13"/>
    </row>
    <row r="4004" spans="1:5" ht="11.1" hidden="1" customHeight="1" x14ac:dyDescent="0.25">
      <c r="A4004" s="12" t="s">
        <v>5705</v>
      </c>
      <c r="B4004" s="12" t="s">
        <v>5706</v>
      </c>
      <c r="C4004" s="14">
        <v>14583.33</v>
      </c>
      <c r="D4004" s="12"/>
      <c r="E4004" s="14"/>
    </row>
    <row r="4005" spans="1:5" ht="11.1" hidden="1" customHeight="1" x14ac:dyDescent="0.25">
      <c r="A4005" s="12" t="s">
        <v>5707</v>
      </c>
      <c r="B4005" s="12" t="s">
        <v>5708</v>
      </c>
      <c r="C4005" s="14">
        <v>4665.84</v>
      </c>
      <c r="D4005" s="12"/>
      <c r="E4005" s="14"/>
    </row>
    <row r="4006" spans="1:5" ht="11.1" hidden="1" customHeight="1" x14ac:dyDescent="0.25">
      <c r="A4006" s="12" t="s">
        <v>5709</v>
      </c>
      <c r="B4006" s="12" t="s">
        <v>2577</v>
      </c>
      <c r="C4006" s="14">
        <v>6036.54</v>
      </c>
      <c r="D4006" s="12"/>
      <c r="E4006" s="14"/>
    </row>
    <row r="4007" spans="1:5" ht="11.1" hidden="1" customHeight="1" x14ac:dyDescent="0.25">
      <c r="A4007" s="12" t="s">
        <v>5710</v>
      </c>
      <c r="B4007" s="12" t="s">
        <v>5711</v>
      </c>
      <c r="C4007" s="14">
        <v>20466.669999999998</v>
      </c>
      <c r="D4007" s="12"/>
      <c r="E4007" s="14"/>
    </row>
    <row r="4008" spans="1:5" ht="11.1" hidden="1" customHeight="1" x14ac:dyDescent="0.25">
      <c r="A4008" s="12" t="s">
        <v>5712</v>
      </c>
      <c r="B4008" s="12" t="s">
        <v>5713</v>
      </c>
      <c r="C4008" s="14">
        <v>12631</v>
      </c>
      <c r="D4008" s="12"/>
      <c r="E4008" s="14"/>
    </row>
    <row r="4009" spans="1:5" ht="11.1" hidden="1" customHeight="1" x14ac:dyDescent="0.25">
      <c r="A4009" s="12" t="s">
        <v>5714</v>
      </c>
      <c r="B4009" s="12" t="s">
        <v>188</v>
      </c>
      <c r="C4009" s="14">
        <v>13166.67</v>
      </c>
      <c r="D4009" s="12"/>
      <c r="E4009" s="14"/>
    </row>
    <row r="4010" spans="1:5" ht="11.1" hidden="1" customHeight="1" x14ac:dyDescent="0.25">
      <c r="A4010" s="12" t="s">
        <v>5715</v>
      </c>
      <c r="B4010" s="12" t="s">
        <v>182</v>
      </c>
      <c r="C4010" s="14">
        <v>19120</v>
      </c>
      <c r="D4010" s="12"/>
      <c r="E4010" s="14"/>
    </row>
    <row r="4011" spans="1:5" ht="11.1" hidden="1" customHeight="1" x14ac:dyDescent="0.25">
      <c r="A4011" s="12" t="s">
        <v>5716</v>
      </c>
      <c r="B4011" s="12" t="s">
        <v>4724</v>
      </c>
      <c r="C4011" s="14">
        <v>20820.830000000002</v>
      </c>
      <c r="D4011" s="12"/>
      <c r="E4011" s="14"/>
    </row>
    <row r="4012" spans="1:5" ht="11.1" hidden="1" customHeight="1" x14ac:dyDescent="0.25">
      <c r="A4012" s="12" t="s">
        <v>5717</v>
      </c>
      <c r="B4012" s="12" t="s">
        <v>5718</v>
      </c>
      <c r="C4012" s="14">
        <v>190</v>
      </c>
      <c r="D4012" s="12"/>
      <c r="E4012" s="13"/>
    </row>
    <row r="4013" spans="1:5" ht="11.1" hidden="1" customHeight="1" x14ac:dyDescent="0.25">
      <c r="A4013" s="12" t="s">
        <v>5719</v>
      </c>
      <c r="B4013" s="12" t="s">
        <v>5720</v>
      </c>
      <c r="C4013" s="14">
        <v>2003.33</v>
      </c>
      <c r="D4013" s="12"/>
      <c r="E4013" s="14"/>
    </row>
    <row r="4014" spans="1:5" ht="11.1" hidden="1" customHeight="1" x14ac:dyDescent="0.25">
      <c r="A4014" s="12" t="s">
        <v>5721</v>
      </c>
      <c r="B4014" s="12" t="s">
        <v>5722</v>
      </c>
      <c r="C4014" s="14">
        <v>17.5</v>
      </c>
      <c r="D4014" s="12"/>
      <c r="E4014" s="13"/>
    </row>
    <row r="4015" spans="1:5" ht="11.1" hidden="1" customHeight="1" x14ac:dyDescent="0.25">
      <c r="A4015" s="12" t="s">
        <v>5723</v>
      </c>
      <c r="B4015" s="12" t="s">
        <v>5722</v>
      </c>
      <c r="C4015" s="14">
        <v>133.33000000000001</v>
      </c>
      <c r="D4015" s="12"/>
      <c r="E4015" s="13"/>
    </row>
    <row r="4016" spans="1:5" ht="11.1" hidden="1" customHeight="1" x14ac:dyDescent="0.25">
      <c r="A4016" s="12" t="s">
        <v>5724</v>
      </c>
      <c r="B4016" s="12" t="s">
        <v>5123</v>
      </c>
      <c r="C4016" s="14">
        <v>5200</v>
      </c>
      <c r="D4016" s="12"/>
      <c r="E4016" s="14"/>
    </row>
    <row r="4017" spans="1:5" ht="11.1" hidden="1" customHeight="1" x14ac:dyDescent="0.25">
      <c r="A4017" s="12" t="s">
        <v>5725</v>
      </c>
      <c r="B4017" s="12" t="s">
        <v>3415</v>
      </c>
      <c r="C4017" s="14">
        <v>80.260000000000005</v>
      </c>
      <c r="D4017" s="12"/>
      <c r="E4017" s="13"/>
    </row>
    <row r="4018" spans="1:5" ht="11.1" hidden="1" customHeight="1" x14ac:dyDescent="0.25">
      <c r="A4018" s="12" t="s">
        <v>5726</v>
      </c>
      <c r="B4018" s="12" t="s">
        <v>5727</v>
      </c>
      <c r="C4018" s="14">
        <v>480000</v>
      </c>
      <c r="D4018" s="12"/>
      <c r="E4018" s="14"/>
    </row>
    <row r="4019" spans="1:5" ht="11.1" hidden="1" customHeight="1" x14ac:dyDescent="0.25">
      <c r="A4019" s="12" t="s">
        <v>5728</v>
      </c>
      <c r="B4019" s="12" t="s">
        <v>5727</v>
      </c>
      <c r="C4019" s="14">
        <v>120000</v>
      </c>
      <c r="D4019" s="12"/>
      <c r="E4019" s="14"/>
    </row>
    <row r="4020" spans="1:5" ht="11.1" hidden="1" customHeight="1" x14ac:dyDescent="0.25">
      <c r="A4020" s="12" t="s">
        <v>5729</v>
      </c>
      <c r="B4020" s="12" t="s">
        <v>5730</v>
      </c>
      <c r="C4020" s="14">
        <v>41238</v>
      </c>
      <c r="D4020" s="12"/>
      <c r="E4020" s="14"/>
    </row>
    <row r="4021" spans="1:5" ht="11.1" hidden="1" customHeight="1" x14ac:dyDescent="0.25">
      <c r="A4021" s="12" t="s">
        <v>5731</v>
      </c>
      <c r="B4021" s="12" t="s">
        <v>5732</v>
      </c>
      <c r="C4021" s="14">
        <v>5307.5</v>
      </c>
      <c r="D4021" s="12"/>
      <c r="E4021" s="14"/>
    </row>
    <row r="4022" spans="1:5" ht="11.1" hidden="1" customHeight="1" x14ac:dyDescent="0.25">
      <c r="A4022" s="12" t="s">
        <v>5733</v>
      </c>
      <c r="B4022" s="12" t="s">
        <v>5734</v>
      </c>
      <c r="C4022" s="14">
        <v>14425.83</v>
      </c>
      <c r="D4022" s="12"/>
      <c r="E4022" s="14"/>
    </row>
    <row r="4023" spans="1:5" ht="11.1" hidden="1" customHeight="1" x14ac:dyDescent="0.25">
      <c r="A4023" s="12" t="s">
        <v>5735</v>
      </c>
      <c r="B4023" s="12" t="s">
        <v>5736</v>
      </c>
      <c r="C4023" s="14">
        <v>11830.83</v>
      </c>
      <c r="D4023" s="12"/>
      <c r="E4023" s="14"/>
    </row>
    <row r="4024" spans="1:5" ht="11.1" hidden="1" customHeight="1" x14ac:dyDescent="0.25">
      <c r="A4024" s="12" t="s">
        <v>5737</v>
      </c>
      <c r="B4024" s="12" t="s">
        <v>5738</v>
      </c>
      <c r="C4024" s="14">
        <v>8615.83</v>
      </c>
      <c r="D4024" s="12"/>
      <c r="E4024" s="14"/>
    </row>
    <row r="4025" spans="1:5" ht="23.1" hidden="1" customHeight="1" x14ac:dyDescent="0.25">
      <c r="A4025" s="12" t="s">
        <v>5739</v>
      </c>
      <c r="B4025" s="12" t="s">
        <v>5740</v>
      </c>
      <c r="C4025" s="14">
        <v>6964.17</v>
      </c>
      <c r="D4025" s="12"/>
      <c r="E4025" s="14"/>
    </row>
    <row r="4026" spans="1:5" ht="11.1" hidden="1" customHeight="1" x14ac:dyDescent="0.25">
      <c r="A4026" s="12" t="s">
        <v>5741</v>
      </c>
      <c r="B4026" s="12" t="s">
        <v>205</v>
      </c>
      <c r="C4026" s="14">
        <v>47.5</v>
      </c>
      <c r="D4026" s="12"/>
      <c r="E4026" s="13"/>
    </row>
    <row r="4027" spans="1:5" ht="11.1" hidden="1" customHeight="1" x14ac:dyDescent="0.25">
      <c r="A4027" s="12" t="s">
        <v>5742</v>
      </c>
      <c r="B4027" s="12" t="s">
        <v>299</v>
      </c>
      <c r="C4027" s="14">
        <v>364.17</v>
      </c>
      <c r="D4027" s="12"/>
      <c r="E4027" s="13"/>
    </row>
    <row r="4028" spans="1:5" ht="11.1" hidden="1" customHeight="1" x14ac:dyDescent="0.25">
      <c r="A4028" s="12" t="s">
        <v>5743</v>
      </c>
      <c r="B4028" s="12" t="s">
        <v>752</v>
      </c>
      <c r="C4028" s="14">
        <v>1115</v>
      </c>
      <c r="D4028" s="12"/>
      <c r="E4028" s="14"/>
    </row>
    <row r="4029" spans="1:5" ht="11.1" hidden="1" customHeight="1" x14ac:dyDescent="0.25">
      <c r="A4029" s="12" t="s">
        <v>5744</v>
      </c>
      <c r="B4029" s="12" t="s">
        <v>5745</v>
      </c>
      <c r="C4029" s="14">
        <v>1702258.06</v>
      </c>
      <c r="D4029" s="12"/>
      <c r="E4029" s="14"/>
    </row>
    <row r="4030" spans="1:5" ht="11.1" hidden="1" customHeight="1" x14ac:dyDescent="0.25">
      <c r="A4030" s="12" t="s">
        <v>5746</v>
      </c>
      <c r="B4030" s="12" t="s">
        <v>5747</v>
      </c>
      <c r="C4030" s="14">
        <v>15000</v>
      </c>
      <c r="D4030" s="12"/>
      <c r="E4030" s="14"/>
    </row>
    <row r="4031" spans="1:5" ht="11.1" hidden="1" customHeight="1" x14ac:dyDescent="0.25">
      <c r="A4031" s="12" t="s">
        <v>5748</v>
      </c>
      <c r="B4031" s="12" t="s">
        <v>5749</v>
      </c>
      <c r="C4031" s="14">
        <v>300</v>
      </c>
      <c r="D4031" s="12"/>
      <c r="E4031" s="13"/>
    </row>
    <row r="4032" spans="1:5" ht="23.1" hidden="1" customHeight="1" x14ac:dyDescent="0.25">
      <c r="A4032" s="12" t="s">
        <v>5750</v>
      </c>
      <c r="B4032" s="12" t="s">
        <v>1008</v>
      </c>
      <c r="C4032" s="14">
        <v>166.67</v>
      </c>
      <c r="D4032" s="12"/>
      <c r="E4032" s="13"/>
    </row>
    <row r="4033" spans="1:5" ht="23.1" hidden="1" customHeight="1" x14ac:dyDescent="0.25">
      <c r="A4033" s="12" t="s">
        <v>5751</v>
      </c>
      <c r="B4033" s="12" t="s">
        <v>5752</v>
      </c>
      <c r="C4033" s="14">
        <v>333.33</v>
      </c>
      <c r="D4033" s="12"/>
      <c r="E4033" s="13"/>
    </row>
    <row r="4034" spans="1:5" ht="11.1" hidden="1" customHeight="1" x14ac:dyDescent="0.25">
      <c r="A4034" s="12" t="s">
        <v>5753</v>
      </c>
      <c r="B4034" s="12" t="s">
        <v>5754</v>
      </c>
      <c r="C4034" s="14">
        <v>53.33</v>
      </c>
      <c r="D4034" s="12"/>
      <c r="E4034" s="13"/>
    </row>
    <row r="4035" spans="1:5" ht="11.1" hidden="1" customHeight="1" x14ac:dyDescent="0.25">
      <c r="A4035" s="12" t="s">
        <v>5755</v>
      </c>
      <c r="B4035" s="12" t="s">
        <v>5752</v>
      </c>
      <c r="C4035" s="14">
        <v>283.33</v>
      </c>
      <c r="D4035" s="12"/>
      <c r="E4035" s="13"/>
    </row>
    <row r="4036" spans="1:5" ht="11.1" hidden="1" customHeight="1" x14ac:dyDescent="0.25">
      <c r="A4036" s="12" t="s">
        <v>5756</v>
      </c>
      <c r="B4036" s="12" t="s">
        <v>5757</v>
      </c>
      <c r="C4036" s="14">
        <v>65.59</v>
      </c>
      <c r="D4036" s="12"/>
      <c r="E4036" s="13"/>
    </row>
    <row r="4037" spans="1:5" ht="11.1" hidden="1" customHeight="1" x14ac:dyDescent="0.25">
      <c r="A4037" s="12" t="s">
        <v>5758</v>
      </c>
      <c r="B4037" s="12" t="s">
        <v>2076</v>
      </c>
      <c r="C4037" s="14">
        <v>352.75</v>
      </c>
      <c r="D4037" s="12"/>
      <c r="E4037" s="13"/>
    </row>
    <row r="4038" spans="1:5" ht="11.1" hidden="1" customHeight="1" x14ac:dyDescent="0.25">
      <c r="A4038" s="12" t="s">
        <v>5759</v>
      </c>
      <c r="B4038" s="12" t="s">
        <v>1958</v>
      </c>
      <c r="C4038" s="14">
        <v>62.83</v>
      </c>
      <c r="D4038" s="12"/>
      <c r="E4038" s="13"/>
    </row>
    <row r="4039" spans="1:5" ht="11.1" hidden="1" customHeight="1" x14ac:dyDescent="0.25">
      <c r="A4039" s="12" t="s">
        <v>5760</v>
      </c>
      <c r="B4039" s="12" t="s">
        <v>5761</v>
      </c>
      <c r="C4039" s="14">
        <v>808.33</v>
      </c>
      <c r="D4039" s="12"/>
      <c r="E4039" s="13"/>
    </row>
    <row r="4040" spans="1:5" ht="11.1" hidden="1" customHeight="1" x14ac:dyDescent="0.25">
      <c r="A4040" s="12" t="s">
        <v>5762</v>
      </c>
      <c r="B4040" s="12" t="s">
        <v>1925</v>
      </c>
      <c r="C4040" s="14">
        <v>140</v>
      </c>
      <c r="D4040" s="12"/>
      <c r="E4040" s="13"/>
    </row>
    <row r="4041" spans="1:5" ht="11.1" hidden="1" customHeight="1" x14ac:dyDescent="0.25">
      <c r="A4041" s="12" t="s">
        <v>5763</v>
      </c>
      <c r="B4041" s="12" t="s">
        <v>1860</v>
      </c>
      <c r="C4041" s="14">
        <v>600</v>
      </c>
      <c r="D4041" s="12"/>
      <c r="E4041" s="13"/>
    </row>
    <row r="4042" spans="1:5" ht="11.1" hidden="1" customHeight="1" x14ac:dyDescent="0.25">
      <c r="A4042" s="12" t="s">
        <v>5764</v>
      </c>
      <c r="B4042" s="12" t="s">
        <v>1860</v>
      </c>
      <c r="C4042" s="14">
        <v>883.33</v>
      </c>
      <c r="D4042" s="12"/>
      <c r="E4042" s="13"/>
    </row>
    <row r="4043" spans="1:5" ht="11.1" hidden="1" customHeight="1" x14ac:dyDescent="0.25">
      <c r="A4043" s="12" t="s">
        <v>5765</v>
      </c>
      <c r="B4043" s="12" t="s">
        <v>5766</v>
      </c>
      <c r="C4043" s="14">
        <v>4333.33</v>
      </c>
      <c r="D4043" s="12"/>
      <c r="E4043" s="14"/>
    </row>
    <row r="4044" spans="1:5" ht="11.1" hidden="1" customHeight="1" x14ac:dyDescent="0.25">
      <c r="A4044" s="12" t="s">
        <v>5767</v>
      </c>
      <c r="B4044" s="12" t="s">
        <v>5768</v>
      </c>
      <c r="C4044" s="14">
        <v>14858.34</v>
      </c>
      <c r="D4044" s="12"/>
      <c r="E4044" s="14"/>
    </row>
    <row r="4045" spans="1:5" ht="11.1" hidden="1" customHeight="1" x14ac:dyDescent="0.25">
      <c r="A4045" s="12" t="s">
        <v>5769</v>
      </c>
      <c r="B4045" s="12" t="s">
        <v>5770</v>
      </c>
      <c r="C4045" s="14">
        <v>1630.83</v>
      </c>
      <c r="D4045" s="12"/>
      <c r="E4045" s="14"/>
    </row>
    <row r="4046" spans="1:5" ht="11.1" hidden="1" customHeight="1" x14ac:dyDescent="0.25">
      <c r="A4046" s="12" t="s">
        <v>5771</v>
      </c>
      <c r="B4046" s="12" t="s">
        <v>5772</v>
      </c>
      <c r="C4046" s="14">
        <v>195910</v>
      </c>
      <c r="D4046" s="12"/>
      <c r="E4046" s="14"/>
    </row>
    <row r="4047" spans="1:5" ht="11.1" hidden="1" customHeight="1" x14ac:dyDescent="0.25">
      <c r="A4047" s="12" t="s">
        <v>5773</v>
      </c>
      <c r="B4047" s="12" t="s">
        <v>5774</v>
      </c>
      <c r="C4047" s="14">
        <v>188446</v>
      </c>
      <c r="D4047" s="12"/>
      <c r="E4047" s="14"/>
    </row>
    <row r="4048" spans="1:5" ht="11.1" hidden="1" customHeight="1" x14ac:dyDescent="0.25">
      <c r="A4048" s="12" t="s">
        <v>5775</v>
      </c>
      <c r="B4048" s="12" t="s">
        <v>5776</v>
      </c>
      <c r="C4048" s="14">
        <v>640000</v>
      </c>
      <c r="D4048" s="12"/>
      <c r="E4048" s="14"/>
    </row>
    <row r="4049" spans="1:5" ht="11.1" hidden="1" customHeight="1" x14ac:dyDescent="0.25">
      <c r="A4049" s="12" t="s">
        <v>5777</v>
      </c>
      <c r="B4049" s="12" t="s">
        <v>5776</v>
      </c>
      <c r="C4049" s="14">
        <v>160000</v>
      </c>
      <c r="D4049" s="12"/>
      <c r="E4049" s="14"/>
    </row>
    <row r="4050" spans="1:5" ht="11.1" hidden="1" customHeight="1" x14ac:dyDescent="0.25">
      <c r="A4050" s="12" t="s">
        <v>5778</v>
      </c>
      <c r="B4050" s="12" t="s">
        <v>5776</v>
      </c>
      <c r="C4050" s="14">
        <v>20000</v>
      </c>
      <c r="D4050" s="12"/>
      <c r="E4050" s="14"/>
    </row>
    <row r="4051" spans="1:5" ht="23.1" hidden="1" customHeight="1" x14ac:dyDescent="0.25">
      <c r="A4051" s="12" t="s">
        <v>5779</v>
      </c>
      <c r="B4051" s="12" t="s">
        <v>5776</v>
      </c>
      <c r="C4051" s="14">
        <v>2760000</v>
      </c>
      <c r="D4051" s="12"/>
      <c r="E4051" s="14"/>
    </row>
    <row r="4052" spans="1:5" ht="11.1" hidden="1" customHeight="1" x14ac:dyDescent="0.25">
      <c r="A4052" s="12" t="s">
        <v>5780</v>
      </c>
      <c r="B4052" s="12" t="s">
        <v>5776</v>
      </c>
      <c r="C4052" s="14">
        <v>2760000</v>
      </c>
      <c r="D4052" s="12"/>
      <c r="E4052" s="14"/>
    </row>
    <row r="4053" spans="1:5" ht="11.1" hidden="1" customHeight="1" x14ac:dyDescent="0.25">
      <c r="A4053" s="12" t="s">
        <v>5781</v>
      </c>
      <c r="B4053" s="12" t="s">
        <v>5776</v>
      </c>
      <c r="C4053" s="14">
        <v>120000</v>
      </c>
      <c r="D4053" s="12"/>
      <c r="E4053" s="14"/>
    </row>
    <row r="4054" spans="1:5" ht="11.1" hidden="1" customHeight="1" x14ac:dyDescent="0.25">
      <c r="A4054" s="12" t="s">
        <v>5782</v>
      </c>
      <c r="B4054" s="12" t="s">
        <v>5776</v>
      </c>
      <c r="C4054" s="14">
        <v>640000</v>
      </c>
      <c r="D4054" s="12"/>
      <c r="E4054" s="14"/>
    </row>
    <row r="4055" spans="1:5" ht="11.1" hidden="1" customHeight="1" x14ac:dyDescent="0.25">
      <c r="A4055" s="12" t="s">
        <v>5783</v>
      </c>
      <c r="B4055" s="12" t="s">
        <v>5776</v>
      </c>
      <c r="C4055" s="14">
        <v>1600000</v>
      </c>
      <c r="D4055" s="12"/>
      <c r="E4055" s="14"/>
    </row>
    <row r="4056" spans="1:5" ht="11.1" hidden="1" customHeight="1" x14ac:dyDescent="0.25">
      <c r="A4056" s="12" t="s">
        <v>5784</v>
      </c>
      <c r="B4056" s="12" t="s">
        <v>218</v>
      </c>
      <c r="C4056" s="14">
        <v>1816.67</v>
      </c>
      <c r="D4056" s="12"/>
      <c r="E4056" s="14"/>
    </row>
    <row r="4057" spans="1:5" ht="11.1" hidden="1" customHeight="1" x14ac:dyDescent="0.25">
      <c r="A4057" s="12" t="s">
        <v>5785</v>
      </c>
      <c r="B4057" s="12" t="s">
        <v>5786</v>
      </c>
      <c r="C4057" s="14">
        <v>56666.67</v>
      </c>
      <c r="D4057" s="12"/>
      <c r="E4057" s="14"/>
    </row>
    <row r="4058" spans="1:5" ht="11.1" hidden="1" customHeight="1" x14ac:dyDescent="0.25">
      <c r="A4058" s="12" t="s">
        <v>5787</v>
      </c>
      <c r="B4058" s="12" t="s">
        <v>309</v>
      </c>
      <c r="C4058" s="14">
        <v>1538.33</v>
      </c>
      <c r="D4058" s="12"/>
      <c r="E4058" s="14"/>
    </row>
    <row r="4059" spans="1:5" ht="11.1" hidden="1" customHeight="1" x14ac:dyDescent="0.25">
      <c r="A4059" s="12" t="s">
        <v>5788</v>
      </c>
      <c r="B4059" s="12" t="s">
        <v>5789</v>
      </c>
      <c r="C4059" s="14">
        <v>9100</v>
      </c>
      <c r="D4059" s="12"/>
      <c r="E4059" s="14"/>
    </row>
    <row r="4060" spans="1:5" ht="11.1" hidden="1" customHeight="1" x14ac:dyDescent="0.25">
      <c r="A4060" s="12" t="s">
        <v>5790</v>
      </c>
      <c r="B4060" s="12" t="s">
        <v>5791</v>
      </c>
      <c r="C4060" s="14">
        <v>1393.33</v>
      </c>
      <c r="D4060" s="12"/>
      <c r="E4060" s="14"/>
    </row>
    <row r="4061" spans="1:5" ht="11.1" hidden="1" customHeight="1" x14ac:dyDescent="0.25">
      <c r="A4061" s="12" t="s">
        <v>5792</v>
      </c>
      <c r="B4061" s="12" t="s">
        <v>3678</v>
      </c>
      <c r="C4061" s="14">
        <v>1562.5</v>
      </c>
      <c r="D4061" s="12"/>
      <c r="E4061" s="14"/>
    </row>
    <row r="4062" spans="1:5" ht="11.1" hidden="1" customHeight="1" x14ac:dyDescent="0.25">
      <c r="A4062" s="12" t="s">
        <v>5793</v>
      </c>
      <c r="B4062" s="12" t="s">
        <v>993</v>
      </c>
      <c r="C4062" s="14">
        <v>593.33000000000004</v>
      </c>
      <c r="D4062" s="12"/>
      <c r="E4062" s="13"/>
    </row>
    <row r="4063" spans="1:5" ht="11.1" hidden="1" customHeight="1" x14ac:dyDescent="0.25">
      <c r="A4063" s="12" t="s">
        <v>5794</v>
      </c>
      <c r="B4063" s="12" t="s">
        <v>5795</v>
      </c>
      <c r="C4063" s="14">
        <v>413.31</v>
      </c>
      <c r="D4063" s="12"/>
      <c r="E4063" s="13"/>
    </row>
    <row r="4064" spans="1:5" ht="11.1" hidden="1" customHeight="1" x14ac:dyDescent="0.25">
      <c r="A4064" s="12" t="s">
        <v>5796</v>
      </c>
      <c r="B4064" s="12" t="s">
        <v>5797</v>
      </c>
      <c r="C4064" s="14">
        <v>49862</v>
      </c>
      <c r="D4064" s="12"/>
      <c r="E4064" s="14"/>
    </row>
    <row r="4065" spans="1:5" ht="11.1" hidden="1" customHeight="1" x14ac:dyDescent="0.25">
      <c r="A4065" s="12" t="s">
        <v>5798</v>
      </c>
      <c r="B4065" s="12" t="s">
        <v>5799</v>
      </c>
      <c r="C4065" s="14">
        <v>3700</v>
      </c>
      <c r="D4065" s="12"/>
      <c r="E4065" s="14"/>
    </row>
    <row r="4066" spans="1:5" ht="11.1" hidden="1" customHeight="1" x14ac:dyDescent="0.25">
      <c r="A4066" s="12" t="s">
        <v>5800</v>
      </c>
      <c r="B4066" s="12" t="s">
        <v>5801</v>
      </c>
      <c r="C4066" s="14">
        <v>5513</v>
      </c>
      <c r="D4066" s="12"/>
      <c r="E4066" s="14"/>
    </row>
    <row r="4067" spans="1:5" ht="11.1" hidden="1" customHeight="1" x14ac:dyDescent="0.25">
      <c r="A4067" s="12" t="s">
        <v>5802</v>
      </c>
      <c r="B4067" s="12" t="s">
        <v>1958</v>
      </c>
      <c r="C4067" s="14">
        <v>13814.17</v>
      </c>
      <c r="D4067" s="12"/>
      <c r="E4067" s="14"/>
    </row>
    <row r="4068" spans="1:5" ht="11.1" hidden="1" customHeight="1" x14ac:dyDescent="0.25">
      <c r="A4068" s="12" t="s">
        <v>5803</v>
      </c>
      <c r="B4068" s="12" t="s">
        <v>188</v>
      </c>
      <c r="C4068" s="14">
        <v>2400</v>
      </c>
      <c r="D4068" s="12"/>
      <c r="E4068" s="14"/>
    </row>
    <row r="4069" spans="1:5" ht="11.1" hidden="1" customHeight="1" x14ac:dyDescent="0.25">
      <c r="A4069" s="12" t="s">
        <v>5804</v>
      </c>
      <c r="B4069" s="12" t="s">
        <v>5805</v>
      </c>
      <c r="C4069" s="14">
        <v>247.5</v>
      </c>
      <c r="D4069" s="12"/>
      <c r="E4069" s="13"/>
    </row>
    <row r="4070" spans="1:5" ht="11.1" hidden="1" customHeight="1" x14ac:dyDescent="0.25">
      <c r="A4070" s="12" t="s">
        <v>5806</v>
      </c>
      <c r="B4070" s="12" t="s">
        <v>5807</v>
      </c>
      <c r="C4070" s="14">
        <v>280007.52</v>
      </c>
      <c r="D4070" s="12"/>
      <c r="E4070" s="14"/>
    </row>
    <row r="4071" spans="1:5" ht="11.1" hidden="1" customHeight="1" x14ac:dyDescent="0.25">
      <c r="A4071" s="12" t="s">
        <v>5808</v>
      </c>
      <c r="B4071" s="12" t="s">
        <v>5809</v>
      </c>
      <c r="C4071" s="14">
        <v>36250</v>
      </c>
      <c r="D4071" s="12"/>
      <c r="E4071" s="14"/>
    </row>
    <row r="4072" spans="1:5" ht="11.1" hidden="1" customHeight="1" x14ac:dyDescent="0.25">
      <c r="A4072" s="12" t="s">
        <v>5810</v>
      </c>
      <c r="B4072" s="12" t="s">
        <v>3372</v>
      </c>
      <c r="C4072" s="14">
        <v>7249.17</v>
      </c>
      <c r="D4072" s="12"/>
      <c r="E4072" s="14"/>
    </row>
    <row r="4073" spans="1:5" ht="11.1" hidden="1" customHeight="1" x14ac:dyDescent="0.25">
      <c r="A4073" s="12" t="s">
        <v>5811</v>
      </c>
      <c r="B4073" s="12" t="s">
        <v>5812</v>
      </c>
      <c r="C4073" s="14">
        <v>4312</v>
      </c>
      <c r="D4073" s="12"/>
      <c r="E4073" s="14"/>
    </row>
    <row r="4074" spans="1:5" ht="11.1" hidden="1" customHeight="1" x14ac:dyDescent="0.25">
      <c r="A4074" s="12" t="s">
        <v>5813</v>
      </c>
      <c r="B4074" s="12" t="s">
        <v>5814</v>
      </c>
      <c r="C4074" s="14">
        <v>23358.33</v>
      </c>
      <c r="D4074" s="12"/>
      <c r="E4074" s="14"/>
    </row>
    <row r="4075" spans="1:5" ht="23.1" hidden="1" customHeight="1" x14ac:dyDescent="0.25">
      <c r="A4075" s="12" t="s">
        <v>5815</v>
      </c>
      <c r="B4075" s="12" t="s">
        <v>5816</v>
      </c>
      <c r="C4075" s="14">
        <v>706.67</v>
      </c>
      <c r="D4075" s="12"/>
      <c r="E4075" s="13"/>
    </row>
    <row r="4076" spans="1:5" ht="23.1" hidden="1" customHeight="1" x14ac:dyDescent="0.25">
      <c r="A4076" s="12" t="s">
        <v>5817</v>
      </c>
      <c r="B4076" s="12" t="s">
        <v>1267</v>
      </c>
      <c r="C4076" s="14">
        <v>1172.5</v>
      </c>
      <c r="D4076" s="12"/>
      <c r="E4076" s="14"/>
    </row>
    <row r="4077" spans="1:5" ht="11.1" hidden="1" customHeight="1" x14ac:dyDescent="0.25">
      <c r="A4077" s="12" t="s">
        <v>5818</v>
      </c>
      <c r="B4077" s="12" t="s">
        <v>1245</v>
      </c>
      <c r="C4077" s="14">
        <v>850</v>
      </c>
      <c r="D4077" s="12"/>
      <c r="E4077" s="13"/>
    </row>
    <row r="4078" spans="1:5" ht="23.1" hidden="1" customHeight="1" x14ac:dyDescent="0.25">
      <c r="A4078" s="12" t="s">
        <v>5819</v>
      </c>
      <c r="B4078" s="12" t="s">
        <v>80</v>
      </c>
      <c r="C4078" s="14">
        <v>1358.34</v>
      </c>
      <c r="D4078" s="12"/>
      <c r="E4078" s="14"/>
    </row>
    <row r="4079" spans="1:5" ht="11.1" hidden="1" customHeight="1" x14ac:dyDescent="0.25">
      <c r="A4079" s="12" t="s">
        <v>5820</v>
      </c>
      <c r="B4079" s="12" t="s">
        <v>5308</v>
      </c>
      <c r="C4079" s="14">
        <v>15986.57</v>
      </c>
      <c r="D4079" s="12"/>
      <c r="E4079" s="14"/>
    </row>
    <row r="4080" spans="1:5" ht="23.1" hidden="1" customHeight="1" x14ac:dyDescent="0.25">
      <c r="A4080" s="12" t="s">
        <v>5821</v>
      </c>
      <c r="B4080" s="12" t="s">
        <v>5774</v>
      </c>
      <c r="C4080" s="14">
        <v>1000</v>
      </c>
      <c r="D4080" s="12"/>
      <c r="E4080" s="14"/>
    </row>
    <row r="4081" spans="1:5" ht="11.1" hidden="1" customHeight="1" x14ac:dyDescent="0.25">
      <c r="A4081" s="12" t="s">
        <v>5822</v>
      </c>
      <c r="B4081" s="12" t="s">
        <v>5823</v>
      </c>
      <c r="C4081" s="14">
        <v>5100</v>
      </c>
      <c r="D4081" s="12"/>
      <c r="E4081" s="14"/>
    </row>
    <row r="4082" spans="1:5" ht="23.1" hidden="1" customHeight="1" x14ac:dyDescent="0.25">
      <c r="A4082" s="12" t="s">
        <v>5824</v>
      </c>
      <c r="B4082" s="12" t="s">
        <v>5825</v>
      </c>
      <c r="C4082" s="14">
        <v>5258.33</v>
      </c>
      <c r="D4082" s="12"/>
      <c r="E4082" s="14"/>
    </row>
    <row r="4083" spans="1:5" ht="11.1" hidden="1" customHeight="1" x14ac:dyDescent="0.25">
      <c r="A4083" s="12" t="s">
        <v>5826</v>
      </c>
      <c r="B4083" s="12" t="s">
        <v>5827</v>
      </c>
      <c r="C4083" s="14">
        <v>8332.84</v>
      </c>
      <c r="D4083" s="12"/>
      <c r="E4083" s="14"/>
    </row>
    <row r="4084" spans="1:5" ht="23.1" hidden="1" customHeight="1" x14ac:dyDescent="0.25">
      <c r="A4084" s="12" t="s">
        <v>5828</v>
      </c>
      <c r="B4084" s="12" t="s">
        <v>5829</v>
      </c>
      <c r="C4084" s="14">
        <v>80</v>
      </c>
      <c r="D4084" s="12"/>
      <c r="E4084" s="13"/>
    </row>
    <row r="4085" spans="1:5" ht="11.1" hidden="1" customHeight="1" x14ac:dyDescent="0.25">
      <c r="A4085" s="12" t="s">
        <v>5830</v>
      </c>
      <c r="B4085" s="12" t="s">
        <v>153</v>
      </c>
      <c r="C4085" s="14">
        <v>221.38</v>
      </c>
      <c r="D4085" s="12"/>
      <c r="E4085" s="13"/>
    </row>
    <row r="4086" spans="1:5" ht="23.1" hidden="1" customHeight="1" x14ac:dyDescent="0.25">
      <c r="A4086" s="12" t="s">
        <v>5831</v>
      </c>
      <c r="B4086" s="12" t="s">
        <v>5832</v>
      </c>
      <c r="C4086" s="14">
        <v>1395</v>
      </c>
      <c r="D4086" s="12"/>
      <c r="E4086" s="14"/>
    </row>
    <row r="4087" spans="1:5" ht="11.1" hidden="1" customHeight="1" x14ac:dyDescent="0.25">
      <c r="A4087" s="12" t="s">
        <v>5833</v>
      </c>
      <c r="B4087" s="12" t="s">
        <v>5834</v>
      </c>
      <c r="C4087" s="14">
        <v>25</v>
      </c>
      <c r="D4087" s="12"/>
      <c r="E4087" s="13"/>
    </row>
    <row r="4088" spans="1:5" ht="11.1" hidden="1" customHeight="1" x14ac:dyDescent="0.25">
      <c r="A4088" s="12" t="s">
        <v>5835</v>
      </c>
      <c r="B4088" s="12" t="s">
        <v>5836</v>
      </c>
      <c r="C4088" s="14">
        <v>60.83</v>
      </c>
      <c r="D4088" s="12"/>
      <c r="E4088" s="13"/>
    </row>
    <row r="4089" spans="1:5" ht="23.1" hidden="1" customHeight="1" x14ac:dyDescent="0.25">
      <c r="A4089" s="12" t="s">
        <v>5837</v>
      </c>
      <c r="B4089" s="12" t="s">
        <v>5836</v>
      </c>
      <c r="C4089" s="14">
        <v>61.88</v>
      </c>
      <c r="D4089" s="12"/>
      <c r="E4089" s="13"/>
    </row>
    <row r="4090" spans="1:5" ht="11.1" hidden="1" customHeight="1" x14ac:dyDescent="0.25">
      <c r="A4090" s="12" t="s">
        <v>5838</v>
      </c>
      <c r="B4090" s="12" t="s">
        <v>5839</v>
      </c>
      <c r="C4090" s="14">
        <v>56.67</v>
      </c>
      <c r="D4090" s="12"/>
      <c r="E4090" s="13"/>
    </row>
    <row r="4091" spans="1:5" ht="23.1" hidden="1" customHeight="1" x14ac:dyDescent="0.25">
      <c r="A4091" s="12" t="s">
        <v>5840</v>
      </c>
      <c r="B4091" s="12" t="s">
        <v>5839</v>
      </c>
      <c r="C4091" s="14">
        <v>56.67</v>
      </c>
      <c r="D4091" s="12"/>
      <c r="E4091" s="13"/>
    </row>
    <row r="4092" spans="1:5" ht="11.1" hidden="1" customHeight="1" x14ac:dyDescent="0.25">
      <c r="A4092" s="12" t="s">
        <v>5841</v>
      </c>
      <c r="B4092" s="12" t="s">
        <v>5842</v>
      </c>
      <c r="C4092" s="14">
        <v>20.83</v>
      </c>
      <c r="D4092" s="12"/>
      <c r="E4092" s="13"/>
    </row>
    <row r="4093" spans="1:5" ht="23.1" hidden="1" customHeight="1" x14ac:dyDescent="0.25">
      <c r="A4093" s="12" t="s">
        <v>5843</v>
      </c>
      <c r="B4093" s="12" t="s">
        <v>4503</v>
      </c>
      <c r="C4093" s="14">
        <v>27.78</v>
      </c>
      <c r="D4093" s="12"/>
      <c r="E4093" s="13"/>
    </row>
    <row r="4094" spans="1:5" ht="11.1" hidden="1" customHeight="1" x14ac:dyDescent="0.25">
      <c r="A4094" s="12" t="s">
        <v>5844</v>
      </c>
      <c r="B4094" s="12" t="s">
        <v>4503</v>
      </c>
      <c r="C4094" s="14">
        <v>27.78</v>
      </c>
      <c r="D4094" s="12"/>
      <c r="E4094" s="13"/>
    </row>
    <row r="4095" spans="1:5" ht="23.1" hidden="1" customHeight="1" x14ac:dyDescent="0.25">
      <c r="A4095" s="12" t="s">
        <v>5845</v>
      </c>
      <c r="B4095" s="12" t="s">
        <v>5076</v>
      </c>
      <c r="C4095" s="14">
        <v>83.33</v>
      </c>
      <c r="D4095" s="12"/>
      <c r="E4095" s="13"/>
    </row>
    <row r="4096" spans="1:5" ht="11.1" hidden="1" customHeight="1" x14ac:dyDescent="0.25">
      <c r="A4096" s="12" t="s">
        <v>5846</v>
      </c>
      <c r="B4096" s="12" t="s">
        <v>5076</v>
      </c>
      <c r="C4096" s="14">
        <v>83.33</v>
      </c>
      <c r="D4096" s="12"/>
      <c r="E4096" s="13"/>
    </row>
    <row r="4097" spans="1:5" ht="23.1" hidden="1" customHeight="1" x14ac:dyDescent="0.25">
      <c r="A4097" s="12" t="s">
        <v>5847</v>
      </c>
      <c r="B4097" s="12" t="s">
        <v>5076</v>
      </c>
      <c r="C4097" s="14">
        <v>83.33</v>
      </c>
      <c r="D4097" s="12"/>
      <c r="E4097" s="13"/>
    </row>
    <row r="4098" spans="1:5" ht="11.1" hidden="1" customHeight="1" x14ac:dyDescent="0.25">
      <c r="A4098" s="12" t="s">
        <v>5848</v>
      </c>
      <c r="B4098" s="12" t="s">
        <v>5076</v>
      </c>
      <c r="C4098" s="14">
        <v>83.33</v>
      </c>
      <c r="D4098" s="12"/>
      <c r="E4098" s="13"/>
    </row>
    <row r="4099" spans="1:5" ht="23.1" hidden="1" customHeight="1" x14ac:dyDescent="0.25">
      <c r="A4099" s="12" t="s">
        <v>5849</v>
      </c>
      <c r="B4099" s="12" t="s">
        <v>5850</v>
      </c>
      <c r="C4099" s="14">
        <v>10.53</v>
      </c>
      <c r="D4099" s="12"/>
      <c r="E4099" s="13"/>
    </row>
    <row r="4100" spans="1:5" ht="11.1" hidden="1" customHeight="1" x14ac:dyDescent="0.25">
      <c r="A4100" s="12" t="s">
        <v>5851</v>
      </c>
      <c r="B4100" s="12" t="s">
        <v>5076</v>
      </c>
      <c r="C4100" s="14">
        <v>83.33</v>
      </c>
      <c r="D4100" s="12"/>
      <c r="E4100" s="13"/>
    </row>
    <row r="4101" spans="1:5" ht="23.1" hidden="1" customHeight="1" x14ac:dyDescent="0.25">
      <c r="A4101" s="12" t="s">
        <v>5852</v>
      </c>
      <c r="B4101" s="12" t="s">
        <v>5076</v>
      </c>
      <c r="C4101" s="14">
        <v>83.33</v>
      </c>
      <c r="D4101" s="12"/>
      <c r="E4101" s="13"/>
    </row>
    <row r="4102" spans="1:5" ht="11.1" hidden="1" customHeight="1" x14ac:dyDescent="0.25">
      <c r="A4102" s="12" t="s">
        <v>5853</v>
      </c>
      <c r="B4102" s="12" t="s">
        <v>5076</v>
      </c>
      <c r="C4102" s="14">
        <v>83.33</v>
      </c>
      <c r="D4102" s="12"/>
      <c r="E4102" s="13"/>
    </row>
    <row r="4103" spans="1:5" ht="23.1" hidden="1" customHeight="1" x14ac:dyDescent="0.25">
      <c r="A4103" s="12" t="s">
        <v>5854</v>
      </c>
      <c r="B4103" s="12" t="s">
        <v>5850</v>
      </c>
      <c r="C4103" s="14">
        <v>10.53</v>
      </c>
      <c r="D4103" s="12"/>
      <c r="E4103" s="13"/>
    </row>
    <row r="4104" spans="1:5" ht="11.1" hidden="1" customHeight="1" x14ac:dyDescent="0.25">
      <c r="A4104" s="12" t="s">
        <v>5855</v>
      </c>
      <c r="B4104" s="12" t="s">
        <v>4503</v>
      </c>
      <c r="C4104" s="14">
        <v>16.670000000000002</v>
      </c>
      <c r="D4104" s="12"/>
      <c r="E4104" s="13"/>
    </row>
    <row r="4105" spans="1:5" ht="23.1" hidden="1" customHeight="1" x14ac:dyDescent="0.25">
      <c r="A4105" s="12" t="s">
        <v>5856</v>
      </c>
      <c r="B4105" s="12" t="s">
        <v>5857</v>
      </c>
      <c r="C4105" s="14">
        <v>27.5</v>
      </c>
      <c r="D4105" s="12"/>
      <c r="E4105" s="13"/>
    </row>
    <row r="4106" spans="1:5" ht="11.1" hidden="1" customHeight="1" x14ac:dyDescent="0.25">
      <c r="A4106" s="12" t="s">
        <v>5858</v>
      </c>
      <c r="B4106" s="12" t="s">
        <v>5859</v>
      </c>
      <c r="C4106" s="14">
        <v>11.25</v>
      </c>
      <c r="D4106" s="12"/>
      <c r="E4106" s="13"/>
    </row>
    <row r="4107" spans="1:5" ht="23.1" hidden="1" customHeight="1" x14ac:dyDescent="0.25">
      <c r="A4107" s="12" t="s">
        <v>5860</v>
      </c>
      <c r="B4107" s="12" t="s">
        <v>5859</v>
      </c>
      <c r="C4107" s="14">
        <v>11.25</v>
      </c>
      <c r="D4107" s="12"/>
      <c r="E4107" s="13"/>
    </row>
    <row r="4108" spans="1:5" ht="11.1" hidden="1" customHeight="1" x14ac:dyDescent="0.25">
      <c r="A4108" s="12" t="s">
        <v>5861</v>
      </c>
      <c r="B4108" s="12" t="s">
        <v>5834</v>
      </c>
      <c r="C4108" s="14">
        <v>26</v>
      </c>
      <c r="D4108" s="12"/>
      <c r="E4108" s="13"/>
    </row>
    <row r="4109" spans="1:5" ht="23.1" hidden="1" customHeight="1" x14ac:dyDescent="0.25">
      <c r="A4109" s="12" t="s">
        <v>5862</v>
      </c>
      <c r="B4109" s="12" t="s">
        <v>4503</v>
      </c>
      <c r="C4109" s="14">
        <v>13.89</v>
      </c>
      <c r="D4109" s="12"/>
      <c r="E4109" s="13"/>
    </row>
    <row r="4110" spans="1:5" ht="11.1" hidden="1" customHeight="1" x14ac:dyDescent="0.25">
      <c r="A4110" s="12" t="s">
        <v>5863</v>
      </c>
      <c r="B4110" s="12" t="s">
        <v>5859</v>
      </c>
      <c r="C4110" s="14">
        <v>11.25</v>
      </c>
      <c r="D4110" s="12"/>
      <c r="E4110" s="13"/>
    </row>
    <row r="4111" spans="1:5" ht="23.1" hidden="1" customHeight="1" x14ac:dyDescent="0.25">
      <c r="A4111" s="12" t="s">
        <v>5864</v>
      </c>
      <c r="B4111" s="12" t="s">
        <v>5859</v>
      </c>
      <c r="C4111" s="14">
        <v>11.25</v>
      </c>
      <c r="D4111" s="12"/>
      <c r="E4111" s="13"/>
    </row>
    <row r="4112" spans="1:5" ht="11.1" hidden="1" customHeight="1" x14ac:dyDescent="0.25">
      <c r="A4112" s="12" t="s">
        <v>5865</v>
      </c>
      <c r="B4112" s="12" t="s">
        <v>5866</v>
      </c>
      <c r="C4112" s="14">
        <v>11.67</v>
      </c>
      <c r="D4112" s="12"/>
      <c r="E4112" s="13"/>
    </row>
    <row r="4113" spans="1:5" ht="23.1" hidden="1" customHeight="1" x14ac:dyDescent="0.25">
      <c r="A4113" s="12" t="s">
        <v>5867</v>
      </c>
      <c r="B4113" s="12" t="s">
        <v>5868</v>
      </c>
      <c r="C4113" s="14">
        <v>309</v>
      </c>
      <c r="D4113" s="12"/>
      <c r="E4113" s="13"/>
    </row>
    <row r="4114" spans="1:5" ht="11.1" hidden="1" customHeight="1" x14ac:dyDescent="0.25">
      <c r="A4114" s="12" t="s">
        <v>5869</v>
      </c>
      <c r="B4114" s="12" t="s">
        <v>663</v>
      </c>
      <c r="C4114" s="14">
        <v>8540</v>
      </c>
      <c r="D4114" s="12"/>
      <c r="E4114" s="14"/>
    </row>
    <row r="4115" spans="1:5" ht="23.1" hidden="1" customHeight="1" x14ac:dyDescent="0.25">
      <c r="A4115" s="12" t="s">
        <v>5870</v>
      </c>
      <c r="B4115" s="12" t="s">
        <v>370</v>
      </c>
      <c r="C4115" s="14">
        <v>3072.5</v>
      </c>
      <c r="D4115" s="12"/>
      <c r="E4115" s="14"/>
    </row>
    <row r="4116" spans="1:5" ht="11.1" hidden="1" customHeight="1" x14ac:dyDescent="0.25">
      <c r="A4116" s="12" t="s">
        <v>5871</v>
      </c>
      <c r="B4116" s="12" t="s">
        <v>663</v>
      </c>
      <c r="C4116" s="14">
        <v>38269.17</v>
      </c>
      <c r="D4116" s="12"/>
      <c r="E4116" s="14"/>
    </row>
    <row r="4117" spans="1:5" ht="23.1" hidden="1" customHeight="1" x14ac:dyDescent="0.25">
      <c r="A4117" s="12" t="s">
        <v>5872</v>
      </c>
      <c r="B4117" s="12" t="s">
        <v>5873</v>
      </c>
      <c r="C4117" s="14">
        <v>13.91</v>
      </c>
      <c r="D4117" s="12"/>
      <c r="E4117" s="13"/>
    </row>
    <row r="4118" spans="1:5" ht="11.1" hidden="1" customHeight="1" x14ac:dyDescent="0.25">
      <c r="A4118" s="12" t="s">
        <v>5874</v>
      </c>
      <c r="B4118" s="12" t="s">
        <v>5873</v>
      </c>
      <c r="C4118" s="14">
        <v>13.91</v>
      </c>
      <c r="D4118" s="12"/>
      <c r="E4118" s="13"/>
    </row>
    <row r="4119" spans="1:5" ht="23.1" hidden="1" customHeight="1" x14ac:dyDescent="0.25">
      <c r="A4119" s="12" t="s">
        <v>5875</v>
      </c>
      <c r="B4119" s="12" t="s">
        <v>5873</v>
      </c>
      <c r="C4119" s="14">
        <v>13.91</v>
      </c>
      <c r="D4119" s="12"/>
      <c r="E4119" s="13"/>
    </row>
    <row r="4120" spans="1:5" ht="11.1" hidden="1" customHeight="1" x14ac:dyDescent="0.25">
      <c r="A4120" s="12" t="s">
        <v>5876</v>
      </c>
      <c r="B4120" s="12" t="s">
        <v>638</v>
      </c>
      <c r="C4120" s="14">
        <v>17.5</v>
      </c>
      <c r="D4120" s="12"/>
      <c r="E4120" s="13"/>
    </row>
    <row r="4121" spans="1:5" ht="23.1" hidden="1" customHeight="1" x14ac:dyDescent="0.25">
      <c r="A4121" s="12" t="s">
        <v>5877</v>
      </c>
      <c r="B4121" s="12" t="s">
        <v>5878</v>
      </c>
      <c r="C4121" s="14">
        <v>1245.83</v>
      </c>
      <c r="D4121" s="12"/>
      <c r="E4121" s="14"/>
    </row>
    <row r="4122" spans="1:5" ht="11.1" hidden="1" customHeight="1" x14ac:dyDescent="0.25">
      <c r="A4122" s="12" t="s">
        <v>5879</v>
      </c>
      <c r="B4122" s="12" t="s">
        <v>1368</v>
      </c>
      <c r="C4122" s="14">
        <v>1253.33</v>
      </c>
      <c r="D4122" s="12"/>
      <c r="E4122" s="14"/>
    </row>
    <row r="4123" spans="1:5" ht="11.1" hidden="1" customHeight="1" x14ac:dyDescent="0.25">
      <c r="A4123" s="12" t="s">
        <v>5880</v>
      </c>
      <c r="B4123" s="12" t="s">
        <v>309</v>
      </c>
      <c r="C4123" s="14">
        <v>1312.5</v>
      </c>
      <c r="D4123" s="12"/>
      <c r="E4123" s="14"/>
    </row>
    <row r="4124" spans="1:5" ht="23.1" hidden="1" customHeight="1" x14ac:dyDescent="0.25">
      <c r="A4124" s="12" t="s">
        <v>5881</v>
      </c>
      <c r="B4124" s="12" t="s">
        <v>1368</v>
      </c>
      <c r="C4124" s="14">
        <v>2041.67</v>
      </c>
      <c r="D4124" s="12"/>
      <c r="E4124" s="14"/>
    </row>
    <row r="4125" spans="1:5" ht="23.1" hidden="1" customHeight="1" x14ac:dyDescent="0.25">
      <c r="A4125" s="12" t="s">
        <v>5882</v>
      </c>
      <c r="B4125" s="12" t="s">
        <v>1368</v>
      </c>
      <c r="C4125" s="14">
        <v>1967.5</v>
      </c>
      <c r="D4125" s="12"/>
      <c r="E4125" s="14"/>
    </row>
    <row r="4126" spans="1:5" ht="11.1" hidden="1" customHeight="1" x14ac:dyDescent="0.25">
      <c r="A4126" s="12" t="s">
        <v>5883</v>
      </c>
      <c r="B4126" s="12" t="s">
        <v>2063</v>
      </c>
      <c r="C4126" s="14">
        <v>160.83000000000001</v>
      </c>
      <c r="D4126" s="12"/>
      <c r="E4126" s="13"/>
    </row>
    <row r="4127" spans="1:5" ht="23.1" hidden="1" customHeight="1" x14ac:dyDescent="0.25">
      <c r="A4127" s="12" t="s">
        <v>5884</v>
      </c>
      <c r="B4127" s="12" t="s">
        <v>5885</v>
      </c>
      <c r="C4127" s="14">
        <v>322</v>
      </c>
      <c r="D4127" s="12"/>
      <c r="E4127" s="13"/>
    </row>
    <row r="4128" spans="1:5" ht="11.1" hidden="1" customHeight="1" x14ac:dyDescent="0.25">
      <c r="A4128" s="12" t="s">
        <v>5886</v>
      </c>
      <c r="B4128" s="12" t="s">
        <v>5887</v>
      </c>
      <c r="C4128" s="14">
        <v>30681.67</v>
      </c>
      <c r="D4128" s="12"/>
      <c r="E4128" s="14"/>
    </row>
    <row r="4129" spans="1:5" ht="11.1" hidden="1" customHeight="1" x14ac:dyDescent="0.25">
      <c r="A4129" s="12" t="s">
        <v>5888</v>
      </c>
      <c r="B4129" s="12" t="s">
        <v>4397</v>
      </c>
      <c r="C4129" s="14">
        <v>147.84</v>
      </c>
      <c r="D4129" s="12"/>
      <c r="E4129" s="13"/>
    </row>
    <row r="4130" spans="1:5" ht="11.1" hidden="1" customHeight="1" x14ac:dyDescent="0.25">
      <c r="A4130" s="12" t="s">
        <v>5889</v>
      </c>
      <c r="B4130" s="12" t="s">
        <v>937</v>
      </c>
      <c r="C4130" s="14">
        <v>327.5</v>
      </c>
      <c r="D4130" s="12"/>
      <c r="E4130" s="13"/>
    </row>
    <row r="4131" spans="1:5" ht="23.1" hidden="1" customHeight="1" x14ac:dyDescent="0.25">
      <c r="A4131" s="12" t="s">
        <v>5890</v>
      </c>
      <c r="B4131" s="12" t="s">
        <v>523</v>
      </c>
      <c r="C4131" s="14">
        <v>1020</v>
      </c>
      <c r="D4131" s="12"/>
      <c r="E4131" s="14"/>
    </row>
    <row r="4132" spans="1:5" ht="11.1" hidden="1" customHeight="1" x14ac:dyDescent="0.25">
      <c r="A4132" s="12" t="s">
        <v>5891</v>
      </c>
      <c r="B4132" s="12" t="s">
        <v>918</v>
      </c>
      <c r="C4132" s="14">
        <v>1124.17</v>
      </c>
      <c r="D4132" s="12"/>
      <c r="E4132" s="14"/>
    </row>
    <row r="4133" spans="1:5" ht="11.1" hidden="1" customHeight="1" x14ac:dyDescent="0.25">
      <c r="A4133" s="12" t="s">
        <v>5892</v>
      </c>
      <c r="B4133" s="12" t="s">
        <v>5893</v>
      </c>
      <c r="C4133" s="14">
        <v>1585</v>
      </c>
      <c r="D4133" s="12"/>
      <c r="E4133" s="14"/>
    </row>
    <row r="4134" spans="1:5" ht="23.1" hidden="1" customHeight="1" x14ac:dyDescent="0.25">
      <c r="A4134" s="12" t="s">
        <v>5894</v>
      </c>
      <c r="B4134" s="12" t="s">
        <v>5895</v>
      </c>
      <c r="C4134" s="14">
        <v>300</v>
      </c>
      <c r="D4134" s="12"/>
      <c r="E4134" s="13"/>
    </row>
    <row r="4135" spans="1:5" ht="11.1" hidden="1" customHeight="1" x14ac:dyDescent="0.25">
      <c r="A4135" s="12" t="s">
        <v>5896</v>
      </c>
      <c r="B4135" s="12" t="s">
        <v>5897</v>
      </c>
      <c r="C4135" s="14">
        <v>675</v>
      </c>
      <c r="D4135" s="12"/>
      <c r="E4135" s="13"/>
    </row>
    <row r="4136" spans="1:5" ht="11.1" hidden="1" customHeight="1" x14ac:dyDescent="0.25">
      <c r="A4136" s="12" t="s">
        <v>5898</v>
      </c>
      <c r="B4136" s="12" t="s">
        <v>1556</v>
      </c>
      <c r="C4136" s="14">
        <v>504.17</v>
      </c>
      <c r="D4136" s="12"/>
      <c r="E4136" s="13"/>
    </row>
    <row r="4137" spans="1:5" ht="11.1" hidden="1" customHeight="1" x14ac:dyDescent="0.25">
      <c r="A4137" s="12" t="s">
        <v>5899</v>
      </c>
      <c r="B4137" s="12" t="s">
        <v>5900</v>
      </c>
      <c r="C4137" s="14">
        <v>314</v>
      </c>
      <c r="D4137" s="12"/>
      <c r="E4137" s="13"/>
    </row>
    <row r="4138" spans="1:5" ht="11.1" hidden="1" customHeight="1" x14ac:dyDescent="0.25">
      <c r="A4138" s="12" t="s">
        <v>5901</v>
      </c>
      <c r="B4138" s="12" t="s">
        <v>1682</v>
      </c>
      <c r="C4138" s="14">
        <v>4013.18</v>
      </c>
      <c r="D4138" s="12"/>
      <c r="E4138" s="14"/>
    </row>
    <row r="4139" spans="1:5" ht="11.1" hidden="1" customHeight="1" x14ac:dyDescent="0.25">
      <c r="A4139" s="12" t="s">
        <v>5902</v>
      </c>
      <c r="B4139" s="12" t="s">
        <v>3398</v>
      </c>
      <c r="C4139" s="14">
        <v>200</v>
      </c>
      <c r="D4139" s="12"/>
      <c r="E4139" s="13"/>
    </row>
    <row r="4140" spans="1:5" ht="11.1" hidden="1" customHeight="1" x14ac:dyDescent="0.25">
      <c r="A4140" s="12" t="s">
        <v>5903</v>
      </c>
      <c r="B4140" s="12" t="s">
        <v>5904</v>
      </c>
      <c r="C4140" s="14">
        <v>3010.25</v>
      </c>
      <c r="D4140" s="12"/>
      <c r="E4140" s="14"/>
    </row>
    <row r="4141" spans="1:5" ht="11.1" hidden="1" customHeight="1" x14ac:dyDescent="0.25">
      <c r="A4141" s="12" t="s">
        <v>5905</v>
      </c>
      <c r="B4141" s="12" t="s">
        <v>5906</v>
      </c>
      <c r="C4141" s="14">
        <v>1435000</v>
      </c>
      <c r="D4141" s="12"/>
      <c r="E4141" s="14"/>
    </row>
    <row r="4142" spans="1:5" ht="11.1" hidden="1" customHeight="1" x14ac:dyDescent="0.25">
      <c r="A4142" s="12" t="s">
        <v>5907</v>
      </c>
      <c r="B4142" s="12" t="s">
        <v>5908</v>
      </c>
      <c r="C4142" s="14">
        <v>307.5</v>
      </c>
      <c r="D4142" s="12"/>
      <c r="E4142" s="13"/>
    </row>
    <row r="4143" spans="1:5" ht="11.1" hidden="1" customHeight="1" x14ac:dyDescent="0.25">
      <c r="A4143" s="12" t="s">
        <v>5909</v>
      </c>
      <c r="B4143" s="12" t="s">
        <v>5910</v>
      </c>
      <c r="C4143" s="14">
        <v>91401</v>
      </c>
      <c r="D4143" s="12"/>
      <c r="E4143" s="14"/>
    </row>
    <row r="4144" spans="1:5" ht="11.1" hidden="1" customHeight="1" x14ac:dyDescent="0.25">
      <c r="A4144" s="12" t="s">
        <v>5911</v>
      </c>
      <c r="B4144" s="12" t="s">
        <v>5912</v>
      </c>
      <c r="C4144" s="14">
        <v>1196</v>
      </c>
      <c r="D4144" s="12"/>
      <c r="E4144" s="14"/>
    </row>
    <row r="4145" spans="1:5" ht="11.1" hidden="1" customHeight="1" x14ac:dyDescent="0.25">
      <c r="A4145" s="12" t="s">
        <v>5913</v>
      </c>
      <c r="B4145" s="12" t="s">
        <v>5914</v>
      </c>
      <c r="C4145" s="14">
        <v>22.6</v>
      </c>
      <c r="D4145" s="12"/>
      <c r="E4145" s="13"/>
    </row>
    <row r="4146" spans="1:5" ht="11.1" hidden="1" customHeight="1" x14ac:dyDescent="0.25">
      <c r="A4146" s="12" t="s">
        <v>5915</v>
      </c>
      <c r="B4146" s="12" t="s">
        <v>5914</v>
      </c>
      <c r="C4146" s="14">
        <v>47.83</v>
      </c>
      <c r="D4146" s="12"/>
      <c r="E4146" s="13"/>
    </row>
    <row r="4147" spans="1:5" ht="11.1" hidden="1" customHeight="1" x14ac:dyDescent="0.25">
      <c r="A4147" s="12" t="s">
        <v>5916</v>
      </c>
      <c r="B4147" s="12" t="s">
        <v>528</v>
      </c>
      <c r="C4147" s="14">
        <v>62.5</v>
      </c>
      <c r="D4147" s="12"/>
      <c r="E4147" s="13"/>
    </row>
    <row r="4148" spans="1:5" ht="11.1" hidden="1" customHeight="1" x14ac:dyDescent="0.25">
      <c r="A4148" s="12" t="s">
        <v>5917</v>
      </c>
      <c r="B4148" s="12" t="s">
        <v>497</v>
      </c>
      <c r="C4148" s="14">
        <v>250.84</v>
      </c>
      <c r="D4148" s="12"/>
      <c r="E4148" s="13"/>
    </row>
    <row r="4149" spans="1:5" ht="11.1" hidden="1" customHeight="1" x14ac:dyDescent="0.25">
      <c r="A4149" s="12" t="s">
        <v>5918</v>
      </c>
      <c r="B4149" s="12" t="s">
        <v>5919</v>
      </c>
      <c r="C4149" s="14">
        <v>4389</v>
      </c>
      <c r="D4149" s="12"/>
      <c r="E4149" s="14"/>
    </row>
    <row r="4150" spans="1:5" ht="11.1" hidden="1" customHeight="1" x14ac:dyDescent="0.25">
      <c r="A4150" s="12" t="s">
        <v>5920</v>
      </c>
      <c r="B4150" s="12" t="s">
        <v>600</v>
      </c>
      <c r="C4150" s="14">
        <v>616.66999999999996</v>
      </c>
      <c r="D4150" s="12"/>
      <c r="E4150" s="13"/>
    </row>
    <row r="4151" spans="1:5" ht="11.1" hidden="1" customHeight="1" x14ac:dyDescent="0.25">
      <c r="A4151" s="12" t="s">
        <v>5921</v>
      </c>
      <c r="B4151" s="12" t="s">
        <v>684</v>
      </c>
      <c r="C4151" s="14">
        <v>450</v>
      </c>
      <c r="D4151" s="12"/>
      <c r="E4151" s="13"/>
    </row>
    <row r="4152" spans="1:5" ht="11.1" hidden="1" customHeight="1" x14ac:dyDescent="0.25">
      <c r="A4152" s="12" t="s">
        <v>5922</v>
      </c>
      <c r="B4152" s="12" t="s">
        <v>5923</v>
      </c>
      <c r="C4152" s="14">
        <v>1936</v>
      </c>
      <c r="D4152" s="12"/>
      <c r="E4152" s="14"/>
    </row>
    <row r="4153" spans="1:5" ht="11.1" hidden="1" customHeight="1" x14ac:dyDescent="0.25">
      <c r="A4153" s="12" t="s">
        <v>5924</v>
      </c>
      <c r="B4153" s="12" t="s">
        <v>5923</v>
      </c>
      <c r="C4153" s="14">
        <v>2250</v>
      </c>
      <c r="D4153" s="12"/>
      <c r="E4153" s="14"/>
    </row>
    <row r="4154" spans="1:5" ht="23.1" hidden="1" customHeight="1" x14ac:dyDescent="0.25">
      <c r="A4154" s="12" t="s">
        <v>5925</v>
      </c>
      <c r="B4154" s="12" t="s">
        <v>2063</v>
      </c>
      <c r="C4154" s="14">
        <v>194.17</v>
      </c>
      <c r="D4154" s="12"/>
      <c r="E4154" s="13"/>
    </row>
    <row r="4155" spans="1:5" ht="11.1" hidden="1" customHeight="1" x14ac:dyDescent="0.25">
      <c r="A4155" s="12" t="s">
        <v>5926</v>
      </c>
      <c r="B4155" s="12" t="s">
        <v>1153</v>
      </c>
      <c r="C4155" s="14">
        <v>10583.33</v>
      </c>
      <c r="D4155" s="12"/>
      <c r="E4155" s="14"/>
    </row>
    <row r="4156" spans="1:5" ht="11.1" hidden="1" customHeight="1" x14ac:dyDescent="0.25">
      <c r="A4156" s="12" t="s">
        <v>5927</v>
      </c>
      <c r="B4156" s="12" t="s">
        <v>1153</v>
      </c>
      <c r="C4156" s="14">
        <v>13208.33</v>
      </c>
      <c r="D4156" s="12"/>
      <c r="E4156" s="14"/>
    </row>
    <row r="4157" spans="1:5" ht="11.1" hidden="1" customHeight="1" x14ac:dyDescent="0.25">
      <c r="A4157" s="12" t="s">
        <v>5928</v>
      </c>
      <c r="B4157" s="12" t="s">
        <v>5929</v>
      </c>
      <c r="C4157" s="14">
        <v>12650</v>
      </c>
      <c r="D4157" s="12"/>
      <c r="E4157" s="14"/>
    </row>
    <row r="4158" spans="1:5" ht="11.1" hidden="1" customHeight="1" x14ac:dyDescent="0.25">
      <c r="A4158" s="12" t="s">
        <v>5930</v>
      </c>
      <c r="B4158" s="12" t="s">
        <v>2063</v>
      </c>
      <c r="C4158" s="14">
        <v>158.33000000000001</v>
      </c>
      <c r="D4158" s="12"/>
      <c r="E4158" s="13"/>
    </row>
    <row r="4159" spans="1:5" ht="11.1" hidden="1" customHeight="1" x14ac:dyDescent="0.25">
      <c r="A4159" s="12" t="s">
        <v>5931</v>
      </c>
      <c r="B4159" s="12" t="s">
        <v>5932</v>
      </c>
      <c r="C4159" s="14">
        <v>5950</v>
      </c>
      <c r="D4159" s="12"/>
      <c r="E4159" s="14"/>
    </row>
    <row r="4160" spans="1:5" ht="11.1" hidden="1" customHeight="1" x14ac:dyDescent="0.25">
      <c r="A4160" s="12" t="s">
        <v>5933</v>
      </c>
      <c r="B4160" s="12" t="s">
        <v>5934</v>
      </c>
      <c r="C4160" s="14">
        <v>45850</v>
      </c>
      <c r="D4160" s="12"/>
      <c r="E4160" s="14"/>
    </row>
    <row r="4161" spans="1:5" ht="11.1" hidden="1" customHeight="1" x14ac:dyDescent="0.25">
      <c r="A4161" s="12" t="s">
        <v>5935</v>
      </c>
      <c r="B4161" s="12" t="s">
        <v>5934</v>
      </c>
      <c r="C4161" s="14">
        <v>47825</v>
      </c>
      <c r="D4161" s="12"/>
      <c r="E4161" s="14"/>
    </row>
    <row r="4162" spans="1:5" ht="11.1" hidden="1" customHeight="1" x14ac:dyDescent="0.25">
      <c r="A4162" s="12" t="s">
        <v>5936</v>
      </c>
      <c r="B4162" s="12" t="s">
        <v>5934</v>
      </c>
      <c r="C4162" s="14">
        <v>3173.34</v>
      </c>
      <c r="D4162" s="12"/>
      <c r="E4162" s="14"/>
    </row>
    <row r="4163" spans="1:5" ht="23.1" hidden="1" customHeight="1" x14ac:dyDescent="0.25">
      <c r="A4163" s="12" t="s">
        <v>5937</v>
      </c>
      <c r="B4163" s="12" t="s">
        <v>5934</v>
      </c>
      <c r="C4163" s="14">
        <v>22750</v>
      </c>
      <c r="D4163" s="12"/>
      <c r="E4163" s="14"/>
    </row>
    <row r="4164" spans="1:5" ht="23.1" hidden="1" customHeight="1" x14ac:dyDescent="0.25">
      <c r="A4164" s="12" t="s">
        <v>5938</v>
      </c>
      <c r="B4164" s="12" t="s">
        <v>5934</v>
      </c>
      <c r="C4164" s="14">
        <v>26000</v>
      </c>
      <c r="D4164" s="12"/>
      <c r="E4164" s="14"/>
    </row>
    <row r="4165" spans="1:5" ht="23.1" hidden="1" customHeight="1" x14ac:dyDescent="0.25">
      <c r="A4165" s="12" t="s">
        <v>5939</v>
      </c>
      <c r="B4165" s="12" t="s">
        <v>5940</v>
      </c>
      <c r="C4165" s="14">
        <v>1265.42</v>
      </c>
      <c r="D4165" s="12"/>
      <c r="E4165" s="14"/>
    </row>
    <row r="4166" spans="1:5" ht="23.1" hidden="1" customHeight="1" x14ac:dyDescent="0.25">
      <c r="A4166" s="12" t="s">
        <v>5941</v>
      </c>
      <c r="B4166" s="12" t="s">
        <v>5942</v>
      </c>
      <c r="C4166" s="14">
        <v>140.25</v>
      </c>
      <c r="D4166" s="12"/>
      <c r="E4166" s="13"/>
    </row>
    <row r="4167" spans="1:5" ht="23.1" hidden="1" customHeight="1" x14ac:dyDescent="0.25">
      <c r="A4167" s="12" t="s">
        <v>5943</v>
      </c>
      <c r="B4167" s="12" t="s">
        <v>5944</v>
      </c>
      <c r="C4167" s="14">
        <v>401.67</v>
      </c>
      <c r="D4167" s="12"/>
      <c r="E4167" s="13"/>
    </row>
    <row r="4168" spans="1:5" ht="11.1" hidden="1" customHeight="1" x14ac:dyDescent="0.25">
      <c r="A4168" s="12" t="s">
        <v>5945</v>
      </c>
      <c r="B4168" s="12" t="s">
        <v>3827</v>
      </c>
      <c r="C4168" s="14">
        <v>15.83</v>
      </c>
      <c r="D4168" s="12"/>
      <c r="E4168" s="13"/>
    </row>
    <row r="4169" spans="1:5" ht="11.1" hidden="1" customHeight="1" x14ac:dyDescent="0.25">
      <c r="A4169" s="12" t="s">
        <v>5946</v>
      </c>
      <c r="B4169" s="12" t="s">
        <v>4912</v>
      </c>
      <c r="C4169" s="14">
        <v>416.67</v>
      </c>
      <c r="D4169" s="12"/>
      <c r="E4169" s="13"/>
    </row>
    <row r="4170" spans="1:5" ht="11.1" hidden="1" customHeight="1" x14ac:dyDescent="0.25">
      <c r="A4170" s="12" t="s">
        <v>5947</v>
      </c>
      <c r="B4170" s="12" t="s">
        <v>268</v>
      </c>
      <c r="C4170" s="14">
        <v>815.83</v>
      </c>
      <c r="D4170" s="12"/>
      <c r="E4170" s="13"/>
    </row>
    <row r="4171" spans="1:5" ht="11.1" hidden="1" customHeight="1" x14ac:dyDescent="0.25">
      <c r="A4171" s="12" t="s">
        <v>5948</v>
      </c>
      <c r="B4171" s="12" t="s">
        <v>5949</v>
      </c>
      <c r="C4171" s="14">
        <v>69859</v>
      </c>
      <c r="D4171" s="12"/>
      <c r="E4171" s="14"/>
    </row>
    <row r="4172" spans="1:5" ht="11.1" hidden="1" customHeight="1" x14ac:dyDescent="0.25">
      <c r="A4172" s="12" t="s">
        <v>5950</v>
      </c>
      <c r="B4172" s="12" t="s">
        <v>5951</v>
      </c>
      <c r="C4172" s="14">
        <v>310.83</v>
      </c>
      <c r="D4172" s="12"/>
      <c r="E4172" s="13"/>
    </row>
    <row r="4173" spans="1:5" ht="11.1" hidden="1" customHeight="1" x14ac:dyDescent="0.25">
      <c r="A4173" s="12" t="s">
        <v>5952</v>
      </c>
      <c r="B4173" s="12" t="s">
        <v>2044</v>
      </c>
      <c r="C4173" s="14">
        <v>75</v>
      </c>
      <c r="D4173" s="12"/>
      <c r="E4173" s="13"/>
    </row>
    <row r="4174" spans="1:5" ht="23.1" hidden="1" customHeight="1" x14ac:dyDescent="0.25">
      <c r="A4174" s="12" t="s">
        <v>5953</v>
      </c>
      <c r="B4174" s="12" t="s">
        <v>2044</v>
      </c>
      <c r="C4174" s="14">
        <v>427.5</v>
      </c>
      <c r="D4174" s="12"/>
      <c r="E4174" s="13"/>
    </row>
    <row r="4175" spans="1:5" ht="11.1" hidden="1" customHeight="1" x14ac:dyDescent="0.25">
      <c r="A4175" s="12" t="s">
        <v>5954</v>
      </c>
      <c r="B4175" s="12" t="s">
        <v>3801</v>
      </c>
      <c r="C4175" s="14">
        <v>235.83</v>
      </c>
      <c r="D4175" s="12"/>
      <c r="E4175" s="13"/>
    </row>
    <row r="4176" spans="1:5" ht="11.1" hidden="1" customHeight="1" x14ac:dyDescent="0.25">
      <c r="A4176" s="12" t="s">
        <v>5955</v>
      </c>
      <c r="B4176" s="12" t="s">
        <v>2826</v>
      </c>
      <c r="C4176" s="14">
        <v>304.17</v>
      </c>
      <c r="D4176" s="12"/>
      <c r="E4176" s="13"/>
    </row>
    <row r="4177" spans="1:5" ht="11.1" hidden="1" customHeight="1" x14ac:dyDescent="0.25">
      <c r="A4177" s="12" t="s">
        <v>5956</v>
      </c>
      <c r="B4177" s="12" t="s">
        <v>3605</v>
      </c>
      <c r="C4177" s="14">
        <v>422.5</v>
      </c>
      <c r="D4177" s="12"/>
      <c r="E4177" s="13"/>
    </row>
    <row r="4178" spans="1:5" ht="11.1" hidden="1" customHeight="1" x14ac:dyDescent="0.25">
      <c r="A4178" s="12" t="s">
        <v>5957</v>
      </c>
      <c r="B4178" s="12" t="s">
        <v>5958</v>
      </c>
      <c r="C4178" s="14">
        <v>550.79999999999995</v>
      </c>
      <c r="D4178" s="12"/>
      <c r="E4178" s="13"/>
    </row>
    <row r="4179" spans="1:5" ht="11.1" hidden="1" customHeight="1" x14ac:dyDescent="0.25">
      <c r="A4179" s="12" t="s">
        <v>5959</v>
      </c>
      <c r="B4179" s="12" t="s">
        <v>5960</v>
      </c>
      <c r="C4179" s="14">
        <v>100</v>
      </c>
      <c r="D4179" s="12"/>
      <c r="E4179" s="13"/>
    </row>
    <row r="4180" spans="1:5" ht="11.1" hidden="1" customHeight="1" x14ac:dyDescent="0.25">
      <c r="A4180" s="12" t="s">
        <v>5961</v>
      </c>
      <c r="B4180" s="12" t="s">
        <v>3365</v>
      </c>
      <c r="C4180" s="14">
        <v>47.5</v>
      </c>
      <c r="D4180" s="12"/>
      <c r="E4180" s="13"/>
    </row>
    <row r="4181" spans="1:5" ht="11.1" hidden="1" customHeight="1" x14ac:dyDescent="0.25">
      <c r="A4181" s="12" t="s">
        <v>5962</v>
      </c>
      <c r="B4181" s="12" t="s">
        <v>257</v>
      </c>
      <c r="C4181" s="14">
        <v>14472</v>
      </c>
      <c r="D4181" s="12"/>
      <c r="E4181" s="14"/>
    </row>
    <row r="4182" spans="1:5" ht="11.1" hidden="1" customHeight="1" x14ac:dyDescent="0.25">
      <c r="A4182" s="12" t="s">
        <v>5963</v>
      </c>
      <c r="B4182" s="12" t="s">
        <v>5964</v>
      </c>
      <c r="C4182" s="14">
        <v>28325</v>
      </c>
      <c r="D4182" s="12"/>
      <c r="E4182" s="14"/>
    </row>
    <row r="4183" spans="1:5" ht="11.1" hidden="1" customHeight="1" x14ac:dyDescent="0.25">
      <c r="A4183" s="12" t="s">
        <v>5965</v>
      </c>
      <c r="B4183" s="12" t="s">
        <v>1000</v>
      </c>
      <c r="C4183" s="14">
        <v>10215</v>
      </c>
      <c r="D4183" s="12"/>
      <c r="E4183" s="14"/>
    </row>
    <row r="4184" spans="1:5" ht="11.1" hidden="1" customHeight="1" x14ac:dyDescent="0.25">
      <c r="A4184" s="12" t="s">
        <v>5966</v>
      </c>
      <c r="B4184" s="12" t="s">
        <v>1856</v>
      </c>
      <c r="C4184" s="14">
        <v>98000</v>
      </c>
      <c r="D4184" s="12"/>
      <c r="E4184" s="14"/>
    </row>
    <row r="4185" spans="1:5" ht="11.1" hidden="1" customHeight="1" x14ac:dyDescent="0.25">
      <c r="A4185" s="12" t="s">
        <v>5967</v>
      </c>
      <c r="B4185" s="12" t="s">
        <v>5968</v>
      </c>
      <c r="C4185" s="14">
        <v>2491.67</v>
      </c>
      <c r="D4185" s="12"/>
      <c r="E4185" s="14"/>
    </row>
    <row r="4186" spans="1:5" ht="11.1" hidden="1" customHeight="1" x14ac:dyDescent="0.25">
      <c r="A4186" s="12" t="s">
        <v>5969</v>
      </c>
      <c r="B4186" s="12" t="s">
        <v>5970</v>
      </c>
      <c r="C4186" s="14">
        <v>96.11</v>
      </c>
      <c r="D4186" s="12"/>
      <c r="E4186" s="13"/>
    </row>
    <row r="4187" spans="1:5" ht="11.1" hidden="1" customHeight="1" x14ac:dyDescent="0.25">
      <c r="A4187" s="12" t="s">
        <v>5971</v>
      </c>
      <c r="B4187" s="12" t="s">
        <v>5972</v>
      </c>
      <c r="C4187" s="14">
        <v>122.35</v>
      </c>
      <c r="D4187" s="12"/>
      <c r="E4187" s="13"/>
    </row>
    <row r="4188" spans="1:5" ht="23.1" hidden="1" customHeight="1" x14ac:dyDescent="0.25">
      <c r="A4188" s="12" t="s">
        <v>5973</v>
      </c>
      <c r="B4188" s="12" t="s">
        <v>5974</v>
      </c>
      <c r="C4188" s="14">
        <v>4.58</v>
      </c>
      <c r="D4188" s="12"/>
      <c r="E4188" s="13"/>
    </row>
    <row r="4189" spans="1:5" ht="23.1" hidden="1" customHeight="1" x14ac:dyDescent="0.25">
      <c r="A4189" s="12" t="s">
        <v>5975</v>
      </c>
      <c r="B4189" s="12" t="s">
        <v>5976</v>
      </c>
      <c r="C4189" s="14">
        <v>1768.33</v>
      </c>
      <c r="D4189" s="12"/>
      <c r="E4189" s="14"/>
    </row>
    <row r="4190" spans="1:5" ht="11.1" hidden="1" customHeight="1" x14ac:dyDescent="0.25">
      <c r="A4190" s="12" t="s">
        <v>5977</v>
      </c>
      <c r="B4190" s="12" t="s">
        <v>5978</v>
      </c>
      <c r="C4190" s="14">
        <v>3.18</v>
      </c>
      <c r="D4190" s="12"/>
      <c r="E4190" s="13"/>
    </row>
    <row r="4191" spans="1:5" ht="11.1" hidden="1" customHeight="1" x14ac:dyDescent="0.25">
      <c r="A4191" s="12" t="s">
        <v>5979</v>
      </c>
      <c r="B4191" s="12" t="s">
        <v>5980</v>
      </c>
      <c r="C4191" s="14">
        <v>1.92</v>
      </c>
      <c r="D4191" s="12"/>
      <c r="E4191" s="13"/>
    </row>
    <row r="4192" spans="1:5" ht="23.1" hidden="1" customHeight="1" x14ac:dyDescent="0.25">
      <c r="A4192" s="12" t="s">
        <v>5981</v>
      </c>
      <c r="B4192" s="12" t="s">
        <v>2335</v>
      </c>
      <c r="C4192" s="14">
        <v>998.33</v>
      </c>
      <c r="D4192" s="12"/>
      <c r="E4192" s="13"/>
    </row>
    <row r="4193" spans="1:5" ht="11.1" hidden="1" customHeight="1" x14ac:dyDescent="0.25">
      <c r="A4193" s="12" t="s">
        <v>5982</v>
      </c>
      <c r="B4193" s="12" t="s">
        <v>5983</v>
      </c>
      <c r="C4193" s="14">
        <v>345</v>
      </c>
      <c r="D4193" s="12"/>
      <c r="E4193" s="13"/>
    </row>
    <row r="4194" spans="1:5" ht="23.1" hidden="1" customHeight="1" x14ac:dyDescent="0.25">
      <c r="A4194" s="12" t="s">
        <v>5984</v>
      </c>
      <c r="B4194" s="12" t="s">
        <v>5983</v>
      </c>
      <c r="C4194" s="14">
        <v>476.67</v>
      </c>
      <c r="D4194" s="12"/>
      <c r="E4194" s="13"/>
    </row>
    <row r="4195" spans="1:5" ht="11.1" hidden="1" customHeight="1" x14ac:dyDescent="0.25">
      <c r="A4195" s="12" t="s">
        <v>5985</v>
      </c>
      <c r="B4195" s="12" t="s">
        <v>5346</v>
      </c>
      <c r="C4195" s="14">
        <v>1083.33</v>
      </c>
      <c r="D4195" s="12"/>
      <c r="E4195" s="14"/>
    </row>
    <row r="4196" spans="1:5" ht="11.1" hidden="1" customHeight="1" x14ac:dyDescent="0.25">
      <c r="A4196" s="12" t="s">
        <v>5986</v>
      </c>
      <c r="B4196" s="12" t="s">
        <v>5987</v>
      </c>
      <c r="C4196" s="14">
        <v>1797.5</v>
      </c>
      <c r="D4196" s="12"/>
      <c r="E4196" s="14"/>
    </row>
    <row r="4197" spans="1:5" ht="11.1" hidden="1" customHeight="1" x14ac:dyDescent="0.25">
      <c r="A4197" s="12" t="s">
        <v>5988</v>
      </c>
      <c r="B4197" s="12" t="s">
        <v>5989</v>
      </c>
      <c r="C4197" s="14">
        <v>1295.83</v>
      </c>
      <c r="D4197" s="12"/>
      <c r="E4197" s="14"/>
    </row>
    <row r="4198" spans="1:5" ht="11.1" hidden="1" customHeight="1" x14ac:dyDescent="0.25">
      <c r="A4198" s="12" t="s">
        <v>5990</v>
      </c>
      <c r="B4198" s="12" t="s">
        <v>928</v>
      </c>
      <c r="C4198" s="14">
        <v>4460.83</v>
      </c>
      <c r="D4198" s="12"/>
      <c r="E4198" s="14"/>
    </row>
    <row r="4199" spans="1:5" ht="11.1" hidden="1" customHeight="1" x14ac:dyDescent="0.25">
      <c r="A4199" s="12" t="s">
        <v>5991</v>
      </c>
      <c r="B4199" s="12" t="s">
        <v>650</v>
      </c>
      <c r="C4199" s="14">
        <v>218.33</v>
      </c>
      <c r="D4199" s="12"/>
      <c r="E4199" s="13"/>
    </row>
    <row r="4200" spans="1:5" ht="23.1" hidden="1" customHeight="1" x14ac:dyDescent="0.25">
      <c r="A4200" s="12" t="s">
        <v>5992</v>
      </c>
      <c r="B4200" s="12" t="s">
        <v>4123</v>
      </c>
      <c r="C4200" s="14">
        <v>234.29</v>
      </c>
      <c r="D4200" s="12"/>
      <c r="E4200" s="13"/>
    </row>
    <row r="4201" spans="1:5" ht="11.1" hidden="1" customHeight="1" x14ac:dyDescent="0.25">
      <c r="A4201" s="12" t="s">
        <v>5993</v>
      </c>
      <c r="B4201" s="12" t="s">
        <v>4123</v>
      </c>
      <c r="C4201" s="14">
        <v>234.88</v>
      </c>
      <c r="D4201" s="12"/>
      <c r="E4201" s="13"/>
    </row>
    <row r="4202" spans="1:5" ht="11.1" hidden="1" customHeight="1" x14ac:dyDescent="0.25">
      <c r="A4202" s="12" t="s">
        <v>5994</v>
      </c>
      <c r="B4202" s="12" t="s">
        <v>5995</v>
      </c>
      <c r="C4202" s="14">
        <v>39382.5</v>
      </c>
      <c r="D4202" s="12"/>
      <c r="E4202" s="14"/>
    </row>
    <row r="4203" spans="1:5" ht="11.1" hidden="1" customHeight="1" x14ac:dyDescent="0.25">
      <c r="A4203" s="12" t="s">
        <v>5996</v>
      </c>
      <c r="B4203" s="12" t="s">
        <v>3177</v>
      </c>
      <c r="C4203" s="14">
        <v>36039</v>
      </c>
      <c r="D4203" s="12"/>
      <c r="E4203" s="14"/>
    </row>
    <row r="4204" spans="1:5" ht="11.1" hidden="1" customHeight="1" x14ac:dyDescent="0.25">
      <c r="A4204" s="12" t="s">
        <v>5997</v>
      </c>
      <c r="B4204" s="12" t="s">
        <v>66</v>
      </c>
      <c r="C4204" s="14">
        <v>14816.67</v>
      </c>
      <c r="D4204" s="12"/>
      <c r="E4204" s="14"/>
    </row>
    <row r="4205" spans="1:5" ht="11.1" hidden="1" customHeight="1" x14ac:dyDescent="0.25">
      <c r="A4205" s="12" t="s">
        <v>5998</v>
      </c>
      <c r="B4205" s="12" t="s">
        <v>5999</v>
      </c>
      <c r="C4205" s="14">
        <v>20000</v>
      </c>
      <c r="D4205" s="12"/>
      <c r="E4205" s="14"/>
    </row>
    <row r="4206" spans="1:5" ht="11.1" hidden="1" customHeight="1" x14ac:dyDescent="0.25">
      <c r="A4206" s="12" t="s">
        <v>6000</v>
      </c>
      <c r="B4206" s="12" t="s">
        <v>6001</v>
      </c>
      <c r="C4206" s="14">
        <v>4500</v>
      </c>
      <c r="D4206" s="12"/>
      <c r="E4206" s="14"/>
    </row>
    <row r="4207" spans="1:5" ht="11.1" hidden="1" customHeight="1" x14ac:dyDescent="0.25">
      <c r="A4207" s="12" t="s">
        <v>6002</v>
      </c>
      <c r="B4207" s="12" t="s">
        <v>2956</v>
      </c>
      <c r="C4207" s="14">
        <v>117500</v>
      </c>
      <c r="D4207" s="12"/>
      <c r="E4207" s="14"/>
    </row>
    <row r="4208" spans="1:5" ht="11.1" hidden="1" customHeight="1" x14ac:dyDescent="0.25">
      <c r="A4208" s="12" t="s">
        <v>6003</v>
      </c>
      <c r="B4208" s="12" t="s">
        <v>2956</v>
      </c>
      <c r="C4208" s="14">
        <v>275833.33</v>
      </c>
      <c r="D4208" s="12"/>
      <c r="E4208" s="14"/>
    </row>
    <row r="4209" spans="1:5" ht="11.1" hidden="1" customHeight="1" x14ac:dyDescent="0.25">
      <c r="A4209" s="12" t="s">
        <v>6004</v>
      </c>
      <c r="B4209" s="12" t="s">
        <v>6005</v>
      </c>
      <c r="C4209" s="14">
        <v>88357.5</v>
      </c>
      <c r="D4209" s="12"/>
      <c r="E4209" s="14"/>
    </row>
    <row r="4210" spans="1:5" ht="11.1" hidden="1" customHeight="1" x14ac:dyDescent="0.25">
      <c r="A4210" s="12" t="s">
        <v>6006</v>
      </c>
      <c r="B4210" s="12" t="s">
        <v>6007</v>
      </c>
      <c r="C4210" s="14">
        <v>14175</v>
      </c>
      <c r="D4210" s="12"/>
      <c r="E4210" s="14"/>
    </row>
    <row r="4211" spans="1:5" ht="11.1" hidden="1" customHeight="1" x14ac:dyDescent="0.25">
      <c r="A4211" s="12" t="s">
        <v>6008</v>
      </c>
      <c r="B4211" s="12" t="s">
        <v>6009</v>
      </c>
      <c r="C4211" s="14">
        <v>361303.47</v>
      </c>
      <c r="D4211" s="12"/>
      <c r="E4211" s="14"/>
    </row>
    <row r="4212" spans="1:5" ht="11.1" hidden="1" customHeight="1" x14ac:dyDescent="0.25">
      <c r="A4212" s="12" t="s">
        <v>6010</v>
      </c>
      <c r="B4212" s="12" t="s">
        <v>6011</v>
      </c>
      <c r="C4212" s="14">
        <v>150</v>
      </c>
      <c r="D4212" s="12"/>
      <c r="E4212" s="13"/>
    </row>
    <row r="4213" spans="1:5" ht="11.1" hidden="1" customHeight="1" x14ac:dyDescent="0.25">
      <c r="A4213" s="12" t="s">
        <v>6012</v>
      </c>
      <c r="B4213" s="12" t="s">
        <v>6013</v>
      </c>
      <c r="C4213" s="14">
        <v>434</v>
      </c>
      <c r="D4213" s="12"/>
      <c r="E4213" s="13"/>
    </row>
    <row r="4214" spans="1:5" ht="11.1" hidden="1" customHeight="1" x14ac:dyDescent="0.25">
      <c r="A4214" s="12" t="s">
        <v>6014</v>
      </c>
      <c r="B4214" s="12" t="s">
        <v>2095</v>
      </c>
      <c r="C4214" s="14">
        <v>361.67</v>
      </c>
      <c r="D4214" s="12"/>
      <c r="E4214" s="13"/>
    </row>
    <row r="4215" spans="1:5" ht="11.1" hidden="1" customHeight="1" x14ac:dyDescent="0.25">
      <c r="A4215" s="12" t="s">
        <v>6015</v>
      </c>
      <c r="B4215" s="12" t="s">
        <v>3898</v>
      </c>
      <c r="C4215" s="14">
        <v>188.94</v>
      </c>
      <c r="D4215" s="12"/>
      <c r="E4215" s="13"/>
    </row>
    <row r="4216" spans="1:5" ht="11.1" hidden="1" customHeight="1" x14ac:dyDescent="0.25">
      <c r="A4216" s="12" t="s">
        <v>6016</v>
      </c>
      <c r="B4216" s="12" t="s">
        <v>4465</v>
      </c>
      <c r="C4216" s="14">
        <v>21975</v>
      </c>
      <c r="D4216" s="12"/>
      <c r="E4216" s="14"/>
    </row>
    <row r="4217" spans="1:5" ht="11.1" hidden="1" customHeight="1" x14ac:dyDescent="0.25">
      <c r="A4217" s="12" t="s">
        <v>6017</v>
      </c>
      <c r="B4217" s="12" t="s">
        <v>1565</v>
      </c>
      <c r="C4217" s="14">
        <v>28868.33</v>
      </c>
      <c r="D4217" s="12"/>
      <c r="E4217" s="14"/>
    </row>
    <row r="4218" spans="1:5" ht="11.1" hidden="1" customHeight="1" x14ac:dyDescent="0.25">
      <c r="A4218" s="12" t="s">
        <v>6018</v>
      </c>
      <c r="B4218" s="12" t="s">
        <v>6019</v>
      </c>
      <c r="C4218" s="14">
        <v>681</v>
      </c>
      <c r="D4218" s="12"/>
      <c r="E4218" s="13"/>
    </row>
    <row r="4219" spans="1:5" ht="11.1" hidden="1" customHeight="1" x14ac:dyDescent="0.25">
      <c r="A4219" s="12" t="s">
        <v>6020</v>
      </c>
      <c r="B4219" s="12" t="s">
        <v>6021</v>
      </c>
      <c r="C4219" s="14">
        <v>20727317.539999999</v>
      </c>
      <c r="D4219" s="12"/>
      <c r="E4219" s="14"/>
    </row>
    <row r="4220" spans="1:5" ht="11.1" hidden="1" customHeight="1" x14ac:dyDescent="0.25">
      <c r="A4220" s="12" t="s">
        <v>6022</v>
      </c>
      <c r="B4220" s="12" t="s">
        <v>6023</v>
      </c>
      <c r="C4220" s="14">
        <v>13000</v>
      </c>
      <c r="D4220" s="12"/>
      <c r="E4220" s="14"/>
    </row>
    <row r="4221" spans="1:5" ht="11.1" hidden="1" customHeight="1" x14ac:dyDescent="0.25">
      <c r="A4221" s="12" t="s">
        <v>6024</v>
      </c>
      <c r="B4221" s="12" t="s">
        <v>4125</v>
      </c>
      <c r="C4221" s="14">
        <v>6200</v>
      </c>
      <c r="D4221" s="12"/>
      <c r="E4221" s="14"/>
    </row>
    <row r="4222" spans="1:5" ht="11.1" hidden="1" customHeight="1" x14ac:dyDescent="0.25">
      <c r="A4222" s="12" t="s">
        <v>6025</v>
      </c>
      <c r="B4222" s="12" t="s">
        <v>4125</v>
      </c>
      <c r="C4222" s="14">
        <v>2150</v>
      </c>
      <c r="D4222" s="12"/>
      <c r="E4222" s="14"/>
    </row>
    <row r="4223" spans="1:5" ht="11.1" hidden="1" customHeight="1" x14ac:dyDescent="0.25">
      <c r="A4223" s="12" t="s">
        <v>6026</v>
      </c>
      <c r="B4223" s="12" t="s">
        <v>6027</v>
      </c>
      <c r="C4223" s="14">
        <v>1416.67</v>
      </c>
      <c r="D4223" s="12"/>
      <c r="E4223" s="14"/>
    </row>
    <row r="4224" spans="1:5" ht="11.1" hidden="1" customHeight="1" x14ac:dyDescent="0.25">
      <c r="A4224" s="12" t="s">
        <v>6028</v>
      </c>
      <c r="B4224" s="12" t="s">
        <v>6023</v>
      </c>
      <c r="C4224" s="14">
        <v>7000</v>
      </c>
      <c r="D4224" s="12"/>
      <c r="E4224" s="14"/>
    </row>
    <row r="4225" spans="1:5" ht="11.1" hidden="1" customHeight="1" x14ac:dyDescent="0.25">
      <c r="A4225" s="12" t="s">
        <v>6029</v>
      </c>
      <c r="B4225" s="12" t="s">
        <v>1958</v>
      </c>
      <c r="C4225" s="14">
        <v>2511.67</v>
      </c>
      <c r="D4225" s="12"/>
      <c r="E4225" s="14"/>
    </row>
    <row r="4226" spans="1:5" ht="11.1" hidden="1" customHeight="1" x14ac:dyDescent="0.25">
      <c r="A4226" s="12" t="s">
        <v>6030</v>
      </c>
      <c r="B4226" s="12" t="s">
        <v>733</v>
      </c>
      <c r="C4226" s="14">
        <v>675</v>
      </c>
      <c r="D4226" s="12"/>
      <c r="E4226" s="13"/>
    </row>
    <row r="4227" spans="1:5" ht="11.1" hidden="1" customHeight="1" x14ac:dyDescent="0.25">
      <c r="A4227" s="12" t="s">
        <v>6031</v>
      </c>
      <c r="B4227" s="12" t="s">
        <v>5799</v>
      </c>
      <c r="C4227" s="14">
        <v>4800</v>
      </c>
      <c r="D4227" s="12"/>
      <c r="E4227" s="14"/>
    </row>
    <row r="4228" spans="1:5" ht="11.1" hidden="1" customHeight="1" x14ac:dyDescent="0.25">
      <c r="A4228" s="12" t="s">
        <v>6032</v>
      </c>
      <c r="B4228" s="12" t="s">
        <v>600</v>
      </c>
      <c r="C4228" s="14">
        <v>6483.33</v>
      </c>
      <c r="D4228" s="12"/>
      <c r="E4228" s="14"/>
    </row>
    <row r="4229" spans="1:5" ht="11.1" hidden="1" customHeight="1" x14ac:dyDescent="0.25">
      <c r="A4229" s="12" t="s">
        <v>6033</v>
      </c>
      <c r="B4229" s="12" t="s">
        <v>6034</v>
      </c>
      <c r="C4229" s="14">
        <v>822</v>
      </c>
      <c r="D4229" s="12"/>
      <c r="E4229" s="13"/>
    </row>
    <row r="4230" spans="1:5" ht="11.1" hidden="1" customHeight="1" x14ac:dyDescent="0.25">
      <c r="A4230" s="12" t="s">
        <v>6035</v>
      </c>
      <c r="B4230" s="12" t="s">
        <v>4036</v>
      </c>
      <c r="C4230" s="14">
        <v>550</v>
      </c>
      <c r="D4230" s="12"/>
      <c r="E4230" s="13"/>
    </row>
    <row r="4231" spans="1:5" ht="11.1" hidden="1" customHeight="1" x14ac:dyDescent="0.25">
      <c r="A4231" s="12" t="s">
        <v>6036</v>
      </c>
      <c r="B4231" s="12" t="s">
        <v>2804</v>
      </c>
      <c r="C4231" s="14">
        <v>816.65</v>
      </c>
      <c r="D4231" s="12"/>
      <c r="E4231" s="13"/>
    </row>
    <row r="4232" spans="1:5" ht="11.1" hidden="1" customHeight="1" x14ac:dyDescent="0.25">
      <c r="A4232" s="12" t="s">
        <v>6037</v>
      </c>
      <c r="B4232" s="12" t="s">
        <v>6038</v>
      </c>
      <c r="C4232" s="14">
        <v>587</v>
      </c>
      <c r="D4232" s="12"/>
      <c r="E4232" s="13"/>
    </row>
    <row r="4233" spans="1:5" ht="11.1" hidden="1" customHeight="1" x14ac:dyDescent="0.25">
      <c r="A4233" s="12" t="s">
        <v>6039</v>
      </c>
      <c r="B4233" s="12" t="s">
        <v>6040</v>
      </c>
      <c r="C4233" s="14">
        <v>806.67</v>
      </c>
      <c r="D4233" s="12"/>
      <c r="E4233" s="13"/>
    </row>
    <row r="4234" spans="1:5" ht="11.1" hidden="1" customHeight="1" x14ac:dyDescent="0.25">
      <c r="A4234" s="12" t="s">
        <v>6041</v>
      </c>
      <c r="B4234" s="12" t="s">
        <v>6040</v>
      </c>
      <c r="C4234" s="14">
        <v>1195</v>
      </c>
      <c r="D4234" s="12"/>
      <c r="E4234" s="14"/>
    </row>
    <row r="4235" spans="1:5" ht="11.1" hidden="1" customHeight="1" x14ac:dyDescent="0.25">
      <c r="A4235" s="12" t="s">
        <v>6042</v>
      </c>
      <c r="B4235" s="12" t="s">
        <v>1932</v>
      </c>
      <c r="C4235" s="14">
        <v>565</v>
      </c>
      <c r="D4235" s="12"/>
      <c r="E4235" s="13"/>
    </row>
    <row r="4236" spans="1:5" ht="11.1" hidden="1" customHeight="1" x14ac:dyDescent="0.25">
      <c r="A4236" s="12" t="s">
        <v>6043</v>
      </c>
      <c r="B4236" s="12" t="s">
        <v>1754</v>
      </c>
      <c r="C4236" s="14">
        <v>130</v>
      </c>
      <c r="D4236" s="12"/>
      <c r="E4236" s="13"/>
    </row>
    <row r="4237" spans="1:5" ht="11.1" hidden="1" customHeight="1" x14ac:dyDescent="0.25">
      <c r="A4237" s="12" t="s">
        <v>6044</v>
      </c>
      <c r="B4237" s="12" t="s">
        <v>2102</v>
      </c>
      <c r="C4237" s="14">
        <v>211.67</v>
      </c>
      <c r="D4237" s="12"/>
      <c r="E4237" s="13"/>
    </row>
    <row r="4238" spans="1:5" ht="11.1" hidden="1" customHeight="1" x14ac:dyDescent="0.25">
      <c r="A4238" s="12" t="s">
        <v>6045</v>
      </c>
      <c r="B4238" s="12" t="s">
        <v>6046</v>
      </c>
      <c r="C4238" s="14">
        <v>232.5</v>
      </c>
      <c r="D4238" s="12"/>
      <c r="E4238" s="13"/>
    </row>
    <row r="4239" spans="1:5" ht="11.1" hidden="1" customHeight="1" x14ac:dyDescent="0.25">
      <c r="A4239" s="12" t="s">
        <v>6047</v>
      </c>
      <c r="B4239" s="12" t="s">
        <v>2583</v>
      </c>
      <c r="C4239" s="14">
        <v>582.5</v>
      </c>
      <c r="D4239" s="12"/>
      <c r="E4239" s="13"/>
    </row>
    <row r="4240" spans="1:5" ht="11.1" hidden="1" customHeight="1" x14ac:dyDescent="0.25">
      <c r="A4240" s="12" t="s">
        <v>6048</v>
      </c>
      <c r="B4240" s="12" t="s">
        <v>6049</v>
      </c>
      <c r="C4240" s="14">
        <v>4819.53</v>
      </c>
      <c r="D4240" s="12"/>
      <c r="E4240" s="14"/>
    </row>
    <row r="4241" spans="1:5" ht="11.1" hidden="1" customHeight="1" x14ac:dyDescent="0.25">
      <c r="A4241" s="12" t="s">
        <v>6050</v>
      </c>
      <c r="B4241" s="12" t="s">
        <v>1436</v>
      </c>
      <c r="C4241" s="14">
        <v>250.83</v>
      </c>
      <c r="D4241" s="12"/>
      <c r="E4241" s="13"/>
    </row>
    <row r="4242" spans="1:5" ht="11.1" hidden="1" customHeight="1" x14ac:dyDescent="0.25">
      <c r="A4242" s="12" t="s">
        <v>6051</v>
      </c>
      <c r="B4242" s="12" t="s">
        <v>3125</v>
      </c>
      <c r="C4242" s="14">
        <v>1018426.73</v>
      </c>
      <c r="D4242" s="12"/>
      <c r="E4242" s="14"/>
    </row>
    <row r="4243" spans="1:5" ht="11.1" hidden="1" customHeight="1" x14ac:dyDescent="0.25">
      <c r="A4243" s="12" t="s">
        <v>6052</v>
      </c>
      <c r="B4243" s="12" t="s">
        <v>3127</v>
      </c>
      <c r="C4243" s="14">
        <v>1276845.42</v>
      </c>
      <c r="D4243" s="12"/>
      <c r="E4243" s="14"/>
    </row>
    <row r="4244" spans="1:5" ht="11.1" hidden="1" customHeight="1" x14ac:dyDescent="0.25">
      <c r="A4244" s="12" t="s">
        <v>6053</v>
      </c>
      <c r="B4244" s="12" t="s">
        <v>2053</v>
      </c>
      <c r="C4244" s="14">
        <v>163.33000000000001</v>
      </c>
      <c r="D4244" s="12"/>
      <c r="E4244" s="13"/>
    </row>
    <row r="4245" spans="1:5" ht="11.1" hidden="1" customHeight="1" x14ac:dyDescent="0.25">
      <c r="A4245" s="12" t="s">
        <v>6054</v>
      </c>
      <c r="B4245" s="12" t="s">
        <v>2053</v>
      </c>
      <c r="C4245" s="14">
        <v>127.5</v>
      </c>
      <c r="D4245" s="12"/>
      <c r="E4245" s="13"/>
    </row>
    <row r="4246" spans="1:5" ht="11.1" hidden="1" customHeight="1" x14ac:dyDescent="0.25">
      <c r="A4246" s="12" t="s">
        <v>6055</v>
      </c>
      <c r="B4246" s="12" t="s">
        <v>2105</v>
      </c>
      <c r="C4246" s="14">
        <v>392</v>
      </c>
      <c r="D4246" s="12"/>
      <c r="E4246" s="13"/>
    </row>
    <row r="4247" spans="1:5" ht="11.1" hidden="1" customHeight="1" x14ac:dyDescent="0.25">
      <c r="A4247" s="12" t="s">
        <v>6056</v>
      </c>
      <c r="B4247" s="12" t="s">
        <v>2105</v>
      </c>
      <c r="C4247" s="14">
        <v>96.8</v>
      </c>
      <c r="D4247" s="12"/>
      <c r="E4247" s="13"/>
    </row>
    <row r="4248" spans="1:5" ht="11.1" hidden="1" customHeight="1" x14ac:dyDescent="0.25">
      <c r="A4248" s="12" t="s">
        <v>6057</v>
      </c>
      <c r="B4248" s="12" t="s">
        <v>2053</v>
      </c>
      <c r="C4248" s="14">
        <v>230</v>
      </c>
      <c r="D4248" s="12"/>
      <c r="E4248" s="13"/>
    </row>
    <row r="4249" spans="1:5" ht="11.1" hidden="1" customHeight="1" x14ac:dyDescent="0.25">
      <c r="A4249" s="12" t="s">
        <v>6058</v>
      </c>
      <c r="B4249" s="12" t="s">
        <v>2100</v>
      </c>
      <c r="C4249" s="14">
        <v>152.5</v>
      </c>
      <c r="D4249" s="12"/>
      <c r="E4249" s="13"/>
    </row>
    <row r="4250" spans="1:5" ht="11.1" hidden="1" customHeight="1" x14ac:dyDescent="0.25">
      <c r="A4250" s="12" t="s">
        <v>6059</v>
      </c>
      <c r="B4250" s="12" t="s">
        <v>2100</v>
      </c>
      <c r="C4250" s="14">
        <v>210.83</v>
      </c>
      <c r="D4250" s="12"/>
      <c r="E4250" s="13"/>
    </row>
    <row r="4251" spans="1:5" ht="11.1" hidden="1" customHeight="1" x14ac:dyDescent="0.25">
      <c r="A4251" s="12" t="s">
        <v>6060</v>
      </c>
      <c r="B4251" s="12" t="s">
        <v>2156</v>
      </c>
      <c r="C4251" s="14">
        <v>217.5</v>
      </c>
      <c r="D4251" s="12"/>
      <c r="E4251" s="13"/>
    </row>
    <row r="4252" spans="1:5" ht="11.1" hidden="1" customHeight="1" x14ac:dyDescent="0.25">
      <c r="A4252" s="12" t="s">
        <v>6061</v>
      </c>
      <c r="B4252" s="12" t="s">
        <v>2100</v>
      </c>
      <c r="C4252" s="14">
        <v>209.17</v>
      </c>
      <c r="D4252" s="12"/>
      <c r="E4252" s="13"/>
    </row>
    <row r="4253" spans="1:5" ht="11.1" hidden="1" customHeight="1" x14ac:dyDescent="0.25">
      <c r="A4253" s="12" t="s">
        <v>6062</v>
      </c>
      <c r="B4253" s="12" t="s">
        <v>6063</v>
      </c>
      <c r="C4253" s="14">
        <v>39.17</v>
      </c>
      <c r="D4253" s="12"/>
      <c r="E4253" s="13"/>
    </row>
    <row r="4254" spans="1:5" ht="11.1" hidden="1" customHeight="1" x14ac:dyDescent="0.25">
      <c r="A4254" s="12" t="s">
        <v>6064</v>
      </c>
      <c r="B4254" s="12" t="s">
        <v>563</v>
      </c>
      <c r="C4254" s="14">
        <v>250</v>
      </c>
      <c r="D4254" s="12"/>
      <c r="E4254" s="13"/>
    </row>
    <row r="4255" spans="1:5" ht="11.1" hidden="1" customHeight="1" x14ac:dyDescent="0.25">
      <c r="A4255" s="12" t="s">
        <v>6065</v>
      </c>
      <c r="B4255" s="12" t="s">
        <v>191</v>
      </c>
      <c r="C4255" s="14">
        <v>150.83000000000001</v>
      </c>
      <c r="D4255" s="12"/>
      <c r="E4255" s="13"/>
    </row>
    <row r="4256" spans="1:5" ht="11.1" hidden="1" customHeight="1" x14ac:dyDescent="0.25">
      <c r="A4256" s="12" t="s">
        <v>6066</v>
      </c>
      <c r="B4256" s="12" t="s">
        <v>6067</v>
      </c>
      <c r="C4256" s="14">
        <v>252</v>
      </c>
      <c r="D4256" s="12"/>
      <c r="E4256" s="13"/>
    </row>
    <row r="4257" spans="1:5" ht="11.1" hidden="1" customHeight="1" x14ac:dyDescent="0.25">
      <c r="A4257" s="12" t="s">
        <v>6068</v>
      </c>
      <c r="B4257" s="12" t="s">
        <v>6069</v>
      </c>
      <c r="C4257" s="14">
        <v>5000000</v>
      </c>
      <c r="D4257" s="12"/>
      <c r="E4257" s="14"/>
    </row>
    <row r="4258" spans="1:5" ht="11.1" hidden="1" customHeight="1" x14ac:dyDescent="0.25">
      <c r="A4258" s="12" t="s">
        <v>6070</v>
      </c>
      <c r="B4258" s="12" t="s">
        <v>6071</v>
      </c>
      <c r="C4258" s="14">
        <v>9000000</v>
      </c>
      <c r="D4258" s="12"/>
      <c r="E4258" s="14"/>
    </row>
    <row r="4259" spans="1:5" ht="11.1" hidden="1" customHeight="1" x14ac:dyDescent="0.25">
      <c r="A4259" s="12" t="s">
        <v>6072</v>
      </c>
      <c r="B4259" s="12" t="s">
        <v>6073</v>
      </c>
      <c r="C4259" s="14">
        <v>3900000</v>
      </c>
      <c r="D4259" s="12"/>
      <c r="E4259" s="14"/>
    </row>
    <row r="4260" spans="1:5" ht="11.1" hidden="1" customHeight="1" x14ac:dyDescent="0.25">
      <c r="A4260" s="12" t="s">
        <v>6074</v>
      </c>
      <c r="B4260" s="12" t="s">
        <v>2914</v>
      </c>
      <c r="C4260" s="14">
        <v>1250</v>
      </c>
      <c r="D4260" s="12"/>
      <c r="E4260" s="14"/>
    </row>
    <row r="4261" spans="1:5" ht="11.1" hidden="1" customHeight="1" x14ac:dyDescent="0.25">
      <c r="A4261" s="12" t="s">
        <v>6075</v>
      </c>
      <c r="B4261" s="12" t="s">
        <v>1214</v>
      </c>
      <c r="C4261" s="14">
        <v>164.17</v>
      </c>
      <c r="D4261" s="12"/>
      <c r="E4261" s="13"/>
    </row>
    <row r="4262" spans="1:5" ht="11.1" hidden="1" customHeight="1" x14ac:dyDescent="0.25">
      <c r="A4262" s="12" t="s">
        <v>6076</v>
      </c>
      <c r="B4262" s="12" t="s">
        <v>1958</v>
      </c>
      <c r="C4262" s="14">
        <v>60.33</v>
      </c>
      <c r="D4262" s="12"/>
      <c r="E4262" s="13"/>
    </row>
    <row r="4263" spans="1:5" ht="11.1" hidden="1" customHeight="1" x14ac:dyDescent="0.25">
      <c r="A4263" s="12" t="s">
        <v>6077</v>
      </c>
      <c r="B4263" s="12" t="s">
        <v>5092</v>
      </c>
      <c r="C4263" s="14">
        <v>54.17</v>
      </c>
      <c r="D4263" s="12"/>
      <c r="E4263" s="13"/>
    </row>
    <row r="4264" spans="1:5" ht="11.1" hidden="1" customHeight="1" x14ac:dyDescent="0.25">
      <c r="A4264" s="12" t="s">
        <v>6078</v>
      </c>
      <c r="B4264" s="12" t="s">
        <v>6079</v>
      </c>
      <c r="C4264" s="14">
        <v>225</v>
      </c>
      <c r="D4264" s="12"/>
      <c r="E4264" s="13"/>
    </row>
    <row r="4265" spans="1:5" ht="11.1" hidden="1" customHeight="1" x14ac:dyDescent="0.25">
      <c r="A4265" s="12" t="s">
        <v>6080</v>
      </c>
      <c r="B4265" s="12" t="s">
        <v>6079</v>
      </c>
      <c r="C4265" s="14">
        <v>225</v>
      </c>
      <c r="D4265" s="12"/>
      <c r="E4265" s="13"/>
    </row>
    <row r="4266" spans="1:5" ht="11.1" hidden="1" customHeight="1" x14ac:dyDescent="0.25">
      <c r="A4266" s="12" t="s">
        <v>6081</v>
      </c>
      <c r="B4266" s="12" t="s">
        <v>6082</v>
      </c>
      <c r="C4266" s="14">
        <v>17.670000000000002</v>
      </c>
      <c r="D4266" s="12"/>
      <c r="E4266" s="13"/>
    </row>
    <row r="4267" spans="1:5" ht="11.1" hidden="1" customHeight="1" x14ac:dyDescent="0.25">
      <c r="A4267" s="12" t="s">
        <v>6083</v>
      </c>
      <c r="B4267" s="12" t="s">
        <v>6082</v>
      </c>
      <c r="C4267" s="14">
        <v>17.670000000000002</v>
      </c>
      <c r="D4267" s="12"/>
      <c r="E4267" s="13"/>
    </row>
    <row r="4268" spans="1:5" ht="11.1" hidden="1" customHeight="1" x14ac:dyDescent="0.25">
      <c r="A4268" s="12" t="s">
        <v>6084</v>
      </c>
      <c r="B4268" s="12" t="s">
        <v>717</v>
      </c>
      <c r="C4268" s="14">
        <v>183.34</v>
      </c>
      <c r="D4268" s="12"/>
      <c r="E4268" s="13"/>
    </row>
    <row r="4269" spans="1:5" ht="11.1" hidden="1" customHeight="1" x14ac:dyDescent="0.25">
      <c r="A4269" s="12" t="s">
        <v>6085</v>
      </c>
      <c r="B4269" s="12" t="s">
        <v>717</v>
      </c>
      <c r="C4269" s="14">
        <v>391.67</v>
      </c>
      <c r="D4269" s="12"/>
      <c r="E4269" s="13"/>
    </row>
    <row r="4270" spans="1:5" ht="11.1" hidden="1" customHeight="1" x14ac:dyDescent="0.25">
      <c r="A4270" s="12" t="s">
        <v>6086</v>
      </c>
      <c r="B4270" s="12" t="s">
        <v>6087</v>
      </c>
      <c r="C4270" s="14">
        <v>100</v>
      </c>
      <c r="D4270" s="12"/>
      <c r="E4270" s="13"/>
    </row>
    <row r="4271" spans="1:5" ht="11.1" hidden="1" customHeight="1" x14ac:dyDescent="0.25">
      <c r="A4271" s="12" t="s">
        <v>6088</v>
      </c>
      <c r="B4271" s="12" t="s">
        <v>719</v>
      </c>
      <c r="C4271" s="14">
        <v>83.33</v>
      </c>
      <c r="D4271" s="12"/>
      <c r="E4271" s="13"/>
    </row>
    <row r="4272" spans="1:5" ht="11.1" hidden="1" customHeight="1" x14ac:dyDescent="0.25">
      <c r="A4272" s="12" t="s">
        <v>6089</v>
      </c>
      <c r="B4272" s="12" t="s">
        <v>3468</v>
      </c>
      <c r="C4272" s="14">
        <v>166.67</v>
      </c>
      <c r="D4272" s="12"/>
      <c r="E4272" s="13"/>
    </row>
    <row r="4273" spans="1:5" ht="11.1" hidden="1" customHeight="1" x14ac:dyDescent="0.25">
      <c r="A4273" s="12" t="s">
        <v>6090</v>
      </c>
      <c r="B4273" s="12" t="s">
        <v>6091</v>
      </c>
      <c r="C4273" s="14">
        <v>145.83000000000001</v>
      </c>
      <c r="D4273" s="12"/>
      <c r="E4273" s="13"/>
    </row>
    <row r="4274" spans="1:5" ht="11.1" hidden="1" customHeight="1" x14ac:dyDescent="0.25">
      <c r="A4274" s="12" t="s">
        <v>6092</v>
      </c>
      <c r="B4274" s="12" t="s">
        <v>2664</v>
      </c>
      <c r="C4274" s="14">
        <v>527</v>
      </c>
      <c r="D4274" s="12"/>
      <c r="E4274" s="13"/>
    </row>
    <row r="4275" spans="1:5" ht="11.1" hidden="1" customHeight="1" x14ac:dyDescent="0.25">
      <c r="A4275" s="12" t="s">
        <v>6093</v>
      </c>
      <c r="B4275" s="12" t="s">
        <v>6091</v>
      </c>
      <c r="C4275" s="14">
        <v>60</v>
      </c>
      <c r="D4275" s="12"/>
      <c r="E4275" s="13"/>
    </row>
    <row r="4276" spans="1:5" ht="11.1" hidden="1" customHeight="1" x14ac:dyDescent="0.25">
      <c r="A4276" s="12" t="s">
        <v>6094</v>
      </c>
      <c r="B4276" s="12" t="s">
        <v>6034</v>
      </c>
      <c r="C4276" s="14">
        <v>517</v>
      </c>
      <c r="D4276" s="12"/>
      <c r="E4276" s="13"/>
    </row>
    <row r="4277" spans="1:5" ht="11.1" hidden="1" customHeight="1" x14ac:dyDescent="0.25">
      <c r="A4277" s="12" t="s">
        <v>6095</v>
      </c>
      <c r="B4277" s="12" t="s">
        <v>6034</v>
      </c>
      <c r="C4277" s="14">
        <v>672</v>
      </c>
      <c r="D4277" s="12"/>
      <c r="E4277" s="13"/>
    </row>
    <row r="4278" spans="1:5" ht="23.1" hidden="1" customHeight="1" x14ac:dyDescent="0.25">
      <c r="A4278" s="12" t="s">
        <v>6096</v>
      </c>
      <c r="B4278" s="12" t="s">
        <v>3468</v>
      </c>
      <c r="C4278" s="14">
        <v>93.33</v>
      </c>
      <c r="D4278" s="12"/>
      <c r="E4278" s="13"/>
    </row>
    <row r="4279" spans="1:5" ht="11.1" hidden="1" customHeight="1" x14ac:dyDescent="0.25">
      <c r="A4279" s="12" t="s">
        <v>6097</v>
      </c>
      <c r="B4279" s="12" t="s">
        <v>6098</v>
      </c>
      <c r="C4279" s="14">
        <v>162.5</v>
      </c>
      <c r="D4279" s="12"/>
      <c r="E4279" s="13"/>
    </row>
    <row r="4280" spans="1:5" ht="11.1" hidden="1" customHeight="1" x14ac:dyDescent="0.25">
      <c r="A4280" s="12" t="s">
        <v>6099</v>
      </c>
      <c r="B4280" s="12" t="s">
        <v>6100</v>
      </c>
      <c r="C4280" s="14">
        <v>19.170000000000002</v>
      </c>
      <c r="D4280" s="12"/>
      <c r="E4280" s="13"/>
    </row>
    <row r="4281" spans="1:5" ht="11.1" hidden="1" customHeight="1" x14ac:dyDescent="0.25">
      <c r="A4281" s="12" t="s">
        <v>6101</v>
      </c>
      <c r="B4281" s="12" t="s">
        <v>4719</v>
      </c>
      <c r="C4281" s="14">
        <v>9.58</v>
      </c>
      <c r="D4281" s="12"/>
      <c r="E4281" s="13"/>
    </row>
    <row r="4282" spans="1:5" ht="11.1" hidden="1" customHeight="1" x14ac:dyDescent="0.25">
      <c r="A4282" s="12" t="s">
        <v>6102</v>
      </c>
      <c r="B4282" s="12" t="s">
        <v>4719</v>
      </c>
      <c r="C4282" s="14">
        <v>9.58</v>
      </c>
      <c r="D4282" s="12"/>
      <c r="E4282" s="13"/>
    </row>
    <row r="4283" spans="1:5" ht="11.1" hidden="1" customHeight="1" x14ac:dyDescent="0.25">
      <c r="A4283" s="12" t="s">
        <v>6103</v>
      </c>
      <c r="B4283" s="12" t="s">
        <v>6104</v>
      </c>
      <c r="C4283" s="14">
        <v>197.5</v>
      </c>
      <c r="D4283" s="12"/>
      <c r="E4283" s="13"/>
    </row>
    <row r="4284" spans="1:5" ht="23.1" hidden="1" customHeight="1" x14ac:dyDescent="0.25">
      <c r="A4284" s="12" t="s">
        <v>6105</v>
      </c>
      <c r="B4284" s="12" t="s">
        <v>6106</v>
      </c>
      <c r="C4284" s="14">
        <v>117.08</v>
      </c>
      <c r="D4284" s="12"/>
      <c r="E4284" s="13"/>
    </row>
    <row r="4285" spans="1:5" ht="11.1" hidden="1" customHeight="1" x14ac:dyDescent="0.25">
      <c r="A4285" s="12" t="s">
        <v>6107</v>
      </c>
      <c r="B4285" s="12" t="s">
        <v>6108</v>
      </c>
      <c r="C4285" s="14">
        <v>117.08</v>
      </c>
      <c r="D4285" s="12"/>
      <c r="E4285" s="13"/>
    </row>
    <row r="4286" spans="1:5" ht="11.1" hidden="1" customHeight="1" x14ac:dyDescent="0.25">
      <c r="A4286" s="12" t="s">
        <v>6109</v>
      </c>
      <c r="B4286" s="12" t="s">
        <v>6110</v>
      </c>
      <c r="C4286" s="14">
        <v>54.17</v>
      </c>
      <c r="D4286" s="12"/>
      <c r="E4286" s="13"/>
    </row>
    <row r="4287" spans="1:5" ht="11.1" hidden="1" customHeight="1" x14ac:dyDescent="0.25">
      <c r="A4287" s="12" t="s">
        <v>6111</v>
      </c>
      <c r="B4287" s="12" t="s">
        <v>6112</v>
      </c>
      <c r="C4287" s="14">
        <v>308.33</v>
      </c>
      <c r="D4287" s="12"/>
      <c r="E4287" s="13"/>
    </row>
    <row r="4288" spans="1:5" ht="11.1" hidden="1" customHeight="1" x14ac:dyDescent="0.25">
      <c r="A4288" s="12" t="s">
        <v>6113</v>
      </c>
      <c r="B4288" s="12" t="s">
        <v>6114</v>
      </c>
      <c r="C4288" s="14">
        <v>308.33</v>
      </c>
      <c r="D4288" s="12"/>
      <c r="E4288" s="13"/>
    </row>
    <row r="4289" spans="1:5" ht="11.1" hidden="1" customHeight="1" x14ac:dyDescent="0.25">
      <c r="A4289" s="12" t="s">
        <v>6115</v>
      </c>
      <c r="B4289" s="12" t="s">
        <v>262</v>
      </c>
      <c r="C4289" s="14">
        <v>2000</v>
      </c>
      <c r="D4289" s="12"/>
      <c r="E4289" s="14"/>
    </row>
    <row r="4290" spans="1:5" ht="11.1" hidden="1" customHeight="1" x14ac:dyDescent="0.25">
      <c r="A4290" s="12" t="s">
        <v>6116</v>
      </c>
      <c r="B4290" s="12" t="s">
        <v>168</v>
      </c>
      <c r="C4290" s="14">
        <v>13.84</v>
      </c>
      <c r="D4290" s="12"/>
      <c r="E4290" s="13"/>
    </row>
    <row r="4291" spans="1:5" ht="11.1" hidden="1" customHeight="1" x14ac:dyDescent="0.25">
      <c r="A4291" s="12" t="s">
        <v>6117</v>
      </c>
      <c r="B4291" s="12" t="s">
        <v>6118</v>
      </c>
      <c r="C4291" s="14">
        <v>150</v>
      </c>
      <c r="D4291" s="12"/>
      <c r="E4291" s="13"/>
    </row>
    <row r="4292" spans="1:5" ht="11.1" hidden="1" customHeight="1" x14ac:dyDescent="0.25">
      <c r="A4292" s="12" t="s">
        <v>6119</v>
      </c>
      <c r="B4292" s="12" t="s">
        <v>674</v>
      </c>
      <c r="C4292" s="14">
        <v>231</v>
      </c>
      <c r="D4292" s="12"/>
      <c r="E4292" s="13"/>
    </row>
    <row r="4293" spans="1:5" ht="11.1" hidden="1" customHeight="1" x14ac:dyDescent="0.25">
      <c r="A4293" s="12" t="s">
        <v>6120</v>
      </c>
      <c r="B4293" s="12" t="s">
        <v>6121</v>
      </c>
      <c r="C4293" s="14">
        <v>4350</v>
      </c>
      <c r="D4293" s="12"/>
      <c r="E4293" s="14"/>
    </row>
    <row r="4294" spans="1:5" ht="11.1" hidden="1" customHeight="1" x14ac:dyDescent="0.25">
      <c r="A4294" s="12" t="s">
        <v>6122</v>
      </c>
      <c r="B4294" s="12" t="s">
        <v>188</v>
      </c>
      <c r="C4294" s="14">
        <v>40950</v>
      </c>
      <c r="D4294" s="12"/>
      <c r="E4294" s="14"/>
    </row>
    <row r="4295" spans="1:5" ht="11.1" hidden="1" customHeight="1" x14ac:dyDescent="0.25">
      <c r="A4295" s="12" t="s">
        <v>6123</v>
      </c>
      <c r="B4295" s="12" t="s">
        <v>1841</v>
      </c>
      <c r="C4295" s="14">
        <v>302752.40000000002</v>
      </c>
      <c r="D4295" s="12"/>
      <c r="E4295" s="14"/>
    </row>
    <row r="4296" spans="1:5" ht="11.1" hidden="1" customHeight="1" x14ac:dyDescent="0.25">
      <c r="A4296" s="12" t="s">
        <v>6124</v>
      </c>
      <c r="B4296" s="12" t="s">
        <v>182</v>
      </c>
      <c r="C4296" s="14">
        <v>1922.04</v>
      </c>
      <c r="D4296" s="12"/>
      <c r="E4296" s="14"/>
    </row>
    <row r="4297" spans="1:5" ht="11.1" hidden="1" customHeight="1" x14ac:dyDescent="0.25">
      <c r="A4297" s="12" t="s">
        <v>6125</v>
      </c>
      <c r="B4297" s="12" t="s">
        <v>1368</v>
      </c>
      <c r="C4297" s="14">
        <v>61.67</v>
      </c>
      <c r="D4297" s="12"/>
      <c r="E4297" s="13"/>
    </row>
    <row r="4298" spans="1:5" ht="11.1" hidden="1" customHeight="1" x14ac:dyDescent="0.25">
      <c r="A4298" s="12" t="s">
        <v>6126</v>
      </c>
      <c r="B4298" s="12" t="s">
        <v>1368</v>
      </c>
      <c r="C4298" s="14">
        <v>43.33</v>
      </c>
      <c r="D4298" s="12"/>
      <c r="E4298" s="13"/>
    </row>
    <row r="4299" spans="1:5" ht="11.1" hidden="1" customHeight="1" x14ac:dyDescent="0.25">
      <c r="A4299" s="12" t="s">
        <v>6127</v>
      </c>
      <c r="B4299" s="12" t="s">
        <v>3292</v>
      </c>
      <c r="C4299" s="14">
        <v>36.46</v>
      </c>
      <c r="D4299" s="12"/>
      <c r="E4299" s="13"/>
    </row>
    <row r="4300" spans="1:5" ht="11.1" hidden="1" customHeight="1" x14ac:dyDescent="0.25">
      <c r="A4300" s="12" t="s">
        <v>6128</v>
      </c>
      <c r="B4300" s="12" t="s">
        <v>4651</v>
      </c>
      <c r="C4300" s="14">
        <v>2520</v>
      </c>
      <c r="D4300" s="12"/>
      <c r="E4300" s="14"/>
    </row>
    <row r="4301" spans="1:5" ht="11.1" hidden="1" customHeight="1" x14ac:dyDescent="0.25">
      <c r="A4301" s="12" t="s">
        <v>6129</v>
      </c>
      <c r="B4301" s="12" t="s">
        <v>6130</v>
      </c>
      <c r="C4301" s="14">
        <v>5193</v>
      </c>
      <c r="D4301" s="12"/>
      <c r="E4301" s="14"/>
    </row>
    <row r="4302" spans="1:5" ht="11.1" hidden="1" customHeight="1" x14ac:dyDescent="0.25">
      <c r="A4302" s="12" t="s">
        <v>6131</v>
      </c>
      <c r="B4302" s="12" t="s">
        <v>6132</v>
      </c>
      <c r="C4302" s="14">
        <v>2075.83</v>
      </c>
      <c r="D4302" s="12"/>
      <c r="E4302" s="14"/>
    </row>
    <row r="4303" spans="1:5" ht="11.1" hidden="1" customHeight="1" x14ac:dyDescent="0.25">
      <c r="A4303" s="12" t="s">
        <v>6133</v>
      </c>
      <c r="B4303" s="12" t="s">
        <v>6134</v>
      </c>
      <c r="C4303" s="14">
        <v>515</v>
      </c>
      <c r="D4303" s="12"/>
      <c r="E4303" s="13"/>
    </row>
    <row r="4304" spans="1:5" ht="23.1" hidden="1" customHeight="1" x14ac:dyDescent="0.25">
      <c r="A4304" s="12" t="s">
        <v>6135</v>
      </c>
      <c r="B4304" s="12" t="s">
        <v>5361</v>
      </c>
      <c r="C4304" s="14">
        <v>4465.49</v>
      </c>
      <c r="D4304" s="12"/>
      <c r="E4304" s="14"/>
    </row>
    <row r="4305" spans="1:5" ht="11.1" hidden="1" customHeight="1" x14ac:dyDescent="0.25">
      <c r="A4305" s="12" t="s">
        <v>6136</v>
      </c>
      <c r="B4305" s="12" t="s">
        <v>5752</v>
      </c>
      <c r="C4305" s="14">
        <v>108.33</v>
      </c>
      <c r="D4305" s="12"/>
      <c r="E4305" s="13"/>
    </row>
    <row r="4306" spans="1:5" ht="11.1" hidden="1" customHeight="1" x14ac:dyDescent="0.25">
      <c r="A4306" s="12" t="s">
        <v>6137</v>
      </c>
      <c r="B4306" s="12" t="s">
        <v>5934</v>
      </c>
      <c r="C4306" s="14">
        <v>3141.67</v>
      </c>
      <c r="D4306" s="12"/>
      <c r="E4306" s="14"/>
    </row>
    <row r="4307" spans="1:5" ht="11.1" hidden="1" customHeight="1" x14ac:dyDescent="0.25">
      <c r="A4307" s="12" t="s">
        <v>6138</v>
      </c>
      <c r="B4307" s="12" t="s">
        <v>6139</v>
      </c>
      <c r="C4307" s="14">
        <v>7500</v>
      </c>
      <c r="D4307" s="12"/>
      <c r="E4307" s="14"/>
    </row>
    <row r="4308" spans="1:5" ht="11.1" hidden="1" customHeight="1" x14ac:dyDescent="0.25">
      <c r="A4308" s="12" t="s">
        <v>6140</v>
      </c>
      <c r="B4308" s="12" t="s">
        <v>120</v>
      </c>
      <c r="C4308" s="14">
        <v>6258.33</v>
      </c>
      <c r="D4308" s="12"/>
      <c r="E4308" s="14"/>
    </row>
    <row r="4309" spans="1:5" ht="11.1" hidden="1" customHeight="1" x14ac:dyDescent="0.25">
      <c r="A4309" s="12" t="s">
        <v>6141</v>
      </c>
      <c r="B4309" s="12" t="s">
        <v>6142</v>
      </c>
      <c r="C4309" s="14">
        <v>13391.67</v>
      </c>
      <c r="D4309" s="12"/>
      <c r="E4309" s="14"/>
    </row>
    <row r="4310" spans="1:5" ht="11.1" hidden="1" customHeight="1" x14ac:dyDescent="0.25">
      <c r="A4310" s="12" t="s">
        <v>6143</v>
      </c>
      <c r="B4310" s="12" t="s">
        <v>6144</v>
      </c>
      <c r="C4310" s="14">
        <v>11475</v>
      </c>
      <c r="D4310" s="12"/>
      <c r="E4310" s="14"/>
    </row>
    <row r="4311" spans="1:5" ht="11.1" hidden="1" customHeight="1" x14ac:dyDescent="0.25">
      <c r="A4311" s="12" t="s">
        <v>6145</v>
      </c>
      <c r="B4311" s="12" t="s">
        <v>6146</v>
      </c>
      <c r="C4311" s="14">
        <v>7083.33</v>
      </c>
      <c r="D4311" s="12"/>
      <c r="E4311" s="14"/>
    </row>
    <row r="4312" spans="1:5" ht="23.1" hidden="1" customHeight="1" x14ac:dyDescent="0.25">
      <c r="A4312" s="12" t="s">
        <v>6147</v>
      </c>
      <c r="B4312" s="12" t="s">
        <v>6148</v>
      </c>
      <c r="C4312" s="14">
        <v>2916.67</v>
      </c>
      <c r="D4312" s="12"/>
      <c r="E4312" s="14"/>
    </row>
    <row r="4313" spans="1:5" ht="11.1" hidden="1" customHeight="1" x14ac:dyDescent="0.25">
      <c r="A4313" s="12" t="s">
        <v>6149</v>
      </c>
      <c r="B4313" s="12" t="s">
        <v>6150</v>
      </c>
      <c r="C4313" s="14">
        <v>1617.5</v>
      </c>
      <c r="D4313" s="12"/>
      <c r="E4313" s="14"/>
    </row>
    <row r="4314" spans="1:5" ht="11.1" hidden="1" customHeight="1" x14ac:dyDescent="0.25">
      <c r="A4314" s="12" t="s">
        <v>6151</v>
      </c>
      <c r="B4314" s="12" t="s">
        <v>5484</v>
      </c>
      <c r="C4314" s="14">
        <v>10340</v>
      </c>
      <c r="D4314" s="12"/>
      <c r="E4314" s="14"/>
    </row>
    <row r="4315" spans="1:5" ht="11.1" hidden="1" customHeight="1" x14ac:dyDescent="0.25">
      <c r="A4315" s="12" t="s">
        <v>6152</v>
      </c>
      <c r="B4315" s="12" t="s">
        <v>2633</v>
      </c>
      <c r="C4315" s="14">
        <v>19208.330000000002</v>
      </c>
      <c r="D4315" s="12"/>
      <c r="E4315" s="14"/>
    </row>
    <row r="4316" spans="1:5" ht="11.1" hidden="1" customHeight="1" x14ac:dyDescent="0.25">
      <c r="A4316" s="12" t="s">
        <v>6153</v>
      </c>
      <c r="B4316" s="12" t="s">
        <v>2780</v>
      </c>
      <c r="C4316" s="14">
        <v>1666.67</v>
      </c>
      <c r="D4316" s="12"/>
      <c r="E4316" s="14"/>
    </row>
    <row r="4317" spans="1:5" ht="11.1" hidden="1" customHeight="1" x14ac:dyDescent="0.25">
      <c r="A4317" s="12" t="s">
        <v>6154</v>
      </c>
      <c r="B4317" s="12" t="s">
        <v>507</v>
      </c>
      <c r="C4317" s="14">
        <v>108.33</v>
      </c>
      <c r="D4317" s="12"/>
      <c r="E4317" s="13"/>
    </row>
    <row r="4318" spans="1:5" ht="11.1" hidden="1" customHeight="1" x14ac:dyDescent="0.25">
      <c r="A4318" s="12" t="s">
        <v>6155</v>
      </c>
      <c r="B4318" s="12" t="s">
        <v>1041</v>
      </c>
      <c r="C4318" s="14">
        <v>22</v>
      </c>
      <c r="D4318" s="12"/>
      <c r="E4318" s="13"/>
    </row>
    <row r="4319" spans="1:5" ht="11.1" hidden="1" customHeight="1" x14ac:dyDescent="0.25">
      <c r="A4319" s="12" t="s">
        <v>6156</v>
      </c>
      <c r="B4319" s="12" t="s">
        <v>6157</v>
      </c>
      <c r="C4319" s="14">
        <v>1381</v>
      </c>
      <c r="D4319" s="12"/>
      <c r="E4319" s="14"/>
    </row>
    <row r="4320" spans="1:5" ht="23.1" hidden="1" customHeight="1" x14ac:dyDescent="0.25">
      <c r="A4320" s="12" t="s">
        <v>6158</v>
      </c>
      <c r="B4320" s="12" t="s">
        <v>993</v>
      </c>
      <c r="C4320" s="14">
        <v>5569.17</v>
      </c>
      <c r="D4320" s="12"/>
      <c r="E4320" s="14"/>
    </row>
    <row r="4321" spans="1:5" ht="11.1" hidden="1" customHeight="1" x14ac:dyDescent="0.25">
      <c r="A4321" s="12" t="s">
        <v>6159</v>
      </c>
      <c r="B4321" s="12" t="s">
        <v>4669</v>
      </c>
      <c r="C4321" s="14">
        <v>405</v>
      </c>
      <c r="D4321" s="12"/>
      <c r="E4321" s="13"/>
    </row>
    <row r="4322" spans="1:5" ht="11.1" hidden="1" customHeight="1" x14ac:dyDescent="0.25">
      <c r="A4322" s="12" t="s">
        <v>6160</v>
      </c>
      <c r="B4322" s="12" t="s">
        <v>3616</v>
      </c>
      <c r="C4322" s="14">
        <v>1100</v>
      </c>
      <c r="D4322" s="12"/>
      <c r="E4322" s="14"/>
    </row>
    <row r="4323" spans="1:5" ht="11.1" hidden="1" customHeight="1" x14ac:dyDescent="0.25">
      <c r="A4323" s="12" t="s">
        <v>6161</v>
      </c>
      <c r="B4323" s="12" t="s">
        <v>6162</v>
      </c>
      <c r="C4323" s="14">
        <v>57.28</v>
      </c>
      <c r="D4323" s="12"/>
      <c r="E4323" s="13"/>
    </row>
    <row r="4324" spans="1:5" ht="11.1" hidden="1" customHeight="1" x14ac:dyDescent="0.25">
      <c r="A4324" s="12" t="s">
        <v>6163</v>
      </c>
      <c r="B4324" s="12" t="s">
        <v>5092</v>
      </c>
      <c r="C4324" s="14">
        <v>13.33</v>
      </c>
      <c r="D4324" s="12"/>
      <c r="E4324" s="13"/>
    </row>
    <row r="4325" spans="1:5" ht="11.1" hidden="1" customHeight="1" x14ac:dyDescent="0.25">
      <c r="A4325" s="12" t="s">
        <v>6164</v>
      </c>
      <c r="B4325" s="12" t="s">
        <v>1958</v>
      </c>
      <c r="C4325" s="14">
        <v>2.5</v>
      </c>
      <c r="D4325" s="12"/>
      <c r="E4325" s="13"/>
    </row>
    <row r="4326" spans="1:5" ht="11.1" hidden="1" customHeight="1" x14ac:dyDescent="0.25">
      <c r="A4326" s="12" t="s">
        <v>6165</v>
      </c>
      <c r="B4326" s="12" t="s">
        <v>4245</v>
      </c>
      <c r="C4326" s="14">
        <v>208.33</v>
      </c>
      <c r="D4326" s="12"/>
      <c r="E4326" s="13"/>
    </row>
    <row r="4327" spans="1:5" ht="11.1" hidden="1" customHeight="1" x14ac:dyDescent="0.25">
      <c r="A4327" s="12" t="s">
        <v>6166</v>
      </c>
      <c r="B4327" s="12" t="s">
        <v>6167</v>
      </c>
      <c r="C4327" s="14">
        <v>2139.17</v>
      </c>
      <c r="D4327" s="12"/>
      <c r="E4327" s="14"/>
    </row>
    <row r="4328" spans="1:5" ht="11.1" hidden="1" customHeight="1" x14ac:dyDescent="0.25">
      <c r="A4328" s="12" t="s">
        <v>6168</v>
      </c>
      <c r="B4328" s="12" t="s">
        <v>571</v>
      </c>
      <c r="C4328" s="14">
        <v>4671.67</v>
      </c>
      <c r="D4328" s="12"/>
      <c r="E4328" s="14"/>
    </row>
    <row r="4329" spans="1:5" ht="11.1" hidden="1" customHeight="1" x14ac:dyDescent="0.25">
      <c r="A4329" s="12" t="s">
        <v>6169</v>
      </c>
      <c r="B4329" s="12" t="s">
        <v>1211</v>
      </c>
      <c r="C4329" s="14">
        <v>350</v>
      </c>
      <c r="D4329" s="12"/>
      <c r="E4329" s="13"/>
    </row>
    <row r="4330" spans="1:5" ht="11.1" hidden="1" customHeight="1" x14ac:dyDescent="0.25">
      <c r="A4330" s="12" t="s">
        <v>6170</v>
      </c>
      <c r="B4330" s="12" t="s">
        <v>309</v>
      </c>
      <c r="C4330" s="14">
        <v>1830</v>
      </c>
      <c r="D4330" s="12"/>
      <c r="E4330" s="14"/>
    </row>
    <row r="4331" spans="1:5" ht="11.1" hidden="1" customHeight="1" x14ac:dyDescent="0.25">
      <c r="A4331" s="12" t="s">
        <v>6171</v>
      </c>
      <c r="B4331" s="12" t="s">
        <v>6172</v>
      </c>
      <c r="C4331" s="14">
        <v>294.17</v>
      </c>
      <c r="D4331" s="12"/>
      <c r="E4331" s="13"/>
    </row>
    <row r="4332" spans="1:5" ht="23.1" hidden="1" customHeight="1" x14ac:dyDescent="0.25">
      <c r="A4332" s="12" t="s">
        <v>6173</v>
      </c>
      <c r="B4332" s="12" t="s">
        <v>6172</v>
      </c>
      <c r="C4332" s="14">
        <v>708.25</v>
      </c>
      <c r="D4332" s="12"/>
      <c r="E4332" s="13"/>
    </row>
    <row r="4333" spans="1:5" ht="11.1" hidden="1" customHeight="1" x14ac:dyDescent="0.25">
      <c r="A4333" s="12" t="s">
        <v>6174</v>
      </c>
      <c r="B4333" s="12" t="s">
        <v>6175</v>
      </c>
      <c r="C4333" s="14">
        <v>1209</v>
      </c>
      <c r="D4333" s="12"/>
      <c r="E4333" s="14"/>
    </row>
    <row r="4334" spans="1:5" ht="11.1" hidden="1" customHeight="1" x14ac:dyDescent="0.25">
      <c r="A4334" s="12" t="s">
        <v>6176</v>
      </c>
      <c r="B4334" s="12" t="s">
        <v>6177</v>
      </c>
      <c r="C4334" s="14">
        <v>1058</v>
      </c>
      <c r="D4334" s="12"/>
      <c r="E4334" s="14"/>
    </row>
    <row r="4335" spans="1:5" ht="11.1" hidden="1" customHeight="1" x14ac:dyDescent="0.25">
      <c r="A4335" s="12" t="s">
        <v>6178</v>
      </c>
      <c r="B4335" s="12" t="s">
        <v>503</v>
      </c>
      <c r="C4335" s="14">
        <v>61.67</v>
      </c>
      <c r="D4335" s="12"/>
      <c r="E4335" s="13"/>
    </row>
    <row r="4336" spans="1:5" ht="11.1" hidden="1" customHeight="1" x14ac:dyDescent="0.25">
      <c r="A4336" s="12" t="s">
        <v>6179</v>
      </c>
      <c r="B4336" s="12" t="s">
        <v>650</v>
      </c>
      <c r="C4336" s="14">
        <v>80.83</v>
      </c>
      <c r="D4336" s="12"/>
      <c r="E4336" s="13"/>
    </row>
    <row r="4337" spans="1:5" ht="11.1" hidden="1" customHeight="1" x14ac:dyDescent="0.25">
      <c r="A4337" s="12" t="s">
        <v>6180</v>
      </c>
      <c r="B4337" s="12" t="s">
        <v>650</v>
      </c>
      <c r="C4337" s="14">
        <v>66.67</v>
      </c>
      <c r="D4337" s="12"/>
      <c r="E4337" s="13"/>
    </row>
    <row r="4338" spans="1:5" ht="11.1" hidden="1" customHeight="1" x14ac:dyDescent="0.25">
      <c r="A4338" s="12" t="s">
        <v>6181</v>
      </c>
      <c r="B4338" s="12" t="s">
        <v>4775</v>
      </c>
      <c r="C4338" s="14">
        <v>126.67</v>
      </c>
      <c r="D4338" s="12"/>
      <c r="E4338" s="13"/>
    </row>
    <row r="4339" spans="1:5" ht="11.1" hidden="1" customHeight="1" x14ac:dyDescent="0.25">
      <c r="A4339" s="12" t="s">
        <v>6182</v>
      </c>
      <c r="B4339" s="12" t="s">
        <v>6183</v>
      </c>
      <c r="C4339" s="14">
        <v>30000</v>
      </c>
      <c r="D4339" s="12"/>
      <c r="E4339" s="14"/>
    </row>
    <row r="4340" spans="1:5" ht="11.1" hidden="1" customHeight="1" x14ac:dyDescent="0.25">
      <c r="A4340" s="12" t="s">
        <v>6184</v>
      </c>
      <c r="B4340" s="12" t="s">
        <v>6185</v>
      </c>
      <c r="C4340" s="14">
        <v>33972</v>
      </c>
      <c r="D4340" s="12"/>
      <c r="E4340" s="14"/>
    </row>
    <row r="4341" spans="1:5" ht="11.1" hidden="1" customHeight="1" x14ac:dyDescent="0.25">
      <c r="A4341" s="12" t="s">
        <v>6186</v>
      </c>
      <c r="B4341" s="12" t="s">
        <v>2588</v>
      </c>
      <c r="C4341" s="14">
        <v>1119.3800000000001</v>
      </c>
      <c r="D4341" s="12"/>
      <c r="E4341" s="14"/>
    </row>
    <row r="4342" spans="1:5" ht="11.1" hidden="1" customHeight="1" x14ac:dyDescent="0.25">
      <c r="A4342" s="12" t="s">
        <v>6187</v>
      </c>
      <c r="B4342" s="12" t="s">
        <v>1187</v>
      </c>
      <c r="C4342" s="14">
        <v>2375</v>
      </c>
      <c r="D4342" s="12"/>
      <c r="E4342" s="14"/>
    </row>
    <row r="4343" spans="1:5" ht="11.1" hidden="1" customHeight="1" x14ac:dyDescent="0.25">
      <c r="A4343" s="12" t="s">
        <v>6188</v>
      </c>
      <c r="B4343" s="12" t="s">
        <v>497</v>
      </c>
      <c r="C4343" s="14">
        <v>411.67</v>
      </c>
      <c r="D4343" s="12"/>
      <c r="E4343" s="13"/>
    </row>
    <row r="4344" spans="1:5" ht="11.1" hidden="1" customHeight="1" x14ac:dyDescent="0.25">
      <c r="A4344" s="12" t="s">
        <v>6189</v>
      </c>
      <c r="B4344" s="12" t="s">
        <v>1720</v>
      </c>
      <c r="C4344" s="14">
        <v>7194.17</v>
      </c>
      <c r="D4344" s="12"/>
      <c r="E4344" s="14"/>
    </row>
    <row r="4345" spans="1:5" ht="11.1" hidden="1" customHeight="1" x14ac:dyDescent="0.25">
      <c r="A4345" s="12" t="s">
        <v>6190</v>
      </c>
      <c r="B4345" s="12" t="s">
        <v>6191</v>
      </c>
      <c r="C4345" s="14">
        <v>148.33000000000001</v>
      </c>
      <c r="D4345" s="12"/>
      <c r="E4345" s="13"/>
    </row>
    <row r="4346" spans="1:5" ht="11.1" hidden="1" customHeight="1" x14ac:dyDescent="0.25">
      <c r="A4346" s="12" t="s">
        <v>6192</v>
      </c>
      <c r="B4346" s="12" t="s">
        <v>2074</v>
      </c>
      <c r="C4346" s="14">
        <v>140.25</v>
      </c>
      <c r="D4346" s="12"/>
      <c r="E4346" s="13"/>
    </row>
    <row r="4347" spans="1:5" ht="11.1" hidden="1" customHeight="1" x14ac:dyDescent="0.25">
      <c r="A4347" s="12" t="s">
        <v>6193</v>
      </c>
      <c r="B4347" s="12" t="s">
        <v>3338</v>
      </c>
      <c r="C4347" s="14">
        <v>346.67</v>
      </c>
      <c r="D4347" s="12"/>
      <c r="E4347" s="13"/>
    </row>
    <row r="4348" spans="1:5" ht="11.1" hidden="1" customHeight="1" x14ac:dyDescent="0.25">
      <c r="A4348" s="12" t="s">
        <v>6194</v>
      </c>
      <c r="B4348" s="12" t="s">
        <v>6195</v>
      </c>
      <c r="C4348" s="14">
        <v>360</v>
      </c>
      <c r="D4348" s="12"/>
      <c r="E4348" s="13"/>
    </row>
    <row r="4349" spans="1:5" ht="11.1" hidden="1" customHeight="1" x14ac:dyDescent="0.25">
      <c r="A4349" s="12" t="s">
        <v>6196</v>
      </c>
      <c r="B4349" s="12" t="s">
        <v>6197</v>
      </c>
      <c r="C4349" s="14">
        <v>58333.33</v>
      </c>
      <c r="D4349" s="12"/>
      <c r="E4349" s="14"/>
    </row>
    <row r="4350" spans="1:5" ht="11.1" hidden="1" customHeight="1" x14ac:dyDescent="0.25">
      <c r="A4350" s="12" t="s">
        <v>6198</v>
      </c>
      <c r="B4350" s="12" t="s">
        <v>6197</v>
      </c>
      <c r="C4350" s="14">
        <v>58333.33</v>
      </c>
      <c r="D4350" s="12"/>
      <c r="E4350" s="14"/>
    </row>
    <row r="4351" spans="1:5" ht="11.1" hidden="1" customHeight="1" x14ac:dyDescent="0.25">
      <c r="A4351" s="12" t="s">
        <v>6199</v>
      </c>
      <c r="B4351" s="12" t="s">
        <v>1987</v>
      </c>
      <c r="C4351" s="14">
        <v>1923.33</v>
      </c>
      <c r="D4351" s="12"/>
      <c r="E4351" s="14"/>
    </row>
    <row r="4352" spans="1:5" ht="11.1" hidden="1" customHeight="1" x14ac:dyDescent="0.25">
      <c r="A4352" s="12" t="s">
        <v>6200</v>
      </c>
      <c r="B4352" s="12" t="s">
        <v>878</v>
      </c>
      <c r="C4352" s="14">
        <v>439.17</v>
      </c>
      <c r="D4352" s="12"/>
      <c r="E4352" s="13"/>
    </row>
    <row r="4353" spans="1:5" ht="11.1" hidden="1" customHeight="1" x14ac:dyDescent="0.25">
      <c r="A4353" s="12" t="s">
        <v>6201</v>
      </c>
      <c r="B4353" s="12" t="s">
        <v>761</v>
      </c>
      <c r="C4353" s="14">
        <v>5.83</v>
      </c>
      <c r="D4353" s="12"/>
      <c r="E4353" s="13"/>
    </row>
    <row r="4354" spans="1:5" ht="11.1" hidden="1" customHeight="1" x14ac:dyDescent="0.25">
      <c r="A4354" s="12" t="s">
        <v>6202</v>
      </c>
      <c r="B4354" s="12" t="s">
        <v>6203</v>
      </c>
      <c r="C4354" s="14">
        <v>2502.5</v>
      </c>
      <c r="D4354" s="12"/>
      <c r="E4354" s="14"/>
    </row>
    <row r="4355" spans="1:5" ht="11.1" hidden="1" customHeight="1" x14ac:dyDescent="0.25">
      <c r="A4355" s="12" t="s">
        <v>6204</v>
      </c>
      <c r="B4355" s="12" t="s">
        <v>176</v>
      </c>
      <c r="C4355" s="14">
        <v>79.17</v>
      </c>
      <c r="D4355" s="12"/>
      <c r="E4355" s="13"/>
    </row>
    <row r="4356" spans="1:5" ht="11.1" hidden="1" customHeight="1" x14ac:dyDescent="0.25">
      <c r="A4356" s="12" t="s">
        <v>6205</v>
      </c>
      <c r="B4356" s="12" t="s">
        <v>6206</v>
      </c>
      <c r="C4356" s="14">
        <v>1592.5</v>
      </c>
      <c r="D4356" s="12"/>
      <c r="E4356" s="14"/>
    </row>
    <row r="4357" spans="1:5" ht="23.1" hidden="1" customHeight="1" x14ac:dyDescent="0.25">
      <c r="A4357" s="12" t="s">
        <v>6207</v>
      </c>
      <c r="B4357" s="12" t="s">
        <v>2119</v>
      </c>
      <c r="C4357" s="14">
        <v>168.12</v>
      </c>
      <c r="D4357" s="12"/>
      <c r="E4357" s="13"/>
    </row>
    <row r="4358" spans="1:5" ht="11.1" hidden="1" customHeight="1" x14ac:dyDescent="0.25">
      <c r="A4358" s="12" t="s">
        <v>6208</v>
      </c>
      <c r="B4358" s="12" t="s">
        <v>6209</v>
      </c>
      <c r="C4358" s="14">
        <v>225</v>
      </c>
      <c r="D4358" s="12"/>
      <c r="E4358" s="13"/>
    </row>
    <row r="4359" spans="1:5" ht="11.1" hidden="1" customHeight="1" x14ac:dyDescent="0.25">
      <c r="A4359" s="12" t="s">
        <v>6210</v>
      </c>
      <c r="B4359" s="12" t="s">
        <v>309</v>
      </c>
      <c r="C4359" s="14">
        <v>389.17</v>
      </c>
      <c r="D4359" s="12"/>
      <c r="E4359" s="13"/>
    </row>
    <row r="4360" spans="1:5" ht="11.1" hidden="1" customHeight="1" x14ac:dyDescent="0.25">
      <c r="A4360" s="12" t="s">
        <v>6211</v>
      </c>
      <c r="B4360" s="12" t="s">
        <v>6212</v>
      </c>
      <c r="C4360" s="14">
        <v>334.57</v>
      </c>
      <c r="D4360" s="12"/>
      <c r="E4360" s="13"/>
    </row>
    <row r="4361" spans="1:5" ht="11.1" hidden="1" customHeight="1" x14ac:dyDescent="0.25">
      <c r="A4361" s="12" t="s">
        <v>6213</v>
      </c>
      <c r="B4361" s="12" t="s">
        <v>6214</v>
      </c>
      <c r="C4361" s="14">
        <v>256.67</v>
      </c>
      <c r="D4361" s="12"/>
      <c r="E4361" s="13"/>
    </row>
    <row r="4362" spans="1:5" ht="11.1" hidden="1" customHeight="1" x14ac:dyDescent="0.25">
      <c r="A4362" s="12" t="s">
        <v>6215</v>
      </c>
      <c r="B4362" s="12" t="s">
        <v>309</v>
      </c>
      <c r="C4362" s="14">
        <v>330</v>
      </c>
      <c r="D4362" s="12"/>
      <c r="E4362" s="13"/>
    </row>
    <row r="4363" spans="1:5" ht="11.1" hidden="1" customHeight="1" x14ac:dyDescent="0.25">
      <c r="A4363" s="12" t="s">
        <v>6216</v>
      </c>
      <c r="B4363" s="12" t="s">
        <v>2877</v>
      </c>
      <c r="C4363" s="14">
        <v>824.95</v>
      </c>
      <c r="D4363" s="12"/>
      <c r="E4363" s="13"/>
    </row>
    <row r="4364" spans="1:5" ht="11.1" hidden="1" customHeight="1" x14ac:dyDescent="0.25">
      <c r="A4364" s="12" t="s">
        <v>6217</v>
      </c>
      <c r="B4364" s="12" t="s">
        <v>6218</v>
      </c>
      <c r="C4364" s="14">
        <v>96.67</v>
      </c>
      <c r="D4364" s="12"/>
      <c r="E4364" s="13"/>
    </row>
    <row r="4365" spans="1:5" ht="11.1" hidden="1" customHeight="1" x14ac:dyDescent="0.25">
      <c r="A4365" s="12" t="s">
        <v>6219</v>
      </c>
      <c r="B4365" s="12" t="s">
        <v>2162</v>
      </c>
      <c r="C4365" s="14">
        <v>151.66999999999999</v>
      </c>
      <c r="D4365" s="12"/>
      <c r="E4365" s="13"/>
    </row>
    <row r="4366" spans="1:5" ht="11.1" hidden="1" customHeight="1" x14ac:dyDescent="0.25">
      <c r="A4366" s="12" t="s">
        <v>6220</v>
      </c>
      <c r="B4366" s="12" t="s">
        <v>1985</v>
      </c>
      <c r="C4366" s="14">
        <v>150.83000000000001</v>
      </c>
      <c r="D4366" s="12"/>
      <c r="E4366" s="13"/>
    </row>
    <row r="4367" spans="1:5" ht="11.1" hidden="1" customHeight="1" x14ac:dyDescent="0.25">
      <c r="A4367" s="12" t="s">
        <v>6221</v>
      </c>
      <c r="B4367" s="12" t="s">
        <v>6222</v>
      </c>
      <c r="C4367" s="14">
        <v>695</v>
      </c>
      <c r="D4367" s="12"/>
      <c r="E4367" s="13"/>
    </row>
    <row r="4368" spans="1:5" ht="11.1" hidden="1" customHeight="1" x14ac:dyDescent="0.25">
      <c r="A4368" s="12" t="s">
        <v>6223</v>
      </c>
      <c r="B4368" s="12" t="s">
        <v>497</v>
      </c>
      <c r="C4368" s="14">
        <v>88.34</v>
      </c>
      <c r="D4368" s="12"/>
      <c r="E4368" s="13"/>
    </row>
    <row r="4369" spans="1:5" ht="11.1" hidden="1" customHeight="1" x14ac:dyDescent="0.25">
      <c r="A4369" s="12" t="s">
        <v>6224</v>
      </c>
      <c r="B4369" s="12" t="s">
        <v>497</v>
      </c>
      <c r="C4369" s="14">
        <v>294.17</v>
      </c>
      <c r="D4369" s="12"/>
      <c r="E4369" s="13"/>
    </row>
    <row r="4370" spans="1:5" ht="11.1" hidden="1" customHeight="1" x14ac:dyDescent="0.25">
      <c r="A4370" s="12" t="s">
        <v>6225</v>
      </c>
      <c r="B4370" s="12" t="s">
        <v>497</v>
      </c>
      <c r="C4370" s="14">
        <v>192.5</v>
      </c>
      <c r="D4370" s="12"/>
      <c r="E4370" s="13"/>
    </row>
    <row r="4371" spans="1:5" ht="11.1" hidden="1" customHeight="1" x14ac:dyDescent="0.25">
      <c r="A4371" s="12" t="s">
        <v>6226</v>
      </c>
      <c r="B4371" s="12" t="s">
        <v>6227</v>
      </c>
      <c r="C4371" s="14">
        <v>23416.67</v>
      </c>
      <c r="D4371" s="12"/>
      <c r="E4371" s="14"/>
    </row>
    <row r="4372" spans="1:5" ht="11.1" hidden="1" customHeight="1" x14ac:dyDescent="0.25">
      <c r="A4372" s="12" t="s">
        <v>6228</v>
      </c>
      <c r="B4372" s="12" t="s">
        <v>6229</v>
      </c>
      <c r="C4372" s="14">
        <v>15130</v>
      </c>
      <c r="D4372" s="12"/>
      <c r="E4372" s="14"/>
    </row>
    <row r="4373" spans="1:5" ht="11.1" hidden="1" customHeight="1" x14ac:dyDescent="0.25">
      <c r="A4373" s="12" t="s">
        <v>6230</v>
      </c>
      <c r="B4373" s="12" t="s">
        <v>6231</v>
      </c>
      <c r="C4373" s="14">
        <v>20700</v>
      </c>
      <c r="D4373" s="12"/>
      <c r="E4373" s="14"/>
    </row>
    <row r="4374" spans="1:5" ht="11.1" hidden="1" customHeight="1" x14ac:dyDescent="0.25">
      <c r="A4374" s="12" t="s">
        <v>6232</v>
      </c>
      <c r="B4374" s="12" t="s">
        <v>2407</v>
      </c>
      <c r="C4374" s="14">
        <v>41.67</v>
      </c>
      <c r="D4374" s="12"/>
      <c r="E4374" s="13"/>
    </row>
    <row r="4375" spans="1:5" ht="11.1" hidden="1" customHeight="1" x14ac:dyDescent="0.25">
      <c r="A4375" s="12" t="s">
        <v>6233</v>
      </c>
      <c r="B4375" s="12" t="s">
        <v>2258</v>
      </c>
      <c r="C4375" s="14">
        <v>707.62</v>
      </c>
      <c r="D4375" s="12"/>
      <c r="E4375" s="13"/>
    </row>
    <row r="4376" spans="1:5" ht="11.1" hidden="1" customHeight="1" x14ac:dyDescent="0.25">
      <c r="A4376" s="12" t="s">
        <v>6234</v>
      </c>
      <c r="B4376" s="12" t="s">
        <v>5261</v>
      </c>
      <c r="C4376" s="14">
        <v>170</v>
      </c>
      <c r="D4376" s="12"/>
      <c r="E4376" s="13"/>
    </row>
    <row r="4377" spans="1:5" ht="11.1" hidden="1" customHeight="1" x14ac:dyDescent="0.25">
      <c r="A4377" s="12" t="s">
        <v>6235</v>
      </c>
      <c r="B4377" s="12" t="s">
        <v>5265</v>
      </c>
      <c r="C4377" s="14">
        <v>283.23</v>
      </c>
      <c r="D4377" s="12"/>
      <c r="E4377" s="13"/>
    </row>
    <row r="4378" spans="1:5" ht="11.1" hidden="1" customHeight="1" x14ac:dyDescent="0.25">
      <c r="A4378" s="12" t="s">
        <v>6236</v>
      </c>
      <c r="B4378" s="12" t="s">
        <v>5265</v>
      </c>
      <c r="C4378" s="14">
        <v>283.23</v>
      </c>
      <c r="D4378" s="12"/>
      <c r="E4378" s="13"/>
    </row>
    <row r="4379" spans="1:5" ht="11.1" hidden="1" customHeight="1" x14ac:dyDescent="0.25">
      <c r="A4379" s="12" t="s">
        <v>6237</v>
      </c>
      <c r="B4379" s="12" t="s">
        <v>5277</v>
      </c>
      <c r="C4379" s="14">
        <v>384.85</v>
      </c>
      <c r="D4379" s="12"/>
      <c r="E4379" s="13"/>
    </row>
    <row r="4380" spans="1:5" ht="23.1" hidden="1" customHeight="1" x14ac:dyDescent="0.25">
      <c r="A4380" s="12" t="s">
        <v>6238</v>
      </c>
      <c r="B4380" s="12" t="s">
        <v>5279</v>
      </c>
      <c r="C4380" s="14">
        <v>700.48</v>
      </c>
      <c r="D4380" s="12"/>
      <c r="E4380" s="13"/>
    </row>
    <row r="4381" spans="1:5" ht="23.1" hidden="1" customHeight="1" x14ac:dyDescent="0.25">
      <c r="A4381" s="12" t="s">
        <v>6239</v>
      </c>
      <c r="B4381" s="12" t="s">
        <v>2826</v>
      </c>
      <c r="C4381" s="14">
        <v>158.33000000000001</v>
      </c>
      <c r="D4381" s="12"/>
      <c r="E4381" s="13"/>
    </row>
    <row r="4382" spans="1:5" ht="11.1" hidden="1" customHeight="1" x14ac:dyDescent="0.25">
      <c r="A4382" s="12" t="s">
        <v>6240</v>
      </c>
      <c r="B4382" s="12" t="s">
        <v>2105</v>
      </c>
      <c r="C4382" s="14">
        <v>175</v>
      </c>
      <c r="D4382" s="12"/>
      <c r="E4382" s="13"/>
    </row>
    <row r="4383" spans="1:5" ht="11.1" hidden="1" customHeight="1" x14ac:dyDescent="0.25">
      <c r="A4383" s="12" t="s">
        <v>6241</v>
      </c>
      <c r="B4383" s="12" t="s">
        <v>937</v>
      </c>
      <c r="C4383" s="14">
        <v>245.83</v>
      </c>
      <c r="D4383" s="12"/>
      <c r="E4383" s="13"/>
    </row>
    <row r="4384" spans="1:5" ht="11.1" hidden="1" customHeight="1" x14ac:dyDescent="0.25">
      <c r="A4384" s="12" t="s">
        <v>6242</v>
      </c>
      <c r="B4384" s="12" t="s">
        <v>2162</v>
      </c>
      <c r="C4384" s="14">
        <v>168.33</v>
      </c>
      <c r="D4384" s="12"/>
      <c r="E4384" s="13"/>
    </row>
    <row r="4385" spans="1:5" ht="11.1" hidden="1" customHeight="1" x14ac:dyDescent="0.25">
      <c r="A4385" s="12" t="s">
        <v>6243</v>
      </c>
      <c r="B4385" s="12" t="s">
        <v>6244</v>
      </c>
      <c r="C4385" s="14">
        <v>275</v>
      </c>
      <c r="D4385" s="12"/>
      <c r="E4385" s="13"/>
    </row>
    <row r="4386" spans="1:5" ht="11.1" hidden="1" customHeight="1" x14ac:dyDescent="0.25">
      <c r="A4386" s="12" t="s">
        <v>6245</v>
      </c>
      <c r="B4386" s="12" t="s">
        <v>2193</v>
      </c>
      <c r="C4386" s="14">
        <v>45.83</v>
      </c>
      <c r="D4386" s="12"/>
      <c r="E4386" s="13"/>
    </row>
    <row r="4387" spans="1:5" ht="11.1" hidden="1" customHeight="1" x14ac:dyDescent="0.25">
      <c r="A4387" s="12" t="s">
        <v>6246</v>
      </c>
      <c r="B4387" s="12" t="s">
        <v>2193</v>
      </c>
      <c r="C4387" s="14">
        <v>45.83</v>
      </c>
      <c r="D4387" s="12"/>
      <c r="E4387" s="13"/>
    </row>
    <row r="4388" spans="1:5" ht="11.1" hidden="1" customHeight="1" x14ac:dyDescent="0.25">
      <c r="A4388" s="12" t="s">
        <v>6247</v>
      </c>
      <c r="B4388" s="12" t="s">
        <v>2156</v>
      </c>
      <c r="C4388" s="14">
        <v>48.83</v>
      </c>
      <c r="D4388" s="12"/>
      <c r="E4388" s="13"/>
    </row>
    <row r="4389" spans="1:5" ht="11.1" hidden="1" customHeight="1" x14ac:dyDescent="0.25">
      <c r="A4389" s="12" t="s">
        <v>6248</v>
      </c>
      <c r="B4389" s="12" t="s">
        <v>2100</v>
      </c>
      <c r="C4389" s="14">
        <v>48.83</v>
      </c>
      <c r="D4389" s="12"/>
      <c r="E4389" s="13"/>
    </row>
    <row r="4390" spans="1:5" ht="11.1" hidden="1" customHeight="1" x14ac:dyDescent="0.25">
      <c r="A4390" s="12" t="s">
        <v>6249</v>
      </c>
      <c r="B4390" s="12" t="s">
        <v>2053</v>
      </c>
      <c r="C4390" s="14">
        <v>49.25</v>
      </c>
      <c r="D4390" s="12"/>
      <c r="E4390" s="13"/>
    </row>
    <row r="4391" spans="1:5" ht="11.1" hidden="1" customHeight="1" x14ac:dyDescent="0.25">
      <c r="A4391" s="12" t="s">
        <v>6250</v>
      </c>
      <c r="B4391" s="12" t="s">
        <v>2113</v>
      </c>
      <c r="C4391" s="14">
        <v>52.25</v>
      </c>
      <c r="D4391" s="12"/>
      <c r="E4391" s="13"/>
    </row>
    <row r="4392" spans="1:5" ht="11.1" hidden="1" customHeight="1" x14ac:dyDescent="0.25">
      <c r="A4392" s="12" t="s">
        <v>6251</v>
      </c>
      <c r="B4392" s="12" t="s">
        <v>1985</v>
      </c>
      <c r="C4392" s="14">
        <v>27.17</v>
      </c>
      <c r="D4392" s="12"/>
      <c r="E4392" s="13"/>
    </row>
    <row r="4393" spans="1:5" ht="23.1" hidden="1" customHeight="1" x14ac:dyDescent="0.25">
      <c r="A4393" s="12" t="s">
        <v>6252</v>
      </c>
      <c r="B4393" s="12" t="s">
        <v>1985</v>
      </c>
      <c r="C4393" s="14">
        <v>27.17</v>
      </c>
      <c r="D4393" s="12"/>
      <c r="E4393" s="13"/>
    </row>
    <row r="4394" spans="1:5" ht="23.1" hidden="1" customHeight="1" x14ac:dyDescent="0.25">
      <c r="A4394" s="12" t="s">
        <v>6253</v>
      </c>
      <c r="B4394" s="12" t="s">
        <v>1985</v>
      </c>
      <c r="C4394" s="14">
        <v>23.83</v>
      </c>
      <c r="D4394" s="12"/>
      <c r="E4394" s="13"/>
    </row>
    <row r="4395" spans="1:5" ht="23.1" hidden="1" customHeight="1" x14ac:dyDescent="0.25">
      <c r="A4395" s="12" t="s">
        <v>6254</v>
      </c>
      <c r="B4395" s="12" t="s">
        <v>1985</v>
      </c>
      <c r="C4395" s="14">
        <v>27.17</v>
      </c>
      <c r="D4395" s="12"/>
      <c r="E4395" s="13"/>
    </row>
    <row r="4396" spans="1:5" ht="23.1" hidden="1" customHeight="1" x14ac:dyDescent="0.25">
      <c r="A4396" s="12" t="s">
        <v>6255</v>
      </c>
      <c r="B4396" s="12" t="s">
        <v>2107</v>
      </c>
      <c r="C4396" s="14">
        <v>23.58</v>
      </c>
      <c r="D4396" s="12"/>
      <c r="E4396" s="13"/>
    </row>
    <row r="4397" spans="1:5" ht="23.1" hidden="1" customHeight="1" x14ac:dyDescent="0.25">
      <c r="A4397" s="12" t="s">
        <v>6256</v>
      </c>
      <c r="B4397" s="12" t="s">
        <v>2105</v>
      </c>
      <c r="C4397" s="14">
        <v>57.81</v>
      </c>
      <c r="D4397" s="12"/>
      <c r="E4397" s="13"/>
    </row>
    <row r="4398" spans="1:5" ht="11.1" hidden="1" customHeight="1" x14ac:dyDescent="0.25">
      <c r="A4398" s="12" t="s">
        <v>6257</v>
      </c>
      <c r="B4398" s="12" t="s">
        <v>2107</v>
      </c>
      <c r="C4398" s="14">
        <v>17.079999999999998</v>
      </c>
      <c r="D4398" s="12"/>
      <c r="E4398" s="13"/>
    </row>
    <row r="4399" spans="1:5" ht="11.1" hidden="1" customHeight="1" x14ac:dyDescent="0.25">
      <c r="A4399" s="12" t="s">
        <v>6258</v>
      </c>
      <c r="B4399" s="12" t="s">
        <v>2056</v>
      </c>
      <c r="C4399" s="14">
        <v>60</v>
      </c>
      <c r="D4399" s="12"/>
      <c r="E4399" s="13"/>
    </row>
    <row r="4400" spans="1:5" ht="11.1" hidden="1" customHeight="1" x14ac:dyDescent="0.25">
      <c r="A4400" s="12" t="s">
        <v>6259</v>
      </c>
      <c r="B4400" s="12" t="s">
        <v>2056</v>
      </c>
      <c r="C4400" s="14">
        <v>60</v>
      </c>
      <c r="D4400" s="12"/>
      <c r="E4400" s="13"/>
    </row>
    <row r="4401" spans="1:5" ht="11.1" hidden="1" customHeight="1" x14ac:dyDescent="0.25">
      <c r="A4401" s="12" t="s">
        <v>6260</v>
      </c>
      <c r="B4401" s="12" t="s">
        <v>2107</v>
      </c>
      <c r="C4401" s="14">
        <v>39.42</v>
      </c>
      <c r="D4401" s="12"/>
      <c r="E4401" s="13"/>
    </row>
    <row r="4402" spans="1:5" ht="11.1" hidden="1" customHeight="1" x14ac:dyDescent="0.25">
      <c r="A4402" s="12" t="s">
        <v>6261</v>
      </c>
      <c r="B4402" s="12" t="s">
        <v>2053</v>
      </c>
      <c r="C4402" s="14">
        <v>249.17</v>
      </c>
      <c r="D4402" s="12"/>
      <c r="E4402" s="13"/>
    </row>
    <row r="4403" spans="1:5" ht="11.1" hidden="1" customHeight="1" x14ac:dyDescent="0.25">
      <c r="A4403" s="12" t="s">
        <v>6262</v>
      </c>
      <c r="B4403" s="12" t="s">
        <v>6263</v>
      </c>
      <c r="C4403" s="14">
        <v>75.83</v>
      </c>
      <c r="D4403" s="12"/>
      <c r="E4403" s="13"/>
    </row>
    <row r="4404" spans="1:5" ht="11.1" hidden="1" customHeight="1" x14ac:dyDescent="0.25">
      <c r="A4404" s="12" t="s">
        <v>6264</v>
      </c>
      <c r="B4404" s="12" t="s">
        <v>4167</v>
      </c>
      <c r="C4404" s="14">
        <v>1970.83</v>
      </c>
      <c r="D4404" s="12"/>
      <c r="E4404" s="14"/>
    </row>
    <row r="4405" spans="1:5" ht="11.1" hidden="1" customHeight="1" x14ac:dyDescent="0.25">
      <c r="A4405" s="12" t="s">
        <v>6265</v>
      </c>
      <c r="B4405" s="12" t="s">
        <v>741</v>
      </c>
      <c r="C4405" s="14">
        <v>21.53</v>
      </c>
      <c r="D4405" s="12"/>
      <c r="E4405" s="13"/>
    </row>
    <row r="4406" spans="1:5" ht="11.1" hidden="1" customHeight="1" x14ac:dyDescent="0.25">
      <c r="A4406" s="12" t="s">
        <v>6266</v>
      </c>
      <c r="B4406" s="12" t="s">
        <v>2110</v>
      </c>
      <c r="C4406" s="14">
        <v>65.680000000000007</v>
      </c>
      <c r="D4406" s="12"/>
      <c r="E4406" s="13"/>
    </row>
    <row r="4407" spans="1:5" ht="11.1" hidden="1" customHeight="1" x14ac:dyDescent="0.25">
      <c r="A4407" s="12" t="s">
        <v>6267</v>
      </c>
      <c r="B4407" s="12" t="s">
        <v>2105</v>
      </c>
      <c r="C4407" s="14">
        <v>18.8</v>
      </c>
      <c r="D4407" s="12"/>
      <c r="E4407" s="13"/>
    </row>
    <row r="4408" spans="1:5" ht="11.1" hidden="1" customHeight="1" x14ac:dyDescent="0.25">
      <c r="A4408" s="12" t="s">
        <v>6268</v>
      </c>
      <c r="B4408" s="12" t="s">
        <v>4378</v>
      </c>
      <c r="C4408" s="14">
        <v>25</v>
      </c>
      <c r="D4408" s="12"/>
      <c r="E4408" s="13"/>
    </row>
    <row r="4409" spans="1:5" ht="11.1" hidden="1" customHeight="1" x14ac:dyDescent="0.25">
      <c r="A4409" s="12" t="s">
        <v>6269</v>
      </c>
      <c r="B4409" s="12" t="s">
        <v>285</v>
      </c>
      <c r="C4409" s="14">
        <v>10</v>
      </c>
      <c r="D4409" s="12"/>
      <c r="E4409" s="13"/>
    </row>
    <row r="4410" spans="1:5" ht="11.1" hidden="1" customHeight="1" x14ac:dyDescent="0.25">
      <c r="A4410" s="12" t="s">
        <v>6270</v>
      </c>
      <c r="B4410" s="12" t="s">
        <v>2105</v>
      </c>
      <c r="C4410" s="14">
        <v>89.6</v>
      </c>
      <c r="D4410" s="12"/>
      <c r="E4410" s="13"/>
    </row>
    <row r="4411" spans="1:5" ht="11.1" hidden="1" customHeight="1" x14ac:dyDescent="0.25">
      <c r="A4411" s="12" t="s">
        <v>6271</v>
      </c>
      <c r="B4411" s="12" t="s">
        <v>2107</v>
      </c>
      <c r="C4411" s="14">
        <v>111.67</v>
      </c>
      <c r="D4411" s="12"/>
      <c r="E4411" s="13"/>
    </row>
    <row r="4412" spans="1:5" ht="11.1" hidden="1" customHeight="1" x14ac:dyDescent="0.25">
      <c r="A4412" s="12" t="s">
        <v>6272</v>
      </c>
      <c r="B4412" s="12" t="s">
        <v>2100</v>
      </c>
      <c r="C4412" s="14">
        <v>11.25</v>
      </c>
      <c r="D4412" s="12"/>
      <c r="E4412" s="13"/>
    </row>
    <row r="4413" spans="1:5" ht="11.1" hidden="1" customHeight="1" x14ac:dyDescent="0.25">
      <c r="A4413" s="12" t="s">
        <v>6273</v>
      </c>
      <c r="B4413" s="12" t="s">
        <v>2105</v>
      </c>
      <c r="C4413" s="14">
        <v>23</v>
      </c>
      <c r="D4413" s="12"/>
      <c r="E4413" s="13"/>
    </row>
    <row r="4414" spans="1:5" ht="11.1" hidden="1" customHeight="1" x14ac:dyDescent="0.25">
      <c r="A4414" s="12" t="s">
        <v>6274</v>
      </c>
      <c r="B4414" s="12" t="s">
        <v>2100</v>
      </c>
      <c r="C4414" s="14">
        <v>18.420000000000002</v>
      </c>
      <c r="D4414" s="12"/>
      <c r="E4414" s="13"/>
    </row>
    <row r="4415" spans="1:5" ht="11.1" hidden="1" customHeight="1" x14ac:dyDescent="0.25">
      <c r="A4415" s="12" t="s">
        <v>6275</v>
      </c>
      <c r="B4415" s="12" t="s">
        <v>2105</v>
      </c>
      <c r="C4415" s="14">
        <v>37.4</v>
      </c>
      <c r="D4415" s="12"/>
      <c r="E4415" s="13"/>
    </row>
    <row r="4416" spans="1:5" ht="23.1" hidden="1" customHeight="1" x14ac:dyDescent="0.25">
      <c r="A4416" s="12" t="s">
        <v>6276</v>
      </c>
      <c r="B4416" s="12" t="s">
        <v>1985</v>
      </c>
      <c r="C4416" s="14">
        <v>29.67</v>
      </c>
      <c r="D4416" s="12"/>
      <c r="E4416" s="13"/>
    </row>
    <row r="4417" spans="1:5" ht="23.1" hidden="1" customHeight="1" x14ac:dyDescent="0.25">
      <c r="A4417" s="12" t="s">
        <v>6277</v>
      </c>
      <c r="B4417" s="12" t="s">
        <v>2107</v>
      </c>
      <c r="C4417" s="14">
        <v>20</v>
      </c>
      <c r="D4417" s="12"/>
      <c r="E4417" s="13"/>
    </row>
    <row r="4418" spans="1:5" ht="23.1" hidden="1" customHeight="1" x14ac:dyDescent="0.25">
      <c r="A4418" s="12" t="s">
        <v>6278</v>
      </c>
      <c r="B4418" s="12" t="s">
        <v>2100</v>
      </c>
      <c r="C4418" s="14">
        <v>16.25</v>
      </c>
      <c r="D4418" s="12"/>
      <c r="E4418" s="13"/>
    </row>
    <row r="4419" spans="1:5" ht="11.1" hidden="1" customHeight="1" x14ac:dyDescent="0.25">
      <c r="A4419" s="12" t="s">
        <v>6279</v>
      </c>
      <c r="B4419" s="12" t="s">
        <v>2156</v>
      </c>
      <c r="C4419" s="14">
        <v>33.25</v>
      </c>
      <c r="D4419" s="12"/>
      <c r="E4419" s="13"/>
    </row>
    <row r="4420" spans="1:5" ht="11.1" hidden="1" customHeight="1" x14ac:dyDescent="0.25">
      <c r="A4420" s="12" t="s">
        <v>6280</v>
      </c>
      <c r="B4420" s="12" t="s">
        <v>2053</v>
      </c>
      <c r="C4420" s="14">
        <v>21.67</v>
      </c>
      <c r="D4420" s="12"/>
      <c r="E4420" s="13"/>
    </row>
    <row r="4421" spans="1:5" ht="11.1" hidden="1" customHeight="1" x14ac:dyDescent="0.25">
      <c r="A4421" s="12" t="s">
        <v>6281</v>
      </c>
      <c r="B4421" s="12" t="s">
        <v>2113</v>
      </c>
      <c r="C4421" s="14">
        <v>28.1</v>
      </c>
      <c r="D4421" s="12"/>
      <c r="E4421" s="13"/>
    </row>
    <row r="4422" spans="1:5" ht="11.1" hidden="1" customHeight="1" x14ac:dyDescent="0.25">
      <c r="A4422" s="12" t="s">
        <v>6282</v>
      </c>
      <c r="B4422" s="12" t="s">
        <v>2053</v>
      </c>
      <c r="C4422" s="14">
        <v>25.33</v>
      </c>
      <c r="D4422" s="12"/>
      <c r="E4422" s="13"/>
    </row>
    <row r="4423" spans="1:5" ht="11.1" hidden="1" customHeight="1" x14ac:dyDescent="0.25">
      <c r="A4423" s="12" t="s">
        <v>6283</v>
      </c>
      <c r="B4423" s="12" t="s">
        <v>2105</v>
      </c>
      <c r="C4423" s="14">
        <v>72</v>
      </c>
      <c r="D4423" s="12"/>
      <c r="E4423" s="13"/>
    </row>
    <row r="4424" spans="1:5" ht="11.1" hidden="1" customHeight="1" x14ac:dyDescent="0.25">
      <c r="A4424" s="12" t="s">
        <v>6284</v>
      </c>
      <c r="B4424" s="12" t="s">
        <v>2107</v>
      </c>
      <c r="C4424" s="14">
        <v>20</v>
      </c>
      <c r="D4424" s="12"/>
      <c r="E4424" s="13"/>
    </row>
    <row r="4425" spans="1:5" ht="11.1" hidden="1" customHeight="1" x14ac:dyDescent="0.25">
      <c r="A4425" s="12" t="s">
        <v>6285</v>
      </c>
      <c r="B4425" s="12" t="s">
        <v>2053</v>
      </c>
      <c r="C4425" s="14">
        <v>80.67</v>
      </c>
      <c r="D4425" s="12"/>
      <c r="E4425" s="13"/>
    </row>
    <row r="4426" spans="1:5" ht="11.1" hidden="1" customHeight="1" x14ac:dyDescent="0.25">
      <c r="A4426" s="12" t="s">
        <v>6286</v>
      </c>
      <c r="B4426" s="12" t="s">
        <v>1981</v>
      </c>
      <c r="C4426" s="14">
        <v>99076</v>
      </c>
      <c r="D4426" s="12"/>
      <c r="E4426" s="14"/>
    </row>
    <row r="4427" spans="1:5" ht="11.1" hidden="1" customHeight="1" x14ac:dyDescent="0.25">
      <c r="A4427" s="12" t="s">
        <v>6287</v>
      </c>
      <c r="B4427" s="12" t="s">
        <v>6288</v>
      </c>
      <c r="C4427" s="14">
        <v>4114.17</v>
      </c>
      <c r="D4427" s="12"/>
      <c r="E4427" s="14"/>
    </row>
    <row r="4428" spans="1:5" ht="11.1" hidden="1" customHeight="1" x14ac:dyDescent="0.25">
      <c r="A4428" s="12" t="s">
        <v>6289</v>
      </c>
      <c r="B4428" s="12" t="s">
        <v>4730</v>
      </c>
      <c r="C4428" s="14">
        <v>19.170000000000002</v>
      </c>
      <c r="D4428" s="12"/>
      <c r="E4428" s="13"/>
    </row>
    <row r="4429" spans="1:5" ht="11.1" hidden="1" customHeight="1" x14ac:dyDescent="0.25">
      <c r="A4429" s="12" t="s">
        <v>6290</v>
      </c>
      <c r="B4429" s="12" t="s">
        <v>6291</v>
      </c>
      <c r="C4429" s="14">
        <v>84.17</v>
      </c>
      <c r="D4429" s="12"/>
      <c r="E4429" s="13"/>
    </row>
    <row r="4430" spans="1:5" ht="11.1" hidden="1" customHeight="1" x14ac:dyDescent="0.25">
      <c r="A4430" s="12" t="s">
        <v>6292</v>
      </c>
      <c r="B4430" s="12" t="s">
        <v>4167</v>
      </c>
      <c r="C4430" s="14">
        <v>129.16999999999999</v>
      </c>
      <c r="D4430" s="12"/>
      <c r="E4430" s="13"/>
    </row>
    <row r="4431" spans="1:5" ht="11.1" hidden="1" customHeight="1" x14ac:dyDescent="0.25">
      <c r="A4431" s="12" t="s">
        <v>6293</v>
      </c>
      <c r="B4431" s="12" t="s">
        <v>6294</v>
      </c>
      <c r="C4431" s="14">
        <v>64.17</v>
      </c>
      <c r="D4431" s="12"/>
      <c r="E4431" s="13"/>
    </row>
    <row r="4432" spans="1:5" ht="11.1" hidden="1" customHeight="1" x14ac:dyDescent="0.25">
      <c r="A4432" s="12" t="s">
        <v>6295</v>
      </c>
      <c r="B4432" s="12" t="s">
        <v>1129</v>
      </c>
      <c r="C4432" s="14">
        <v>110</v>
      </c>
      <c r="D4432" s="12"/>
      <c r="E4432" s="13"/>
    </row>
    <row r="4433" spans="1:5" ht="11.1" hidden="1" customHeight="1" x14ac:dyDescent="0.25">
      <c r="A4433" s="12" t="s">
        <v>6296</v>
      </c>
      <c r="B4433" s="12" t="s">
        <v>963</v>
      </c>
      <c r="C4433" s="14">
        <v>261.67</v>
      </c>
      <c r="D4433" s="12"/>
      <c r="E4433" s="13"/>
    </row>
    <row r="4434" spans="1:5" ht="11.1" hidden="1" customHeight="1" x14ac:dyDescent="0.25">
      <c r="A4434" s="12" t="s">
        <v>6297</v>
      </c>
      <c r="B4434" s="12" t="s">
        <v>5267</v>
      </c>
      <c r="C4434" s="14">
        <v>501.84</v>
      </c>
      <c r="D4434" s="12"/>
      <c r="E4434" s="13"/>
    </row>
    <row r="4435" spans="1:5" ht="11.1" hidden="1" customHeight="1" x14ac:dyDescent="0.25">
      <c r="A4435" s="12" t="s">
        <v>6298</v>
      </c>
      <c r="B4435" s="12" t="s">
        <v>5275</v>
      </c>
      <c r="C4435" s="14">
        <v>626.03</v>
      </c>
      <c r="D4435" s="12"/>
      <c r="E4435" s="13"/>
    </row>
    <row r="4436" spans="1:5" ht="11.1" hidden="1" customHeight="1" x14ac:dyDescent="0.25">
      <c r="A4436" s="12" t="s">
        <v>6299</v>
      </c>
      <c r="B4436" s="12" t="s">
        <v>5269</v>
      </c>
      <c r="C4436" s="14">
        <v>576.63</v>
      </c>
      <c r="D4436" s="12"/>
      <c r="E4436" s="13"/>
    </row>
    <row r="4437" spans="1:5" ht="11.1" hidden="1" customHeight="1" x14ac:dyDescent="0.25">
      <c r="A4437" s="12" t="s">
        <v>6300</v>
      </c>
      <c r="B4437" s="12" t="s">
        <v>5269</v>
      </c>
      <c r="C4437" s="14">
        <v>658.06</v>
      </c>
      <c r="D4437" s="12"/>
      <c r="E4437" s="13"/>
    </row>
    <row r="4438" spans="1:5" ht="11.1" hidden="1" customHeight="1" x14ac:dyDescent="0.25">
      <c r="A4438" s="12" t="s">
        <v>6301</v>
      </c>
      <c r="B4438" s="12" t="s">
        <v>5273</v>
      </c>
      <c r="C4438" s="14">
        <v>509.95</v>
      </c>
      <c r="D4438" s="12"/>
      <c r="E4438" s="13"/>
    </row>
    <row r="4439" spans="1:5" ht="11.1" hidden="1" customHeight="1" x14ac:dyDescent="0.25">
      <c r="A4439" s="12" t="s">
        <v>6302</v>
      </c>
      <c r="B4439" s="12" t="s">
        <v>5273</v>
      </c>
      <c r="C4439" s="14">
        <v>494.69</v>
      </c>
      <c r="D4439" s="12"/>
      <c r="E4439" s="13"/>
    </row>
    <row r="4440" spans="1:5" ht="11.1" hidden="1" customHeight="1" x14ac:dyDescent="0.25">
      <c r="A4440" s="12" t="s">
        <v>6303</v>
      </c>
      <c r="B4440" s="12" t="s">
        <v>5275</v>
      </c>
      <c r="C4440" s="14">
        <v>663.57</v>
      </c>
      <c r="D4440" s="12"/>
      <c r="E4440" s="13"/>
    </row>
    <row r="4441" spans="1:5" ht="11.1" hidden="1" customHeight="1" x14ac:dyDescent="0.25">
      <c r="A4441" s="12" t="s">
        <v>6304</v>
      </c>
      <c r="B4441" s="12" t="s">
        <v>2044</v>
      </c>
      <c r="C4441" s="14">
        <v>301.67</v>
      </c>
      <c r="D4441" s="12"/>
      <c r="E4441" s="13"/>
    </row>
    <row r="4442" spans="1:5" ht="23.1" hidden="1" customHeight="1" x14ac:dyDescent="0.25">
      <c r="A4442" s="12" t="s">
        <v>6305</v>
      </c>
      <c r="B4442" s="12" t="s">
        <v>2826</v>
      </c>
      <c r="C4442" s="14">
        <v>450.83</v>
      </c>
      <c r="D4442" s="12"/>
      <c r="E4442" s="13"/>
    </row>
    <row r="4443" spans="1:5" ht="11.1" hidden="1" customHeight="1" x14ac:dyDescent="0.25">
      <c r="A4443" s="12" t="s">
        <v>6306</v>
      </c>
      <c r="B4443" s="12" t="s">
        <v>2042</v>
      </c>
      <c r="C4443" s="14">
        <v>37.5</v>
      </c>
      <c r="D4443" s="12"/>
      <c r="E4443" s="13"/>
    </row>
    <row r="4444" spans="1:5" ht="11.1" hidden="1" customHeight="1" x14ac:dyDescent="0.25">
      <c r="A4444" s="12" t="s">
        <v>6307</v>
      </c>
      <c r="B4444" s="12" t="s">
        <v>2040</v>
      </c>
      <c r="C4444" s="14">
        <v>43.17</v>
      </c>
      <c r="D4444" s="12"/>
      <c r="E4444" s="13"/>
    </row>
    <row r="4445" spans="1:5" ht="11.1" hidden="1" customHeight="1" x14ac:dyDescent="0.25">
      <c r="A4445" s="12" t="s">
        <v>6308</v>
      </c>
      <c r="B4445" s="12" t="s">
        <v>2040</v>
      </c>
      <c r="C4445" s="14">
        <v>43.25</v>
      </c>
      <c r="D4445" s="12"/>
      <c r="E4445" s="13"/>
    </row>
    <row r="4446" spans="1:5" ht="11.1" hidden="1" customHeight="1" x14ac:dyDescent="0.25">
      <c r="A4446" s="12" t="s">
        <v>6309</v>
      </c>
      <c r="B4446" s="12" t="s">
        <v>2040</v>
      </c>
      <c r="C4446" s="14">
        <v>42.92</v>
      </c>
      <c r="D4446" s="12"/>
      <c r="E4446" s="13"/>
    </row>
    <row r="4447" spans="1:5" ht="11.1" hidden="1" customHeight="1" x14ac:dyDescent="0.25">
      <c r="A4447" s="12" t="s">
        <v>6310</v>
      </c>
      <c r="B4447" s="12" t="s">
        <v>2826</v>
      </c>
      <c r="C4447" s="14">
        <v>64.08</v>
      </c>
      <c r="D4447" s="12"/>
      <c r="E4447" s="13"/>
    </row>
    <row r="4448" spans="1:5" ht="11.1" hidden="1" customHeight="1" x14ac:dyDescent="0.25">
      <c r="A4448" s="12" t="s">
        <v>6311</v>
      </c>
      <c r="B4448" s="12" t="s">
        <v>2044</v>
      </c>
      <c r="C4448" s="14">
        <v>66.67</v>
      </c>
      <c r="D4448" s="12"/>
      <c r="E4448" s="13"/>
    </row>
    <row r="4449" spans="1:5" ht="11.1" hidden="1" customHeight="1" x14ac:dyDescent="0.25">
      <c r="A4449" s="12" t="s">
        <v>6312</v>
      </c>
      <c r="B4449" s="12" t="s">
        <v>2156</v>
      </c>
      <c r="C4449" s="14">
        <v>175</v>
      </c>
      <c r="D4449" s="12"/>
      <c r="E4449" s="13"/>
    </row>
    <row r="4450" spans="1:5" ht="11.1" hidden="1" customHeight="1" x14ac:dyDescent="0.25">
      <c r="A4450" s="12" t="s">
        <v>6313</v>
      </c>
      <c r="B4450" s="12" t="s">
        <v>1985</v>
      </c>
      <c r="C4450" s="14">
        <v>205</v>
      </c>
      <c r="D4450" s="12"/>
      <c r="E4450" s="13"/>
    </row>
    <row r="4451" spans="1:5" ht="11.1" hidden="1" customHeight="1" x14ac:dyDescent="0.25">
      <c r="A4451" s="12" t="s">
        <v>6314</v>
      </c>
      <c r="B4451" s="12" t="s">
        <v>2100</v>
      </c>
      <c r="C4451" s="14">
        <v>157.5</v>
      </c>
      <c r="D4451" s="12"/>
      <c r="E4451" s="13"/>
    </row>
    <row r="4452" spans="1:5" ht="11.1" hidden="1" customHeight="1" x14ac:dyDescent="0.25">
      <c r="A4452" s="12" t="s">
        <v>6315</v>
      </c>
      <c r="B4452" s="12" t="s">
        <v>3623</v>
      </c>
      <c r="C4452" s="14">
        <v>357.5</v>
      </c>
      <c r="D4452" s="12"/>
      <c r="E4452" s="13"/>
    </row>
    <row r="4453" spans="1:5" ht="11.1" hidden="1" customHeight="1" x14ac:dyDescent="0.25">
      <c r="A4453" s="12" t="s">
        <v>6316</v>
      </c>
      <c r="B4453" s="12" t="s">
        <v>3937</v>
      </c>
      <c r="C4453" s="14">
        <v>74.900000000000006</v>
      </c>
      <c r="D4453" s="12"/>
      <c r="E4453" s="13"/>
    </row>
    <row r="4454" spans="1:5" ht="11.1" hidden="1" customHeight="1" x14ac:dyDescent="0.25">
      <c r="A4454" s="12" t="s">
        <v>6317</v>
      </c>
      <c r="B4454" s="12" t="s">
        <v>2105</v>
      </c>
      <c r="C4454" s="14">
        <v>129</v>
      </c>
      <c r="D4454" s="12"/>
      <c r="E4454" s="13"/>
    </row>
    <row r="4455" spans="1:5" ht="11.1" hidden="1" customHeight="1" x14ac:dyDescent="0.25">
      <c r="A4455" s="12" t="s">
        <v>6318</v>
      </c>
      <c r="B4455" s="12" t="s">
        <v>6319</v>
      </c>
      <c r="C4455" s="14">
        <v>58.25</v>
      </c>
      <c r="D4455" s="12"/>
      <c r="E4455" s="13"/>
    </row>
    <row r="4456" spans="1:5" ht="11.1" hidden="1" customHeight="1" x14ac:dyDescent="0.25">
      <c r="A4456" s="12" t="s">
        <v>6320</v>
      </c>
      <c r="B4456" s="12" t="s">
        <v>6321</v>
      </c>
      <c r="C4456" s="14">
        <v>82.4</v>
      </c>
      <c r="D4456" s="12"/>
      <c r="E4456" s="13"/>
    </row>
    <row r="4457" spans="1:5" ht="11.1" hidden="1" customHeight="1" x14ac:dyDescent="0.25">
      <c r="A4457" s="12" t="s">
        <v>6322</v>
      </c>
      <c r="B4457" s="12" t="s">
        <v>2053</v>
      </c>
      <c r="C4457" s="14">
        <v>177.5</v>
      </c>
      <c r="D4457" s="12"/>
      <c r="E4457" s="13"/>
    </row>
    <row r="4458" spans="1:5" ht="11.1" hidden="1" customHeight="1" x14ac:dyDescent="0.25">
      <c r="A4458" s="12" t="s">
        <v>6323</v>
      </c>
      <c r="B4458" s="12" t="s">
        <v>2107</v>
      </c>
      <c r="C4458" s="14">
        <v>146.66999999999999</v>
      </c>
      <c r="D4458" s="12"/>
      <c r="E4458" s="13"/>
    </row>
    <row r="4459" spans="1:5" ht="11.1" hidden="1" customHeight="1" x14ac:dyDescent="0.25">
      <c r="A4459" s="12" t="s">
        <v>6324</v>
      </c>
      <c r="B4459" s="12" t="s">
        <v>2063</v>
      </c>
      <c r="C4459" s="14">
        <v>349.44</v>
      </c>
      <c r="D4459" s="12"/>
      <c r="E4459" s="13"/>
    </row>
    <row r="4460" spans="1:5" ht="11.1" hidden="1" customHeight="1" x14ac:dyDescent="0.25">
      <c r="A4460" s="12" t="s">
        <v>6325</v>
      </c>
      <c r="B4460" s="12" t="s">
        <v>2162</v>
      </c>
      <c r="C4460" s="14">
        <v>107.5</v>
      </c>
      <c r="D4460" s="12"/>
      <c r="E4460" s="13"/>
    </row>
    <row r="4461" spans="1:5" ht="11.1" hidden="1" customHeight="1" x14ac:dyDescent="0.25">
      <c r="A4461" s="12" t="s">
        <v>6326</v>
      </c>
      <c r="B4461" s="12" t="s">
        <v>6327</v>
      </c>
      <c r="C4461" s="14">
        <v>3806.67</v>
      </c>
      <c r="D4461" s="12"/>
      <c r="E4461" s="14"/>
    </row>
    <row r="4462" spans="1:5" ht="11.1" hidden="1" customHeight="1" x14ac:dyDescent="0.25">
      <c r="A4462" s="12" t="s">
        <v>6328</v>
      </c>
      <c r="B4462" s="12" t="s">
        <v>2053</v>
      </c>
      <c r="C4462" s="14">
        <v>175</v>
      </c>
      <c r="D4462" s="12"/>
      <c r="E4462" s="13"/>
    </row>
    <row r="4463" spans="1:5" ht="11.1" hidden="1" customHeight="1" x14ac:dyDescent="0.25">
      <c r="A4463" s="12" t="s">
        <v>6329</v>
      </c>
      <c r="B4463" s="12" t="s">
        <v>2107</v>
      </c>
      <c r="C4463" s="14">
        <v>241.67</v>
      </c>
      <c r="D4463" s="12"/>
      <c r="E4463" s="13"/>
    </row>
    <row r="4464" spans="1:5" ht="23.1" hidden="1" customHeight="1" x14ac:dyDescent="0.25">
      <c r="A4464" s="12" t="s">
        <v>6330</v>
      </c>
      <c r="B4464" s="12" t="s">
        <v>2056</v>
      </c>
      <c r="C4464" s="14">
        <v>105</v>
      </c>
      <c r="D4464" s="12"/>
      <c r="E4464" s="13"/>
    </row>
    <row r="4465" spans="1:5" ht="11.1" hidden="1" customHeight="1" x14ac:dyDescent="0.25">
      <c r="A4465" s="12" t="s">
        <v>6331</v>
      </c>
      <c r="B4465" s="12" t="s">
        <v>2044</v>
      </c>
      <c r="C4465" s="14">
        <v>1208.33</v>
      </c>
      <c r="D4465" s="12"/>
      <c r="E4465" s="14"/>
    </row>
    <row r="4466" spans="1:5" ht="11.1" hidden="1" customHeight="1" x14ac:dyDescent="0.25">
      <c r="A4466" s="12" t="s">
        <v>6332</v>
      </c>
      <c r="B4466" s="12" t="s">
        <v>6333</v>
      </c>
      <c r="C4466" s="14">
        <v>249.17</v>
      </c>
      <c r="D4466" s="12"/>
      <c r="E4466" s="13"/>
    </row>
    <row r="4467" spans="1:5" ht="11.1" hidden="1" customHeight="1" x14ac:dyDescent="0.25">
      <c r="A4467" s="12" t="s">
        <v>6334</v>
      </c>
      <c r="B4467" s="12" t="s">
        <v>2053</v>
      </c>
      <c r="C4467" s="14">
        <v>444.17</v>
      </c>
      <c r="D4467" s="12"/>
      <c r="E4467" s="13"/>
    </row>
    <row r="4468" spans="1:5" ht="11.1" hidden="1" customHeight="1" x14ac:dyDescent="0.25">
      <c r="A4468" s="12" t="s">
        <v>6335</v>
      </c>
      <c r="B4468" s="12" t="s">
        <v>2053</v>
      </c>
      <c r="C4468" s="14">
        <v>444.18</v>
      </c>
      <c r="D4468" s="12"/>
      <c r="E4468" s="13"/>
    </row>
    <row r="4469" spans="1:5" ht="11.1" hidden="1" customHeight="1" x14ac:dyDescent="0.25">
      <c r="A4469" s="12" t="s">
        <v>6336</v>
      </c>
      <c r="B4469" s="12" t="s">
        <v>6337</v>
      </c>
      <c r="C4469" s="14">
        <v>1.47</v>
      </c>
      <c r="D4469" s="12"/>
      <c r="E4469" s="13"/>
    </row>
    <row r="4470" spans="1:5" ht="11.1" hidden="1" customHeight="1" x14ac:dyDescent="0.25">
      <c r="A4470" s="12" t="s">
        <v>6338</v>
      </c>
      <c r="B4470" s="12" t="s">
        <v>6337</v>
      </c>
      <c r="C4470" s="14">
        <v>1.44</v>
      </c>
      <c r="D4470" s="12"/>
      <c r="E4470" s="13"/>
    </row>
    <row r="4471" spans="1:5" ht="11.1" hidden="1" customHeight="1" x14ac:dyDescent="0.25">
      <c r="A4471" s="12" t="s">
        <v>6339</v>
      </c>
      <c r="B4471" s="12" t="s">
        <v>2136</v>
      </c>
      <c r="C4471" s="14">
        <v>6.9</v>
      </c>
      <c r="D4471" s="12"/>
      <c r="E4471" s="13"/>
    </row>
    <row r="4472" spans="1:5" ht="11.1" hidden="1" customHeight="1" x14ac:dyDescent="0.25">
      <c r="A4472" s="12" t="s">
        <v>6340</v>
      </c>
      <c r="B4472" s="12" t="s">
        <v>6341</v>
      </c>
      <c r="C4472" s="14">
        <v>0.91</v>
      </c>
      <c r="D4472" s="12"/>
      <c r="E4472" s="13"/>
    </row>
    <row r="4473" spans="1:5" ht="11.1" hidden="1" customHeight="1" x14ac:dyDescent="0.25">
      <c r="A4473" s="12" t="s">
        <v>6342</v>
      </c>
      <c r="B4473" s="12" t="s">
        <v>1209</v>
      </c>
      <c r="C4473" s="14">
        <v>1.27</v>
      </c>
      <c r="D4473" s="12"/>
      <c r="E4473" s="13"/>
    </row>
    <row r="4474" spans="1:5" ht="23.1" hidden="1" customHeight="1" x14ac:dyDescent="0.25">
      <c r="A4474" s="12" t="s">
        <v>6343</v>
      </c>
      <c r="B4474" s="12" t="s">
        <v>6344</v>
      </c>
      <c r="C4474" s="14">
        <v>4.17</v>
      </c>
      <c r="D4474" s="12"/>
      <c r="E4474" s="13"/>
    </row>
    <row r="4475" spans="1:5" ht="11.1" hidden="1" customHeight="1" x14ac:dyDescent="0.25">
      <c r="A4475" s="12" t="s">
        <v>6345</v>
      </c>
      <c r="B4475" s="12" t="s">
        <v>6344</v>
      </c>
      <c r="C4475" s="14">
        <v>6.83</v>
      </c>
      <c r="D4475" s="12"/>
      <c r="E4475" s="13"/>
    </row>
    <row r="4476" spans="1:5" ht="11.1" hidden="1" customHeight="1" x14ac:dyDescent="0.25">
      <c r="A4476" s="12" t="s">
        <v>6346</v>
      </c>
      <c r="B4476" s="12" t="s">
        <v>6347</v>
      </c>
      <c r="C4476" s="14">
        <v>7.5</v>
      </c>
      <c r="D4476" s="12"/>
      <c r="E4476" s="13"/>
    </row>
    <row r="4477" spans="1:5" ht="23.1" hidden="1" customHeight="1" x14ac:dyDescent="0.25">
      <c r="A4477" s="12" t="s">
        <v>6348</v>
      </c>
      <c r="B4477" s="12" t="s">
        <v>2419</v>
      </c>
      <c r="C4477" s="14">
        <v>5.33</v>
      </c>
      <c r="D4477" s="12"/>
      <c r="E4477" s="13"/>
    </row>
    <row r="4478" spans="1:5" ht="11.1" hidden="1" customHeight="1" x14ac:dyDescent="0.25">
      <c r="A4478" s="12" t="s">
        <v>6349</v>
      </c>
      <c r="B4478" s="12" t="s">
        <v>6347</v>
      </c>
      <c r="C4478" s="14">
        <v>5.33</v>
      </c>
      <c r="D4478" s="12"/>
      <c r="E4478" s="13"/>
    </row>
    <row r="4479" spans="1:5" ht="11.1" hidden="1" customHeight="1" x14ac:dyDescent="0.25">
      <c r="A4479" s="12" t="s">
        <v>6350</v>
      </c>
      <c r="B4479" s="12" t="s">
        <v>6351</v>
      </c>
      <c r="C4479" s="14">
        <v>0.83</v>
      </c>
      <c r="D4479" s="12"/>
      <c r="E4479" s="13"/>
    </row>
    <row r="4480" spans="1:5" ht="11.1" hidden="1" customHeight="1" x14ac:dyDescent="0.25">
      <c r="A4480" s="12" t="s">
        <v>6352</v>
      </c>
      <c r="B4480" s="12" t="s">
        <v>2485</v>
      </c>
      <c r="C4480" s="14">
        <v>0.65</v>
      </c>
      <c r="D4480" s="12"/>
      <c r="E4480" s="13"/>
    </row>
    <row r="4481" spans="1:5" ht="11.1" hidden="1" customHeight="1" x14ac:dyDescent="0.25">
      <c r="A4481" s="12" t="s">
        <v>6353</v>
      </c>
      <c r="B4481" s="12" t="s">
        <v>2435</v>
      </c>
      <c r="C4481" s="14">
        <v>0.65</v>
      </c>
      <c r="D4481" s="12"/>
      <c r="E4481" s="13"/>
    </row>
    <row r="4482" spans="1:5" ht="11.1" hidden="1" customHeight="1" x14ac:dyDescent="0.25">
      <c r="A4482" s="12" t="s">
        <v>6354</v>
      </c>
      <c r="B4482" s="12" t="s">
        <v>2737</v>
      </c>
      <c r="C4482" s="14">
        <v>0.81</v>
      </c>
      <c r="D4482" s="12"/>
      <c r="E4482" s="13"/>
    </row>
    <row r="4483" spans="1:5" ht="11.1" hidden="1" customHeight="1" x14ac:dyDescent="0.25">
      <c r="A4483" s="12" t="s">
        <v>6355</v>
      </c>
      <c r="B4483" s="12" t="s">
        <v>2487</v>
      </c>
      <c r="C4483" s="14">
        <v>0.93</v>
      </c>
      <c r="D4483" s="12"/>
      <c r="E4483" s="13"/>
    </row>
    <row r="4484" spans="1:5" ht="11.1" hidden="1" customHeight="1" x14ac:dyDescent="0.25">
      <c r="A4484" s="12" t="s">
        <v>6356</v>
      </c>
      <c r="B4484" s="12" t="s">
        <v>270</v>
      </c>
      <c r="C4484" s="14">
        <v>250.83</v>
      </c>
      <c r="D4484" s="12"/>
      <c r="E4484" s="13"/>
    </row>
    <row r="4485" spans="1:5" ht="11.1" hidden="1" customHeight="1" x14ac:dyDescent="0.25">
      <c r="A4485" s="12" t="s">
        <v>6357</v>
      </c>
      <c r="B4485" s="12" t="s">
        <v>6358</v>
      </c>
      <c r="C4485" s="14">
        <v>1059.17</v>
      </c>
      <c r="D4485" s="12"/>
      <c r="E4485" s="14"/>
    </row>
    <row r="4486" spans="1:5" ht="11.1" hidden="1" customHeight="1" x14ac:dyDescent="0.25">
      <c r="A4486" s="12" t="s">
        <v>6359</v>
      </c>
      <c r="B4486" s="12" t="s">
        <v>1497</v>
      </c>
      <c r="C4486" s="14">
        <v>0.83</v>
      </c>
      <c r="D4486" s="12"/>
      <c r="E4486" s="13"/>
    </row>
    <row r="4487" spans="1:5" ht="11.1" hidden="1" customHeight="1" x14ac:dyDescent="0.25">
      <c r="A4487" s="12" t="s">
        <v>6360</v>
      </c>
      <c r="B4487" s="12" t="s">
        <v>2459</v>
      </c>
      <c r="C4487" s="14">
        <v>1.1299999999999999</v>
      </c>
      <c r="D4487" s="12"/>
      <c r="E4487" s="13"/>
    </row>
    <row r="4488" spans="1:5" ht="23.1" hidden="1" customHeight="1" x14ac:dyDescent="0.25">
      <c r="A4488" s="12" t="s">
        <v>6361</v>
      </c>
      <c r="B4488" s="12" t="s">
        <v>2472</v>
      </c>
      <c r="C4488" s="14">
        <v>1.67</v>
      </c>
      <c r="D4488" s="12"/>
      <c r="E4488" s="13"/>
    </row>
    <row r="4489" spans="1:5" ht="11.1" hidden="1" customHeight="1" x14ac:dyDescent="0.25">
      <c r="A4489" s="12" t="s">
        <v>6362</v>
      </c>
      <c r="B4489" s="12" t="s">
        <v>6363</v>
      </c>
      <c r="C4489" s="14">
        <v>0.78</v>
      </c>
      <c r="D4489" s="12"/>
      <c r="E4489" s="13"/>
    </row>
    <row r="4490" spans="1:5" ht="11.1" hidden="1" customHeight="1" x14ac:dyDescent="0.25">
      <c r="A4490" s="12" t="s">
        <v>6364</v>
      </c>
      <c r="B4490" s="12" t="s">
        <v>2472</v>
      </c>
      <c r="C4490" s="14">
        <v>0.83</v>
      </c>
      <c r="D4490" s="12"/>
      <c r="E4490" s="13"/>
    </row>
    <row r="4491" spans="1:5" ht="11.1" hidden="1" customHeight="1" x14ac:dyDescent="0.25">
      <c r="A4491" s="12" t="s">
        <v>6365</v>
      </c>
      <c r="B4491" s="12" t="s">
        <v>6363</v>
      </c>
      <c r="C4491" s="14">
        <v>0.53</v>
      </c>
      <c r="D4491" s="12"/>
      <c r="E4491" s="13"/>
    </row>
    <row r="4492" spans="1:5" ht="11.1" hidden="1" customHeight="1" x14ac:dyDescent="0.25">
      <c r="A4492" s="12" t="s">
        <v>6366</v>
      </c>
      <c r="B4492" s="12" t="s">
        <v>309</v>
      </c>
      <c r="C4492" s="14">
        <v>434.17</v>
      </c>
      <c r="D4492" s="12"/>
      <c r="E4492" s="13"/>
    </row>
    <row r="4493" spans="1:5" ht="11.1" hidden="1" customHeight="1" x14ac:dyDescent="0.25">
      <c r="A4493" s="12" t="s">
        <v>6367</v>
      </c>
      <c r="B4493" s="12" t="s">
        <v>2459</v>
      </c>
      <c r="C4493" s="14">
        <v>4.0599999999999996</v>
      </c>
      <c r="D4493" s="12"/>
      <c r="E4493" s="13"/>
    </row>
    <row r="4494" spans="1:5" ht="11.1" hidden="1" customHeight="1" x14ac:dyDescent="0.25">
      <c r="A4494" s="12" t="s">
        <v>6368</v>
      </c>
      <c r="B4494" s="12" t="s">
        <v>2459</v>
      </c>
      <c r="C4494" s="14">
        <v>3.5</v>
      </c>
      <c r="D4494" s="12"/>
      <c r="E4494" s="13"/>
    </row>
    <row r="4495" spans="1:5" ht="11.1" hidden="1" customHeight="1" x14ac:dyDescent="0.25">
      <c r="A4495" s="12" t="s">
        <v>6369</v>
      </c>
      <c r="B4495" s="12" t="s">
        <v>663</v>
      </c>
      <c r="C4495" s="14">
        <v>1075</v>
      </c>
      <c r="D4495" s="12"/>
      <c r="E4495" s="14"/>
    </row>
    <row r="4496" spans="1:5" ht="11.1" hidden="1" customHeight="1" x14ac:dyDescent="0.25">
      <c r="A4496" s="12" t="s">
        <v>6370</v>
      </c>
      <c r="B4496" s="12" t="s">
        <v>6337</v>
      </c>
      <c r="C4496" s="14">
        <v>16.86</v>
      </c>
      <c r="D4496" s="12"/>
      <c r="E4496" s="13"/>
    </row>
    <row r="4497" spans="1:5" ht="11.1" hidden="1" customHeight="1" x14ac:dyDescent="0.25">
      <c r="A4497" s="12" t="s">
        <v>6371</v>
      </c>
      <c r="B4497" s="12" t="s">
        <v>6372</v>
      </c>
      <c r="C4497" s="14">
        <v>219.17</v>
      </c>
      <c r="D4497" s="12"/>
      <c r="E4497" s="13"/>
    </row>
    <row r="4498" spans="1:5" ht="11.1" hidden="1" customHeight="1" x14ac:dyDescent="0.25">
      <c r="A4498" s="12" t="s">
        <v>6373</v>
      </c>
      <c r="B4498" s="12" t="s">
        <v>6374</v>
      </c>
      <c r="C4498" s="14">
        <v>502.5</v>
      </c>
      <c r="D4498" s="12"/>
      <c r="E4498" s="13"/>
    </row>
    <row r="4499" spans="1:5" ht="11.1" hidden="1" customHeight="1" x14ac:dyDescent="0.25">
      <c r="A4499" s="12" t="s">
        <v>6375</v>
      </c>
      <c r="B4499" s="12" t="s">
        <v>741</v>
      </c>
      <c r="C4499" s="14">
        <v>0.28000000000000003</v>
      </c>
      <c r="D4499" s="12"/>
      <c r="E4499" s="13"/>
    </row>
    <row r="4500" spans="1:5" ht="11.1" hidden="1" customHeight="1" x14ac:dyDescent="0.25">
      <c r="A4500" s="12" t="s">
        <v>6376</v>
      </c>
      <c r="B4500" s="12" t="s">
        <v>1405</v>
      </c>
      <c r="C4500" s="14">
        <v>273.33</v>
      </c>
      <c r="D4500" s="12"/>
      <c r="E4500" s="13"/>
    </row>
    <row r="4501" spans="1:5" ht="11.1" hidden="1" customHeight="1" x14ac:dyDescent="0.25">
      <c r="A4501" s="12" t="s">
        <v>6377</v>
      </c>
      <c r="B4501" s="12" t="s">
        <v>1619</v>
      </c>
      <c r="C4501" s="14">
        <v>192.5</v>
      </c>
      <c r="D4501" s="12"/>
      <c r="E4501" s="13"/>
    </row>
    <row r="4502" spans="1:5" ht="11.1" hidden="1" customHeight="1" x14ac:dyDescent="0.25">
      <c r="A4502" s="12" t="s">
        <v>6378</v>
      </c>
      <c r="B4502" s="12" t="s">
        <v>2777</v>
      </c>
      <c r="C4502" s="14">
        <v>1665</v>
      </c>
      <c r="D4502" s="12"/>
      <c r="E4502" s="14"/>
    </row>
    <row r="4503" spans="1:5" ht="11.1" hidden="1" customHeight="1" x14ac:dyDescent="0.25">
      <c r="A4503" s="12" t="s">
        <v>6379</v>
      </c>
      <c r="B4503" s="12" t="s">
        <v>2377</v>
      </c>
      <c r="C4503" s="14">
        <v>405</v>
      </c>
      <c r="D4503" s="12"/>
      <c r="E4503" s="13"/>
    </row>
    <row r="4504" spans="1:5" ht="11.1" hidden="1" customHeight="1" x14ac:dyDescent="0.25">
      <c r="A4504" s="12" t="s">
        <v>6380</v>
      </c>
      <c r="B4504" s="12" t="s">
        <v>6381</v>
      </c>
      <c r="C4504" s="14">
        <v>1600</v>
      </c>
      <c r="D4504" s="12"/>
      <c r="E4504" s="14"/>
    </row>
    <row r="4505" spans="1:5" ht="11.1" hidden="1" customHeight="1" x14ac:dyDescent="0.25">
      <c r="A4505" s="12" t="s">
        <v>6382</v>
      </c>
      <c r="B4505" s="12" t="s">
        <v>2244</v>
      </c>
      <c r="C4505" s="14">
        <v>2052.75</v>
      </c>
      <c r="D4505" s="12"/>
      <c r="E4505" s="14"/>
    </row>
    <row r="4506" spans="1:5" ht="11.1" hidden="1" customHeight="1" x14ac:dyDescent="0.25">
      <c r="A4506" s="12" t="s">
        <v>6383</v>
      </c>
      <c r="B4506" s="12" t="s">
        <v>3985</v>
      </c>
      <c r="C4506" s="14">
        <v>2052.75</v>
      </c>
      <c r="D4506" s="12"/>
      <c r="E4506" s="14"/>
    </row>
    <row r="4507" spans="1:5" ht="11.1" hidden="1" customHeight="1" x14ac:dyDescent="0.25">
      <c r="A4507" s="12" t="s">
        <v>6384</v>
      </c>
      <c r="B4507" s="12" t="s">
        <v>2256</v>
      </c>
      <c r="C4507" s="14">
        <v>3179</v>
      </c>
      <c r="D4507" s="12"/>
      <c r="E4507" s="14"/>
    </row>
    <row r="4508" spans="1:5" ht="11.1" hidden="1" customHeight="1" x14ac:dyDescent="0.25">
      <c r="A4508" s="12" t="s">
        <v>6385</v>
      </c>
      <c r="B4508" s="12" t="s">
        <v>4132</v>
      </c>
      <c r="C4508" s="14">
        <v>3179</v>
      </c>
      <c r="D4508" s="12"/>
      <c r="E4508" s="14"/>
    </row>
    <row r="4509" spans="1:5" ht="11.1" hidden="1" customHeight="1" x14ac:dyDescent="0.25">
      <c r="A4509" s="12" t="s">
        <v>6386</v>
      </c>
      <c r="B4509" s="12" t="s">
        <v>2258</v>
      </c>
      <c r="C4509" s="14">
        <v>3179</v>
      </c>
      <c r="D4509" s="12"/>
      <c r="E4509" s="14"/>
    </row>
    <row r="4510" spans="1:5" ht="11.1" hidden="1" customHeight="1" x14ac:dyDescent="0.25">
      <c r="A4510" s="12" t="s">
        <v>6387</v>
      </c>
      <c r="B4510" s="12" t="s">
        <v>2596</v>
      </c>
      <c r="C4510" s="14">
        <v>109.09</v>
      </c>
      <c r="D4510" s="12"/>
      <c r="E4510" s="13"/>
    </row>
    <row r="4511" spans="1:5" ht="23.1" hidden="1" customHeight="1" x14ac:dyDescent="0.25">
      <c r="A4511" s="12" t="s">
        <v>6388</v>
      </c>
      <c r="B4511" s="12" t="s">
        <v>6389</v>
      </c>
      <c r="C4511" s="14">
        <v>142</v>
      </c>
      <c r="D4511" s="12"/>
      <c r="E4511" s="13"/>
    </row>
    <row r="4512" spans="1:5" ht="23.1" hidden="1" customHeight="1" x14ac:dyDescent="0.25">
      <c r="A4512" s="12" t="s">
        <v>6390</v>
      </c>
      <c r="B4512" s="12" t="s">
        <v>6319</v>
      </c>
      <c r="C4512" s="14">
        <v>129.09</v>
      </c>
      <c r="D4512" s="12"/>
      <c r="E4512" s="13"/>
    </row>
    <row r="4513" spans="1:5" ht="11.1" hidden="1" customHeight="1" x14ac:dyDescent="0.25">
      <c r="A4513" s="12" t="s">
        <v>6391</v>
      </c>
      <c r="B4513" s="12" t="s">
        <v>2849</v>
      </c>
      <c r="C4513" s="14">
        <v>5708.33</v>
      </c>
      <c r="D4513" s="12"/>
      <c r="E4513" s="14"/>
    </row>
    <row r="4514" spans="1:5" ht="11.1" hidden="1" customHeight="1" x14ac:dyDescent="0.25">
      <c r="A4514" s="12" t="s">
        <v>6392</v>
      </c>
      <c r="B4514" s="12" t="s">
        <v>118</v>
      </c>
      <c r="C4514" s="14">
        <v>13.01</v>
      </c>
      <c r="D4514" s="12"/>
      <c r="E4514" s="13"/>
    </row>
    <row r="4515" spans="1:5" ht="11.1" hidden="1" customHeight="1" x14ac:dyDescent="0.25">
      <c r="A4515" s="12" t="s">
        <v>6393</v>
      </c>
      <c r="B4515" s="12" t="s">
        <v>2670</v>
      </c>
      <c r="C4515" s="14">
        <v>1549.17</v>
      </c>
      <c r="D4515" s="12"/>
      <c r="E4515" s="14"/>
    </row>
    <row r="4516" spans="1:5" ht="11.1" hidden="1" customHeight="1" x14ac:dyDescent="0.25">
      <c r="A4516" s="12" t="s">
        <v>6394</v>
      </c>
      <c r="B4516" s="12" t="s">
        <v>2852</v>
      </c>
      <c r="C4516" s="14">
        <v>3077.5</v>
      </c>
      <c r="D4516" s="12"/>
      <c r="E4516" s="14"/>
    </row>
    <row r="4517" spans="1:5" ht="11.1" hidden="1" customHeight="1" x14ac:dyDescent="0.25">
      <c r="A4517" s="12" t="s">
        <v>6395</v>
      </c>
      <c r="B4517" s="12" t="s">
        <v>2852</v>
      </c>
      <c r="C4517" s="14">
        <v>5449.17</v>
      </c>
      <c r="D4517" s="12"/>
      <c r="E4517" s="14"/>
    </row>
    <row r="4518" spans="1:5" ht="23.1" hidden="1" customHeight="1" x14ac:dyDescent="0.25">
      <c r="A4518" s="12" t="s">
        <v>6396</v>
      </c>
      <c r="B4518" s="12" t="s">
        <v>2038</v>
      </c>
      <c r="C4518" s="14">
        <v>2083.33</v>
      </c>
      <c r="D4518" s="12"/>
      <c r="E4518" s="14"/>
    </row>
    <row r="4519" spans="1:5" ht="11.1" hidden="1" customHeight="1" x14ac:dyDescent="0.25">
      <c r="A4519" s="12" t="s">
        <v>6397</v>
      </c>
      <c r="B4519" s="12" t="s">
        <v>2935</v>
      </c>
      <c r="C4519" s="14">
        <v>2200</v>
      </c>
      <c r="D4519" s="12"/>
      <c r="E4519" s="14"/>
    </row>
    <row r="4520" spans="1:5" ht="11.1" hidden="1" customHeight="1" x14ac:dyDescent="0.25">
      <c r="A4520" s="12" t="s">
        <v>6398</v>
      </c>
      <c r="B4520" s="12" t="s">
        <v>780</v>
      </c>
      <c r="C4520" s="14">
        <v>14.17</v>
      </c>
      <c r="D4520" s="12"/>
      <c r="E4520" s="13"/>
    </row>
    <row r="4521" spans="1:5" ht="11.1" hidden="1" customHeight="1" x14ac:dyDescent="0.25">
      <c r="A4521" s="12" t="s">
        <v>6399</v>
      </c>
      <c r="B4521" s="12" t="s">
        <v>780</v>
      </c>
      <c r="C4521" s="14">
        <v>15</v>
      </c>
      <c r="D4521" s="12"/>
      <c r="E4521" s="13"/>
    </row>
    <row r="4522" spans="1:5" ht="11.1" hidden="1" customHeight="1" x14ac:dyDescent="0.25">
      <c r="A4522" s="12" t="s">
        <v>6400</v>
      </c>
      <c r="B4522" s="12" t="s">
        <v>6401</v>
      </c>
      <c r="C4522" s="14">
        <v>136.5</v>
      </c>
      <c r="D4522" s="12"/>
      <c r="E4522" s="13"/>
    </row>
    <row r="4523" spans="1:5" ht="11.1" hidden="1" customHeight="1" x14ac:dyDescent="0.25">
      <c r="A4523" s="12" t="s">
        <v>6402</v>
      </c>
      <c r="B4523" s="12" t="s">
        <v>6401</v>
      </c>
      <c r="C4523" s="14">
        <v>136.5</v>
      </c>
      <c r="D4523" s="12"/>
      <c r="E4523" s="13"/>
    </row>
    <row r="4524" spans="1:5" ht="11.1" hidden="1" customHeight="1" x14ac:dyDescent="0.25">
      <c r="A4524" s="12" t="s">
        <v>6403</v>
      </c>
      <c r="B4524" s="12" t="s">
        <v>5478</v>
      </c>
      <c r="C4524" s="14">
        <v>65.62</v>
      </c>
      <c r="D4524" s="12"/>
      <c r="E4524" s="13"/>
    </row>
    <row r="4525" spans="1:5" ht="11.1" hidden="1" customHeight="1" x14ac:dyDescent="0.25">
      <c r="A4525" s="12" t="s">
        <v>6404</v>
      </c>
      <c r="B4525" s="12" t="s">
        <v>741</v>
      </c>
      <c r="C4525" s="14">
        <v>335.83</v>
      </c>
      <c r="D4525" s="12"/>
      <c r="E4525" s="13"/>
    </row>
    <row r="4526" spans="1:5" ht="11.1" hidden="1" customHeight="1" x14ac:dyDescent="0.25">
      <c r="A4526" s="12" t="s">
        <v>6405</v>
      </c>
      <c r="B4526" s="12" t="s">
        <v>6406</v>
      </c>
      <c r="C4526" s="14">
        <v>25</v>
      </c>
      <c r="D4526" s="12"/>
      <c r="E4526" s="13"/>
    </row>
    <row r="4527" spans="1:5" ht="11.1" hidden="1" customHeight="1" x14ac:dyDescent="0.25">
      <c r="A4527" s="12" t="s">
        <v>6407</v>
      </c>
      <c r="B4527" s="12" t="s">
        <v>1654</v>
      </c>
      <c r="C4527" s="14">
        <v>270</v>
      </c>
      <c r="D4527" s="12"/>
      <c r="E4527" s="13"/>
    </row>
    <row r="4528" spans="1:5" ht="11.1" hidden="1" customHeight="1" x14ac:dyDescent="0.25">
      <c r="A4528" s="12" t="s">
        <v>6408</v>
      </c>
      <c r="B4528" s="12" t="s">
        <v>2102</v>
      </c>
      <c r="C4528" s="14">
        <v>102.5</v>
      </c>
      <c r="D4528" s="12"/>
      <c r="E4528" s="13"/>
    </row>
    <row r="4529" spans="1:5" ht="11.1" hidden="1" customHeight="1" x14ac:dyDescent="0.25">
      <c r="A4529" s="12" t="s">
        <v>6409</v>
      </c>
      <c r="B4529" s="12" t="s">
        <v>741</v>
      </c>
      <c r="C4529" s="14">
        <v>53.33</v>
      </c>
      <c r="D4529" s="12"/>
      <c r="E4529" s="13"/>
    </row>
    <row r="4530" spans="1:5" ht="11.1" hidden="1" customHeight="1" x14ac:dyDescent="0.25">
      <c r="A4530" s="12" t="s">
        <v>6410</v>
      </c>
      <c r="B4530" s="12" t="s">
        <v>764</v>
      </c>
      <c r="C4530" s="14">
        <v>58.34</v>
      </c>
      <c r="D4530" s="12"/>
      <c r="E4530" s="13"/>
    </row>
    <row r="4531" spans="1:5" ht="11.1" hidden="1" customHeight="1" x14ac:dyDescent="0.25">
      <c r="A4531" s="12" t="s">
        <v>6411</v>
      </c>
      <c r="B4531" s="12" t="s">
        <v>1654</v>
      </c>
      <c r="C4531" s="14">
        <v>409.17</v>
      </c>
      <c r="D4531" s="12"/>
      <c r="E4531" s="13"/>
    </row>
    <row r="4532" spans="1:5" ht="11.1" hidden="1" customHeight="1" x14ac:dyDescent="0.25">
      <c r="A4532" s="12" t="s">
        <v>6412</v>
      </c>
      <c r="B4532" s="12" t="s">
        <v>1654</v>
      </c>
      <c r="C4532" s="14">
        <v>305</v>
      </c>
      <c r="D4532" s="12"/>
      <c r="E4532" s="13"/>
    </row>
    <row r="4533" spans="1:5" ht="11.1" hidden="1" customHeight="1" x14ac:dyDescent="0.25">
      <c r="A4533" s="12" t="s">
        <v>6413</v>
      </c>
      <c r="B4533" s="12" t="s">
        <v>1654</v>
      </c>
      <c r="C4533" s="14">
        <v>445</v>
      </c>
      <c r="D4533" s="12"/>
      <c r="E4533" s="13"/>
    </row>
    <row r="4534" spans="1:5" ht="11.1" hidden="1" customHeight="1" x14ac:dyDescent="0.25">
      <c r="A4534" s="12" t="s">
        <v>6414</v>
      </c>
      <c r="B4534" s="12" t="s">
        <v>741</v>
      </c>
      <c r="C4534" s="14">
        <v>528.33000000000004</v>
      </c>
      <c r="D4534" s="12"/>
      <c r="E4534" s="13"/>
    </row>
    <row r="4535" spans="1:5" ht="11.1" hidden="1" customHeight="1" x14ac:dyDescent="0.25">
      <c r="A4535" s="12" t="s">
        <v>6415</v>
      </c>
      <c r="B4535" s="12" t="s">
        <v>1654</v>
      </c>
      <c r="C4535" s="14">
        <v>462.5</v>
      </c>
      <c r="D4535" s="12"/>
      <c r="E4535" s="13"/>
    </row>
    <row r="4536" spans="1:5" ht="11.1" hidden="1" customHeight="1" x14ac:dyDescent="0.25">
      <c r="A4536" s="12" t="s">
        <v>6416</v>
      </c>
      <c r="B4536" s="12" t="s">
        <v>741</v>
      </c>
      <c r="C4536" s="14">
        <v>206.67</v>
      </c>
      <c r="D4536" s="12"/>
      <c r="E4536" s="13"/>
    </row>
    <row r="4537" spans="1:5" ht="11.1" hidden="1" customHeight="1" x14ac:dyDescent="0.25">
      <c r="A4537" s="12" t="s">
        <v>6417</v>
      </c>
      <c r="B4537" s="12" t="s">
        <v>1654</v>
      </c>
      <c r="C4537" s="14">
        <v>348.33</v>
      </c>
      <c r="D4537" s="12"/>
      <c r="E4537" s="13"/>
    </row>
    <row r="4538" spans="1:5" ht="11.1" hidden="1" customHeight="1" x14ac:dyDescent="0.25">
      <c r="A4538" s="12" t="s">
        <v>6418</v>
      </c>
      <c r="B4538" s="12" t="s">
        <v>6419</v>
      </c>
      <c r="C4538" s="14">
        <v>200</v>
      </c>
      <c r="D4538" s="12"/>
      <c r="E4538" s="13"/>
    </row>
    <row r="4539" spans="1:5" ht="11.1" hidden="1" customHeight="1" x14ac:dyDescent="0.25">
      <c r="A4539" s="12" t="s">
        <v>6420</v>
      </c>
      <c r="B4539" s="12" t="s">
        <v>6419</v>
      </c>
      <c r="C4539" s="14">
        <v>450</v>
      </c>
      <c r="D4539" s="12"/>
      <c r="E4539" s="13"/>
    </row>
    <row r="4540" spans="1:5" ht="11.1" hidden="1" customHeight="1" x14ac:dyDescent="0.25">
      <c r="A4540" s="12" t="s">
        <v>6421</v>
      </c>
      <c r="B4540" s="12" t="s">
        <v>1654</v>
      </c>
      <c r="C4540" s="14">
        <v>840</v>
      </c>
      <c r="D4540" s="12"/>
      <c r="E4540" s="13"/>
    </row>
    <row r="4541" spans="1:5" ht="11.1" hidden="1" customHeight="1" x14ac:dyDescent="0.25">
      <c r="A4541" s="12" t="s">
        <v>6422</v>
      </c>
      <c r="B4541" s="12" t="s">
        <v>168</v>
      </c>
      <c r="C4541" s="14">
        <v>183.33</v>
      </c>
      <c r="D4541" s="12"/>
      <c r="E4541" s="13"/>
    </row>
    <row r="4542" spans="1:5" ht="11.1" hidden="1" customHeight="1" x14ac:dyDescent="0.25">
      <c r="A4542" s="12" t="s">
        <v>6423</v>
      </c>
      <c r="B4542" s="12" t="s">
        <v>3632</v>
      </c>
      <c r="C4542" s="14">
        <v>480.83</v>
      </c>
      <c r="D4542" s="12"/>
      <c r="E4542" s="13"/>
    </row>
    <row r="4543" spans="1:5" ht="11.1" hidden="1" customHeight="1" x14ac:dyDescent="0.25">
      <c r="A4543" s="12" t="s">
        <v>6424</v>
      </c>
      <c r="B4543" s="12" t="s">
        <v>663</v>
      </c>
      <c r="C4543" s="14">
        <v>149.16999999999999</v>
      </c>
      <c r="D4543" s="12"/>
      <c r="E4543" s="13"/>
    </row>
    <row r="4544" spans="1:5" ht="11.1" hidden="1" customHeight="1" x14ac:dyDescent="0.25">
      <c r="A4544" s="12" t="s">
        <v>6425</v>
      </c>
      <c r="B4544" s="12" t="s">
        <v>764</v>
      </c>
      <c r="C4544" s="14">
        <v>166.67</v>
      </c>
      <c r="D4544" s="12"/>
      <c r="E4544" s="13"/>
    </row>
    <row r="4545" spans="1:5" ht="11.1" hidden="1" customHeight="1" x14ac:dyDescent="0.25">
      <c r="A4545" s="12" t="s">
        <v>6426</v>
      </c>
      <c r="B4545" s="12" t="s">
        <v>1654</v>
      </c>
      <c r="C4545" s="14">
        <v>785.83</v>
      </c>
      <c r="D4545" s="12"/>
      <c r="E4545" s="13"/>
    </row>
    <row r="4546" spans="1:5" ht="11.1" hidden="1" customHeight="1" x14ac:dyDescent="0.25">
      <c r="A4546" s="12" t="s">
        <v>6427</v>
      </c>
      <c r="B4546" s="12" t="s">
        <v>6428</v>
      </c>
      <c r="C4546" s="14">
        <v>875.83</v>
      </c>
      <c r="D4546" s="12"/>
      <c r="E4546" s="13"/>
    </row>
    <row r="4547" spans="1:5" ht="11.1" hidden="1" customHeight="1" x14ac:dyDescent="0.25">
      <c r="A4547" s="12" t="s">
        <v>6429</v>
      </c>
      <c r="B4547" s="12" t="s">
        <v>6430</v>
      </c>
      <c r="C4547" s="14">
        <v>2458.34</v>
      </c>
      <c r="D4547" s="12"/>
      <c r="E4547" s="14"/>
    </row>
    <row r="4548" spans="1:5" ht="11.1" hidden="1" customHeight="1" x14ac:dyDescent="0.25">
      <c r="A4548" s="12" t="s">
        <v>6431</v>
      </c>
      <c r="B4548" s="12" t="s">
        <v>6430</v>
      </c>
      <c r="C4548" s="14">
        <v>2858.33</v>
      </c>
      <c r="D4548" s="12"/>
      <c r="E4548" s="14"/>
    </row>
    <row r="4549" spans="1:5" ht="11.1" hidden="1" customHeight="1" x14ac:dyDescent="0.25">
      <c r="A4549" s="12" t="s">
        <v>6432</v>
      </c>
      <c r="B4549" s="12" t="s">
        <v>6430</v>
      </c>
      <c r="C4549" s="14">
        <v>5666.67</v>
      </c>
      <c r="D4549" s="12"/>
      <c r="E4549" s="14"/>
    </row>
    <row r="4550" spans="1:5" ht="11.1" hidden="1" customHeight="1" x14ac:dyDescent="0.25">
      <c r="A4550" s="12" t="s">
        <v>6433</v>
      </c>
      <c r="B4550" s="12" t="s">
        <v>6434</v>
      </c>
      <c r="C4550" s="14">
        <v>8929.3799999999992</v>
      </c>
      <c r="D4550" s="12"/>
      <c r="E4550" s="14"/>
    </row>
    <row r="4551" spans="1:5" ht="11.1" hidden="1" customHeight="1" x14ac:dyDescent="0.25">
      <c r="A4551" s="12" t="s">
        <v>6435</v>
      </c>
      <c r="B4551" s="12" t="s">
        <v>6434</v>
      </c>
      <c r="C4551" s="14">
        <v>14484.21</v>
      </c>
      <c r="D4551" s="12"/>
      <c r="E4551" s="14"/>
    </row>
    <row r="4552" spans="1:5" ht="11.1" hidden="1" customHeight="1" x14ac:dyDescent="0.25">
      <c r="A4552" s="12" t="s">
        <v>6436</v>
      </c>
      <c r="B4552" s="12" t="s">
        <v>6191</v>
      </c>
      <c r="C4552" s="14">
        <v>6742.5</v>
      </c>
      <c r="D4552" s="12"/>
      <c r="E4552" s="14"/>
    </row>
    <row r="4553" spans="1:5" ht="11.1" hidden="1" customHeight="1" x14ac:dyDescent="0.25">
      <c r="A4553" s="12" t="s">
        <v>6437</v>
      </c>
      <c r="B4553" s="12" t="s">
        <v>6438</v>
      </c>
      <c r="C4553" s="14">
        <v>15762.44</v>
      </c>
      <c r="D4553" s="12"/>
      <c r="E4553" s="14"/>
    </row>
    <row r="4554" spans="1:5" ht="11.1" hidden="1" customHeight="1" x14ac:dyDescent="0.25">
      <c r="A4554" s="12" t="s">
        <v>6439</v>
      </c>
      <c r="B4554" s="12" t="s">
        <v>6438</v>
      </c>
      <c r="C4554" s="14">
        <v>12819.86</v>
      </c>
      <c r="D4554" s="12"/>
      <c r="E4554" s="14"/>
    </row>
    <row r="4555" spans="1:5" ht="11.1" hidden="1" customHeight="1" x14ac:dyDescent="0.25">
      <c r="A4555" s="12" t="s">
        <v>6440</v>
      </c>
      <c r="B4555" s="12" t="s">
        <v>6441</v>
      </c>
      <c r="C4555" s="14">
        <v>256.2</v>
      </c>
      <c r="D4555" s="12"/>
      <c r="E4555" s="13"/>
    </row>
    <row r="4556" spans="1:5" ht="11.1" hidden="1" customHeight="1" x14ac:dyDescent="0.25">
      <c r="A4556" s="12" t="s">
        <v>6442</v>
      </c>
      <c r="B4556" s="12" t="s">
        <v>439</v>
      </c>
      <c r="C4556" s="14">
        <v>220</v>
      </c>
      <c r="D4556" s="12"/>
      <c r="E4556" s="13"/>
    </row>
    <row r="4557" spans="1:5" ht="11.1" hidden="1" customHeight="1" x14ac:dyDescent="0.25">
      <c r="A4557" s="12" t="s">
        <v>6443</v>
      </c>
      <c r="B4557" s="12" t="s">
        <v>1832</v>
      </c>
      <c r="C4557" s="14">
        <v>1070.8599999999999</v>
      </c>
      <c r="D4557" s="12"/>
      <c r="E4557" s="14"/>
    </row>
    <row r="4558" spans="1:5" ht="11.1" hidden="1" customHeight="1" x14ac:dyDescent="0.25">
      <c r="A4558" s="12" t="s">
        <v>6444</v>
      </c>
      <c r="B4558" s="12" t="s">
        <v>1985</v>
      </c>
      <c r="C4558" s="14">
        <v>991.67</v>
      </c>
      <c r="D4558" s="12"/>
      <c r="E4558" s="13"/>
    </row>
    <row r="4559" spans="1:5" ht="11.1" hidden="1" customHeight="1" x14ac:dyDescent="0.25">
      <c r="A4559" s="12" t="s">
        <v>6445</v>
      </c>
      <c r="B4559" s="12" t="s">
        <v>6446</v>
      </c>
      <c r="C4559" s="14">
        <v>2833.33</v>
      </c>
      <c r="D4559" s="12"/>
      <c r="E4559" s="14"/>
    </row>
    <row r="4560" spans="1:5" ht="11.1" hidden="1" customHeight="1" x14ac:dyDescent="0.25">
      <c r="A4560" s="12" t="s">
        <v>6447</v>
      </c>
      <c r="B4560" s="12" t="s">
        <v>2156</v>
      </c>
      <c r="C4560" s="14">
        <v>2966.67</v>
      </c>
      <c r="D4560" s="12"/>
      <c r="E4560" s="14"/>
    </row>
    <row r="4561" spans="1:5" ht="11.1" hidden="1" customHeight="1" x14ac:dyDescent="0.25">
      <c r="A4561" s="12" t="s">
        <v>6448</v>
      </c>
      <c r="B4561" s="12" t="s">
        <v>2348</v>
      </c>
      <c r="C4561" s="14">
        <v>16217.82</v>
      </c>
      <c r="D4561" s="12"/>
      <c r="E4561" s="14"/>
    </row>
    <row r="4562" spans="1:5" ht="11.1" hidden="1" customHeight="1" x14ac:dyDescent="0.25">
      <c r="A4562" s="12" t="s">
        <v>6449</v>
      </c>
      <c r="B4562" s="12" t="s">
        <v>3292</v>
      </c>
      <c r="C4562" s="14">
        <v>2882.5</v>
      </c>
      <c r="D4562" s="12"/>
      <c r="E4562" s="14"/>
    </row>
    <row r="4563" spans="1:5" ht="11.1" hidden="1" customHeight="1" x14ac:dyDescent="0.25">
      <c r="A4563" s="12" t="s">
        <v>6450</v>
      </c>
      <c r="B4563" s="12" t="s">
        <v>6451</v>
      </c>
      <c r="C4563" s="14">
        <v>4125</v>
      </c>
      <c r="D4563" s="12"/>
      <c r="E4563" s="14"/>
    </row>
    <row r="4564" spans="1:5" ht="11.1" hidden="1" customHeight="1" x14ac:dyDescent="0.25">
      <c r="A4564" s="12" t="s">
        <v>6452</v>
      </c>
      <c r="B4564" s="12" t="s">
        <v>2105</v>
      </c>
      <c r="C4564" s="14">
        <v>1990</v>
      </c>
      <c r="D4564" s="12"/>
      <c r="E4564" s="14"/>
    </row>
    <row r="4565" spans="1:5" ht="11.1" hidden="1" customHeight="1" x14ac:dyDescent="0.25">
      <c r="A4565" s="12" t="s">
        <v>6453</v>
      </c>
      <c r="B4565" s="12" t="s">
        <v>2110</v>
      </c>
      <c r="C4565" s="14">
        <v>1195</v>
      </c>
      <c r="D4565" s="12"/>
      <c r="E4565" s="14"/>
    </row>
    <row r="4566" spans="1:5" ht="11.1" hidden="1" customHeight="1" x14ac:dyDescent="0.25">
      <c r="A4566" s="12" t="s">
        <v>6454</v>
      </c>
      <c r="B4566" s="12" t="s">
        <v>2053</v>
      </c>
      <c r="C4566" s="14">
        <v>2442.5</v>
      </c>
      <c r="D4566" s="12"/>
      <c r="E4566" s="14"/>
    </row>
    <row r="4567" spans="1:5" ht="11.1" hidden="1" customHeight="1" x14ac:dyDescent="0.25">
      <c r="A4567" s="12" t="s">
        <v>6455</v>
      </c>
      <c r="B4567" s="12" t="s">
        <v>2053</v>
      </c>
      <c r="C4567" s="14">
        <v>2490</v>
      </c>
      <c r="D4567" s="12"/>
      <c r="E4567" s="14"/>
    </row>
    <row r="4568" spans="1:5" ht="11.1" hidden="1" customHeight="1" x14ac:dyDescent="0.25">
      <c r="A4568" s="12" t="s">
        <v>6456</v>
      </c>
      <c r="B4568" s="12" t="s">
        <v>6457</v>
      </c>
      <c r="C4568" s="14">
        <v>60839.17</v>
      </c>
      <c r="D4568" s="12"/>
      <c r="E4568" s="14"/>
    </row>
    <row r="4569" spans="1:5" ht="11.1" hidden="1" customHeight="1" x14ac:dyDescent="0.25">
      <c r="A4569" s="12" t="s">
        <v>6458</v>
      </c>
      <c r="B4569" s="12" t="s">
        <v>6457</v>
      </c>
      <c r="C4569" s="14">
        <v>63435.83</v>
      </c>
      <c r="D4569" s="12"/>
      <c r="E4569" s="14"/>
    </row>
    <row r="4570" spans="1:5" ht="11.1" hidden="1" customHeight="1" x14ac:dyDescent="0.25">
      <c r="A4570" s="12" t="s">
        <v>6459</v>
      </c>
      <c r="B4570" s="12" t="s">
        <v>6457</v>
      </c>
      <c r="C4570" s="14">
        <v>67567.5</v>
      </c>
      <c r="D4570" s="12"/>
      <c r="E4570" s="14"/>
    </row>
    <row r="4571" spans="1:5" ht="11.1" hidden="1" customHeight="1" x14ac:dyDescent="0.25">
      <c r="A4571" s="12" t="s">
        <v>6460</v>
      </c>
      <c r="B4571" s="12" t="s">
        <v>6457</v>
      </c>
      <c r="C4571" s="14">
        <v>55341.67</v>
      </c>
      <c r="D4571" s="12"/>
      <c r="E4571" s="14"/>
    </row>
    <row r="4572" spans="1:5" ht="11.1" hidden="1" customHeight="1" x14ac:dyDescent="0.25">
      <c r="A4572" s="12" t="s">
        <v>6461</v>
      </c>
      <c r="B4572" s="12" t="s">
        <v>6457</v>
      </c>
      <c r="C4572" s="14">
        <v>57027.5</v>
      </c>
      <c r="D4572" s="12"/>
      <c r="E4572" s="14"/>
    </row>
    <row r="4573" spans="1:5" ht="11.1" hidden="1" customHeight="1" x14ac:dyDescent="0.25">
      <c r="A4573" s="12" t="s">
        <v>6462</v>
      </c>
      <c r="B4573" s="12" t="s">
        <v>6457</v>
      </c>
      <c r="C4573" s="14">
        <v>55312.08</v>
      </c>
      <c r="D4573" s="12"/>
      <c r="E4573" s="14"/>
    </row>
    <row r="4574" spans="1:5" ht="11.1" hidden="1" customHeight="1" x14ac:dyDescent="0.25">
      <c r="A4574" s="12" t="s">
        <v>6463</v>
      </c>
      <c r="B4574" s="12" t="s">
        <v>6457</v>
      </c>
      <c r="C4574" s="14">
        <v>68631.67</v>
      </c>
      <c r="D4574" s="12"/>
      <c r="E4574" s="14"/>
    </row>
    <row r="4575" spans="1:5" ht="11.1" hidden="1" customHeight="1" x14ac:dyDescent="0.25">
      <c r="A4575" s="12" t="s">
        <v>6464</v>
      </c>
      <c r="B4575" s="12" t="s">
        <v>6457</v>
      </c>
      <c r="C4575" s="14">
        <v>71049.17</v>
      </c>
      <c r="D4575" s="12"/>
      <c r="E4575" s="14"/>
    </row>
    <row r="4576" spans="1:5" ht="11.1" hidden="1" customHeight="1" x14ac:dyDescent="0.25">
      <c r="A4576" s="12" t="s">
        <v>6465</v>
      </c>
      <c r="B4576" s="12" t="s">
        <v>4857</v>
      </c>
      <c r="C4576" s="14">
        <v>26.67</v>
      </c>
      <c r="D4576" s="12"/>
      <c r="E4576" s="13"/>
    </row>
    <row r="4577" spans="1:5" ht="11.1" hidden="1" customHeight="1" x14ac:dyDescent="0.25">
      <c r="A4577" s="12" t="s">
        <v>6466</v>
      </c>
      <c r="B4577" s="12" t="s">
        <v>6467</v>
      </c>
      <c r="C4577" s="14">
        <v>1466.67</v>
      </c>
      <c r="D4577" s="12"/>
      <c r="E4577" s="14"/>
    </row>
    <row r="4578" spans="1:5" ht="11.1" hidden="1" customHeight="1" x14ac:dyDescent="0.25">
      <c r="A4578" s="12" t="s">
        <v>6468</v>
      </c>
      <c r="B4578" s="12" t="s">
        <v>6469</v>
      </c>
      <c r="C4578" s="14">
        <v>87.5</v>
      </c>
      <c r="D4578" s="12"/>
      <c r="E4578" s="13"/>
    </row>
    <row r="4579" spans="1:5" ht="11.1" hidden="1" customHeight="1" x14ac:dyDescent="0.25">
      <c r="A4579" s="12" t="s">
        <v>6470</v>
      </c>
      <c r="B4579" s="12" t="s">
        <v>80</v>
      </c>
      <c r="C4579" s="14">
        <v>3233.33</v>
      </c>
      <c r="D4579" s="12"/>
      <c r="E4579" s="14"/>
    </row>
    <row r="4580" spans="1:5" ht="11.1" hidden="1" customHeight="1" x14ac:dyDescent="0.25">
      <c r="A4580" s="12" t="s">
        <v>6471</v>
      </c>
      <c r="B4580" s="12" t="s">
        <v>2044</v>
      </c>
      <c r="C4580" s="14">
        <v>355.46</v>
      </c>
      <c r="D4580" s="12"/>
      <c r="E4580" s="13"/>
    </row>
    <row r="4581" spans="1:5" ht="11.1" hidden="1" customHeight="1" x14ac:dyDescent="0.25">
      <c r="A4581" s="12" t="s">
        <v>6472</v>
      </c>
      <c r="B4581" s="12" t="s">
        <v>6473</v>
      </c>
      <c r="C4581" s="14">
        <v>153.33000000000001</v>
      </c>
      <c r="D4581" s="12"/>
      <c r="E4581" s="13"/>
    </row>
    <row r="4582" spans="1:5" ht="11.1" hidden="1" customHeight="1" x14ac:dyDescent="0.25">
      <c r="A4582" s="12" t="s">
        <v>6474</v>
      </c>
      <c r="B4582" s="12" t="s">
        <v>6475</v>
      </c>
      <c r="C4582" s="14">
        <v>30160</v>
      </c>
      <c r="D4582" s="12"/>
      <c r="E4582" s="14"/>
    </row>
    <row r="4583" spans="1:5" ht="11.1" hidden="1" customHeight="1" x14ac:dyDescent="0.25">
      <c r="A4583" s="12" t="s">
        <v>6476</v>
      </c>
      <c r="B4583" s="12" t="s">
        <v>3279</v>
      </c>
      <c r="C4583" s="14">
        <v>4362.5</v>
      </c>
      <c r="D4583" s="12"/>
      <c r="E4583" s="14"/>
    </row>
    <row r="4584" spans="1:5" ht="11.1" hidden="1" customHeight="1" x14ac:dyDescent="0.25">
      <c r="A4584" s="12" t="s">
        <v>6477</v>
      </c>
      <c r="B4584" s="12" t="s">
        <v>2588</v>
      </c>
      <c r="C4584" s="14">
        <v>4398.79</v>
      </c>
      <c r="D4584" s="12"/>
      <c r="E4584" s="14"/>
    </row>
    <row r="4585" spans="1:5" ht="11.1" hidden="1" customHeight="1" x14ac:dyDescent="0.25">
      <c r="A4585" s="12" t="s">
        <v>6478</v>
      </c>
      <c r="B4585" s="12" t="s">
        <v>311</v>
      </c>
      <c r="C4585" s="14">
        <v>43118</v>
      </c>
      <c r="D4585" s="12"/>
      <c r="E4585" s="14"/>
    </row>
    <row r="4586" spans="1:5" ht="11.1" hidden="1" customHeight="1" x14ac:dyDescent="0.25">
      <c r="A4586" s="12" t="s">
        <v>6479</v>
      </c>
      <c r="B4586" s="12" t="s">
        <v>862</v>
      </c>
      <c r="C4586" s="14">
        <v>10152.5</v>
      </c>
      <c r="D4586" s="12"/>
      <c r="E4586" s="14"/>
    </row>
    <row r="4587" spans="1:5" ht="11.1" hidden="1" customHeight="1" x14ac:dyDescent="0.25">
      <c r="A4587" s="12" t="s">
        <v>6480</v>
      </c>
      <c r="B4587" s="12" t="s">
        <v>5546</v>
      </c>
      <c r="C4587" s="14">
        <v>443380.83</v>
      </c>
      <c r="D4587" s="12"/>
      <c r="E4587" s="14"/>
    </row>
    <row r="4588" spans="1:5" ht="11.1" hidden="1" customHeight="1" x14ac:dyDescent="0.25">
      <c r="A4588" s="12" t="s">
        <v>6481</v>
      </c>
      <c r="B4588" s="12" t="s">
        <v>733</v>
      </c>
      <c r="C4588" s="14">
        <v>182.5</v>
      </c>
      <c r="D4588" s="12"/>
      <c r="E4588" s="13"/>
    </row>
    <row r="4589" spans="1:5" ht="11.1" hidden="1" customHeight="1" x14ac:dyDescent="0.25">
      <c r="A4589" s="12" t="s">
        <v>6482</v>
      </c>
      <c r="B4589" s="12" t="s">
        <v>3341</v>
      </c>
      <c r="C4589" s="14">
        <v>472714.5</v>
      </c>
      <c r="D4589" s="12"/>
      <c r="E4589" s="14"/>
    </row>
    <row r="4590" spans="1:5" ht="11.1" hidden="1" customHeight="1" x14ac:dyDescent="0.25">
      <c r="A4590" s="12" t="s">
        <v>6483</v>
      </c>
      <c r="B4590" s="12" t="s">
        <v>3341</v>
      </c>
      <c r="C4590" s="14">
        <v>472714.5</v>
      </c>
      <c r="D4590" s="12"/>
      <c r="E4590" s="14"/>
    </row>
    <row r="4591" spans="1:5" ht="11.1" hidden="1" customHeight="1" x14ac:dyDescent="0.25">
      <c r="A4591" s="12" t="s">
        <v>6484</v>
      </c>
      <c r="B4591" s="12" t="s">
        <v>1958</v>
      </c>
      <c r="C4591" s="14">
        <v>1506.67</v>
      </c>
      <c r="D4591" s="12"/>
      <c r="E4591" s="14"/>
    </row>
    <row r="4592" spans="1:5" ht="11.1" hidden="1" customHeight="1" x14ac:dyDescent="0.25">
      <c r="A4592" s="12" t="s">
        <v>6485</v>
      </c>
      <c r="B4592" s="12" t="s">
        <v>1063</v>
      </c>
      <c r="C4592" s="14">
        <v>2000</v>
      </c>
      <c r="D4592" s="12"/>
      <c r="E4592" s="14"/>
    </row>
    <row r="4593" spans="1:5" ht="11.1" hidden="1" customHeight="1" x14ac:dyDescent="0.25">
      <c r="A4593" s="12" t="s">
        <v>6486</v>
      </c>
      <c r="B4593" s="12" t="s">
        <v>6144</v>
      </c>
      <c r="C4593" s="14">
        <v>3608.33</v>
      </c>
      <c r="D4593" s="12"/>
      <c r="E4593" s="14"/>
    </row>
    <row r="4594" spans="1:5" ht="11.1" hidden="1" customHeight="1" x14ac:dyDescent="0.25">
      <c r="A4594" s="12" t="s">
        <v>6487</v>
      </c>
      <c r="B4594" s="12" t="s">
        <v>6144</v>
      </c>
      <c r="C4594" s="14">
        <v>7700</v>
      </c>
      <c r="D4594" s="12"/>
      <c r="E4594" s="14"/>
    </row>
    <row r="4595" spans="1:5" ht="11.1" hidden="1" customHeight="1" x14ac:dyDescent="0.25">
      <c r="A4595" s="12" t="s">
        <v>6488</v>
      </c>
      <c r="B4595" s="12" t="s">
        <v>146</v>
      </c>
      <c r="C4595" s="14">
        <v>12757.91</v>
      </c>
      <c r="D4595" s="12"/>
      <c r="E4595" s="14"/>
    </row>
    <row r="4596" spans="1:5" ht="11.1" hidden="1" customHeight="1" x14ac:dyDescent="0.25">
      <c r="A4596" s="12" t="s">
        <v>6489</v>
      </c>
      <c r="B4596" s="12" t="s">
        <v>6490</v>
      </c>
      <c r="C4596" s="14">
        <v>2000</v>
      </c>
      <c r="D4596" s="12"/>
      <c r="E4596" s="14"/>
    </row>
    <row r="4597" spans="1:5" ht="23.1" hidden="1" customHeight="1" x14ac:dyDescent="0.25">
      <c r="A4597" s="12" t="s">
        <v>6491</v>
      </c>
      <c r="B4597" s="12" t="s">
        <v>6492</v>
      </c>
      <c r="C4597" s="14">
        <v>3350</v>
      </c>
      <c r="D4597" s="12"/>
      <c r="E4597" s="14"/>
    </row>
    <row r="4598" spans="1:5" ht="11.1" hidden="1" customHeight="1" x14ac:dyDescent="0.25">
      <c r="A4598" s="12" t="s">
        <v>6493</v>
      </c>
      <c r="B4598" s="12" t="s">
        <v>6494</v>
      </c>
      <c r="C4598" s="14">
        <v>525.83000000000004</v>
      </c>
      <c r="D4598" s="12"/>
      <c r="E4598" s="13"/>
    </row>
    <row r="4599" spans="1:5" ht="23.1" hidden="1" customHeight="1" x14ac:dyDescent="0.25">
      <c r="A4599" s="12" t="s">
        <v>6495</v>
      </c>
      <c r="B4599" s="12" t="s">
        <v>6496</v>
      </c>
      <c r="C4599" s="14">
        <v>1125</v>
      </c>
      <c r="D4599" s="12"/>
      <c r="E4599" s="14"/>
    </row>
    <row r="4600" spans="1:5" ht="11.1" hidden="1" customHeight="1" x14ac:dyDescent="0.25">
      <c r="A4600" s="12" t="s">
        <v>6497</v>
      </c>
      <c r="B4600" s="12" t="s">
        <v>1802</v>
      </c>
      <c r="C4600" s="14">
        <v>2065.83</v>
      </c>
      <c r="D4600" s="12"/>
      <c r="E4600" s="14"/>
    </row>
    <row r="4601" spans="1:5" ht="11.1" hidden="1" customHeight="1" x14ac:dyDescent="0.25">
      <c r="A4601" s="12" t="s">
        <v>6498</v>
      </c>
      <c r="B4601" s="12" t="s">
        <v>6499</v>
      </c>
      <c r="C4601" s="14">
        <v>1249.17</v>
      </c>
      <c r="D4601" s="12"/>
      <c r="E4601" s="14"/>
    </row>
    <row r="4602" spans="1:5" ht="11.1" hidden="1" customHeight="1" x14ac:dyDescent="0.25">
      <c r="A4602" s="12" t="s">
        <v>6500</v>
      </c>
      <c r="B4602" s="12" t="s">
        <v>1579</v>
      </c>
      <c r="C4602" s="14">
        <v>30533.33</v>
      </c>
      <c r="D4602" s="12"/>
      <c r="E4602" s="14"/>
    </row>
    <row r="4603" spans="1:5" ht="11.1" hidden="1" customHeight="1" x14ac:dyDescent="0.25">
      <c r="A4603" s="12" t="s">
        <v>6501</v>
      </c>
      <c r="B4603" s="12" t="s">
        <v>6502</v>
      </c>
      <c r="C4603" s="14">
        <v>507.5</v>
      </c>
      <c r="D4603" s="12"/>
      <c r="E4603" s="13"/>
    </row>
    <row r="4604" spans="1:5" ht="11.1" hidden="1" customHeight="1" x14ac:dyDescent="0.25">
      <c r="A4604" s="12" t="s">
        <v>6503</v>
      </c>
      <c r="B4604" s="12" t="s">
        <v>6504</v>
      </c>
      <c r="C4604" s="14">
        <v>351.67</v>
      </c>
      <c r="D4604" s="12"/>
      <c r="E4604" s="13"/>
    </row>
    <row r="4605" spans="1:5" ht="23.1" hidden="1" customHeight="1" x14ac:dyDescent="0.25">
      <c r="A4605" s="12" t="s">
        <v>6505</v>
      </c>
      <c r="B4605" s="12" t="s">
        <v>6504</v>
      </c>
      <c r="C4605" s="14">
        <v>415</v>
      </c>
      <c r="D4605" s="12"/>
      <c r="E4605" s="13"/>
    </row>
    <row r="4606" spans="1:5" ht="11.1" hidden="1" customHeight="1" x14ac:dyDescent="0.25">
      <c r="A4606" s="12" t="s">
        <v>6506</v>
      </c>
      <c r="B4606" s="12" t="s">
        <v>6507</v>
      </c>
      <c r="C4606" s="14">
        <v>1044</v>
      </c>
      <c r="D4606" s="12"/>
      <c r="E4606" s="14"/>
    </row>
    <row r="4607" spans="1:5" ht="11.1" hidden="1" customHeight="1" x14ac:dyDescent="0.25">
      <c r="A4607" s="12" t="s">
        <v>6508</v>
      </c>
      <c r="B4607" s="12" t="s">
        <v>3614</v>
      </c>
      <c r="C4607" s="14">
        <v>533.33000000000004</v>
      </c>
      <c r="D4607" s="12"/>
      <c r="E4607" s="13"/>
    </row>
    <row r="4608" spans="1:5" ht="11.1" hidden="1" customHeight="1" x14ac:dyDescent="0.25">
      <c r="A4608" s="12" t="s">
        <v>6509</v>
      </c>
      <c r="B4608" s="12" t="s">
        <v>6510</v>
      </c>
      <c r="C4608" s="14">
        <v>512.5</v>
      </c>
      <c r="D4608" s="12"/>
      <c r="E4608" s="13"/>
    </row>
    <row r="4609" spans="1:5" ht="23.1" hidden="1" customHeight="1" x14ac:dyDescent="0.25">
      <c r="A4609" s="12" t="s">
        <v>6511</v>
      </c>
      <c r="B4609" s="12" t="s">
        <v>6512</v>
      </c>
      <c r="C4609" s="14">
        <v>316.67</v>
      </c>
      <c r="D4609" s="12"/>
      <c r="E4609" s="13"/>
    </row>
    <row r="4610" spans="1:5" ht="11.1" hidden="1" customHeight="1" x14ac:dyDescent="0.25">
      <c r="A4610" s="12" t="s">
        <v>6513</v>
      </c>
      <c r="B4610" s="12" t="s">
        <v>3866</v>
      </c>
      <c r="C4610" s="14">
        <v>266.67</v>
      </c>
      <c r="D4610" s="12"/>
      <c r="E4610" s="13"/>
    </row>
    <row r="4611" spans="1:5" ht="11.1" hidden="1" customHeight="1" x14ac:dyDescent="0.25">
      <c r="A4611" s="12" t="s">
        <v>6514</v>
      </c>
      <c r="B4611" s="12" t="s">
        <v>257</v>
      </c>
      <c r="C4611" s="14">
        <v>220.83</v>
      </c>
      <c r="D4611" s="12"/>
      <c r="E4611" s="13"/>
    </row>
    <row r="4612" spans="1:5" ht="11.1" hidden="1" customHeight="1" x14ac:dyDescent="0.25">
      <c r="A4612" s="12" t="s">
        <v>6515</v>
      </c>
      <c r="B4612" s="12" t="s">
        <v>6516</v>
      </c>
      <c r="C4612" s="14">
        <v>1154.17</v>
      </c>
      <c r="D4612" s="12"/>
      <c r="E4612" s="14"/>
    </row>
    <row r="4613" spans="1:5" ht="11.1" hidden="1" customHeight="1" x14ac:dyDescent="0.25">
      <c r="A4613" s="12" t="s">
        <v>6517</v>
      </c>
      <c r="B4613" s="12" t="s">
        <v>6518</v>
      </c>
      <c r="C4613" s="14">
        <v>828.34</v>
      </c>
      <c r="D4613" s="12"/>
      <c r="E4613" s="13"/>
    </row>
    <row r="4614" spans="1:5" ht="11.1" hidden="1" customHeight="1" x14ac:dyDescent="0.25">
      <c r="A4614" s="12" t="s">
        <v>6519</v>
      </c>
      <c r="B4614" s="12" t="s">
        <v>6520</v>
      </c>
      <c r="C4614" s="14">
        <v>466.67</v>
      </c>
      <c r="D4614" s="12"/>
      <c r="E4614" s="13"/>
    </row>
    <row r="4615" spans="1:5" ht="11.1" hidden="1" customHeight="1" x14ac:dyDescent="0.25">
      <c r="A4615" s="12" t="s">
        <v>6521</v>
      </c>
      <c r="B4615" s="12" t="s">
        <v>2248</v>
      </c>
      <c r="C4615" s="14">
        <v>2290</v>
      </c>
      <c r="D4615" s="12"/>
      <c r="E4615" s="14"/>
    </row>
    <row r="4616" spans="1:5" ht="11.1" hidden="1" customHeight="1" x14ac:dyDescent="0.25">
      <c r="A4616" s="12" t="s">
        <v>6522</v>
      </c>
      <c r="B4616" s="12" t="s">
        <v>6523</v>
      </c>
      <c r="C4616" s="14">
        <v>1924</v>
      </c>
      <c r="D4616" s="12"/>
      <c r="E4616" s="14"/>
    </row>
    <row r="4617" spans="1:5" ht="11.1" hidden="1" customHeight="1" x14ac:dyDescent="0.25">
      <c r="A4617" s="12" t="s">
        <v>6524</v>
      </c>
      <c r="B4617" s="12" t="s">
        <v>6525</v>
      </c>
      <c r="C4617" s="14">
        <v>140</v>
      </c>
      <c r="D4617" s="12"/>
      <c r="E4617" s="13"/>
    </row>
    <row r="4618" spans="1:5" ht="11.1" hidden="1" customHeight="1" x14ac:dyDescent="0.25">
      <c r="A4618" s="12" t="s">
        <v>6526</v>
      </c>
      <c r="B4618" s="12" t="s">
        <v>6527</v>
      </c>
      <c r="C4618" s="14">
        <v>458.34</v>
      </c>
      <c r="D4618" s="12"/>
      <c r="E4618" s="13"/>
    </row>
    <row r="4619" spans="1:5" ht="11.1" hidden="1" customHeight="1" x14ac:dyDescent="0.25">
      <c r="A4619" s="12" t="s">
        <v>6528</v>
      </c>
      <c r="B4619" s="12" t="s">
        <v>6527</v>
      </c>
      <c r="C4619" s="14">
        <v>458.34</v>
      </c>
      <c r="D4619" s="12"/>
      <c r="E4619" s="13"/>
    </row>
    <row r="4620" spans="1:5" ht="11.1" hidden="1" customHeight="1" x14ac:dyDescent="0.25">
      <c r="A4620" s="12" t="s">
        <v>6529</v>
      </c>
      <c r="B4620" s="12" t="s">
        <v>525</v>
      </c>
      <c r="C4620" s="14">
        <v>15717.5</v>
      </c>
      <c r="D4620" s="12"/>
      <c r="E4620" s="14"/>
    </row>
    <row r="4621" spans="1:5" ht="11.1" hidden="1" customHeight="1" x14ac:dyDescent="0.25">
      <c r="A4621" s="12" t="s">
        <v>6530</v>
      </c>
      <c r="B4621" s="12" t="s">
        <v>3658</v>
      </c>
      <c r="C4621" s="14">
        <v>13.33</v>
      </c>
      <c r="D4621" s="12"/>
      <c r="E4621" s="13"/>
    </row>
    <row r="4622" spans="1:5" ht="11.1" hidden="1" customHeight="1" x14ac:dyDescent="0.25">
      <c r="A4622" s="12" t="s">
        <v>6531</v>
      </c>
      <c r="B4622" s="12" t="s">
        <v>752</v>
      </c>
      <c r="C4622" s="14">
        <v>220</v>
      </c>
      <c r="D4622" s="12"/>
      <c r="E4622" s="13"/>
    </row>
    <row r="4623" spans="1:5" ht="11.1" hidden="1" customHeight="1" x14ac:dyDescent="0.25">
      <c r="A4623" s="12" t="s">
        <v>6532</v>
      </c>
      <c r="B4623" s="12" t="s">
        <v>6533</v>
      </c>
      <c r="C4623" s="14">
        <v>55.83</v>
      </c>
      <c r="D4623" s="12"/>
      <c r="E4623" s="13"/>
    </row>
    <row r="4624" spans="1:5" ht="11.1" hidden="1" customHeight="1" x14ac:dyDescent="0.25">
      <c r="A4624" s="12" t="s">
        <v>6534</v>
      </c>
      <c r="B4624" s="12" t="s">
        <v>6535</v>
      </c>
      <c r="C4624" s="14">
        <v>17.5</v>
      </c>
      <c r="D4624" s="12"/>
      <c r="E4624" s="13"/>
    </row>
    <row r="4625" spans="1:5" ht="11.1" hidden="1" customHeight="1" x14ac:dyDescent="0.25">
      <c r="A4625" s="12" t="s">
        <v>6536</v>
      </c>
      <c r="B4625" s="12" t="s">
        <v>1038</v>
      </c>
      <c r="C4625" s="14">
        <v>12</v>
      </c>
      <c r="D4625" s="12"/>
      <c r="E4625" s="13"/>
    </row>
    <row r="4626" spans="1:5" ht="11.1" hidden="1" customHeight="1" x14ac:dyDescent="0.25">
      <c r="A4626" s="12" t="s">
        <v>6537</v>
      </c>
      <c r="B4626" s="12" t="s">
        <v>5308</v>
      </c>
      <c r="C4626" s="14">
        <v>89.11</v>
      </c>
      <c r="D4626" s="12"/>
      <c r="E4626" s="13"/>
    </row>
    <row r="4627" spans="1:5" ht="11.1" hidden="1" customHeight="1" x14ac:dyDescent="0.25">
      <c r="A4627" s="12" t="s">
        <v>6538</v>
      </c>
      <c r="B4627" s="12" t="s">
        <v>1038</v>
      </c>
      <c r="C4627" s="14">
        <v>27</v>
      </c>
      <c r="D4627" s="12"/>
      <c r="E4627" s="13"/>
    </row>
    <row r="4628" spans="1:5" ht="11.1" hidden="1" customHeight="1" x14ac:dyDescent="0.25">
      <c r="A4628" s="12" t="s">
        <v>6539</v>
      </c>
      <c r="B4628" s="12" t="s">
        <v>1038</v>
      </c>
      <c r="C4628" s="14">
        <v>27</v>
      </c>
      <c r="D4628" s="12"/>
      <c r="E4628" s="13"/>
    </row>
    <row r="4629" spans="1:5" ht="11.1" hidden="1" customHeight="1" x14ac:dyDescent="0.25">
      <c r="A4629" s="12" t="s">
        <v>6540</v>
      </c>
      <c r="B4629" s="12" t="s">
        <v>6541</v>
      </c>
      <c r="C4629" s="14">
        <v>938</v>
      </c>
      <c r="D4629" s="12"/>
      <c r="E4629" s="13"/>
    </row>
    <row r="4630" spans="1:5" ht="11.1" hidden="1" customHeight="1" x14ac:dyDescent="0.25">
      <c r="A4630" s="12" t="s">
        <v>6542</v>
      </c>
      <c r="B4630" s="12" t="s">
        <v>686</v>
      </c>
      <c r="C4630" s="14">
        <v>175</v>
      </c>
      <c r="D4630" s="12"/>
      <c r="E4630" s="13"/>
    </row>
    <row r="4631" spans="1:5" ht="11.1" hidden="1" customHeight="1" x14ac:dyDescent="0.25">
      <c r="A4631" s="12" t="s">
        <v>6543</v>
      </c>
      <c r="B4631" s="12" t="s">
        <v>6544</v>
      </c>
      <c r="C4631" s="14">
        <v>624.16999999999996</v>
      </c>
      <c r="D4631" s="12"/>
      <c r="E4631" s="13"/>
    </row>
    <row r="4632" spans="1:5" ht="11.1" hidden="1" customHeight="1" x14ac:dyDescent="0.25">
      <c r="A4632" s="12" t="s">
        <v>6545</v>
      </c>
      <c r="B4632" s="12" t="s">
        <v>1038</v>
      </c>
      <c r="C4632" s="14">
        <v>6</v>
      </c>
      <c r="D4632" s="12"/>
      <c r="E4632" s="13"/>
    </row>
    <row r="4633" spans="1:5" ht="11.1" hidden="1" customHeight="1" x14ac:dyDescent="0.25">
      <c r="A4633" s="12" t="s">
        <v>6546</v>
      </c>
      <c r="B4633" s="12" t="s">
        <v>6547</v>
      </c>
      <c r="C4633" s="14">
        <v>7.92</v>
      </c>
      <c r="D4633" s="12"/>
      <c r="E4633" s="13"/>
    </row>
    <row r="4634" spans="1:5" ht="11.1" hidden="1" customHeight="1" x14ac:dyDescent="0.25">
      <c r="A4634" s="12" t="s">
        <v>6548</v>
      </c>
      <c r="B4634" s="12" t="s">
        <v>6549</v>
      </c>
      <c r="C4634" s="14">
        <v>8166.67</v>
      </c>
      <c r="D4634" s="12"/>
      <c r="E4634" s="14"/>
    </row>
    <row r="4635" spans="1:5" ht="11.1" hidden="1" customHeight="1" x14ac:dyDescent="0.25">
      <c r="A4635" s="12" t="s">
        <v>6550</v>
      </c>
      <c r="B4635" s="12" t="s">
        <v>6551</v>
      </c>
      <c r="C4635" s="14">
        <v>32252.57</v>
      </c>
      <c r="D4635" s="12"/>
      <c r="E4635" s="14"/>
    </row>
    <row r="4636" spans="1:5" ht="11.1" hidden="1" customHeight="1" x14ac:dyDescent="0.25">
      <c r="A4636" s="12" t="s">
        <v>6552</v>
      </c>
      <c r="B4636" s="12" t="s">
        <v>5546</v>
      </c>
      <c r="C4636" s="14">
        <v>176144.17</v>
      </c>
      <c r="D4636" s="12"/>
      <c r="E4636" s="14"/>
    </row>
    <row r="4637" spans="1:5" ht="11.1" hidden="1" customHeight="1" x14ac:dyDescent="0.25">
      <c r="A4637" s="12" t="s">
        <v>6553</v>
      </c>
      <c r="B4637" s="12" t="s">
        <v>1267</v>
      </c>
      <c r="C4637" s="14">
        <v>319.17</v>
      </c>
      <c r="D4637" s="12"/>
      <c r="E4637" s="13"/>
    </row>
    <row r="4638" spans="1:5" ht="11.1" hidden="1" customHeight="1" x14ac:dyDescent="0.25">
      <c r="A4638" s="12" t="s">
        <v>6554</v>
      </c>
      <c r="B4638" s="12" t="s">
        <v>6555</v>
      </c>
      <c r="C4638" s="14">
        <v>4260</v>
      </c>
      <c r="D4638" s="12"/>
      <c r="E4638" s="14"/>
    </row>
    <row r="4639" spans="1:5" ht="11.1" hidden="1" customHeight="1" x14ac:dyDescent="0.25">
      <c r="A4639" s="12" t="s">
        <v>6556</v>
      </c>
      <c r="B4639" s="12" t="s">
        <v>1802</v>
      </c>
      <c r="C4639" s="14">
        <v>3175</v>
      </c>
      <c r="D4639" s="12"/>
      <c r="E4639" s="14"/>
    </row>
    <row r="4640" spans="1:5" ht="11.1" hidden="1" customHeight="1" x14ac:dyDescent="0.25">
      <c r="A4640" s="12" t="s">
        <v>6557</v>
      </c>
      <c r="B4640" s="12" t="s">
        <v>6558</v>
      </c>
      <c r="C4640" s="14">
        <v>1583.33</v>
      </c>
      <c r="D4640" s="12"/>
      <c r="E4640" s="14"/>
    </row>
    <row r="4641" spans="1:5" ht="11.1" hidden="1" customHeight="1" x14ac:dyDescent="0.25">
      <c r="A4641" s="12" t="s">
        <v>6559</v>
      </c>
      <c r="B4641" s="12" t="s">
        <v>2335</v>
      </c>
      <c r="C4641" s="14">
        <v>7545.18</v>
      </c>
      <c r="D4641" s="12"/>
      <c r="E4641" s="14"/>
    </row>
    <row r="4642" spans="1:5" ht="11.1" hidden="1" customHeight="1" x14ac:dyDescent="0.25">
      <c r="A4642" s="12" t="s">
        <v>6560</v>
      </c>
      <c r="B4642" s="12" t="s">
        <v>684</v>
      </c>
      <c r="C4642" s="14">
        <v>530</v>
      </c>
      <c r="D4642" s="12"/>
      <c r="E4642" s="13"/>
    </row>
    <row r="4643" spans="1:5" ht="11.1" hidden="1" customHeight="1" x14ac:dyDescent="0.25">
      <c r="A4643" s="12" t="s">
        <v>6561</v>
      </c>
      <c r="B4643" s="12" t="s">
        <v>1153</v>
      </c>
      <c r="C4643" s="14">
        <v>19333.330000000002</v>
      </c>
      <c r="D4643" s="12"/>
      <c r="E4643" s="14"/>
    </row>
    <row r="4644" spans="1:5" ht="11.1" hidden="1" customHeight="1" x14ac:dyDescent="0.25">
      <c r="A4644" s="12" t="s">
        <v>6562</v>
      </c>
      <c r="B4644" s="12" t="s">
        <v>4633</v>
      </c>
      <c r="C4644" s="14">
        <v>50182.720000000001</v>
      </c>
      <c r="D4644" s="12"/>
      <c r="E4644" s="14"/>
    </row>
    <row r="4645" spans="1:5" ht="11.1" hidden="1" customHeight="1" x14ac:dyDescent="0.25">
      <c r="A4645" s="12" t="s">
        <v>6563</v>
      </c>
      <c r="B4645" s="12" t="s">
        <v>2588</v>
      </c>
      <c r="C4645" s="14">
        <v>5402.06</v>
      </c>
      <c r="D4645" s="12"/>
      <c r="E4645" s="14"/>
    </row>
    <row r="4646" spans="1:5" ht="11.1" hidden="1" customHeight="1" x14ac:dyDescent="0.25">
      <c r="A4646" s="12" t="s">
        <v>6564</v>
      </c>
      <c r="B4646" s="12" t="s">
        <v>2107</v>
      </c>
      <c r="C4646" s="14">
        <v>33.75</v>
      </c>
      <c r="D4646" s="12"/>
      <c r="E4646" s="13"/>
    </row>
    <row r="4647" spans="1:5" ht="11.1" hidden="1" customHeight="1" x14ac:dyDescent="0.25">
      <c r="A4647" s="12" t="s">
        <v>6565</v>
      </c>
      <c r="B4647" s="12" t="s">
        <v>2053</v>
      </c>
      <c r="C4647" s="14">
        <v>41.42</v>
      </c>
      <c r="D4647" s="12"/>
      <c r="E4647" s="13"/>
    </row>
    <row r="4648" spans="1:5" ht="11.1" hidden="1" customHeight="1" x14ac:dyDescent="0.25">
      <c r="A4648" s="12" t="s">
        <v>6566</v>
      </c>
      <c r="B4648" s="12" t="s">
        <v>2107</v>
      </c>
      <c r="C4648" s="14">
        <v>42.17</v>
      </c>
      <c r="D4648" s="12"/>
      <c r="E4648" s="13"/>
    </row>
    <row r="4649" spans="1:5" ht="11.1" hidden="1" customHeight="1" x14ac:dyDescent="0.25">
      <c r="A4649" s="12" t="s">
        <v>6567</v>
      </c>
      <c r="B4649" s="12" t="s">
        <v>2113</v>
      </c>
      <c r="C4649" s="14">
        <v>60.18</v>
      </c>
      <c r="D4649" s="12"/>
      <c r="E4649" s="13"/>
    </row>
    <row r="4650" spans="1:5" ht="23.1" hidden="1" customHeight="1" x14ac:dyDescent="0.25">
      <c r="A4650" s="12" t="s">
        <v>6568</v>
      </c>
      <c r="B4650" s="12" t="s">
        <v>1043</v>
      </c>
      <c r="C4650" s="14">
        <v>125</v>
      </c>
      <c r="D4650" s="12"/>
      <c r="E4650" s="13"/>
    </row>
    <row r="4651" spans="1:5" ht="11.1" hidden="1" customHeight="1" x14ac:dyDescent="0.25">
      <c r="A4651" s="12" t="s">
        <v>6569</v>
      </c>
      <c r="B4651" s="12" t="s">
        <v>2056</v>
      </c>
      <c r="C4651" s="14">
        <v>356.68</v>
      </c>
      <c r="D4651" s="12"/>
      <c r="E4651" s="13"/>
    </row>
    <row r="4652" spans="1:5" ht="11.1" hidden="1" customHeight="1" x14ac:dyDescent="0.25">
      <c r="A4652" s="12" t="s">
        <v>6570</v>
      </c>
      <c r="B4652" s="12" t="s">
        <v>1985</v>
      </c>
      <c r="C4652" s="14">
        <v>124.17</v>
      </c>
      <c r="D4652" s="12"/>
      <c r="E4652" s="13"/>
    </row>
    <row r="4653" spans="1:5" ht="11.1" hidden="1" customHeight="1" x14ac:dyDescent="0.25">
      <c r="A4653" s="12" t="s">
        <v>6571</v>
      </c>
      <c r="B4653" s="12" t="s">
        <v>1985</v>
      </c>
      <c r="C4653" s="14">
        <v>124.17</v>
      </c>
      <c r="D4653" s="12"/>
      <c r="E4653" s="13"/>
    </row>
    <row r="4654" spans="1:5" ht="23.1" hidden="1" customHeight="1" x14ac:dyDescent="0.25">
      <c r="A4654" s="12" t="s">
        <v>6572</v>
      </c>
      <c r="B4654" s="12" t="s">
        <v>2107</v>
      </c>
      <c r="C4654" s="14">
        <v>240</v>
      </c>
      <c r="D4654" s="12"/>
      <c r="E4654" s="13"/>
    </row>
    <row r="4655" spans="1:5" ht="11.1" hidden="1" customHeight="1" x14ac:dyDescent="0.25">
      <c r="A4655" s="12" t="s">
        <v>6573</v>
      </c>
      <c r="B4655" s="12" t="s">
        <v>2107</v>
      </c>
      <c r="C4655" s="14">
        <v>240</v>
      </c>
      <c r="D4655" s="12"/>
      <c r="E4655" s="13"/>
    </row>
    <row r="4656" spans="1:5" ht="11.1" hidden="1" customHeight="1" x14ac:dyDescent="0.25">
      <c r="A4656" s="12" t="s">
        <v>6574</v>
      </c>
      <c r="B4656" s="12" t="s">
        <v>2053</v>
      </c>
      <c r="C4656" s="14">
        <v>240</v>
      </c>
      <c r="D4656" s="12"/>
      <c r="E4656" s="13"/>
    </row>
    <row r="4657" spans="1:5" ht="23.1" hidden="1" customHeight="1" x14ac:dyDescent="0.25">
      <c r="A4657" s="12" t="s">
        <v>6575</v>
      </c>
      <c r="B4657" s="12" t="s">
        <v>2156</v>
      </c>
      <c r="C4657" s="14">
        <v>331.67</v>
      </c>
      <c r="D4657" s="12"/>
      <c r="E4657" s="13"/>
    </row>
    <row r="4658" spans="1:5" ht="23.1" hidden="1" customHeight="1" x14ac:dyDescent="0.25">
      <c r="A4658" s="12" t="s">
        <v>6576</v>
      </c>
      <c r="B4658" s="12" t="s">
        <v>2053</v>
      </c>
      <c r="C4658" s="14">
        <v>40.5</v>
      </c>
      <c r="D4658" s="12"/>
      <c r="E4658" s="13"/>
    </row>
    <row r="4659" spans="1:5" ht="23.1" hidden="1" customHeight="1" x14ac:dyDescent="0.25">
      <c r="A4659" s="12" t="s">
        <v>6577</v>
      </c>
      <c r="B4659" s="12" t="s">
        <v>2053</v>
      </c>
      <c r="C4659" s="14">
        <v>40.5</v>
      </c>
      <c r="D4659" s="12"/>
      <c r="E4659" s="13"/>
    </row>
    <row r="4660" spans="1:5" ht="23.1" hidden="1" customHeight="1" x14ac:dyDescent="0.25">
      <c r="A4660" s="12" t="s">
        <v>6578</v>
      </c>
      <c r="B4660" s="12" t="s">
        <v>2162</v>
      </c>
      <c r="C4660" s="14">
        <v>40.5</v>
      </c>
      <c r="D4660" s="12"/>
      <c r="E4660" s="13"/>
    </row>
    <row r="4661" spans="1:5" ht="23.1" hidden="1" customHeight="1" x14ac:dyDescent="0.25">
      <c r="A4661" s="12" t="s">
        <v>6579</v>
      </c>
      <c r="B4661" s="12" t="s">
        <v>2156</v>
      </c>
      <c r="C4661" s="14">
        <v>39.67</v>
      </c>
      <c r="D4661" s="12"/>
      <c r="E4661" s="13"/>
    </row>
    <row r="4662" spans="1:5" ht="11.1" hidden="1" customHeight="1" x14ac:dyDescent="0.25">
      <c r="A4662" s="12" t="s">
        <v>6580</v>
      </c>
      <c r="B4662" s="12" t="s">
        <v>2053</v>
      </c>
      <c r="C4662" s="14">
        <v>442.5</v>
      </c>
      <c r="D4662" s="12"/>
      <c r="E4662" s="13"/>
    </row>
    <row r="4663" spans="1:5" ht="11.1" hidden="1" customHeight="1" x14ac:dyDescent="0.25">
      <c r="A4663" s="12" t="s">
        <v>6581</v>
      </c>
      <c r="B4663" s="12" t="s">
        <v>6582</v>
      </c>
      <c r="C4663" s="14">
        <v>277.92</v>
      </c>
      <c r="D4663" s="12"/>
      <c r="E4663" s="13"/>
    </row>
    <row r="4664" spans="1:5" ht="11.1" hidden="1" customHeight="1" x14ac:dyDescent="0.25">
      <c r="A4664" s="12" t="s">
        <v>6583</v>
      </c>
      <c r="B4664" s="12" t="s">
        <v>3298</v>
      </c>
      <c r="C4664" s="14">
        <v>28.33</v>
      </c>
      <c r="D4664" s="12"/>
      <c r="E4664" s="13"/>
    </row>
    <row r="4665" spans="1:5" ht="11.1" hidden="1" customHeight="1" x14ac:dyDescent="0.25">
      <c r="A4665" s="12" t="s">
        <v>6584</v>
      </c>
      <c r="B4665" s="12" t="s">
        <v>3298</v>
      </c>
      <c r="C4665" s="14">
        <v>43.33</v>
      </c>
      <c r="D4665" s="12"/>
      <c r="E4665" s="13"/>
    </row>
    <row r="4666" spans="1:5" ht="11.1" hidden="1" customHeight="1" x14ac:dyDescent="0.25">
      <c r="A4666" s="12" t="s">
        <v>6585</v>
      </c>
      <c r="B4666" s="12" t="s">
        <v>6586</v>
      </c>
      <c r="C4666" s="14">
        <v>159.59</v>
      </c>
      <c r="D4666" s="12"/>
      <c r="E4666" s="13"/>
    </row>
    <row r="4667" spans="1:5" ht="11.1" hidden="1" customHeight="1" x14ac:dyDescent="0.25">
      <c r="A4667" s="12" t="s">
        <v>6587</v>
      </c>
      <c r="B4667" s="12" t="s">
        <v>6588</v>
      </c>
      <c r="C4667" s="14">
        <v>25.83</v>
      </c>
      <c r="D4667" s="12"/>
      <c r="E4667" s="13"/>
    </row>
    <row r="4668" spans="1:5" ht="11.1" hidden="1" customHeight="1" x14ac:dyDescent="0.25">
      <c r="A4668" s="12" t="s">
        <v>6589</v>
      </c>
      <c r="B4668" s="12" t="s">
        <v>168</v>
      </c>
      <c r="C4668" s="14">
        <v>170.84</v>
      </c>
      <c r="D4668" s="12"/>
      <c r="E4668" s="13"/>
    </row>
    <row r="4669" spans="1:5" ht="11.1" hidden="1" customHeight="1" x14ac:dyDescent="0.25">
      <c r="A4669" s="12" t="s">
        <v>6590</v>
      </c>
      <c r="B4669" s="12" t="s">
        <v>5702</v>
      </c>
      <c r="C4669" s="14">
        <v>109.17</v>
      </c>
      <c r="D4669" s="12"/>
      <c r="E4669" s="13"/>
    </row>
    <row r="4670" spans="1:5" ht="11.1" hidden="1" customHeight="1" x14ac:dyDescent="0.25">
      <c r="A4670" s="12" t="s">
        <v>6591</v>
      </c>
      <c r="B4670" s="12" t="s">
        <v>1985</v>
      </c>
      <c r="C4670" s="14">
        <v>34.83</v>
      </c>
      <c r="D4670" s="12"/>
      <c r="E4670" s="13"/>
    </row>
    <row r="4671" spans="1:5" ht="11.1" hidden="1" customHeight="1" x14ac:dyDescent="0.25">
      <c r="A4671" s="12" t="s">
        <v>6592</v>
      </c>
      <c r="B4671" s="12" t="s">
        <v>2107</v>
      </c>
      <c r="C4671" s="14">
        <v>75.08</v>
      </c>
      <c r="D4671" s="12"/>
      <c r="E4671" s="13"/>
    </row>
    <row r="4672" spans="1:5" ht="11.1" hidden="1" customHeight="1" x14ac:dyDescent="0.25">
      <c r="A4672" s="12" t="s">
        <v>6593</v>
      </c>
      <c r="B4672" s="12" t="s">
        <v>1985</v>
      </c>
      <c r="C4672" s="14">
        <v>49.17</v>
      </c>
      <c r="D4672" s="12"/>
      <c r="E4672" s="13"/>
    </row>
    <row r="4673" spans="1:5" ht="11.1" hidden="1" customHeight="1" x14ac:dyDescent="0.25">
      <c r="A4673" s="12" t="s">
        <v>6594</v>
      </c>
      <c r="B4673" s="12" t="s">
        <v>2107</v>
      </c>
      <c r="C4673" s="14">
        <v>78.92</v>
      </c>
      <c r="D4673" s="12"/>
      <c r="E4673" s="13"/>
    </row>
    <row r="4674" spans="1:5" ht="11.1" hidden="1" customHeight="1" x14ac:dyDescent="0.25">
      <c r="A4674" s="12" t="s">
        <v>6595</v>
      </c>
      <c r="B4674" s="12" t="s">
        <v>2113</v>
      </c>
      <c r="C4674" s="14">
        <v>74.180000000000007</v>
      </c>
      <c r="D4674" s="12"/>
      <c r="E4674" s="13"/>
    </row>
    <row r="4675" spans="1:5" ht="11.1" hidden="1" customHeight="1" x14ac:dyDescent="0.25">
      <c r="A4675" s="12" t="s">
        <v>6596</v>
      </c>
      <c r="B4675" s="12" t="s">
        <v>2053</v>
      </c>
      <c r="C4675" s="14">
        <v>81.83</v>
      </c>
      <c r="D4675" s="12"/>
      <c r="E4675" s="13"/>
    </row>
    <row r="4676" spans="1:5" ht="11.1" hidden="1" customHeight="1" x14ac:dyDescent="0.25">
      <c r="A4676" s="12" t="s">
        <v>6597</v>
      </c>
      <c r="B4676" s="12" t="s">
        <v>2156</v>
      </c>
      <c r="C4676" s="14">
        <v>79.42</v>
      </c>
      <c r="D4676" s="12"/>
      <c r="E4676" s="13"/>
    </row>
    <row r="4677" spans="1:5" ht="11.1" hidden="1" customHeight="1" x14ac:dyDescent="0.25">
      <c r="A4677" s="12" t="s">
        <v>6598</v>
      </c>
      <c r="B4677" s="12" t="s">
        <v>2107</v>
      </c>
      <c r="C4677" s="14">
        <v>134.16999999999999</v>
      </c>
      <c r="D4677" s="12"/>
      <c r="E4677" s="13"/>
    </row>
    <row r="4678" spans="1:5" ht="11.1" hidden="1" customHeight="1" x14ac:dyDescent="0.25">
      <c r="A4678" s="12" t="s">
        <v>6599</v>
      </c>
      <c r="B4678" s="12" t="s">
        <v>1985</v>
      </c>
      <c r="C4678" s="14">
        <v>109.17</v>
      </c>
      <c r="D4678" s="12"/>
      <c r="E4678" s="13"/>
    </row>
    <row r="4679" spans="1:5" ht="11.1" hidden="1" customHeight="1" x14ac:dyDescent="0.25">
      <c r="A4679" s="12" t="s">
        <v>6600</v>
      </c>
      <c r="B4679" s="12" t="s">
        <v>6601</v>
      </c>
      <c r="C4679" s="14">
        <v>4251</v>
      </c>
      <c r="D4679" s="12"/>
      <c r="E4679" s="14"/>
    </row>
    <row r="4680" spans="1:5" ht="11.1" hidden="1" customHeight="1" x14ac:dyDescent="0.25">
      <c r="A4680" s="12" t="s">
        <v>6602</v>
      </c>
      <c r="B4680" s="12" t="s">
        <v>6603</v>
      </c>
      <c r="C4680" s="14">
        <v>1687.5</v>
      </c>
      <c r="D4680" s="12"/>
      <c r="E4680" s="14"/>
    </row>
    <row r="4681" spans="1:5" ht="11.1" hidden="1" customHeight="1" x14ac:dyDescent="0.25">
      <c r="A4681" s="12" t="s">
        <v>6604</v>
      </c>
      <c r="B4681" s="12" t="s">
        <v>6605</v>
      </c>
      <c r="C4681" s="14">
        <v>3000</v>
      </c>
      <c r="D4681" s="12"/>
      <c r="E4681" s="14"/>
    </row>
    <row r="4682" spans="1:5" ht="11.1" hidden="1" customHeight="1" x14ac:dyDescent="0.25">
      <c r="A4682" s="12" t="s">
        <v>6606</v>
      </c>
      <c r="B4682" s="12" t="s">
        <v>6607</v>
      </c>
      <c r="C4682" s="14">
        <v>825</v>
      </c>
      <c r="D4682" s="12"/>
      <c r="E4682" s="13"/>
    </row>
    <row r="4683" spans="1:5" ht="11.1" hidden="1" customHeight="1" x14ac:dyDescent="0.25">
      <c r="A4683" s="12" t="s">
        <v>6608</v>
      </c>
      <c r="B4683" s="12" t="s">
        <v>6603</v>
      </c>
      <c r="C4683" s="14">
        <v>1687.5</v>
      </c>
      <c r="D4683" s="12"/>
      <c r="E4683" s="14"/>
    </row>
    <row r="4684" spans="1:5" ht="11.1" hidden="1" customHeight="1" x14ac:dyDescent="0.25">
      <c r="A4684" s="12" t="s">
        <v>6609</v>
      </c>
      <c r="B4684" s="12" t="s">
        <v>6603</v>
      </c>
      <c r="C4684" s="14">
        <v>43333.34</v>
      </c>
      <c r="D4684" s="12"/>
      <c r="E4684" s="14"/>
    </row>
    <row r="4685" spans="1:5" ht="11.1" hidden="1" customHeight="1" x14ac:dyDescent="0.25">
      <c r="A4685" s="12" t="s">
        <v>6610</v>
      </c>
      <c r="B4685" s="12" t="s">
        <v>1129</v>
      </c>
      <c r="C4685" s="14">
        <v>11420.83</v>
      </c>
      <c r="D4685" s="12"/>
      <c r="E4685" s="14"/>
    </row>
    <row r="4686" spans="1:5" ht="11.1" hidden="1" customHeight="1" x14ac:dyDescent="0.25">
      <c r="A4686" s="12" t="s">
        <v>6611</v>
      </c>
      <c r="B4686" s="12" t="s">
        <v>6612</v>
      </c>
      <c r="C4686" s="14">
        <v>299.17</v>
      </c>
      <c r="D4686" s="12"/>
      <c r="E4686" s="13"/>
    </row>
    <row r="4687" spans="1:5" ht="11.1" hidden="1" customHeight="1" x14ac:dyDescent="0.25">
      <c r="A4687" s="12" t="s">
        <v>6613</v>
      </c>
      <c r="B4687" s="12" t="s">
        <v>6614</v>
      </c>
      <c r="C4687" s="14">
        <v>137630</v>
      </c>
      <c r="D4687" s="12"/>
      <c r="E4687" s="14"/>
    </row>
    <row r="4688" spans="1:5" ht="11.1" hidden="1" customHeight="1" x14ac:dyDescent="0.25">
      <c r="A4688" s="12" t="s">
        <v>6615</v>
      </c>
      <c r="B4688" s="12" t="s">
        <v>2828</v>
      </c>
      <c r="C4688" s="14">
        <v>118.65</v>
      </c>
      <c r="D4688" s="12"/>
      <c r="E4688" s="13"/>
    </row>
    <row r="4689" spans="1:5" ht="11.1" hidden="1" customHeight="1" x14ac:dyDescent="0.25">
      <c r="A4689" s="12" t="s">
        <v>6616</v>
      </c>
      <c r="B4689" s="12" t="s">
        <v>2828</v>
      </c>
      <c r="C4689" s="14">
        <v>118.65</v>
      </c>
      <c r="D4689" s="12"/>
      <c r="E4689" s="13"/>
    </row>
    <row r="4690" spans="1:5" ht="11.1" hidden="1" customHeight="1" x14ac:dyDescent="0.25">
      <c r="A4690" s="12" t="s">
        <v>6617</v>
      </c>
      <c r="B4690" s="12" t="s">
        <v>2076</v>
      </c>
      <c r="C4690" s="14">
        <v>847.88</v>
      </c>
      <c r="D4690" s="12"/>
      <c r="E4690" s="13"/>
    </row>
    <row r="4691" spans="1:5" ht="11.1" hidden="1" customHeight="1" x14ac:dyDescent="0.25">
      <c r="A4691" s="12" t="s">
        <v>6618</v>
      </c>
      <c r="B4691" s="12" t="s">
        <v>5131</v>
      </c>
      <c r="C4691" s="14">
        <v>930</v>
      </c>
      <c r="D4691" s="12"/>
      <c r="E4691" s="13"/>
    </row>
    <row r="4692" spans="1:5" ht="11.1" hidden="1" customHeight="1" x14ac:dyDescent="0.25">
      <c r="A4692" s="12" t="s">
        <v>6619</v>
      </c>
      <c r="B4692" s="12" t="s">
        <v>6620</v>
      </c>
      <c r="C4692" s="14">
        <v>4269.17</v>
      </c>
      <c r="D4692" s="12"/>
      <c r="E4692" s="14"/>
    </row>
    <row r="4693" spans="1:5" ht="11.1" hidden="1" customHeight="1" x14ac:dyDescent="0.25">
      <c r="A4693" s="12" t="s">
        <v>6621</v>
      </c>
      <c r="B4693" s="12" t="s">
        <v>6622</v>
      </c>
      <c r="C4693" s="14">
        <v>45666.67</v>
      </c>
      <c r="D4693" s="12"/>
      <c r="E4693" s="14"/>
    </row>
    <row r="4694" spans="1:5" ht="11.1" hidden="1" customHeight="1" x14ac:dyDescent="0.25">
      <c r="A4694" s="12" t="s">
        <v>6623</v>
      </c>
      <c r="B4694" s="12" t="s">
        <v>6624</v>
      </c>
      <c r="C4694" s="14">
        <v>250</v>
      </c>
      <c r="D4694" s="12"/>
      <c r="E4694" s="13"/>
    </row>
    <row r="4695" spans="1:5" ht="11.1" hidden="1" customHeight="1" x14ac:dyDescent="0.25">
      <c r="A4695" s="12" t="s">
        <v>6625</v>
      </c>
      <c r="B4695" s="12" t="s">
        <v>6624</v>
      </c>
      <c r="C4695" s="14">
        <v>45.83</v>
      </c>
      <c r="D4695" s="12"/>
      <c r="E4695" s="13"/>
    </row>
    <row r="4696" spans="1:5" ht="11.1" hidden="1" customHeight="1" x14ac:dyDescent="0.25">
      <c r="A4696" s="12" t="s">
        <v>6626</v>
      </c>
      <c r="B4696" s="12" t="s">
        <v>6627</v>
      </c>
      <c r="C4696" s="14">
        <v>260</v>
      </c>
      <c r="D4696" s="12"/>
      <c r="E4696" s="13"/>
    </row>
    <row r="4697" spans="1:5" ht="11.1" hidden="1" customHeight="1" x14ac:dyDescent="0.25">
      <c r="A4697" s="12" t="s">
        <v>6628</v>
      </c>
      <c r="B4697" s="12" t="s">
        <v>6629</v>
      </c>
      <c r="C4697" s="14">
        <v>1425.83</v>
      </c>
      <c r="D4697" s="12"/>
      <c r="E4697" s="14"/>
    </row>
    <row r="4698" spans="1:5" ht="11.1" hidden="1" customHeight="1" x14ac:dyDescent="0.25">
      <c r="A4698" s="12" t="s">
        <v>6630</v>
      </c>
      <c r="B4698" s="12" t="s">
        <v>6624</v>
      </c>
      <c r="C4698" s="14">
        <v>583.33000000000004</v>
      </c>
      <c r="D4698" s="12"/>
      <c r="E4698" s="13"/>
    </row>
    <row r="4699" spans="1:5" ht="11.1" hidden="1" customHeight="1" x14ac:dyDescent="0.25">
      <c r="A4699" s="12" t="s">
        <v>6631</v>
      </c>
      <c r="B4699" s="12" t="s">
        <v>6624</v>
      </c>
      <c r="C4699" s="14">
        <v>583.33000000000004</v>
      </c>
      <c r="D4699" s="12"/>
      <c r="E4699" s="13"/>
    </row>
    <row r="4700" spans="1:5" ht="11.1" hidden="1" customHeight="1" x14ac:dyDescent="0.25">
      <c r="A4700" s="12" t="s">
        <v>6632</v>
      </c>
      <c r="B4700" s="12" t="s">
        <v>6633</v>
      </c>
      <c r="C4700" s="14">
        <v>583.33000000000004</v>
      </c>
      <c r="D4700" s="12"/>
      <c r="E4700" s="13"/>
    </row>
    <row r="4701" spans="1:5" ht="11.1" hidden="1" customHeight="1" x14ac:dyDescent="0.25">
      <c r="A4701" s="12" t="s">
        <v>6634</v>
      </c>
      <c r="B4701" s="12" t="s">
        <v>6635</v>
      </c>
      <c r="C4701" s="14">
        <v>233.33</v>
      </c>
      <c r="D4701" s="12"/>
      <c r="E4701" s="13"/>
    </row>
    <row r="4702" spans="1:5" ht="11.1" hidden="1" customHeight="1" x14ac:dyDescent="0.25">
      <c r="A4702" s="12" t="s">
        <v>6636</v>
      </c>
      <c r="B4702" s="12" t="s">
        <v>6637</v>
      </c>
      <c r="C4702" s="14">
        <v>100</v>
      </c>
      <c r="D4702" s="12"/>
      <c r="E4702" s="13"/>
    </row>
    <row r="4703" spans="1:5" ht="11.1" hidden="1" customHeight="1" x14ac:dyDescent="0.25">
      <c r="A4703" s="12" t="s">
        <v>6638</v>
      </c>
      <c r="B4703" s="12" t="s">
        <v>6639</v>
      </c>
      <c r="C4703" s="14">
        <v>33333.33</v>
      </c>
      <c r="D4703" s="12"/>
      <c r="E4703" s="14"/>
    </row>
    <row r="4704" spans="1:5" ht="11.1" hidden="1" customHeight="1" x14ac:dyDescent="0.25">
      <c r="A4704" s="12" t="s">
        <v>6640</v>
      </c>
      <c r="B4704" s="12" t="s">
        <v>6641</v>
      </c>
      <c r="C4704" s="14">
        <v>495</v>
      </c>
      <c r="D4704" s="12"/>
      <c r="E4704" s="13"/>
    </row>
    <row r="4705" spans="1:5" ht="11.1" hidden="1" customHeight="1" x14ac:dyDescent="0.25">
      <c r="A4705" s="12" t="s">
        <v>6642</v>
      </c>
      <c r="B4705" s="12" t="s">
        <v>6624</v>
      </c>
      <c r="C4705" s="14">
        <v>50</v>
      </c>
      <c r="D4705" s="12"/>
      <c r="E4705" s="13"/>
    </row>
    <row r="4706" spans="1:5" ht="11.1" hidden="1" customHeight="1" x14ac:dyDescent="0.25">
      <c r="A4706" s="12" t="s">
        <v>6643</v>
      </c>
      <c r="B4706" s="12" t="s">
        <v>6624</v>
      </c>
      <c r="C4706" s="14">
        <v>16.670000000000002</v>
      </c>
      <c r="D4706" s="12"/>
      <c r="E4706" s="13"/>
    </row>
    <row r="4707" spans="1:5" ht="11.1" hidden="1" customHeight="1" x14ac:dyDescent="0.25">
      <c r="A4707" s="12" t="s">
        <v>6644</v>
      </c>
      <c r="B4707" s="12" t="s">
        <v>6641</v>
      </c>
      <c r="C4707" s="14">
        <v>340</v>
      </c>
      <c r="D4707" s="12"/>
      <c r="E4707" s="13"/>
    </row>
    <row r="4708" spans="1:5" ht="11.1" hidden="1" customHeight="1" x14ac:dyDescent="0.25">
      <c r="A4708" s="12" t="s">
        <v>6645</v>
      </c>
      <c r="B4708" s="12" t="s">
        <v>6627</v>
      </c>
      <c r="C4708" s="14">
        <v>140</v>
      </c>
      <c r="D4708" s="12"/>
      <c r="E4708" s="13"/>
    </row>
    <row r="4709" spans="1:5" ht="23.1" hidden="1" customHeight="1" x14ac:dyDescent="0.25">
      <c r="A4709" s="12" t="s">
        <v>6646</v>
      </c>
      <c r="B4709" s="12" t="s">
        <v>6627</v>
      </c>
      <c r="C4709" s="14">
        <v>540</v>
      </c>
      <c r="D4709" s="12"/>
      <c r="E4709" s="13"/>
    </row>
    <row r="4710" spans="1:5" ht="11.1" hidden="1" customHeight="1" x14ac:dyDescent="0.25">
      <c r="A4710" s="12" t="s">
        <v>6647</v>
      </c>
      <c r="B4710" s="12" t="s">
        <v>6635</v>
      </c>
      <c r="C4710" s="14">
        <v>191.67</v>
      </c>
      <c r="D4710" s="12"/>
      <c r="E4710" s="13"/>
    </row>
    <row r="4711" spans="1:5" ht="23.1" hidden="1" customHeight="1" x14ac:dyDescent="0.25">
      <c r="A4711" s="12" t="s">
        <v>6648</v>
      </c>
      <c r="B4711" s="12" t="s">
        <v>6635</v>
      </c>
      <c r="C4711" s="14">
        <v>166.67</v>
      </c>
      <c r="D4711" s="12"/>
      <c r="E4711" s="13"/>
    </row>
    <row r="4712" spans="1:5" ht="11.1" hidden="1" customHeight="1" x14ac:dyDescent="0.25">
      <c r="A4712" s="12" t="s">
        <v>6649</v>
      </c>
      <c r="B4712" s="12" t="s">
        <v>6635</v>
      </c>
      <c r="C4712" s="14">
        <v>366.67</v>
      </c>
      <c r="D4712" s="12"/>
      <c r="E4712" s="13"/>
    </row>
    <row r="4713" spans="1:5" ht="11.1" hidden="1" customHeight="1" x14ac:dyDescent="0.25">
      <c r="A4713" s="12" t="s">
        <v>6650</v>
      </c>
      <c r="B4713" s="12" t="s">
        <v>6635</v>
      </c>
      <c r="C4713" s="14">
        <v>208.33</v>
      </c>
      <c r="D4713" s="12"/>
      <c r="E4713" s="13"/>
    </row>
    <row r="4714" spans="1:5" ht="11.1" hidden="1" customHeight="1" x14ac:dyDescent="0.25">
      <c r="A4714" s="12" t="s">
        <v>6651</v>
      </c>
      <c r="B4714" s="12" t="s">
        <v>6635</v>
      </c>
      <c r="C4714" s="14">
        <v>225</v>
      </c>
      <c r="D4714" s="12"/>
      <c r="E4714" s="13"/>
    </row>
    <row r="4715" spans="1:5" ht="11.1" hidden="1" customHeight="1" x14ac:dyDescent="0.25">
      <c r="A4715" s="12" t="s">
        <v>6652</v>
      </c>
      <c r="B4715" s="12" t="s">
        <v>6635</v>
      </c>
      <c r="C4715" s="14">
        <v>625</v>
      </c>
      <c r="D4715" s="12"/>
      <c r="E4715" s="13"/>
    </row>
    <row r="4716" spans="1:5" ht="11.1" hidden="1" customHeight="1" x14ac:dyDescent="0.25">
      <c r="A4716" s="12" t="s">
        <v>6653</v>
      </c>
      <c r="B4716" s="12" t="s">
        <v>6624</v>
      </c>
      <c r="C4716" s="14">
        <v>358.33</v>
      </c>
      <c r="D4716" s="12"/>
      <c r="E4716" s="13"/>
    </row>
    <row r="4717" spans="1:5" ht="11.1" hidden="1" customHeight="1" x14ac:dyDescent="0.25">
      <c r="A4717" s="12" t="s">
        <v>6654</v>
      </c>
      <c r="B4717" s="12" t="s">
        <v>6655</v>
      </c>
      <c r="C4717" s="14">
        <v>121.67</v>
      </c>
      <c r="D4717" s="12"/>
      <c r="E4717" s="13"/>
    </row>
    <row r="4718" spans="1:5" ht="11.1" hidden="1" customHeight="1" x14ac:dyDescent="0.25">
      <c r="A4718" s="12" t="s">
        <v>6656</v>
      </c>
      <c r="B4718" s="12" t="s">
        <v>6655</v>
      </c>
      <c r="C4718" s="14">
        <v>130.83000000000001</v>
      </c>
      <c r="D4718" s="12"/>
      <c r="E4718" s="13"/>
    </row>
    <row r="4719" spans="1:5" ht="11.1" hidden="1" customHeight="1" x14ac:dyDescent="0.25">
      <c r="A4719" s="12" t="s">
        <v>6657</v>
      </c>
      <c r="B4719" s="12" t="s">
        <v>6655</v>
      </c>
      <c r="C4719" s="14">
        <v>150</v>
      </c>
      <c r="D4719" s="12"/>
      <c r="E4719" s="13"/>
    </row>
    <row r="4720" spans="1:5" ht="11.1" hidden="1" customHeight="1" x14ac:dyDescent="0.25">
      <c r="A4720" s="12" t="s">
        <v>6658</v>
      </c>
      <c r="B4720" s="12" t="s">
        <v>6655</v>
      </c>
      <c r="C4720" s="14">
        <v>247.5</v>
      </c>
      <c r="D4720" s="12"/>
      <c r="E4720" s="13"/>
    </row>
    <row r="4721" spans="1:5" ht="11.1" hidden="1" customHeight="1" x14ac:dyDescent="0.25">
      <c r="A4721" s="12" t="s">
        <v>6659</v>
      </c>
      <c r="B4721" s="12" t="s">
        <v>6655</v>
      </c>
      <c r="C4721" s="14">
        <v>205.83</v>
      </c>
      <c r="D4721" s="12"/>
      <c r="E4721" s="13"/>
    </row>
    <row r="4722" spans="1:5" ht="11.1" hidden="1" customHeight="1" x14ac:dyDescent="0.25">
      <c r="A4722" s="12" t="s">
        <v>6660</v>
      </c>
      <c r="B4722" s="12" t="s">
        <v>6655</v>
      </c>
      <c r="C4722" s="14">
        <v>127.5</v>
      </c>
      <c r="D4722" s="12"/>
      <c r="E4722" s="13"/>
    </row>
    <row r="4723" spans="1:5" ht="11.1" hidden="1" customHeight="1" x14ac:dyDescent="0.25">
      <c r="A4723" s="12" t="s">
        <v>6661</v>
      </c>
      <c r="B4723" s="12" t="s">
        <v>6655</v>
      </c>
      <c r="C4723" s="14">
        <v>364.17</v>
      </c>
      <c r="D4723" s="12"/>
      <c r="E4723" s="13"/>
    </row>
    <row r="4724" spans="1:5" ht="11.1" hidden="1" customHeight="1" x14ac:dyDescent="0.25">
      <c r="A4724" s="12" t="s">
        <v>6662</v>
      </c>
      <c r="B4724" s="12" t="s">
        <v>6655</v>
      </c>
      <c r="C4724" s="14">
        <v>185.83</v>
      </c>
      <c r="D4724" s="12"/>
      <c r="E4724" s="13"/>
    </row>
    <row r="4725" spans="1:5" ht="11.1" hidden="1" customHeight="1" x14ac:dyDescent="0.25">
      <c r="A4725" s="12" t="s">
        <v>6663</v>
      </c>
      <c r="B4725" s="12" t="s">
        <v>6655</v>
      </c>
      <c r="C4725" s="14">
        <v>154.16999999999999</v>
      </c>
      <c r="D4725" s="12"/>
      <c r="E4725" s="13"/>
    </row>
    <row r="4726" spans="1:5" ht="11.1" hidden="1" customHeight="1" x14ac:dyDescent="0.25">
      <c r="A4726" s="12" t="s">
        <v>6664</v>
      </c>
      <c r="B4726" s="12" t="s">
        <v>6655</v>
      </c>
      <c r="C4726" s="14">
        <v>154.16999999999999</v>
      </c>
      <c r="D4726" s="12"/>
      <c r="E4726" s="13"/>
    </row>
    <row r="4727" spans="1:5" ht="23.1" hidden="1" customHeight="1" x14ac:dyDescent="0.25">
      <c r="A4727" s="12" t="s">
        <v>6665</v>
      </c>
      <c r="B4727" s="12" t="s">
        <v>6666</v>
      </c>
      <c r="C4727" s="14">
        <v>5.42</v>
      </c>
      <c r="D4727" s="12"/>
      <c r="E4727" s="13"/>
    </row>
    <row r="4728" spans="1:5" ht="11.1" hidden="1" customHeight="1" x14ac:dyDescent="0.25">
      <c r="A4728" s="12" t="s">
        <v>6667</v>
      </c>
      <c r="B4728" s="12" t="s">
        <v>6655</v>
      </c>
      <c r="C4728" s="14">
        <v>387.5</v>
      </c>
      <c r="D4728" s="12"/>
      <c r="E4728" s="13"/>
    </row>
    <row r="4729" spans="1:5" ht="11.1" hidden="1" customHeight="1" x14ac:dyDescent="0.25">
      <c r="A4729" s="12" t="s">
        <v>6668</v>
      </c>
      <c r="B4729" s="12" t="s">
        <v>6669</v>
      </c>
      <c r="C4729" s="14">
        <v>65.83</v>
      </c>
      <c r="D4729" s="12"/>
      <c r="E4729" s="13"/>
    </row>
    <row r="4730" spans="1:5" ht="11.1" hidden="1" customHeight="1" x14ac:dyDescent="0.25">
      <c r="A4730" s="12" t="s">
        <v>6670</v>
      </c>
      <c r="B4730" s="12" t="s">
        <v>6671</v>
      </c>
      <c r="C4730" s="14">
        <v>160</v>
      </c>
      <c r="D4730" s="12"/>
      <c r="E4730" s="13"/>
    </row>
    <row r="4731" spans="1:5" ht="11.1" hidden="1" customHeight="1" x14ac:dyDescent="0.25">
      <c r="A4731" s="12" t="s">
        <v>6672</v>
      </c>
      <c r="B4731" s="12" t="s">
        <v>6671</v>
      </c>
      <c r="C4731" s="14">
        <v>475</v>
      </c>
      <c r="D4731" s="12"/>
      <c r="E4731" s="13"/>
    </row>
    <row r="4732" spans="1:5" ht="11.1" hidden="1" customHeight="1" x14ac:dyDescent="0.25">
      <c r="A4732" s="12" t="s">
        <v>6673</v>
      </c>
      <c r="B4732" s="12" t="s">
        <v>6671</v>
      </c>
      <c r="C4732" s="14">
        <v>475</v>
      </c>
      <c r="D4732" s="12"/>
      <c r="E4732" s="13"/>
    </row>
    <row r="4733" spans="1:5" ht="11.1" hidden="1" customHeight="1" x14ac:dyDescent="0.25">
      <c r="A4733" s="12" t="s">
        <v>6674</v>
      </c>
      <c r="B4733" s="12" t="s">
        <v>6671</v>
      </c>
      <c r="C4733" s="14">
        <v>475</v>
      </c>
      <c r="D4733" s="12"/>
      <c r="E4733" s="13"/>
    </row>
    <row r="4734" spans="1:5" ht="11.1" hidden="1" customHeight="1" x14ac:dyDescent="0.25">
      <c r="A4734" s="12" t="s">
        <v>6675</v>
      </c>
      <c r="B4734" s="12" t="s">
        <v>6671</v>
      </c>
      <c r="C4734" s="14">
        <v>475</v>
      </c>
      <c r="D4734" s="12"/>
      <c r="E4734" s="13"/>
    </row>
    <row r="4735" spans="1:5" ht="11.1" hidden="1" customHeight="1" x14ac:dyDescent="0.25">
      <c r="A4735" s="12" t="s">
        <v>6676</v>
      </c>
      <c r="B4735" s="12" t="s">
        <v>6671</v>
      </c>
      <c r="C4735" s="14">
        <v>184</v>
      </c>
      <c r="D4735" s="12"/>
      <c r="E4735" s="13"/>
    </row>
    <row r="4736" spans="1:5" ht="11.1" hidden="1" customHeight="1" x14ac:dyDescent="0.25">
      <c r="A4736" s="12" t="s">
        <v>6677</v>
      </c>
      <c r="B4736" s="12" t="s">
        <v>6671</v>
      </c>
      <c r="C4736" s="14">
        <v>184</v>
      </c>
      <c r="D4736" s="12"/>
      <c r="E4736" s="13"/>
    </row>
    <row r="4737" spans="1:5" ht="11.1" hidden="1" customHeight="1" x14ac:dyDescent="0.25">
      <c r="A4737" s="12" t="s">
        <v>6678</v>
      </c>
      <c r="B4737" s="12" t="s">
        <v>6671</v>
      </c>
      <c r="C4737" s="14">
        <v>55</v>
      </c>
      <c r="D4737" s="12"/>
      <c r="E4737" s="13"/>
    </row>
    <row r="4738" spans="1:5" ht="11.1" hidden="1" customHeight="1" x14ac:dyDescent="0.25">
      <c r="A4738" s="12" t="s">
        <v>6679</v>
      </c>
      <c r="B4738" s="12" t="s">
        <v>6680</v>
      </c>
      <c r="C4738" s="14">
        <v>400</v>
      </c>
      <c r="D4738" s="12"/>
      <c r="E4738" s="13"/>
    </row>
    <row r="4739" spans="1:5" ht="11.1" hidden="1" customHeight="1" x14ac:dyDescent="0.25">
      <c r="A4739" s="12" t="s">
        <v>6681</v>
      </c>
      <c r="B4739" s="12" t="s">
        <v>6680</v>
      </c>
      <c r="C4739" s="14">
        <v>1400</v>
      </c>
      <c r="D4739" s="12"/>
      <c r="E4739" s="14"/>
    </row>
    <row r="4740" spans="1:5" ht="11.1" hidden="1" customHeight="1" x14ac:dyDescent="0.25">
      <c r="A4740" s="12" t="s">
        <v>6682</v>
      </c>
      <c r="B4740" s="12" t="s">
        <v>6680</v>
      </c>
      <c r="C4740" s="14">
        <v>1400</v>
      </c>
      <c r="D4740" s="12"/>
      <c r="E4740" s="14"/>
    </row>
    <row r="4741" spans="1:5" ht="11.1" hidden="1" customHeight="1" x14ac:dyDescent="0.25">
      <c r="A4741" s="12" t="s">
        <v>6683</v>
      </c>
      <c r="B4741" s="12" t="s">
        <v>6684</v>
      </c>
      <c r="C4741" s="14">
        <v>120</v>
      </c>
      <c r="D4741" s="12"/>
      <c r="E4741" s="13"/>
    </row>
    <row r="4742" spans="1:5" ht="11.1" hidden="1" customHeight="1" x14ac:dyDescent="0.25">
      <c r="A4742" s="12" t="s">
        <v>6685</v>
      </c>
      <c r="B4742" s="12" t="s">
        <v>6680</v>
      </c>
      <c r="C4742" s="14">
        <v>1400</v>
      </c>
      <c r="D4742" s="12"/>
      <c r="E4742" s="14"/>
    </row>
    <row r="4743" spans="1:5" ht="11.1" hidden="1" customHeight="1" x14ac:dyDescent="0.25">
      <c r="A4743" s="12" t="s">
        <v>6686</v>
      </c>
      <c r="B4743" s="12" t="s">
        <v>6680</v>
      </c>
      <c r="C4743" s="14">
        <v>1400</v>
      </c>
      <c r="D4743" s="12"/>
      <c r="E4743" s="14"/>
    </row>
    <row r="4744" spans="1:5" ht="11.1" hidden="1" customHeight="1" x14ac:dyDescent="0.25">
      <c r="A4744" s="12" t="s">
        <v>6687</v>
      </c>
      <c r="B4744" s="12" t="s">
        <v>6671</v>
      </c>
      <c r="C4744" s="14">
        <v>65</v>
      </c>
      <c r="D4744" s="12"/>
      <c r="E4744" s="13"/>
    </row>
    <row r="4745" spans="1:5" ht="11.1" hidden="1" customHeight="1" x14ac:dyDescent="0.25">
      <c r="A4745" s="12" t="s">
        <v>6688</v>
      </c>
      <c r="B4745" s="12" t="s">
        <v>6671</v>
      </c>
      <c r="C4745" s="14">
        <v>30</v>
      </c>
      <c r="D4745" s="12"/>
      <c r="E4745" s="13"/>
    </row>
    <row r="4746" spans="1:5" ht="11.1" hidden="1" customHeight="1" x14ac:dyDescent="0.25">
      <c r="A4746" s="12" t="s">
        <v>6689</v>
      </c>
      <c r="B4746" s="12" t="s">
        <v>6690</v>
      </c>
      <c r="C4746" s="14">
        <v>39.94</v>
      </c>
      <c r="D4746" s="12"/>
      <c r="E4746" s="13"/>
    </row>
    <row r="4747" spans="1:5" ht="11.1" hidden="1" customHeight="1" x14ac:dyDescent="0.25">
      <c r="A4747" s="12" t="s">
        <v>6691</v>
      </c>
      <c r="B4747" s="12" t="s">
        <v>6692</v>
      </c>
      <c r="C4747" s="14">
        <v>468.85</v>
      </c>
      <c r="D4747" s="12"/>
      <c r="E4747" s="13"/>
    </row>
    <row r="4748" spans="1:5" ht="11.1" hidden="1" customHeight="1" x14ac:dyDescent="0.25">
      <c r="A4748" s="12" t="s">
        <v>6693</v>
      </c>
      <c r="B4748" s="12" t="s">
        <v>6694</v>
      </c>
      <c r="C4748" s="14">
        <v>12.89</v>
      </c>
      <c r="D4748" s="12"/>
      <c r="E4748" s="13"/>
    </row>
    <row r="4749" spans="1:5" ht="11.1" hidden="1" customHeight="1" x14ac:dyDescent="0.25">
      <c r="A4749" s="12" t="s">
        <v>6695</v>
      </c>
      <c r="B4749" s="12" t="s">
        <v>6694</v>
      </c>
      <c r="C4749" s="14">
        <v>12.89</v>
      </c>
      <c r="D4749" s="12"/>
      <c r="E4749" s="13"/>
    </row>
    <row r="4750" spans="1:5" ht="11.1" hidden="1" customHeight="1" x14ac:dyDescent="0.25">
      <c r="A4750" s="12" t="s">
        <v>6696</v>
      </c>
      <c r="B4750" s="12" t="s">
        <v>6694</v>
      </c>
      <c r="C4750" s="14">
        <v>30.07</v>
      </c>
      <c r="D4750" s="12"/>
      <c r="E4750" s="13"/>
    </row>
    <row r="4751" spans="1:5" ht="11.1" hidden="1" customHeight="1" x14ac:dyDescent="0.25">
      <c r="A4751" s="12" t="s">
        <v>6697</v>
      </c>
      <c r="B4751" s="12" t="s">
        <v>6694</v>
      </c>
      <c r="C4751" s="14">
        <v>30.07</v>
      </c>
      <c r="D4751" s="12"/>
      <c r="E4751" s="13"/>
    </row>
    <row r="4752" spans="1:5" ht="11.1" hidden="1" customHeight="1" x14ac:dyDescent="0.25">
      <c r="A4752" s="12" t="s">
        <v>6698</v>
      </c>
      <c r="B4752" s="12" t="s">
        <v>6694</v>
      </c>
      <c r="C4752" s="14">
        <v>30.07</v>
      </c>
      <c r="D4752" s="12"/>
      <c r="E4752" s="13"/>
    </row>
    <row r="4753" spans="1:5" ht="11.1" hidden="1" customHeight="1" x14ac:dyDescent="0.25">
      <c r="A4753" s="12" t="s">
        <v>6699</v>
      </c>
      <c r="B4753" s="12" t="s">
        <v>6694</v>
      </c>
      <c r="C4753" s="14">
        <v>30.07</v>
      </c>
      <c r="D4753" s="12"/>
      <c r="E4753" s="13"/>
    </row>
    <row r="4754" spans="1:5" ht="11.1" hidden="1" customHeight="1" x14ac:dyDescent="0.25">
      <c r="A4754" s="12" t="s">
        <v>6700</v>
      </c>
      <c r="B4754" s="12" t="s">
        <v>6694</v>
      </c>
      <c r="C4754" s="14">
        <v>70.88</v>
      </c>
      <c r="D4754" s="12"/>
      <c r="E4754" s="13"/>
    </row>
    <row r="4755" spans="1:5" ht="11.1" hidden="1" customHeight="1" x14ac:dyDescent="0.25">
      <c r="A4755" s="12" t="s">
        <v>6701</v>
      </c>
      <c r="B4755" s="12" t="s">
        <v>6694</v>
      </c>
      <c r="C4755" s="14">
        <v>70.88</v>
      </c>
      <c r="D4755" s="12"/>
      <c r="E4755" s="13"/>
    </row>
    <row r="4756" spans="1:5" ht="11.1" hidden="1" customHeight="1" x14ac:dyDescent="0.25">
      <c r="A4756" s="12" t="s">
        <v>6702</v>
      </c>
      <c r="B4756" s="12" t="s">
        <v>6694</v>
      </c>
      <c r="C4756" s="14">
        <v>73.28</v>
      </c>
      <c r="D4756" s="12"/>
      <c r="E4756" s="13"/>
    </row>
    <row r="4757" spans="1:5" ht="11.1" hidden="1" customHeight="1" x14ac:dyDescent="0.25">
      <c r="A4757" s="12" t="s">
        <v>6703</v>
      </c>
      <c r="B4757" s="12" t="s">
        <v>6694</v>
      </c>
      <c r="C4757" s="14">
        <v>73.28</v>
      </c>
      <c r="D4757" s="12"/>
      <c r="E4757" s="13"/>
    </row>
    <row r="4758" spans="1:5" ht="11.1" hidden="1" customHeight="1" x14ac:dyDescent="0.25">
      <c r="A4758" s="12" t="s">
        <v>6704</v>
      </c>
      <c r="B4758" s="12" t="s">
        <v>6694</v>
      </c>
      <c r="C4758" s="14">
        <v>12.89</v>
      </c>
      <c r="D4758" s="12"/>
      <c r="E4758" s="13"/>
    </row>
    <row r="4759" spans="1:5" ht="11.1" hidden="1" customHeight="1" x14ac:dyDescent="0.25">
      <c r="A4759" s="12" t="s">
        <v>6705</v>
      </c>
      <c r="B4759" s="12" t="s">
        <v>6694</v>
      </c>
      <c r="C4759" s="14">
        <v>12.89</v>
      </c>
      <c r="D4759" s="12"/>
      <c r="E4759" s="13"/>
    </row>
    <row r="4760" spans="1:5" ht="11.1" hidden="1" customHeight="1" x14ac:dyDescent="0.25">
      <c r="A4760" s="12" t="s">
        <v>6706</v>
      </c>
      <c r="B4760" s="12" t="s">
        <v>6692</v>
      </c>
      <c r="C4760" s="14">
        <v>468.85</v>
      </c>
      <c r="D4760" s="12"/>
      <c r="E4760" s="13"/>
    </row>
    <row r="4761" spans="1:5" ht="11.1" hidden="1" customHeight="1" x14ac:dyDescent="0.25">
      <c r="A4761" s="12" t="s">
        <v>6707</v>
      </c>
      <c r="B4761" s="12" t="s">
        <v>3123</v>
      </c>
      <c r="C4761" s="14">
        <v>640.5</v>
      </c>
      <c r="D4761" s="12"/>
      <c r="E4761" s="13"/>
    </row>
    <row r="4762" spans="1:5" ht="11.1" hidden="1" customHeight="1" x14ac:dyDescent="0.25">
      <c r="A4762" s="12" t="s">
        <v>6708</v>
      </c>
      <c r="B4762" s="12" t="s">
        <v>3123</v>
      </c>
      <c r="C4762" s="14">
        <v>535.5</v>
      </c>
      <c r="D4762" s="12"/>
      <c r="E4762" s="13"/>
    </row>
    <row r="4763" spans="1:5" ht="11.1" hidden="1" customHeight="1" x14ac:dyDescent="0.25">
      <c r="A4763" s="12" t="s">
        <v>6709</v>
      </c>
      <c r="B4763" s="12" t="s">
        <v>3123</v>
      </c>
      <c r="C4763" s="14">
        <v>535.5</v>
      </c>
      <c r="D4763" s="12"/>
      <c r="E4763" s="13"/>
    </row>
    <row r="4764" spans="1:5" ht="11.1" hidden="1" customHeight="1" x14ac:dyDescent="0.25">
      <c r="A4764" s="12" t="s">
        <v>6710</v>
      </c>
      <c r="B4764" s="12" t="s">
        <v>3123</v>
      </c>
      <c r="C4764" s="14">
        <v>598.5</v>
      </c>
      <c r="D4764" s="12"/>
      <c r="E4764" s="13"/>
    </row>
    <row r="4765" spans="1:5" ht="11.1" hidden="1" customHeight="1" x14ac:dyDescent="0.25">
      <c r="A4765" s="12" t="s">
        <v>6711</v>
      </c>
      <c r="B4765" s="12" t="s">
        <v>3123</v>
      </c>
      <c r="C4765" s="14">
        <v>892.5</v>
      </c>
      <c r="D4765" s="12"/>
      <c r="E4765" s="13"/>
    </row>
    <row r="4766" spans="1:5" ht="11.1" hidden="1" customHeight="1" x14ac:dyDescent="0.25">
      <c r="A4766" s="12" t="s">
        <v>6712</v>
      </c>
      <c r="B4766" s="12" t="s">
        <v>6713</v>
      </c>
      <c r="C4766" s="14">
        <v>69.2</v>
      </c>
      <c r="D4766" s="12"/>
      <c r="E4766" s="13"/>
    </row>
    <row r="4767" spans="1:5" ht="11.1" hidden="1" customHeight="1" x14ac:dyDescent="0.25">
      <c r="A4767" s="12" t="s">
        <v>6714</v>
      </c>
      <c r="B4767" s="12" t="s">
        <v>6713</v>
      </c>
      <c r="C4767" s="14">
        <v>63.15</v>
      </c>
      <c r="D4767" s="12"/>
      <c r="E4767" s="13"/>
    </row>
    <row r="4768" spans="1:5" ht="11.1" hidden="1" customHeight="1" x14ac:dyDescent="0.25">
      <c r="A4768" s="12" t="s">
        <v>6715</v>
      </c>
      <c r="B4768" s="12" t="s">
        <v>6713</v>
      </c>
      <c r="C4768" s="14">
        <v>80.22</v>
      </c>
      <c r="D4768" s="12"/>
      <c r="E4768" s="13"/>
    </row>
    <row r="4769" spans="1:5" ht="23.1" hidden="1" customHeight="1" x14ac:dyDescent="0.25">
      <c r="A4769" s="12" t="s">
        <v>6716</v>
      </c>
      <c r="B4769" s="12" t="s">
        <v>6713</v>
      </c>
      <c r="C4769" s="14">
        <v>70.98</v>
      </c>
      <c r="D4769" s="12"/>
      <c r="E4769" s="13"/>
    </row>
    <row r="4770" spans="1:5" ht="11.1" hidden="1" customHeight="1" x14ac:dyDescent="0.25">
      <c r="A4770" s="12" t="s">
        <v>6717</v>
      </c>
      <c r="B4770" s="12" t="s">
        <v>6713</v>
      </c>
      <c r="C4770" s="14">
        <v>100.89</v>
      </c>
      <c r="D4770" s="12"/>
      <c r="E4770" s="13"/>
    </row>
    <row r="4771" spans="1:5" ht="23.1" hidden="1" customHeight="1" x14ac:dyDescent="0.25">
      <c r="A4771" s="12" t="s">
        <v>6718</v>
      </c>
      <c r="B4771" s="12" t="s">
        <v>6719</v>
      </c>
      <c r="C4771" s="14">
        <v>163.46</v>
      </c>
      <c r="D4771" s="12"/>
      <c r="E4771" s="13"/>
    </row>
    <row r="4772" spans="1:5" ht="11.1" hidden="1" customHeight="1" x14ac:dyDescent="0.25">
      <c r="A4772" s="12" t="s">
        <v>6720</v>
      </c>
      <c r="B4772" s="12" t="s">
        <v>6713</v>
      </c>
      <c r="C4772" s="14">
        <v>58.26</v>
      </c>
      <c r="D4772" s="12"/>
      <c r="E4772" s="13"/>
    </row>
    <row r="4773" spans="1:5" ht="11.1" hidden="1" customHeight="1" x14ac:dyDescent="0.25">
      <c r="A4773" s="12" t="s">
        <v>6721</v>
      </c>
      <c r="B4773" s="12" t="s">
        <v>6713</v>
      </c>
      <c r="C4773" s="14">
        <v>92.36</v>
      </c>
      <c r="D4773" s="12"/>
      <c r="E4773" s="13"/>
    </row>
    <row r="4774" spans="1:5" ht="11.1" hidden="1" customHeight="1" x14ac:dyDescent="0.25">
      <c r="A4774" s="12" t="s">
        <v>6722</v>
      </c>
      <c r="B4774" s="12" t="s">
        <v>741</v>
      </c>
      <c r="C4774" s="14">
        <v>286.67</v>
      </c>
      <c r="D4774" s="12"/>
      <c r="E4774" s="13"/>
    </row>
    <row r="4775" spans="1:5" ht="11.1" hidden="1" customHeight="1" x14ac:dyDescent="0.25">
      <c r="A4775" s="12" t="s">
        <v>6723</v>
      </c>
      <c r="B4775" s="12" t="s">
        <v>6724</v>
      </c>
      <c r="C4775" s="14">
        <v>319.33</v>
      </c>
      <c r="D4775" s="12"/>
      <c r="E4775" s="13"/>
    </row>
    <row r="4776" spans="1:5" ht="11.1" hidden="1" customHeight="1" x14ac:dyDescent="0.25">
      <c r="A4776" s="12" t="s">
        <v>6725</v>
      </c>
      <c r="B4776" s="12" t="s">
        <v>6726</v>
      </c>
      <c r="C4776" s="14">
        <v>757.5</v>
      </c>
      <c r="D4776" s="12"/>
      <c r="E4776" s="13"/>
    </row>
    <row r="4777" spans="1:5" ht="11.1" hidden="1" customHeight="1" x14ac:dyDescent="0.25">
      <c r="A4777" s="12" t="s">
        <v>6727</v>
      </c>
      <c r="B4777" s="12" t="s">
        <v>4197</v>
      </c>
      <c r="C4777" s="14">
        <v>2633.33</v>
      </c>
      <c r="D4777" s="12"/>
      <c r="E4777" s="14"/>
    </row>
    <row r="4778" spans="1:5" ht="11.1" hidden="1" customHeight="1" x14ac:dyDescent="0.25">
      <c r="A4778" s="12" t="s">
        <v>6728</v>
      </c>
      <c r="B4778" s="12" t="s">
        <v>554</v>
      </c>
      <c r="C4778" s="14">
        <v>290</v>
      </c>
      <c r="D4778" s="12"/>
      <c r="E4778" s="13"/>
    </row>
    <row r="4779" spans="1:5" ht="11.1" hidden="1" customHeight="1" x14ac:dyDescent="0.25">
      <c r="A4779" s="12" t="s">
        <v>6729</v>
      </c>
      <c r="B4779" s="12" t="s">
        <v>168</v>
      </c>
      <c r="C4779" s="14">
        <v>108.34</v>
      </c>
      <c r="D4779" s="12"/>
      <c r="E4779" s="13"/>
    </row>
    <row r="4780" spans="1:5" ht="11.1" hidden="1" customHeight="1" x14ac:dyDescent="0.25">
      <c r="A4780" s="12" t="s">
        <v>6730</v>
      </c>
      <c r="B4780" s="12" t="s">
        <v>5370</v>
      </c>
      <c r="C4780" s="14">
        <v>13993</v>
      </c>
      <c r="D4780" s="12"/>
      <c r="E4780" s="14"/>
    </row>
    <row r="4781" spans="1:5" ht="11.1" hidden="1" customHeight="1" x14ac:dyDescent="0.25">
      <c r="A4781" s="12" t="s">
        <v>6731</v>
      </c>
      <c r="B4781" s="12" t="s">
        <v>6732</v>
      </c>
      <c r="C4781" s="14">
        <v>229.17</v>
      </c>
      <c r="D4781" s="12"/>
      <c r="E4781" s="13"/>
    </row>
    <row r="4782" spans="1:5" ht="11.1" hidden="1" customHeight="1" x14ac:dyDescent="0.25">
      <c r="A4782" s="12" t="s">
        <v>6733</v>
      </c>
      <c r="B4782" s="12" t="s">
        <v>1987</v>
      </c>
      <c r="C4782" s="14">
        <v>45.84</v>
      </c>
      <c r="D4782" s="12"/>
      <c r="E4782" s="13"/>
    </row>
    <row r="4783" spans="1:5" ht="11.1" hidden="1" customHeight="1" x14ac:dyDescent="0.25">
      <c r="A4783" s="12" t="s">
        <v>6734</v>
      </c>
      <c r="B4783" s="12" t="s">
        <v>358</v>
      </c>
      <c r="C4783" s="14">
        <v>80.83</v>
      </c>
      <c r="D4783" s="12"/>
      <c r="E4783" s="13"/>
    </row>
    <row r="4784" spans="1:5" ht="11.1" hidden="1" customHeight="1" x14ac:dyDescent="0.25">
      <c r="A4784" s="12" t="s">
        <v>6735</v>
      </c>
      <c r="B4784" s="12" t="s">
        <v>2030</v>
      </c>
      <c r="C4784" s="14">
        <v>272.13</v>
      </c>
      <c r="D4784" s="12"/>
      <c r="E4784" s="13"/>
    </row>
    <row r="4785" spans="1:5" ht="11.1" hidden="1" customHeight="1" x14ac:dyDescent="0.25">
      <c r="A4785" s="12" t="s">
        <v>6736</v>
      </c>
      <c r="B4785" s="12" t="s">
        <v>2178</v>
      </c>
      <c r="C4785" s="14">
        <v>175.83</v>
      </c>
      <c r="D4785" s="12"/>
      <c r="E4785" s="13"/>
    </row>
    <row r="4786" spans="1:5" ht="11.1" hidden="1" customHeight="1" x14ac:dyDescent="0.25">
      <c r="A4786" s="12" t="s">
        <v>6737</v>
      </c>
      <c r="B4786" s="12" t="s">
        <v>1405</v>
      </c>
      <c r="C4786" s="14">
        <v>2305</v>
      </c>
      <c r="D4786" s="12"/>
      <c r="E4786" s="14"/>
    </row>
    <row r="4787" spans="1:5" ht="11.1" hidden="1" customHeight="1" x14ac:dyDescent="0.25">
      <c r="A4787" s="12" t="s">
        <v>6738</v>
      </c>
      <c r="B4787" s="12" t="s">
        <v>1983</v>
      </c>
      <c r="C4787" s="14">
        <v>922.63</v>
      </c>
      <c r="D4787" s="12"/>
      <c r="E4787" s="13"/>
    </row>
    <row r="4788" spans="1:5" ht="23.1" hidden="1" customHeight="1" x14ac:dyDescent="0.25">
      <c r="A4788" s="12" t="s">
        <v>6739</v>
      </c>
      <c r="B4788" s="12" t="s">
        <v>2358</v>
      </c>
      <c r="C4788" s="14">
        <v>112</v>
      </c>
      <c r="D4788" s="12"/>
      <c r="E4788" s="13"/>
    </row>
    <row r="4789" spans="1:5" ht="11.1" hidden="1" customHeight="1" x14ac:dyDescent="0.25">
      <c r="A4789" s="12" t="s">
        <v>6740</v>
      </c>
      <c r="B4789" s="12" t="s">
        <v>2182</v>
      </c>
      <c r="C4789" s="14">
        <v>280.45</v>
      </c>
      <c r="D4789" s="12"/>
      <c r="E4789" s="13"/>
    </row>
    <row r="4790" spans="1:5" ht="11.1" hidden="1" customHeight="1" x14ac:dyDescent="0.25">
      <c r="A4790" s="12" t="s">
        <v>6741</v>
      </c>
      <c r="B4790" s="12" t="s">
        <v>6742</v>
      </c>
      <c r="C4790" s="14">
        <v>294298.33</v>
      </c>
      <c r="D4790" s="12"/>
      <c r="E4790" s="14"/>
    </row>
    <row r="4791" spans="1:5" ht="11.1" hidden="1" customHeight="1" x14ac:dyDescent="0.25">
      <c r="A4791" s="12" t="s">
        <v>6743</v>
      </c>
      <c r="B4791" s="12" t="s">
        <v>558</v>
      </c>
      <c r="C4791" s="14">
        <v>2000</v>
      </c>
      <c r="D4791" s="12"/>
      <c r="E4791" s="14"/>
    </row>
    <row r="4792" spans="1:5" ht="11.1" hidden="1" customHeight="1" x14ac:dyDescent="0.25">
      <c r="A4792" s="12" t="s">
        <v>6744</v>
      </c>
      <c r="B4792" s="12" t="s">
        <v>558</v>
      </c>
      <c r="C4792" s="14">
        <v>600</v>
      </c>
      <c r="D4792" s="12"/>
      <c r="E4792" s="13"/>
    </row>
    <row r="4793" spans="1:5" ht="11.1" hidden="1" customHeight="1" x14ac:dyDescent="0.25">
      <c r="A4793" s="12" t="s">
        <v>6745</v>
      </c>
      <c r="B4793" s="12" t="s">
        <v>5749</v>
      </c>
      <c r="C4793" s="14">
        <v>200</v>
      </c>
      <c r="D4793" s="12"/>
      <c r="E4793" s="13"/>
    </row>
    <row r="4794" spans="1:5" ht="23.1" hidden="1" customHeight="1" x14ac:dyDescent="0.25">
      <c r="A4794" s="12" t="s">
        <v>6746</v>
      </c>
      <c r="B4794" s="12" t="s">
        <v>6747</v>
      </c>
      <c r="C4794" s="14">
        <v>3888.96</v>
      </c>
      <c r="D4794" s="12"/>
      <c r="E4794" s="14"/>
    </row>
    <row r="4795" spans="1:5" ht="23.1" hidden="1" customHeight="1" x14ac:dyDescent="0.25">
      <c r="A4795" s="12" t="s">
        <v>6748</v>
      </c>
      <c r="B4795" s="12" t="s">
        <v>6749</v>
      </c>
      <c r="C4795" s="14">
        <v>7650</v>
      </c>
      <c r="D4795" s="12"/>
      <c r="E4795" s="14"/>
    </row>
    <row r="4796" spans="1:5" ht="11.1" hidden="1" customHeight="1" x14ac:dyDescent="0.25">
      <c r="A4796" s="12" t="s">
        <v>6750</v>
      </c>
      <c r="B4796" s="12" t="s">
        <v>6751</v>
      </c>
      <c r="C4796" s="14">
        <v>3841.67</v>
      </c>
      <c r="D4796" s="12"/>
      <c r="E4796" s="14"/>
    </row>
    <row r="4797" spans="1:5" ht="23.1" hidden="1" customHeight="1" x14ac:dyDescent="0.25">
      <c r="A4797" s="12" t="s">
        <v>6752</v>
      </c>
      <c r="B4797" s="12" t="s">
        <v>6753</v>
      </c>
      <c r="C4797" s="14">
        <v>31791.67</v>
      </c>
      <c r="D4797" s="12"/>
      <c r="E4797" s="14"/>
    </row>
    <row r="4798" spans="1:5" ht="11.1" hidden="1" customHeight="1" x14ac:dyDescent="0.25">
      <c r="A4798" s="12" t="s">
        <v>6754</v>
      </c>
      <c r="B4798" s="12" t="s">
        <v>963</v>
      </c>
      <c r="C4798" s="14">
        <v>115.83</v>
      </c>
      <c r="D4798" s="12"/>
      <c r="E4798" s="13"/>
    </row>
    <row r="4799" spans="1:5" ht="11.1" hidden="1" customHeight="1" x14ac:dyDescent="0.25">
      <c r="A4799" s="12" t="s">
        <v>6755</v>
      </c>
      <c r="B4799" s="12" t="s">
        <v>2063</v>
      </c>
      <c r="C4799" s="14">
        <v>390</v>
      </c>
      <c r="D4799" s="12"/>
      <c r="E4799" s="13"/>
    </row>
    <row r="4800" spans="1:5" ht="11.1" hidden="1" customHeight="1" x14ac:dyDescent="0.25">
      <c r="A4800" s="12" t="s">
        <v>6756</v>
      </c>
      <c r="B4800" s="12" t="s">
        <v>4425</v>
      </c>
      <c r="C4800" s="14">
        <v>180</v>
      </c>
      <c r="D4800" s="12"/>
      <c r="E4800" s="13"/>
    </row>
    <row r="4801" spans="1:5" ht="23.1" hidden="1" customHeight="1" x14ac:dyDescent="0.25">
      <c r="A4801" s="12" t="s">
        <v>6757</v>
      </c>
      <c r="B4801" s="12" t="s">
        <v>1985</v>
      </c>
      <c r="C4801" s="14">
        <v>135.83000000000001</v>
      </c>
      <c r="D4801" s="12"/>
      <c r="E4801" s="13"/>
    </row>
    <row r="4802" spans="1:5" ht="23.1" hidden="1" customHeight="1" x14ac:dyDescent="0.25">
      <c r="A4802" s="12" t="s">
        <v>6758</v>
      </c>
      <c r="B4802" s="12" t="s">
        <v>2826</v>
      </c>
      <c r="C4802" s="14">
        <v>91.58</v>
      </c>
      <c r="D4802" s="12"/>
      <c r="E4802" s="13"/>
    </row>
    <row r="4803" spans="1:5" ht="23.1" hidden="1" customHeight="1" x14ac:dyDescent="0.25">
      <c r="A4803" s="12" t="s">
        <v>6759</v>
      </c>
      <c r="B4803" s="12" t="s">
        <v>2044</v>
      </c>
      <c r="C4803" s="14">
        <v>133.33000000000001</v>
      </c>
      <c r="D4803" s="12"/>
      <c r="E4803" s="13"/>
    </row>
    <row r="4804" spans="1:5" ht="11.1" hidden="1" customHeight="1" x14ac:dyDescent="0.25">
      <c r="A4804" s="12" t="s">
        <v>6760</v>
      </c>
      <c r="B4804" s="12" t="s">
        <v>2826</v>
      </c>
      <c r="C4804" s="14">
        <v>915.83</v>
      </c>
      <c r="D4804" s="12"/>
      <c r="E4804" s="13"/>
    </row>
    <row r="4805" spans="1:5" ht="11.1" hidden="1" customHeight="1" x14ac:dyDescent="0.25">
      <c r="A4805" s="12" t="s">
        <v>6761</v>
      </c>
      <c r="B4805" s="12" t="s">
        <v>2042</v>
      </c>
      <c r="C4805" s="14">
        <v>166.59</v>
      </c>
      <c r="D4805" s="12"/>
      <c r="E4805" s="13"/>
    </row>
    <row r="4806" spans="1:5" ht="11.1" hidden="1" customHeight="1" x14ac:dyDescent="0.25">
      <c r="A4806" s="12" t="s">
        <v>6762</v>
      </c>
      <c r="B4806" s="12" t="s">
        <v>3605</v>
      </c>
      <c r="C4806" s="14">
        <v>240.83</v>
      </c>
      <c r="D4806" s="12"/>
      <c r="E4806" s="13"/>
    </row>
    <row r="4807" spans="1:5" ht="23.1" hidden="1" customHeight="1" x14ac:dyDescent="0.25">
      <c r="A4807" s="12" t="s">
        <v>6763</v>
      </c>
      <c r="B4807" s="12" t="s">
        <v>2040</v>
      </c>
      <c r="C4807" s="14">
        <v>199.17</v>
      </c>
      <c r="D4807" s="12"/>
      <c r="E4807" s="13"/>
    </row>
    <row r="4808" spans="1:5" ht="11.1" hidden="1" customHeight="1" x14ac:dyDescent="0.25">
      <c r="A4808" s="12" t="s">
        <v>6764</v>
      </c>
      <c r="B4808" s="12" t="s">
        <v>2040</v>
      </c>
      <c r="C4808" s="14">
        <v>125.83</v>
      </c>
      <c r="D4808" s="12"/>
      <c r="E4808" s="13"/>
    </row>
    <row r="4809" spans="1:5" ht="11.1" hidden="1" customHeight="1" x14ac:dyDescent="0.25">
      <c r="A4809" s="12" t="s">
        <v>6765</v>
      </c>
      <c r="B4809" s="12" t="s">
        <v>5951</v>
      </c>
      <c r="C4809" s="14">
        <v>94.5</v>
      </c>
      <c r="D4809" s="12"/>
      <c r="E4809" s="13"/>
    </row>
    <row r="4810" spans="1:5" ht="11.1" hidden="1" customHeight="1" x14ac:dyDescent="0.25">
      <c r="A4810" s="12" t="s">
        <v>6766</v>
      </c>
      <c r="B4810" s="12" t="s">
        <v>2044</v>
      </c>
      <c r="C4810" s="14">
        <v>185.83</v>
      </c>
      <c r="D4810" s="12"/>
      <c r="E4810" s="13"/>
    </row>
    <row r="4811" spans="1:5" ht="11.1" hidden="1" customHeight="1" x14ac:dyDescent="0.25">
      <c r="A4811" s="12" t="s">
        <v>6767</v>
      </c>
      <c r="B4811" s="12" t="s">
        <v>2044</v>
      </c>
      <c r="C4811" s="14">
        <v>64.17</v>
      </c>
      <c r="D4811" s="12"/>
      <c r="E4811" s="13"/>
    </row>
    <row r="4812" spans="1:5" ht="11.1" hidden="1" customHeight="1" x14ac:dyDescent="0.25">
      <c r="A4812" s="12" t="s">
        <v>6768</v>
      </c>
      <c r="B4812" s="12" t="s">
        <v>2826</v>
      </c>
      <c r="C4812" s="14">
        <v>99.17</v>
      </c>
      <c r="D4812" s="12"/>
      <c r="E4812" s="13"/>
    </row>
    <row r="4813" spans="1:5" ht="11.1" hidden="1" customHeight="1" x14ac:dyDescent="0.25">
      <c r="A4813" s="12" t="s">
        <v>6769</v>
      </c>
      <c r="B4813" s="12" t="s">
        <v>2826</v>
      </c>
      <c r="C4813" s="14">
        <v>97.5</v>
      </c>
      <c r="D4813" s="12"/>
      <c r="E4813" s="13"/>
    </row>
    <row r="4814" spans="1:5" ht="11.1" hidden="1" customHeight="1" x14ac:dyDescent="0.25">
      <c r="A4814" s="12" t="s">
        <v>6770</v>
      </c>
      <c r="B4814" s="12" t="s">
        <v>2040</v>
      </c>
      <c r="C4814" s="14">
        <v>68.67</v>
      </c>
      <c r="D4814" s="12"/>
      <c r="E4814" s="13"/>
    </row>
    <row r="4815" spans="1:5" ht="11.1" hidden="1" customHeight="1" x14ac:dyDescent="0.25">
      <c r="A4815" s="12" t="s">
        <v>6771</v>
      </c>
      <c r="B4815" s="12" t="s">
        <v>3605</v>
      </c>
      <c r="C4815" s="14">
        <v>201.68</v>
      </c>
      <c r="D4815" s="12"/>
      <c r="E4815" s="13"/>
    </row>
    <row r="4816" spans="1:5" ht="11.1" hidden="1" customHeight="1" x14ac:dyDescent="0.25">
      <c r="A4816" s="12" t="s">
        <v>6772</v>
      </c>
      <c r="B4816" s="12" t="s">
        <v>2826</v>
      </c>
      <c r="C4816" s="14">
        <v>58.58</v>
      </c>
      <c r="D4816" s="12"/>
      <c r="E4816" s="13"/>
    </row>
    <row r="4817" spans="1:5" ht="11.1" hidden="1" customHeight="1" x14ac:dyDescent="0.25">
      <c r="A4817" s="12" t="s">
        <v>6773</v>
      </c>
      <c r="B4817" s="12" t="s">
        <v>6774</v>
      </c>
      <c r="C4817" s="14">
        <v>4475</v>
      </c>
      <c r="D4817" s="12"/>
      <c r="E4817" s="14"/>
    </row>
    <row r="4818" spans="1:5" ht="11.1" hidden="1" customHeight="1" x14ac:dyDescent="0.25">
      <c r="A4818" s="12" t="s">
        <v>6775</v>
      </c>
      <c r="B4818" s="12" t="s">
        <v>6776</v>
      </c>
      <c r="C4818" s="14">
        <v>4231.46</v>
      </c>
      <c r="D4818" s="12"/>
      <c r="E4818" s="14"/>
    </row>
    <row r="4819" spans="1:5" ht="11.1" hidden="1" customHeight="1" x14ac:dyDescent="0.25">
      <c r="A4819" s="12" t="s">
        <v>6777</v>
      </c>
      <c r="B4819" s="12" t="s">
        <v>2335</v>
      </c>
      <c r="C4819" s="14">
        <v>458.33</v>
      </c>
      <c r="D4819" s="12"/>
      <c r="E4819" s="13"/>
    </row>
    <row r="4820" spans="1:5" ht="23.1" hidden="1" customHeight="1" x14ac:dyDescent="0.25">
      <c r="A4820" s="12" t="s">
        <v>6778</v>
      </c>
      <c r="B4820" s="12" t="s">
        <v>4924</v>
      </c>
      <c r="C4820" s="14">
        <v>229</v>
      </c>
      <c r="D4820" s="12"/>
      <c r="E4820" s="13"/>
    </row>
    <row r="4821" spans="1:5" ht="11.1" hidden="1" customHeight="1" x14ac:dyDescent="0.25">
      <c r="A4821" s="12" t="s">
        <v>6779</v>
      </c>
      <c r="B4821" s="12" t="s">
        <v>2053</v>
      </c>
      <c r="C4821" s="14">
        <v>158.33000000000001</v>
      </c>
      <c r="D4821" s="12"/>
      <c r="E4821" s="13"/>
    </row>
    <row r="4822" spans="1:5" ht="11.1" hidden="1" customHeight="1" x14ac:dyDescent="0.25">
      <c r="A4822" s="12" t="s">
        <v>6780</v>
      </c>
      <c r="B4822" s="12" t="s">
        <v>2279</v>
      </c>
      <c r="C4822" s="14">
        <v>3258.67</v>
      </c>
      <c r="D4822" s="12"/>
      <c r="E4822" s="14"/>
    </row>
    <row r="4823" spans="1:5" ht="11.1" hidden="1" customHeight="1" x14ac:dyDescent="0.25">
      <c r="A4823" s="12" t="s">
        <v>6781</v>
      </c>
      <c r="B4823" s="12" t="s">
        <v>6782</v>
      </c>
      <c r="C4823" s="14">
        <v>337.5</v>
      </c>
      <c r="D4823" s="12"/>
      <c r="E4823" s="13"/>
    </row>
    <row r="4824" spans="1:5" ht="11.1" hidden="1" customHeight="1" x14ac:dyDescent="0.25">
      <c r="A4824" s="12" t="s">
        <v>6783</v>
      </c>
      <c r="B4824" s="12" t="s">
        <v>2053</v>
      </c>
      <c r="C4824" s="14">
        <v>439.17</v>
      </c>
      <c r="D4824" s="12"/>
      <c r="E4824" s="13"/>
    </row>
    <row r="4825" spans="1:5" ht="11.1" hidden="1" customHeight="1" x14ac:dyDescent="0.25">
      <c r="A4825" s="12" t="s">
        <v>6784</v>
      </c>
      <c r="B4825" s="12" t="s">
        <v>6319</v>
      </c>
      <c r="C4825" s="14">
        <v>257.5</v>
      </c>
      <c r="D4825" s="12"/>
      <c r="E4825" s="13"/>
    </row>
    <row r="4826" spans="1:5" ht="11.1" hidden="1" customHeight="1" x14ac:dyDescent="0.25">
      <c r="A4826" s="12" t="s">
        <v>6785</v>
      </c>
      <c r="B4826" s="12" t="s">
        <v>1812</v>
      </c>
      <c r="C4826" s="14">
        <v>229</v>
      </c>
      <c r="D4826" s="12"/>
      <c r="E4826" s="13"/>
    </row>
    <row r="4827" spans="1:5" ht="11.1" hidden="1" customHeight="1" x14ac:dyDescent="0.25">
      <c r="A4827" s="12" t="s">
        <v>6786</v>
      </c>
      <c r="B4827" s="12" t="s">
        <v>2935</v>
      </c>
      <c r="C4827" s="14">
        <v>1083.33</v>
      </c>
      <c r="D4827" s="12"/>
      <c r="E4827" s="14"/>
    </row>
    <row r="4828" spans="1:5" ht="11.1" hidden="1" customHeight="1" x14ac:dyDescent="0.25">
      <c r="A4828" s="12" t="s">
        <v>6787</v>
      </c>
      <c r="B4828" s="12" t="s">
        <v>6788</v>
      </c>
      <c r="C4828" s="14">
        <v>1616</v>
      </c>
      <c r="D4828" s="12"/>
      <c r="E4828" s="14"/>
    </row>
    <row r="4829" spans="1:5" ht="11.1" hidden="1" customHeight="1" x14ac:dyDescent="0.25">
      <c r="A4829" s="12" t="s">
        <v>6789</v>
      </c>
      <c r="B4829" s="12" t="s">
        <v>497</v>
      </c>
      <c r="C4829" s="14">
        <v>1270</v>
      </c>
      <c r="D4829" s="12"/>
      <c r="E4829" s="14"/>
    </row>
    <row r="4830" spans="1:5" ht="11.1" hidden="1" customHeight="1" x14ac:dyDescent="0.25">
      <c r="A4830" s="12" t="s">
        <v>6790</v>
      </c>
      <c r="B4830" s="12" t="s">
        <v>6791</v>
      </c>
      <c r="C4830" s="14">
        <v>43333.33</v>
      </c>
      <c r="D4830" s="12"/>
      <c r="E4830" s="14"/>
    </row>
    <row r="4831" spans="1:5" ht="11.1" hidden="1" customHeight="1" x14ac:dyDescent="0.25">
      <c r="A4831" s="12" t="s">
        <v>6792</v>
      </c>
      <c r="B4831" s="12" t="s">
        <v>6793</v>
      </c>
      <c r="C4831" s="14">
        <v>101990</v>
      </c>
      <c r="D4831" s="12"/>
      <c r="E4831" s="14"/>
    </row>
    <row r="4832" spans="1:5" ht="11.1" hidden="1" customHeight="1" x14ac:dyDescent="0.25">
      <c r="A4832" s="12" t="s">
        <v>6794</v>
      </c>
      <c r="B4832" s="12" t="s">
        <v>6795</v>
      </c>
      <c r="C4832" s="14">
        <v>325688.19</v>
      </c>
      <c r="D4832" s="12"/>
      <c r="E4832" s="14"/>
    </row>
    <row r="4833" spans="1:5" ht="11.1" hidden="1" customHeight="1" x14ac:dyDescent="0.25">
      <c r="A4833" s="12" t="s">
        <v>6796</v>
      </c>
      <c r="B4833" s="12" t="s">
        <v>5032</v>
      </c>
      <c r="C4833" s="14">
        <v>50</v>
      </c>
      <c r="D4833" s="12"/>
      <c r="E4833" s="13"/>
    </row>
    <row r="4834" spans="1:5" ht="11.1" hidden="1" customHeight="1" x14ac:dyDescent="0.25">
      <c r="A4834" s="12" t="s">
        <v>6797</v>
      </c>
      <c r="B4834" s="12" t="s">
        <v>558</v>
      </c>
      <c r="C4834" s="14">
        <v>2000</v>
      </c>
      <c r="D4834" s="12"/>
      <c r="E4834" s="14"/>
    </row>
    <row r="4835" spans="1:5" ht="11.1" hidden="1" customHeight="1" x14ac:dyDescent="0.25">
      <c r="A4835" s="12" t="s">
        <v>6798</v>
      </c>
      <c r="B4835" s="12" t="s">
        <v>6799</v>
      </c>
      <c r="C4835" s="14">
        <v>535.21</v>
      </c>
      <c r="D4835" s="12"/>
      <c r="E4835" s="13"/>
    </row>
    <row r="4836" spans="1:5" ht="11.1" hidden="1" customHeight="1" x14ac:dyDescent="0.25">
      <c r="A4836" s="12" t="s">
        <v>6800</v>
      </c>
      <c r="B4836" s="12" t="s">
        <v>6801</v>
      </c>
      <c r="C4836" s="14">
        <v>3710</v>
      </c>
      <c r="D4836" s="12"/>
      <c r="E4836" s="14"/>
    </row>
    <row r="4837" spans="1:5" ht="11.1" hidden="1" customHeight="1" x14ac:dyDescent="0.25">
      <c r="A4837" s="12" t="s">
        <v>6802</v>
      </c>
      <c r="B4837" s="12" t="s">
        <v>6803</v>
      </c>
      <c r="C4837" s="14">
        <v>485</v>
      </c>
      <c r="D4837" s="12"/>
      <c r="E4837" s="13"/>
    </row>
    <row r="4838" spans="1:5" ht="23.1" hidden="1" customHeight="1" x14ac:dyDescent="0.25">
      <c r="A4838" s="12" t="s">
        <v>6804</v>
      </c>
      <c r="B4838" s="12" t="s">
        <v>6805</v>
      </c>
      <c r="C4838" s="14">
        <v>1826.4</v>
      </c>
      <c r="D4838" s="12"/>
      <c r="E4838" s="14"/>
    </row>
    <row r="4839" spans="1:5" ht="11.1" hidden="1" customHeight="1" x14ac:dyDescent="0.25">
      <c r="A4839" s="12" t="s">
        <v>6806</v>
      </c>
      <c r="B4839" s="12" t="s">
        <v>6807</v>
      </c>
      <c r="C4839" s="14">
        <v>133.33000000000001</v>
      </c>
      <c r="D4839" s="12"/>
      <c r="E4839" s="13"/>
    </row>
    <row r="4840" spans="1:5" ht="11.1" hidden="1" customHeight="1" x14ac:dyDescent="0.25">
      <c r="A4840" s="12" t="s">
        <v>6808</v>
      </c>
      <c r="B4840" s="12" t="s">
        <v>6809</v>
      </c>
      <c r="C4840" s="14">
        <v>208.33</v>
      </c>
      <c r="D4840" s="12"/>
      <c r="E4840" s="13"/>
    </row>
    <row r="4841" spans="1:5" ht="11.1" hidden="1" customHeight="1" x14ac:dyDescent="0.25">
      <c r="A4841" s="12" t="s">
        <v>6810</v>
      </c>
      <c r="B4841" s="12" t="s">
        <v>6807</v>
      </c>
      <c r="C4841" s="14">
        <v>141.66999999999999</v>
      </c>
      <c r="D4841" s="12"/>
      <c r="E4841" s="13"/>
    </row>
    <row r="4842" spans="1:5" ht="23.1" hidden="1" customHeight="1" x14ac:dyDescent="0.25">
      <c r="A4842" s="12" t="s">
        <v>6811</v>
      </c>
      <c r="B4842" s="12" t="s">
        <v>6807</v>
      </c>
      <c r="C4842" s="14">
        <v>150</v>
      </c>
      <c r="D4842" s="12"/>
      <c r="E4842" s="13"/>
    </row>
    <row r="4843" spans="1:5" ht="11.1" hidden="1" customHeight="1" x14ac:dyDescent="0.25">
      <c r="A4843" s="12" t="s">
        <v>6812</v>
      </c>
      <c r="B4843" s="12" t="s">
        <v>5329</v>
      </c>
      <c r="C4843" s="14">
        <v>135</v>
      </c>
      <c r="D4843" s="12"/>
      <c r="E4843" s="13"/>
    </row>
    <row r="4844" spans="1:5" ht="11.1" hidden="1" customHeight="1" x14ac:dyDescent="0.25">
      <c r="A4844" s="12" t="s">
        <v>6813</v>
      </c>
      <c r="B4844" s="12" t="s">
        <v>2381</v>
      </c>
      <c r="C4844" s="14">
        <v>5447.52</v>
      </c>
      <c r="D4844" s="12"/>
      <c r="E4844" s="14"/>
    </row>
    <row r="4845" spans="1:5" ht="11.1" hidden="1" customHeight="1" x14ac:dyDescent="0.25">
      <c r="A4845" s="12" t="s">
        <v>6814</v>
      </c>
      <c r="B4845" s="12" t="s">
        <v>6815</v>
      </c>
      <c r="C4845" s="14">
        <v>13136.68</v>
      </c>
      <c r="D4845" s="12"/>
      <c r="E4845" s="14"/>
    </row>
    <row r="4846" spans="1:5" ht="11.1" hidden="1" customHeight="1" x14ac:dyDescent="0.25">
      <c r="A4846" s="12" t="s">
        <v>6816</v>
      </c>
      <c r="B4846" s="12" t="s">
        <v>6817</v>
      </c>
      <c r="C4846" s="14">
        <v>434062.93</v>
      </c>
      <c r="D4846" s="12"/>
      <c r="E4846" s="14"/>
    </row>
    <row r="4847" spans="1:5" ht="11.1" hidden="1" customHeight="1" x14ac:dyDescent="0.25">
      <c r="A4847" s="12" t="s">
        <v>6818</v>
      </c>
      <c r="B4847" s="12" t="s">
        <v>6817</v>
      </c>
      <c r="C4847" s="14">
        <v>434062.93</v>
      </c>
      <c r="D4847" s="12"/>
      <c r="E4847" s="14"/>
    </row>
    <row r="4848" spans="1:5" ht="11.1" hidden="1" customHeight="1" x14ac:dyDescent="0.25">
      <c r="A4848" s="12" t="s">
        <v>6819</v>
      </c>
      <c r="B4848" s="12" t="s">
        <v>6820</v>
      </c>
      <c r="C4848" s="14">
        <v>18138.330000000002</v>
      </c>
      <c r="D4848" s="12"/>
      <c r="E4848" s="14"/>
    </row>
    <row r="4849" spans="1:5" ht="11.1" hidden="1" customHeight="1" x14ac:dyDescent="0.25">
      <c r="A4849" s="12" t="s">
        <v>6821</v>
      </c>
      <c r="B4849" s="12" t="s">
        <v>6822</v>
      </c>
      <c r="C4849" s="14">
        <v>5413.33</v>
      </c>
      <c r="D4849" s="12"/>
      <c r="E4849" s="14"/>
    </row>
    <row r="4850" spans="1:5" ht="11.1" hidden="1" customHeight="1" x14ac:dyDescent="0.25">
      <c r="A4850" s="12" t="s">
        <v>6823</v>
      </c>
      <c r="B4850" s="12" t="s">
        <v>6824</v>
      </c>
      <c r="C4850" s="14">
        <v>3333.34</v>
      </c>
      <c r="D4850" s="12"/>
      <c r="E4850" s="14"/>
    </row>
    <row r="4851" spans="1:5" ht="11.1" hidden="1" customHeight="1" x14ac:dyDescent="0.25">
      <c r="A4851" s="12" t="s">
        <v>6825</v>
      </c>
      <c r="B4851" s="12" t="s">
        <v>6826</v>
      </c>
      <c r="C4851" s="14">
        <v>10905.83</v>
      </c>
      <c r="D4851" s="12"/>
      <c r="E4851" s="14"/>
    </row>
    <row r="4852" spans="1:5" ht="11.1" hidden="1" customHeight="1" x14ac:dyDescent="0.25">
      <c r="A4852" s="12" t="s">
        <v>6827</v>
      </c>
      <c r="B4852" s="12" t="s">
        <v>6828</v>
      </c>
      <c r="C4852" s="14">
        <v>6072.5</v>
      </c>
      <c r="D4852" s="12"/>
      <c r="E4852" s="14"/>
    </row>
    <row r="4853" spans="1:5" ht="11.1" hidden="1" customHeight="1" x14ac:dyDescent="0.25">
      <c r="A4853" s="12" t="s">
        <v>6829</v>
      </c>
      <c r="B4853" s="12" t="s">
        <v>6830</v>
      </c>
      <c r="C4853" s="14">
        <v>28792.5</v>
      </c>
      <c r="D4853" s="12"/>
      <c r="E4853" s="14"/>
    </row>
    <row r="4854" spans="1:5" ht="11.1" hidden="1" customHeight="1" x14ac:dyDescent="0.25">
      <c r="A4854" s="12" t="s">
        <v>6831</v>
      </c>
      <c r="B4854" s="12" t="s">
        <v>6832</v>
      </c>
      <c r="C4854" s="14">
        <v>3614.99</v>
      </c>
      <c r="D4854" s="12"/>
      <c r="E4854" s="14"/>
    </row>
    <row r="4855" spans="1:5" ht="23.1" hidden="1" customHeight="1" x14ac:dyDescent="0.25">
      <c r="A4855" s="12" t="s">
        <v>6833</v>
      </c>
      <c r="B4855" s="12" t="s">
        <v>6832</v>
      </c>
      <c r="C4855" s="14">
        <v>4571.55</v>
      </c>
      <c r="D4855" s="12"/>
      <c r="E4855" s="14"/>
    </row>
    <row r="4856" spans="1:5" ht="11.1" hidden="1" customHeight="1" x14ac:dyDescent="0.25">
      <c r="A4856" s="12" t="s">
        <v>6834</v>
      </c>
      <c r="B4856" s="12" t="s">
        <v>6835</v>
      </c>
      <c r="C4856" s="14">
        <v>3614.99</v>
      </c>
      <c r="D4856" s="12"/>
      <c r="E4856" s="14"/>
    </row>
    <row r="4857" spans="1:5" ht="11.1" hidden="1" customHeight="1" x14ac:dyDescent="0.25">
      <c r="A4857" s="12" t="s">
        <v>6836</v>
      </c>
      <c r="B4857" s="12" t="s">
        <v>6835</v>
      </c>
      <c r="C4857" s="14">
        <v>4571.55</v>
      </c>
      <c r="D4857" s="12"/>
      <c r="E4857" s="14"/>
    </row>
    <row r="4858" spans="1:5" ht="11.1" hidden="1" customHeight="1" x14ac:dyDescent="0.25">
      <c r="A4858" s="12" t="s">
        <v>6837</v>
      </c>
      <c r="B4858" s="12" t="s">
        <v>6838</v>
      </c>
      <c r="C4858" s="14">
        <v>3999.17</v>
      </c>
      <c r="D4858" s="12"/>
      <c r="E4858" s="14"/>
    </row>
    <row r="4859" spans="1:5" ht="11.1" hidden="1" customHeight="1" x14ac:dyDescent="0.25">
      <c r="A4859" s="12" t="s">
        <v>6839</v>
      </c>
      <c r="B4859" s="12" t="s">
        <v>6840</v>
      </c>
      <c r="C4859" s="14">
        <v>7166.67</v>
      </c>
      <c r="D4859" s="12"/>
      <c r="E4859" s="14"/>
    </row>
    <row r="4860" spans="1:5" ht="11.1" hidden="1" customHeight="1" x14ac:dyDescent="0.25">
      <c r="A4860" s="12" t="s">
        <v>6841</v>
      </c>
      <c r="B4860" s="12" t="s">
        <v>6842</v>
      </c>
      <c r="C4860" s="14">
        <v>4649.3599999999997</v>
      </c>
      <c r="D4860" s="12"/>
      <c r="E4860" s="14"/>
    </row>
    <row r="4861" spans="1:5" ht="11.1" hidden="1" customHeight="1" x14ac:dyDescent="0.25">
      <c r="A4861" s="12" t="s">
        <v>6843</v>
      </c>
      <c r="B4861" s="12" t="s">
        <v>2854</v>
      </c>
      <c r="C4861" s="14">
        <v>9923.33</v>
      </c>
      <c r="D4861" s="12"/>
      <c r="E4861" s="14"/>
    </row>
    <row r="4862" spans="1:5" ht="11.1" hidden="1" customHeight="1" x14ac:dyDescent="0.25">
      <c r="A4862" s="12" t="s">
        <v>6844</v>
      </c>
      <c r="B4862" s="12" t="s">
        <v>6845</v>
      </c>
      <c r="C4862" s="14">
        <v>15541.67</v>
      </c>
      <c r="D4862" s="12"/>
      <c r="E4862" s="14"/>
    </row>
    <row r="4863" spans="1:5" ht="11.1" hidden="1" customHeight="1" x14ac:dyDescent="0.25">
      <c r="A4863" s="12" t="s">
        <v>6846</v>
      </c>
      <c r="B4863" s="12" t="s">
        <v>6063</v>
      </c>
      <c r="C4863" s="14">
        <v>253.33</v>
      </c>
      <c r="D4863" s="12"/>
      <c r="E4863" s="13"/>
    </row>
    <row r="4864" spans="1:5" ht="11.1" hidden="1" customHeight="1" x14ac:dyDescent="0.25">
      <c r="A4864" s="12" t="s">
        <v>6847</v>
      </c>
      <c r="B4864" s="12" t="s">
        <v>6848</v>
      </c>
      <c r="C4864" s="14">
        <v>9070</v>
      </c>
      <c r="D4864" s="12"/>
      <c r="E4864" s="14"/>
    </row>
    <row r="4865" spans="1:5" ht="11.1" hidden="1" customHeight="1" x14ac:dyDescent="0.25">
      <c r="A4865" s="12" t="s">
        <v>6849</v>
      </c>
      <c r="B4865" s="12" t="s">
        <v>6850</v>
      </c>
      <c r="C4865" s="14">
        <v>3456537</v>
      </c>
      <c r="D4865" s="12"/>
      <c r="E4865" s="14"/>
    </row>
    <row r="4866" spans="1:5" ht="11.1" hidden="1" customHeight="1" x14ac:dyDescent="0.25">
      <c r="A4866" s="12" t="s">
        <v>6851</v>
      </c>
      <c r="B4866" s="12" t="s">
        <v>6852</v>
      </c>
      <c r="C4866" s="14">
        <v>2244.37</v>
      </c>
      <c r="D4866" s="12"/>
      <c r="E4866" s="14"/>
    </row>
    <row r="4867" spans="1:5" ht="11.1" hidden="1" customHeight="1" x14ac:dyDescent="0.25">
      <c r="A4867" s="12" t="s">
        <v>6853</v>
      </c>
      <c r="B4867" s="12" t="s">
        <v>6852</v>
      </c>
      <c r="C4867" s="14">
        <v>1769.37</v>
      </c>
      <c r="D4867" s="12"/>
      <c r="E4867" s="14"/>
    </row>
    <row r="4868" spans="1:5" ht="11.1" hidden="1" customHeight="1" x14ac:dyDescent="0.25">
      <c r="A4868" s="12" t="s">
        <v>6854</v>
      </c>
      <c r="B4868" s="12" t="s">
        <v>6852</v>
      </c>
      <c r="C4868" s="14">
        <v>1769.37</v>
      </c>
      <c r="D4868" s="12"/>
      <c r="E4868" s="14"/>
    </row>
    <row r="4869" spans="1:5" ht="11.1" hidden="1" customHeight="1" x14ac:dyDescent="0.25">
      <c r="A4869" s="12" t="s">
        <v>6855</v>
      </c>
      <c r="B4869" s="12" t="s">
        <v>2053</v>
      </c>
      <c r="C4869" s="14">
        <v>207.5</v>
      </c>
      <c r="D4869" s="12"/>
      <c r="E4869" s="13"/>
    </row>
    <row r="4870" spans="1:5" ht="11.1" hidden="1" customHeight="1" x14ac:dyDescent="0.25">
      <c r="A4870" s="12" t="s">
        <v>6856</v>
      </c>
      <c r="B4870" s="12" t="s">
        <v>2105</v>
      </c>
      <c r="C4870" s="14">
        <v>299</v>
      </c>
      <c r="D4870" s="12"/>
      <c r="E4870" s="13"/>
    </row>
    <row r="4871" spans="1:5" ht="11.1" hidden="1" customHeight="1" x14ac:dyDescent="0.25">
      <c r="A4871" s="12" t="s">
        <v>6857</v>
      </c>
      <c r="B4871" s="12" t="s">
        <v>2100</v>
      </c>
      <c r="C4871" s="14">
        <v>210</v>
      </c>
      <c r="D4871" s="12"/>
      <c r="E4871" s="13"/>
    </row>
    <row r="4872" spans="1:5" ht="11.1" hidden="1" customHeight="1" x14ac:dyDescent="0.25">
      <c r="A4872" s="12" t="s">
        <v>6858</v>
      </c>
      <c r="B4872" s="12" t="s">
        <v>1985</v>
      </c>
      <c r="C4872" s="14">
        <v>125</v>
      </c>
      <c r="D4872" s="12"/>
      <c r="E4872" s="13"/>
    </row>
    <row r="4873" spans="1:5" ht="11.1" hidden="1" customHeight="1" x14ac:dyDescent="0.25">
      <c r="A4873" s="12" t="s">
        <v>6859</v>
      </c>
      <c r="B4873" s="12" t="s">
        <v>2162</v>
      </c>
      <c r="C4873" s="14">
        <v>254.18</v>
      </c>
      <c r="D4873" s="12"/>
      <c r="E4873" s="13"/>
    </row>
    <row r="4874" spans="1:5" ht="11.1" hidden="1" customHeight="1" x14ac:dyDescent="0.25">
      <c r="A4874" s="12" t="s">
        <v>6860</v>
      </c>
      <c r="B4874" s="12" t="s">
        <v>2053</v>
      </c>
      <c r="C4874" s="14">
        <v>262.5</v>
      </c>
      <c r="D4874" s="12"/>
      <c r="E4874" s="13"/>
    </row>
    <row r="4875" spans="1:5" ht="11.1" hidden="1" customHeight="1" x14ac:dyDescent="0.25">
      <c r="A4875" s="12" t="s">
        <v>6861</v>
      </c>
      <c r="B4875" s="12" t="s">
        <v>2107</v>
      </c>
      <c r="C4875" s="14">
        <v>262.5</v>
      </c>
      <c r="D4875" s="12"/>
      <c r="E4875" s="13"/>
    </row>
    <row r="4876" spans="1:5" ht="11.1" hidden="1" customHeight="1" x14ac:dyDescent="0.25">
      <c r="A4876" s="12" t="s">
        <v>6862</v>
      </c>
      <c r="B4876" s="12" t="s">
        <v>1985</v>
      </c>
      <c r="C4876" s="14">
        <v>364.18</v>
      </c>
      <c r="D4876" s="12"/>
      <c r="E4876" s="13"/>
    </row>
    <row r="4877" spans="1:5" ht="11.1" hidden="1" customHeight="1" x14ac:dyDescent="0.25">
      <c r="A4877" s="12" t="s">
        <v>6863</v>
      </c>
      <c r="B4877" s="12" t="s">
        <v>2105</v>
      </c>
      <c r="C4877" s="14">
        <v>120</v>
      </c>
      <c r="D4877" s="12"/>
      <c r="E4877" s="13"/>
    </row>
    <row r="4878" spans="1:5" ht="11.1" hidden="1" customHeight="1" x14ac:dyDescent="0.25">
      <c r="A4878" s="12" t="s">
        <v>6864</v>
      </c>
      <c r="B4878" s="12" t="s">
        <v>2100</v>
      </c>
      <c r="C4878" s="14">
        <v>775</v>
      </c>
      <c r="D4878" s="12"/>
      <c r="E4878" s="13"/>
    </row>
    <row r="4879" spans="1:5" ht="11.1" hidden="1" customHeight="1" x14ac:dyDescent="0.25">
      <c r="A4879" s="12" t="s">
        <v>6865</v>
      </c>
      <c r="B4879" s="12" t="s">
        <v>2162</v>
      </c>
      <c r="C4879" s="14">
        <v>25.08</v>
      </c>
      <c r="D4879" s="12"/>
      <c r="E4879" s="13"/>
    </row>
    <row r="4880" spans="1:5" ht="11.1" hidden="1" customHeight="1" x14ac:dyDescent="0.25">
      <c r="A4880" s="12" t="s">
        <v>6866</v>
      </c>
      <c r="B4880" s="12" t="s">
        <v>2107</v>
      </c>
      <c r="C4880" s="14">
        <v>33</v>
      </c>
      <c r="D4880" s="12"/>
      <c r="E4880" s="13"/>
    </row>
    <row r="4881" spans="1:5" ht="11.1" hidden="1" customHeight="1" x14ac:dyDescent="0.25">
      <c r="A4881" s="12" t="s">
        <v>6867</v>
      </c>
      <c r="B4881" s="12" t="s">
        <v>2053</v>
      </c>
      <c r="C4881" s="14">
        <v>321.68</v>
      </c>
      <c r="D4881" s="12"/>
      <c r="E4881" s="13"/>
    </row>
    <row r="4882" spans="1:5" ht="11.1" hidden="1" customHeight="1" x14ac:dyDescent="0.25">
      <c r="A4882" s="12" t="s">
        <v>6868</v>
      </c>
      <c r="B4882" s="12" t="s">
        <v>2107</v>
      </c>
      <c r="C4882" s="14">
        <v>480.83</v>
      </c>
      <c r="D4882" s="12"/>
      <c r="E4882" s="13"/>
    </row>
    <row r="4883" spans="1:5" ht="11.1" hidden="1" customHeight="1" x14ac:dyDescent="0.25">
      <c r="A4883" s="12" t="s">
        <v>6869</v>
      </c>
      <c r="B4883" s="12" t="s">
        <v>2110</v>
      </c>
      <c r="C4883" s="14">
        <v>406.67</v>
      </c>
      <c r="D4883" s="12"/>
      <c r="E4883" s="13"/>
    </row>
    <row r="4884" spans="1:5" ht="11.1" hidden="1" customHeight="1" x14ac:dyDescent="0.25">
      <c r="A4884" s="12" t="s">
        <v>6870</v>
      </c>
      <c r="B4884" s="12" t="s">
        <v>1985</v>
      </c>
      <c r="C4884" s="14">
        <v>147.5</v>
      </c>
      <c r="D4884" s="12"/>
      <c r="E4884" s="13"/>
    </row>
    <row r="4885" spans="1:5" ht="11.1" hidden="1" customHeight="1" x14ac:dyDescent="0.25">
      <c r="A4885" s="12" t="s">
        <v>6871</v>
      </c>
      <c r="B4885" s="12" t="s">
        <v>2053</v>
      </c>
      <c r="C4885" s="14">
        <v>345.83</v>
      </c>
      <c r="D4885" s="12"/>
      <c r="E4885" s="13"/>
    </row>
    <row r="4886" spans="1:5" ht="11.1" hidden="1" customHeight="1" x14ac:dyDescent="0.25">
      <c r="A4886" s="12" t="s">
        <v>6872</v>
      </c>
      <c r="B4886" s="12" t="s">
        <v>1985</v>
      </c>
      <c r="C4886" s="14">
        <v>398.33</v>
      </c>
      <c r="D4886" s="12"/>
      <c r="E4886" s="13"/>
    </row>
    <row r="4887" spans="1:5" ht="11.1" hidden="1" customHeight="1" x14ac:dyDescent="0.25">
      <c r="A4887" s="12" t="s">
        <v>6873</v>
      </c>
      <c r="B4887" s="12" t="s">
        <v>2110</v>
      </c>
      <c r="C4887" s="14">
        <v>405.83</v>
      </c>
      <c r="D4887" s="12"/>
      <c r="E4887" s="13"/>
    </row>
    <row r="4888" spans="1:5" ht="11.1" hidden="1" customHeight="1" x14ac:dyDescent="0.25">
      <c r="A4888" s="12" t="s">
        <v>6874</v>
      </c>
      <c r="B4888" s="12" t="s">
        <v>2100</v>
      </c>
      <c r="C4888" s="14">
        <v>33.08</v>
      </c>
      <c r="D4888" s="12"/>
      <c r="E4888" s="13"/>
    </row>
    <row r="4889" spans="1:5" ht="11.1" hidden="1" customHeight="1" x14ac:dyDescent="0.25">
      <c r="A4889" s="12" t="s">
        <v>6875</v>
      </c>
      <c r="B4889" s="12" t="s">
        <v>2100</v>
      </c>
      <c r="C4889" s="14">
        <v>34.58</v>
      </c>
      <c r="D4889" s="12"/>
      <c r="E4889" s="13"/>
    </row>
    <row r="4890" spans="1:5" ht="11.1" hidden="1" customHeight="1" x14ac:dyDescent="0.25">
      <c r="A4890" s="12" t="s">
        <v>6876</v>
      </c>
      <c r="B4890" s="12" t="s">
        <v>2828</v>
      </c>
      <c r="C4890" s="14">
        <v>795.68</v>
      </c>
      <c r="D4890" s="12"/>
      <c r="E4890" s="13"/>
    </row>
    <row r="4891" spans="1:5" ht="11.1" hidden="1" customHeight="1" x14ac:dyDescent="0.25">
      <c r="A4891" s="12" t="s">
        <v>6877</v>
      </c>
      <c r="B4891" s="12" t="s">
        <v>2946</v>
      </c>
      <c r="C4891" s="14">
        <v>988</v>
      </c>
      <c r="D4891" s="12"/>
      <c r="E4891" s="13"/>
    </row>
    <row r="4892" spans="1:5" ht="11.1" hidden="1" customHeight="1" x14ac:dyDescent="0.25">
      <c r="A4892" s="12" t="s">
        <v>6878</v>
      </c>
      <c r="B4892" s="12" t="s">
        <v>6879</v>
      </c>
      <c r="C4892" s="14">
        <v>10625.83</v>
      </c>
      <c r="D4892" s="12"/>
      <c r="E4892" s="14"/>
    </row>
    <row r="4893" spans="1:5" ht="11.1" hidden="1" customHeight="1" x14ac:dyDescent="0.25">
      <c r="A4893" s="12" t="s">
        <v>6880</v>
      </c>
      <c r="B4893" s="12" t="s">
        <v>2030</v>
      </c>
      <c r="C4893" s="14">
        <v>3944.4</v>
      </c>
      <c r="D4893" s="12"/>
      <c r="E4893" s="14"/>
    </row>
    <row r="4894" spans="1:5" ht="11.1" hidden="1" customHeight="1" x14ac:dyDescent="0.25">
      <c r="A4894" s="12" t="s">
        <v>6881</v>
      </c>
      <c r="B4894" s="12" t="s">
        <v>5459</v>
      </c>
      <c r="C4894" s="14">
        <v>433.33</v>
      </c>
      <c r="D4894" s="12"/>
      <c r="E4894" s="13"/>
    </row>
    <row r="4895" spans="1:5" ht="11.1" hidden="1" customHeight="1" x14ac:dyDescent="0.25">
      <c r="A4895" s="12" t="s">
        <v>6882</v>
      </c>
      <c r="B4895" s="12" t="s">
        <v>6883</v>
      </c>
      <c r="C4895" s="14">
        <v>7.08</v>
      </c>
      <c r="D4895" s="12"/>
      <c r="E4895" s="13"/>
    </row>
    <row r="4896" spans="1:5" ht="11.1" hidden="1" customHeight="1" x14ac:dyDescent="0.25">
      <c r="A4896" s="12" t="s">
        <v>6884</v>
      </c>
      <c r="B4896" s="12" t="s">
        <v>6885</v>
      </c>
      <c r="C4896" s="14">
        <v>3.81</v>
      </c>
      <c r="D4896" s="12"/>
      <c r="E4896" s="13"/>
    </row>
    <row r="4897" spans="1:5" ht="11.1" hidden="1" customHeight="1" x14ac:dyDescent="0.25">
      <c r="A4897" s="12" t="s">
        <v>6886</v>
      </c>
      <c r="B4897" s="12" t="s">
        <v>1151</v>
      </c>
      <c r="C4897" s="14">
        <v>299.17</v>
      </c>
      <c r="D4897" s="12"/>
      <c r="E4897" s="13"/>
    </row>
    <row r="4898" spans="1:5" ht="23.1" hidden="1" customHeight="1" x14ac:dyDescent="0.25">
      <c r="A4898" s="12" t="s">
        <v>6887</v>
      </c>
      <c r="B4898" s="12" t="s">
        <v>6888</v>
      </c>
      <c r="C4898" s="14">
        <v>6338.33</v>
      </c>
      <c r="D4898" s="12"/>
      <c r="E4898" s="14"/>
    </row>
    <row r="4899" spans="1:5" ht="11.1" hidden="1" customHeight="1" x14ac:dyDescent="0.25">
      <c r="A4899" s="12" t="s">
        <v>6889</v>
      </c>
      <c r="B4899" s="12" t="s">
        <v>6890</v>
      </c>
      <c r="C4899" s="14">
        <v>3000</v>
      </c>
      <c r="D4899" s="12"/>
      <c r="E4899" s="14"/>
    </row>
    <row r="4900" spans="1:5" ht="11.1" hidden="1" customHeight="1" x14ac:dyDescent="0.25">
      <c r="A4900" s="12" t="s">
        <v>6891</v>
      </c>
      <c r="B4900" s="12" t="s">
        <v>6892</v>
      </c>
      <c r="C4900" s="14">
        <v>10.83</v>
      </c>
      <c r="D4900" s="12"/>
      <c r="E4900" s="13"/>
    </row>
    <row r="4901" spans="1:5" ht="11.1" hidden="1" customHeight="1" x14ac:dyDescent="0.25">
      <c r="A4901" s="12" t="s">
        <v>6893</v>
      </c>
      <c r="B4901" s="12" t="s">
        <v>6892</v>
      </c>
      <c r="C4901" s="14">
        <v>15</v>
      </c>
      <c r="D4901" s="12"/>
      <c r="E4901" s="13"/>
    </row>
    <row r="4902" spans="1:5" ht="11.1" hidden="1" customHeight="1" x14ac:dyDescent="0.25">
      <c r="A4902" s="12" t="s">
        <v>6894</v>
      </c>
      <c r="B4902" s="12" t="s">
        <v>1934</v>
      </c>
      <c r="C4902" s="14">
        <v>125</v>
      </c>
      <c r="D4902" s="12"/>
      <c r="E4902" s="13"/>
    </row>
    <row r="4903" spans="1:5" ht="11.1" hidden="1" customHeight="1" x14ac:dyDescent="0.25">
      <c r="A4903" s="12" t="s">
        <v>6895</v>
      </c>
      <c r="B4903" s="12" t="s">
        <v>6896</v>
      </c>
      <c r="C4903" s="14">
        <v>10</v>
      </c>
      <c r="D4903" s="12"/>
      <c r="E4903" s="13"/>
    </row>
    <row r="4904" spans="1:5" ht="11.1" hidden="1" customHeight="1" x14ac:dyDescent="0.25">
      <c r="A4904" s="12" t="s">
        <v>6897</v>
      </c>
      <c r="B4904" s="12" t="s">
        <v>6898</v>
      </c>
      <c r="C4904" s="14">
        <v>5</v>
      </c>
      <c r="D4904" s="12"/>
      <c r="E4904" s="13"/>
    </row>
    <row r="4905" spans="1:5" ht="11.1" hidden="1" customHeight="1" x14ac:dyDescent="0.25">
      <c r="A4905" s="12" t="s">
        <v>6899</v>
      </c>
      <c r="B4905" s="12" t="s">
        <v>6900</v>
      </c>
      <c r="C4905" s="14">
        <v>5.8</v>
      </c>
      <c r="D4905" s="12"/>
      <c r="E4905" s="13"/>
    </row>
    <row r="4906" spans="1:5" ht="11.1" hidden="1" customHeight="1" x14ac:dyDescent="0.25">
      <c r="A4906" s="12" t="s">
        <v>6901</v>
      </c>
      <c r="B4906" s="12" t="s">
        <v>6902</v>
      </c>
      <c r="C4906" s="14">
        <v>6.2</v>
      </c>
      <c r="D4906" s="12"/>
      <c r="E4906" s="13"/>
    </row>
    <row r="4907" spans="1:5" ht="11.1" hidden="1" customHeight="1" x14ac:dyDescent="0.25">
      <c r="A4907" s="12" t="s">
        <v>6903</v>
      </c>
      <c r="B4907" s="12" t="s">
        <v>6904</v>
      </c>
      <c r="C4907" s="14">
        <v>4.46</v>
      </c>
      <c r="D4907" s="12"/>
      <c r="E4907" s="13"/>
    </row>
    <row r="4908" spans="1:5" ht="11.1" hidden="1" customHeight="1" x14ac:dyDescent="0.25">
      <c r="A4908" s="12" t="s">
        <v>6905</v>
      </c>
      <c r="B4908" s="12" t="s">
        <v>6898</v>
      </c>
      <c r="C4908" s="14">
        <v>3.33</v>
      </c>
      <c r="D4908" s="12"/>
      <c r="E4908" s="13"/>
    </row>
    <row r="4909" spans="1:5" ht="11.1" hidden="1" customHeight="1" x14ac:dyDescent="0.25">
      <c r="A4909" s="12" t="s">
        <v>6906</v>
      </c>
      <c r="B4909" s="12" t="s">
        <v>6907</v>
      </c>
      <c r="C4909" s="14">
        <v>31.67</v>
      </c>
      <c r="D4909" s="12"/>
      <c r="E4909" s="13"/>
    </row>
    <row r="4910" spans="1:5" ht="11.1" hidden="1" customHeight="1" x14ac:dyDescent="0.25">
      <c r="A4910" s="12" t="s">
        <v>6908</v>
      </c>
      <c r="B4910" s="12" t="s">
        <v>6898</v>
      </c>
      <c r="C4910" s="14">
        <v>3.33</v>
      </c>
      <c r="D4910" s="12"/>
      <c r="E4910" s="13"/>
    </row>
    <row r="4911" spans="1:5" ht="11.1" hidden="1" customHeight="1" x14ac:dyDescent="0.25">
      <c r="A4911" s="12" t="s">
        <v>6909</v>
      </c>
      <c r="B4911" s="12" t="s">
        <v>6910</v>
      </c>
      <c r="C4911" s="14">
        <v>20.83</v>
      </c>
      <c r="D4911" s="12"/>
      <c r="E4911" s="13"/>
    </row>
    <row r="4912" spans="1:5" ht="11.1" hidden="1" customHeight="1" x14ac:dyDescent="0.25">
      <c r="A4912" s="12" t="s">
        <v>6911</v>
      </c>
      <c r="B4912" s="12" t="s">
        <v>3745</v>
      </c>
      <c r="C4912" s="14">
        <v>3.15</v>
      </c>
      <c r="D4912" s="12"/>
      <c r="E4912" s="13"/>
    </row>
    <row r="4913" spans="1:5" ht="11.1" hidden="1" customHeight="1" x14ac:dyDescent="0.25">
      <c r="A4913" s="12" t="s">
        <v>6912</v>
      </c>
      <c r="B4913" s="12" t="s">
        <v>6913</v>
      </c>
      <c r="C4913" s="14">
        <v>2.97</v>
      </c>
      <c r="D4913" s="12"/>
      <c r="E4913" s="13"/>
    </row>
    <row r="4914" spans="1:5" ht="11.1" hidden="1" customHeight="1" x14ac:dyDescent="0.25">
      <c r="A4914" s="12" t="s">
        <v>6914</v>
      </c>
      <c r="B4914" s="12" t="s">
        <v>6915</v>
      </c>
      <c r="C4914" s="14">
        <v>25</v>
      </c>
      <c r="D4914" s="12"/>
      <c r="E4914" s="13"/>
    </row>
    <row r="4915" spans="1:5" ht="11.1" hidden="1" customHeight="1" x14ac:dyDescent="0.25">
      <c r="A4915" s="12" t="s">
        <v>6916</v>
      </c>
      <c r="B4915" s="12" t="s">
        <v>5720</v>
      </c>
      <c r="C4915" s="14">
        <v>5084.17</v>
      </c>
      <c r="D4915" s="12"/>
      <c r="E4915" s="14"/>
    </row>
    <row r="4916" spans="1:5" ht="11.1" hidden="1" customHeight="1" x14ac:dyDescent="0.25">
      <c r="A4916" s="12" t="s">
        <v>6917</v>
      </c>
      <c r="B4916" s="12" t="s">
        <v>6918</v>
      </c>
      <c r="C4916" s="14">
        <v>10.67</v>
      </c>
      <c r="D4916" s="12"/>
      <c r="E4916" s="13"/>
    </row>
    <row r="4917" spans="1:5" ht="11.1" hidden="1" customHeight="1" x14ac:dyDescent="0.25">
      <c r="A4917" s="12" t="s">
        <v>6919</v>
      </c>
      <c r="B4917" s="12" t="s">
        <v>6920</v>
      </c>
      <c r="C4917" s="14">
        <v>1993.33</v>
      </c>
      <c r="D4917" s="12"/>
      <c r="E4917" s="14"/>
    </row>
    <row r="4918" spans="1:5" ht="11.1" hidden="1" customHeight="1" x14ac:dyDescent="0.25">
      <c r="A4918" s="12" t="s">
        <v>6921</v>
      </c>
      <c r="B4918" s="12" t="s">
        <v>6922</v>
      </c>
      <c r="C4918" s="14">
        <v>4895.6099999999997</v>
      </c>
      <c r="D4918" s="12"/>
      <c r="E4918" s="14"/>
    </row>
    <row r="4919" spans="1:5" ht="11.1" hidden="1" customHeight="1" x14ac:dyDescent="0.25">
      <c r="A4919" s="12" t="s">
        <v>6923</v>
      </c>
      <c r="B4919" s="12" t="s">
        <v>6922</v>
      </c>
      <c r="C4919" s="14">
        <v>5041.8900000000003</v>
      </c>
      <c r="D4919" s="12"/>
      <c r="E4919" s="14"/>
    </row>
    <row r="4920" spans="1:5" ht="11.1" hidden="1" customHeight="1" x14ac:dyDescent="0.25">
      <c r="A4920" s="12" t="s">
        <v>6924</v>
      </c>
      <c r="B4920" s="12" t="s">
        <v>6925</v>
      </c>
      <c r="C4920" s="14">
        <v>6061.67</v>
      </c>
      <c r="D4920" s="12"/>
      <c r="E4920" s="14"/>
    </row>
    <row r="4921" spans="1:5" ht="11.1" hidden="1" customHeight="1" x14ac:dyDescent="0.25">
      <c r="A4921" s="12" t="s">
        <v>6926</v>
      </c>
      <c r="B4921" s="12" t="s">
        <v>6927</v>
      </c>
      <c r="C4921" s="14">
        <v>6110.83</v>
      </c>
      <c r="D4921" s="12"/>
      <c r="E4921" s="14"/>
    </row>
    <row r="4922" spans="1:5" ht="11.1" hidden="1" customHeight="1" x14ac:dyDescent="0.25">
      <c r="A4922" s="12" t="s">
        <v>6928</v>
      </c>
      <c r="B4922" s="12" t="s">
        <v>6929</v>
      </c>
      <c r="C4922" s="14">
        <v>10478.33</v>
      </c>
      <c r="D4922" s="12"/>
      <c r="E4922" s="14"/>
    </row>
    <row r="4923" spans="1:5" ht="11.1" hidden="1" customHeight="1" x14ac:dyDescent="0.25">
      <c r="A4923" s="12" t="s">
        <v>6930</v>
      </c>
      <c r="B4923" s="12" t="s">
        <v>6931</v>
      </c>
      <c r="C4923" s="14">
        <v>9735.36</v>
      </c>
      <c r="D4923" s="12"/>
      <c r="E4923" s="14"/>
    </row>
    <row r="4924" spans="1:5" ht="11.1" hidden="1" customHeight="1" x14ac:dyDescent="0.25">
      <c r="A4924" s="12" t="s">
        <v>6932</v>
      </c>
      <c r="B4924" s="12" t="s">
        <v>6929</v>
      </c>
      <c r="C4924" s="14">
        <v>10478.33</v>
      </c>
      <c r="D4924" s="12"/>
      <c r="E4924" s="14"/>
    </row>
    <row r="4925" spans="1:5" ht="11.1" hidden="1" customHeight="1" x14ac:dyDescent="0.25">
      <c r="A4925" s="12" t="s">
        <v>6933</v>
      </c>
      <c r="B4925" s="12" t="s">
        <v>6931</v>
      </c>
      <c r="C4925" s="14">
        <v>9735.36</v>
      </c>
      <c r="D4925" s="12"/>
      <c r="E4925" s="14"/>
    </row>
    <row r="4926" spans="1:5" ht="11.1" hidden="1" customHeight="1" x14ac:dyDescent="0.25">
      <c r="A4926" s="12" t="s">
        <v>6934</v>
      </c>
      <c r="B4926" s="12" t="s">
        <v>6815</v>
      </c>
      <c r="C4926" s="14">
        <v>16407.5</v>
      </c>
      <c r="D4926" s="12"/>
      <c r="E4926" s="14"/>
    </row>
    <row r="4927" spans="1:5" ht="11.1" hidden="1" customHeight="1" x14ac:dyDescent="0.25">
      <c r="A4927" s="12" t="s">
        <v>6935</v>
      </c>
      <c r="B4927" s="12" t="s">
        <v>6936</v>
      </c>
      <c r="C4927" s="14">
        <v>5192.09</v>
      </c>
      <c r="D4927" s="12"/>
      <c r="E4927" s="14"/>
    </row>
    <row r="4928" spans="1:5" ht="11.1" hidden="1" customHeight="1" x14ac:dyDescent="0.25">
      <c r="A4928" s="12" t="s">
        <v>6937</v>
      </c>
      <c r="B4928" s="12" t="s">
        <v>6938</v>
      </c>
      <c r="C4928" s="14">
        <v>3301.9</v>
      </c>
      <c r="D4928" s="12"/>
      <c r="E4928" s="14"/>
    </row>
    <row r="4929" spans="1:5" ht="11.1" hidden="1" customHeight="1" x14ac:dyDescent="0.25">
      <c r="A4929" s="12" t="s">
        <v>6939</v>
      </c>
      <c r="B4929" s="12" t="s">
        <v>4594</v>
      </c>
      <c r="C4929" s="14">
        <v>6118</v>
      </c>
      <c r="D4929" s="12"/>
      <c r="E4929" s="14"/>
    </row>
    <row r="4930" spans="1:5" ht="11.1" hidden="1" customHeight="1" x14ac:dyDescent="0.25">
      <c r="A4930" s="12" t="s">
        <v>6940</v>
      </c>
      <c r="B4930" s="12" t="s">
        <v>6941</v>
      </c>
      <c r="C4930" s="14">
        <v>3515</v>
      </c>
      <c r="D4930" s="12"/>
      <c r="E4930" s="14"/>
    </row>
    <row r="4931" spans="1:5" ht="11.1" hidden="1" customHeight="1" x14ac:dyDescent="0.25">
      <c r="A4931" s="12" t="s">
        <v>6942</v>
      </c>
      <c r="B4931" s="12" t="s">
        <v>5825</v>
      </c>
      <c r="C4931" s="14">
        <v>19675</v>
      </c>
      <c r="D4931" s="12"/>
      <c r="E4931" s="14"/>
    </row>
    <row r="4932" spans="1:5" ht="11.1" hidden="1" customHeight="1" x14ac:dyDescent="0.25">
      <c r="A4932" s="12" t="s">
        <v>6943</v>
      </c>
      <c r="B4932" s="12" t="s">
        <v>6944</v>
      </c>
      <c r="C4932" s="14">
        <v>97916.67</v>
      </c>
      <c r="D4932" s="12"/>
      <c r="E4932" s="14"/>
    </row>
    <row r="4933" spans="1:5" ht="11.1" hidden="1" customHeight="1" x14ac:dyDescent="0.25">
      <c r="A4933" s="12" t="s">
        <v>6945</v>
      </c>
      <c r="B4933" s="12" t="s">
        <v>6828</v>
      </c>
      <c r="C4933" s="14">
        <v>7471.67</v>
      </c>
      <c r="D4933" s="12"/>
      <c r="E4933" s="14"/>
    </row>
    <row r="4934" spans="1:5" ht="11.1" hidden="1" customHeight="1" x14ac:dyDescent="0.25">
      <c r="A4934" s="12" t="s">
        <v>6946</v>
      </c>
      <c r="B4934" s="12" t="s">
        <v>6947</v>
      </c>
      <c r="C4934" s="14">
        <v>4802.5</v>
      </c>
      <c r="D4934" s="12"/>
      <c r="E4934" s="14"/>
    </row>
    <row r="4935" spans="1:5" ht="11.1" hidden="1" customHeight="1" x14ac:dyDescent="0.25">
      <c r="A4935" s="12" t="s">
        <v>6948</v>
      </c>
      <c r="B4935" s="12" t="s">
        <v>6949</v>
      </c>
      <c r="C4935" s="14">
        <v>16251.93</v>
      </c>
      <c r="D4935" s="12"/>
      <c r="E4935" s="14"/>
    </row>
    <row r="4936" spans="1:5" ht="11.1" hidden="1" customHeight="1" x14ac:dyDescent="0.25">
      <c r="A4936" s="12" t="s">
        <v>6950</v>
      </c>
      <c r="B4936" s="12" t="s">
        <v>6951</v>
      </c>
      <c r="C4936" s="14">
        <v>20725</v>
      </c>
      <c r="D4936" s="12"/>
      <c r="E4936" s="14"/>
    </row>
    <row r="4937" spans="1:5" ht="11.1" hidden="1" customHeight="1" x14ac:dyDescent="0.25">
      <c r="A4937" s="12" t="s">
        <v>6952</v>
      </c>
      <c r="B4937" s="12" t="s">
        <v>6842</v>
      </c>
      <c r="C4937" s="14">
        <v>11705.26</v>
      </c>
      <c r="D4937" s="12"/>
      <c r="E4937" s="14"/>
    </row>
    <row r="4938" spans="1:5" ht="23.1" hidden="1" customHeight="1" x14ac:dyDescent="0.25">
      <c r="A4938" s="12" t="s">
        <v>6953</v>
      </c>
      <c r="B4938" s="12" t="s">
        <v>6507</v>
      </c>
      <c r="C4938" s="14">
        <v>4307</v>
      </c>
      <c r="D4938" s="12"/>
      <c r="E4938" s="14"/>
    </row>
    <row r="4939" spans="1:5" ht="11.1" hidden="1" customHeight="1" x14ac:dyDescent="0.25">
      <c r="A4939" s="12" t="s">
        <v>6954</v>
      </c>
      <c r="B4939" s="12" t="s">
        <v>6828</v>
      </c>
      <c r="C4939" s="14">
        <v>7433.33</v>
      </c>
      <c r="D4939" s="12"/>
      <c r="E4939" s="14"/>
    </row>
    <row r="4940" spans="1:5" ht="11.1" hidden="1" customHeight="1" x14ac:dyDescent="0.25">
      <c r="A4940" s="12" t="s">
        <v>6955</v>
      </c>
      <c r="B4940" s="12" t="s">
        <v>6828</v>
      </c>
      <c r="C4940" s="14">
        <v>7433.33</v>
      </c>
      <c r="D4940" s="12"/>
      <c r="E4940" s="14"/>
    </row>
    <row r="4941" spans="1:5" ht="11.1" hidden="1" customHeight="1" x14ac:dyDescent="0.25">
      <c r="A4941" s="12" t="s">
        <v>6956</v>
      </c>
      <c r="B4941" s="12" t="s">
        <v>2032</v>
      </c>
      <c r="C4941" s="14">
        <v>3881.62</v>
      </c>
      <c r="D4941" s="12"/>
      <c r="E4941" s="14"/>
    </row>
    <row r="4942" spans="1:5" ht="11.1" hidden="1" customHeight="1" x14ac:dyDescent="0.25">
      <c r="A4942" s="12" t="s">
        <v>6957</v>
      </c>
      <c r="B4942" s="12" t="s">
        <v>2032</v>
      </c>
      <c r="C4942" s="14">
        <v>7510.23</v>
      </c>
      <c r="D4942" s="12"/>
      <c r="E4942" s="14"/>
    </row>
    <row r="4943" spans="1:5" ht="11.1" hidden="1" customHeight="1" x14ac:dyDescent="0.25">
      <c r="A4943" s="12" t="s">
        <v>6958</v>
      </c>
      <c r="B4943" s="12" t="s">
        <v>4594</v>
      </c>
      <c r="C4943" s="14">
        <v>2520</v>
      </c>
      <c r="D4943" s="12"/>
      <c r="E4943" s="14"/>
    </row>
    <row r="4944" spans="1:5" ht="11.1" hidden="1" customHeight="1" x14ac:dyDescent="0.25">
      <c r="A4944" s="12" t="s">
        <v>6959</v>
      </c>
      <c r="B4944" s="12" t="s">
        <v>600</v>
      </c>
      <c r="C4944" s="14">
        <v>308.77999999999997</v>
      </c>
      <c r="D4944" s="12"/>
      <c r="E4944" s="13"/>
    </row>
    <row r="4945" spans="1:5" ht="23.1" hidden="1" customHeight="1" x14ac:dyDescent="0.25">
      <c r="A4945" s="12" t="s">
        <v>6960</v>
      </c>
      <c r="B4945" s="12" t="s">
        <v>6961</v>
      </c>
      <c r="C4945" s="14">
        <v>23009.1</v>
      </c>
      <c r="D4945" s="12"/>
      <c r="E4945" s="14"/>
    </row>
    <row r="4946" spans="1:5" ht="11.1" hidden="1" customHeight="1" x14ac:dyDescent="0.25">
      <c r="A4946" s="12" t="s">
        <v>6962</v>
      </c>
      <c r="B4946" s="12" t="s">
        <v>6963</v>
      </c>
      <c r="C4946" s="14">
        <v>62198</v>
      </c>
      <c r="D4946" s="12"/>
      <c r="E4946" s="14"/>
    </row>
    <row r="4947" spans="1:5" ht="11.1" hidden="1" customHeight="1" x14ac:dyDescent="0.25">
      <c r="A4947" s="12" t="s">
        <v>6964</v>
      </c>
      <c r="B4947" s="12" t="s">
        <v>6965</v>
      </c>
      <c r="C4947" s="14">
        <v>250</v>
      </c>
      <c r="D4947" s="12"/>
      <c r="E4947" s="13"/>
    </row>
    <row r="4948" spans="1:5" ht="11.1" hidden="1" customHeight="1" x14ac:dyDescent="0.25">
      <c r="A4948" s="12" t="s">
        <v>6966</v>
      </c>
      <c r="B4948" s="12" t="s">
        <v>6588</v>
      </c>
      <c r="C4948" s="14">
        <v>220</v>
      </c>
      <c r="D4948" s="12"/>
      <c r="E4948" s="13"/>
    </row>
    <row r="4949" spans="1:5" ht="11.1" hidden="1" customHeight="1" x14ac:dyDescent="0.25">
      <c r="A4949" s="12" t="s">
        <v>6967</v>
      </c>
      <c r="B4949" s="12" t="s">
        <v>6968</v>
      </c>
      <c r="C4949" s="14">
        <v>2317.5</v>
      </c>
      <c r="D4949" s="12"/>
      <c r="E4949" s="14"/>
    </row>
    <row r="4950" spans="1:5" ht="11.1" hidden="1" customHeight="1" x14ac:dyDescent="0.25">
      <c r="A4950" s="12" t="s">
        <v>6969</v>
      </c>
      <c r="B4950" s="12" t="s">
        <v>6970</v>
      </c>
      <c r="C4950" s="14">
        <v>1294.17</v>
      </c>
      <c r="D4950" s="12"/>
      <c r="E4950" s="14"/>
    </row>
    <row r="4951" spans="1:5" ht="11.1" hidden="1" customHeight="1" x14ac:dyDescent="0.25">
      <c r="A4951" s="12" t="s">
        <v>6971</v>
      </c>
      <c r="B4951" s="12" t="s">
        <v>780</v>
      </c>
      <c r="C4951" s="14">
        <v>1073.33</v>
      </c>
      <c r="D4951" s="12"/>
      <c r="E4951" s="14"/>
    </row>
    <row r="4952" spans="1:5" ht="11.1" hidden="1" customHeight="1" x14ac:dyDescent="0.25">
      <c r="A4952" s="12" t="s">
        <v>6972</v>
      </c>
      <c r="B4952" s="12" t="s">
        <v>3292</v>
      </c>
      <c r="C4952" s="14">
        <v>27.19</v>
      </c>
      <c r="D4952" s="12"/>
      <c r="E4952" s="13"/>
    </row>
    <row r="4953" spans="1:5" ht="23.1" hidden="1" customHeight="1" x14ac:dyDescent="0.25">
      <c r="A4953" s="12" t="s">
        <v>6973</v>
      </c>
      <c r="B4953" s="12" t="s">
        <v>3292</v>
      </c>
      <c r="C4953" s="14">
        <v>40.79</v>
      </c>
      <c r="D4953" s="12"/>
      <c r="E4953" s="13"/>
    </row>
    <row r="4954" spans="1:5" ht="11.1" hidden="1" customHeight="1" x14ac:dyDescent="0.25">
      <c r="A4954" s="12" t="s">
        <v>6974</v>
      </c>
      <c r="B4954" s="12" t="s">
        <v>738</v>
      </c>
      <c r="C4954" s="14">
        <v>1401.67</v>
      </c>
      <c r="D4954" s="12"/>
      <c r="E4954" s="14"/>
    </row>
    <row r="4955" spans="1:5" ht="11.1" hidden="1" customHeight="1" x14ac:dyDescent="0.25">
      <c r="A4955" s="12" t="s">
        <v>6975</v>
      </c>
      <c r="B4955" s="12" t="s">
        <v>2932</v>
      </c>
      <c r="C4955" s="14">
        <v>210.83</v>
      </c>
      <c r="D4955" s="12"/>
      <c r="E4955" s="13"/>
    </row>
    <row r="4956" spans="1:5" ht="11.1" hidden="1" customHeight="1" x14ac:dyDescent="0.25">
      <c r="A4956" s="12" t="s">
        <v>6976</v>
      </c>
      <c r="B4956" s="12" t="s">
        <v>741</v>
      </c>
      <c r="C4956" s="14">
        <v>10635</v>
      </c>
      <c r="D4956" s="12"/>
      <c r="E4956" s="14"/>
    </row>
    <row r="4957" spans="1:5" ht="11.1" hidden="1" customHeight="1" x14ac:dyDescent="0.25">
      <c r="A4957" s="12" t="s">
        <v>6977</v>
      </c>
      <c r="B4957" s="12" t="s">
        <v>1619</v>
      </c>
      <c r="C4957" s="14">
        <v>133.34</v>
      </c>
      <c r="D4957" s="12"/>
      <c r="E4957" s="13"/>
    </row>
    <row r="4958" spans="1:5" ht="11.1" hidden="1" customHeight="1" x14ac:dyDescent="0.25">
      <c r="A4958" s="12" t="s">
        <v>6978</v>
      </c>
      <c r="B4958" s="12" t="s">
        <v>1619</v>
      </c>
      <c r="C4958" s="14">
        <v>184.17</v>
      </c>
      <c r="D4958" s="12"/>
      <c r="E4958" s="13"/>
    </row>
    <row r="4959" spans="1:5" ht="11.1" hidden="1" customHeight="1" x14ac:dyDescent="0.25">
      <c r="A4959" s="12" t="s">
        <v>6979</v>
      </c>
      <c r="B4959" s="12" t="s">
        <v>1204</v>
      </c>
      <c r="C4959" s="14">
        <v>235</v>
      </c>
      <c r="D4959" s="12"/>
      <c r="E4959" s="13"/>
    </row>
    <row r="4960" spans="1:5" ht="11.1" hidden="1" customHeight="1" x14ac:dyDescent="0.25">
      <c r="A4960" s="12" t="s">
        <v>6980</v>
      </c>
      <c r="B4960" s="12" t="s">
        <v>6981</v>
      </c>
      <c r="C4960" s="14">
        <v>166.67</v>
      </c>
      <c r="D4960" s="12"/>
      <c r="E4960" s="13"/>
    </row>
    <row r="4961" spans="1:5" ht="11.1" hidden="1" customHeight="1" x14ac:dyDescent="0.25">
      <c r="A4961" s="12" t="s">
        <v>6982</v>
      </c>
      <c r="B4961" s="12" t="s">
        <v>6981</v>
      </c>
      <c r="C4961" s="14">
        <v>450</v>
      </c>
      <c r="D4961" s="12"/>
      <c r="E4961" s="13"/>
    </row>
    <row r="4962" spans="1:5" ht="11.1" hidden="1" customHeight="1" x14ac:dyDescent="0.25">
      <c r="A4962" s="12" t="s">
        <v>6983</v>
      </c>
      <c r="B4962" s="12" t="s">
        <v>4830</v>
      </c>
      <c r="C4962" s="14">
        <v>785.83</v>
      </c>
      <c r="D4962" s="12"/>
      <c r="E4962" s="13"/>
    </row>
    <row r="4963" spans="1:5" ht="11.1" hidden="1" customHeight="1" x14ac:dyDescent="0.25">
      <c r="A4963" s="12" t="s">
        <v>6984</v>
      </c>
      <c r="B4963" s="12" t="s">
        <v>4167</v>
      </c>
      <c r="C4963" s="14">
        <v>1500</v>
      </c>
      <c r="D4963" s="12"/>
      <c r="E4963" s="14"/>
    </row>
    <row r="4964" spans="1:5" ht="11.1" hidden="1" customHeight="1" x14ac:dyDescent="0.25">
      <c r="A4964" s="12" t="s">
        <v>6985</v>
      </c>
      <c r="B4964" s="12" t="s">
        <v>4830</v>
      </c>
      <c r="C4964" s="14">
        <v>2280.83</v>
      </c>
      <c r="D4964" s="12"/>
      <c r="E4964" s="14"/>
    </row>
    <row r="4965" spans="1:5" ht="11.1" hidden="1" customHeight="1" x14ac:dyDescent="0.25">
      <c r="A4965" s="12" t="s">
        <v>6986</v>
      </c>
      <c r="B4965" s="12" t="s">
        <v>866</v>
      </c>
      <c r="C4965" s="14">
        <v>1186.67</v>
      </c>
      <c r="D4965" s="12"/>
      <c r="E4965" s="14"/>
    </row>
    <row r="4966" spans="1:5" ht="11.1" hidden="1" customHeight="1" x14ac:dyDescent="0.25">
      <c r="A4966" s="12" t="s">
        <v>6987</v>
      </c>
      <c r="B4966" s="12" t="s">
        <v>6988</v>
      </c>
      <c r="C4966" s="14">
        <v>1720.84</v>
      </c>
      <c r="D4966" s="12"/>
      <c r="E4966" s="14"/>
    </row>
    <row r="4967" spans="1:5" ht="11.1" hidden="1" customHeight="1" x14ac:dyDescent="0.25">
      <c r="A4967" s="12" t="s">
        <v>6989</v>
      </c>
      <c r="B4967" s="12" t="s">
        <v>866</v>
      </c>
      <c r="C4967" s="14">
        <v>730</v>
      </c>
      <c r="D4967" s="12"/>
      <c r="E4967" s="13"/>
    </row>
    <row r="4968" spans="1:5" ht="11.1" hidden="1" customHeight="1" x14ac:dyDescent="0.25">
      <c r="A4968" s="12" t="s">
        <v>6990</v>
      </c>
      <c r="B4968" s="12" t="s">
        <v>1209</v>
      </c>
      <c r="C4968" s="14">
        <v>24456.67</v>
      </c>
      <c r="D4968" s="12"/>
      <c r="E4968" s="14"/>
    </row>
    <row r="4969" spans="1:5" ht="11.1" hidden="1" customHeight="1" x14ac:dyDescent="0.25">
      <c r="A4969" s="12" t="s">
        <v>6991</v>
      </c>
      <c r="B4969" s="12" t="s">
        <v>6992</v>
      </c>
      <c r="C4969" s="14">
        <v>225.82</v>
      </c>
      <c r="D4969" s="12"/>
      <c r="E4969" s="13"/>
    </row>
    <row r="4970" spans="1:5" ht="11.1" hidden="1" customHeight="1" x14ac:dyDescent="0.25">
      <c r="A4970" s="12" t="s">
        <v>6993</v>
      </c>
      <c r="B4970" s="12" t="s">
        <v>6992</v>
      </c>
      <c r="C4970" s="14">
        <v>560</v>
      </c>
      <c r="D4970" s="12"/>
      <c r="E4970" s="13"/>
    </row>
    <row r="4971" spans="1:5" ht="11.1" hidden="1" customHeight="1" x14ac:dyDescent="0.25">
      <c r="A4971" s="12" t="s">
        <v>6994</v>
      </c>
      <c r="B4971" s="12" t="s">
        <v>6992</v>
      </c>
      <c r="C4971" s="14">
        <v>56</v>
      </c>
      <c r="D4971" s="12"/>
      <c r="E4971" s="13"/>
    </row>
    <row r="4972" spans="1:5" ht="11.1" hidden="1" customHeight="1" x14ac:dyDescent="0.25">
      <c r="A4972" s="12" t="s">
        <v>6995</v>
      </c>
      <c r="B4972" s="12" t="s">
        <v>6992</v>
      </c>
      <c r="C4972" s="14">
        <v>56</v>
      </c>
      <c r="D4972" s="12"/>
      <c r="E4972" s="13"/>
    </row>
    <row r="4973" spans="1:5" ht="23.1" hidden="1" customHeight="1" x14ac:dyDescent="0.25">
      <c r="A4973" s="12" t="s">
        <v>6996</v>
      </c>
      <c r="B4973" s="12" t="s">
        <v>6992</v>
      </c>
      <c r="C4973" s="14">
        <v>587</v>
      </c>
      <c r="D4973" s="12"/>
      <c r="E4973" s="13"/>
    </row>
    <row r="4974" spans="1:5" ht="11.1" hidden="1" customHeight="1" x14ac:dyDescent="0.25">
      <c r="A4974" s="12" t="s">
        <v>6997</v>
      </c>
      <c r="B4974" s="12" t="s">
        <v>6998</v>
      </c>
      <c r="C4974" s="14">
        <v>1610.4</v>
      </c>
      <c r="D4974" s="12"/>
      <c r="E4974" s="14"/>
    </row>
    <row r="4975" spans="1:5" ht="11.1" hidden="1" customHeight="1" x14ac:dyDescent="0.25">
      <c r="A4975" s="12" t="s">
        <v>6999</v>
      </c>
      <c r="B4975" s="12" t="s">
        <v>7000</v>
      </c>
      <c r="C4975" s="14">
        <v>1475</v>
      </c>
      <c r="D4975" s="12"/>
      <c r="E4975" s="14"/>
    </row>
    <row r="4976" spans="1:5" ht="11.1" hidden="1" customHeight="1" x14ac:dyDescent="0.25">
      <c r="A4976" s="12" t="s">
        <v>7001</v>
      </c>
      <c r="B4976" s="12" t="s">
        <v>6949</v>
      </c>
      <c r="C4976" s="14">
        <v>16679.68</v>
      </c>
      <c r="D4976" s="12"/>
      <c r="E4976" s="14"/>
    </row>
    <row r="4977" spans="1:5" ht="11.1" hidden="1" customHeight="1" x14ac:dyDescent="0.25">
      <c r="A4977" s="12" t="s">
        <v>7002</v>
      </c>
      <c r="B4977" s="12" t="s">
        <v>7003</v>
      </c>
      <c r="C4977" s="14">
        <v>3769</v>
      </c>
      <c r="D4977" s="12"/>
      <c r="E4977" s="14"/>
    </row>
    <row r="4978" spans="1:5" ht="23.1" hidden="1" customHeight="1" x14ac:dyDescent="0.25">
      <c r="A4978" s="12" t="s">
        <v>7004</v>
      </c>
      <c r="B4978" s="12" t="s">
        <v>2529</v>
      </c>
      <c r="C4978" s="14">
        <v>1585</v>
      </c>
      <c r="D4978" s="12"/>
      <c r="E4978" s="14"/>
    </row>
    <row r="4979" spans="1:5" ht="23.1" hidden="1" customHeight="1" x14ac:dyDescent="0.25">
      <c r="A4979" s="12" t="s">
        <v>7005</v>
      </c>
      <c r="B4979" s="12" t="s">
        <v>786</v>
      </c>
      <c r="C4979" s="14">
        <v>566.66999999999996</v>
      </c>
      <c r="D4979" s="12"/>
      <c r="E4979" s="13"/>
    </row>
    <row r="4980" spans="1:5" ht="11.1" hidden="1" customHeight="1" x14ac:dyDescent="0.25">
      <c r="A4980" s="12" t="s">
        <v>7006</v>
      </c>
      <c r="B4980" s="12" t="s">
        <v>120</v>
      </c>
      <c r="C4980" s="14">
        <v>4333.33</v>
      </c>
      <c r="D4980" s="12"/>
      <c r="E4980" s="14"/>
    </row>
    <row r="4981" spans="1:5" ht="11.1" hidden="1" customHeight="1" x14ac:dyDescent="0.25">
      <c r="A4981" s="12" t="s">
        <v>7007</v>
      </c>
      <c r="B4981" s="12" t="s">
        <v>1368</v>
      </c>
      <c r="C4981" s="14">
        <v>129.16999999999999</v>
      </c>
      <c r="D4981" s="12"/>
      <c r="E4981" s="13"/>
    </row>
    <row r="4982" spans="1:5" ht="11.1" hidden="1" customHeight="1" x14ac:dyDescent="0.25">
      <c r="A4982" s="12" t="s">
        <v>7008</v>
      </c>
      <c r="B4982" s="12" t="s">
        <v>309</v>
      </c>
      <c r="C4982" s="14">
        <v>180.83</v>
      </c>
      <c r="D4982" s="12"/>
      <c r="E4982" s="13"/>
    </row>
    <row r="4983" spans="1:5" ht="11.1" hidden="1" customHeight="1" x14ac:dyDescent="0.25">
      <c r="A4983" s="12" t="s">
        <v>7009</v>
      </c>
      <c r="B4983" s="12" t="s">
        <v>677</v>
      </c>
      <c r="C4983" s="14">
        <v>35.840000000000003</v>
      </c>
      <c r="D4983" s="12"/>
      <c r="E4983" s="13"/>
    </row>
    <row r="4984" spans="1:5" ht="11.1" hidden="1" customHeight="1" x14ac:dyDescent="0.25">
      <c r="A4984" s="12" t="s">
        <v>7010</v>
      </c>
      <c r="B4984" s="12" t="s">
        <v>309</v>
      </c>
      <c r="C4984" s="14">
        <v>101.67</v>
      </c>
      <c r="D4984" s="12"/>
      <c r="E4984" s="13"/>
    </row>
    <row r="4985" spans="1:5" ht="11.1" hidden="1" customHeight="1" x14ac:dyDescent="0.25">
      <c r="A4985" s="12" t="s">
        <v>7011</v>
      </c>
      <c r="B4985" s="12" t="s">
        <v>536</v>
      </c>
      <c r="C4985" s="14">
        <v>1584.17</v>
      </c>
      <c r="D4985" s="12"/>
      <c r="E4985" s="14"/>
    </row>
    <row r="4986" spans="1:5" ht="11.1" hidden="1" customHeight="1" x14ac:dyDescent="0.25">
      <c r="A4986" s="12" t="s">
        <v>7012</v>
      </c>
      <c r="B4986" s="12" t="s">
        <v>4206</v>
      </c>
      <c r="C4986" s="14">
        <v>125</v>
      </c>
      <c r="D4986" s="12"/>
      <c r="E4986" s="13"/>
    </row>
    <row r="4987" spans="1:5" ht="11.1" hidden="1" customHeight="1" x14ac:dyDescent="0.25">
      <c r="A4987" s="12" t="s">
        <v>7013</v>
      </c>
      <c r="B4987" s="12" t="s">
        <v>218</v>
      </c>
      <c r="C4987" s="14">
        <v>27.5</v>
      </c>
      <c r="D4987" s="12"/>
      <c r="E4987" s="13"/>
    </row>
    <row r="4988" spans="1:5" ht="11.1" hidden="1" customHeight="1" x14ac:dyDescent="0.25">
      <c r="A4988" s="12" t="s">
        <v>7014</v>
      </c>
      <c r="B4988" s="12" t="s">
        <v>677</v>
      </c>
      <c r="C4988" s="14">
        <v>115</v>
      </c>
      <c r="D4988" s="12"/>
      <c r="E4988" s="13"/>
    </row>
    <row r="4989" spans="1:5" ht="11.1" hidden="1" customHeight="1" x14ac:dyDescent="0.25">
      <c r="A4989" s="12" t="s">
        <v>7015</v>
      </c>
      <c r="B4989" s="12" t="s">
        <v>7016</v>
      </c>
      <c r="C4989" s="14">
        <v>79.17</v>
      </c>
      <c r="D4989" s="12"/>
      <c r="E4989" s="13"/>
    </row>
    <row r="4990" spans="1:5" ht="11.1" hidden="1" customHeight="1" x14ac:dyDescent="0.25">
      <c r="A4990" s="12" t="s">
        <v>7017</v>
      </c>
      <c r="B4990" s="12" t="s">
        <v>918</v>
      </c>
      <c r="C4990" s="14">
        <v>616.66999999999996</v>
      </c>
      <c r="D4990" s="12"/>
      <c r="E4990" s="13"/>
    </row>
    <row r="4991" spans="1:5" ht="11.1" hidden="1" customHeight="1" x14ac:dyDescent="0.25">
      <c r="A4991" s="12" t="s">
        <v>7018</v>
      </c>
      <c r="B4991" s="12" t="s">
        <v>7019</v>
      </c>
      <c r="C4991" s="14">
        <v>30</v>
      </c>
      <c r="D4991" s="12"/>
      <c r="E4991" s="13"/>
    </row>
    <row r="4992" spans="1:5" ht="11.1" hidden="1" customHeight="1" x14ac:dyDescent="0.25">
      <c r="A4992" s="12" t="s">
        <v>7020</v>
      </c>
      <c r="B4992" s="12" t="s">
        <v>1368</v>
      </c>
      <c r="C4992" s="14">
        <v>104.17</v>
      </c>
      <c r="D4992" s="12"/>
      <c r="E4992" s="13"/>
    </row>
    <row r="4993" spans="1:5" ht="11.1" hidden="1" customHeight="1" x14ac:dyDescent="0.25">
      <c r="A4993" s="12" t="s">
        <v>7021</v>
      </c>
      <c r="B4993" s="12" t="s">
        <v>7022</v>
      </c>
      <c r="C4993" s="14">
        <v>8950</v>
      </c>
      <c r="D4993" s="12"/>
      <c r="E4993" s="14"/>
    </row>
    <row r="4994" spans="1:5" ht="11.1" hidden="1" customHeight="1" x14ac:dyDescent="0.25">
      <c r="A4994" s="12" t="s">
        <v>7023</v>
      </c>
      <c r="B4994" s="12" t="s">
        <v>7024</v>
      </c>
      <c r="C4994" s="14">
        <v>10124</v>
      </c>
      <c r="D4994" s="12"/>
      <c r="E4994" s="14"/>
    </row>
    <row r="4995" spans="1:5" ht="11.1" hidden="1" customHeight="1" x14ac:dyDescent="0.25">
      <c r="A4995" s="12" t="s">
        <v>7025</v>
      </c>
      <c r="B4995" s="12" t="s">
        <v>1014</v>
      </c>
      <c r="C4995" s="14">
        <v>2125</v>
      </c>
      <c r="D4995" s="12"/>
      <c r="E4995" s="14"/>
    </row>
    <row r="4996" spans="1:5" ht="11.1" hidden="1" customHeight="1" x14ac:dyDescent="0.25">
      <c r="A4996" s="12" t="s">
        <v>7026</v>
      </c>
      <c r="B4996" s="12" t="s">
        <v>7027</v>
      </c>
      <c r="C4996" s="14">
        <v>8950</v>
      </c>
      <c r="D4996" s="12"/>
      <c r="E4996" s="14"/>
    </row>
    <row r="4997" spans="1:5" ht="11.1" hidden="1" customHeight="1" x14ac:dyDescent="0.25">
      <c r="A4997" s="12" t="s">
        <v>7028</v>
      </c>
      <c r="B4997" s="12" t="s">
        <v>7029</v>
      </c>
      <c r="C4997" s="14">
        <v>8950</v>
      </c>
      <c r="D4997" s="12"/>
      <c r="E4997" s="14"/>
    </row>
    <row r="4998" spans="1:5" ht="11.1" hidden="1" customHeight="1" x14ac:dyDescent="0.25">
      <c r="A4998" s="12" t="s">
        <v>7030</v>
      </c>
      <c r="B4998" s="12" t="s">
        <v>7022</v>
      </c>
      <c r="C4998" s="14">
        <v>11545</v>
      </c>
      <c r="D4998" s="12"/>
      <c r="E4998" s="14"/>
    </row>
    <row r="4999" spans="1:5" ht="11.1" hidden="1" customHeight="1" x14ac:dyDescent="0.25">
      <c r="A4999" s="12" t="s">
        <v>7031</v>
      </c>
      <c r="B4999" s="12" t="s">
        <v>7032</v>
      </c>
      <c r="C4999" s="14">
        <v>549.58000000000004</v>
      </c>
      <c r="D4999" s="12"/>
      <c r="E4999" s="13"/>
    </row>
    <row r="5000" spans="1:5" ht="11.1" hidden="1" customHeight="1" x14ac:dyDescent="0.25">
      <c r="A5000" s="12" t="s">
        <v>7033</v>
      </c>
      <c r="B5000" s="12" t="s">
        <v>7034</v>
      </c>
      <c r="C5000" s="14">
        <v>252</v>
      </c>
      <c r="D5000" s="12"/>
      <c r="E5000" s="13"/>
    </row>
    <row r="5001" spans="1:5" ht="11.1" hidden="1" customHeight="1" x14ac:dyDescent="0.25">
      <c r="A5001" s="12" t="s">
        <v>7035</v>
      </c>
      <c r="B5001" s="12" t="s">
        <v>7036</v>
      </c>
      <c r="C5001" s="14">
        <v>103.5</v>
      </c>
      <c r="D5001" s="12"/>
      <c r="E5001" s="13"/>
    </row>
    <row r="5002" spans="1:5" ht="11.1" hidden="1" customHeight="1" x14ac:dyDescent="0.25">
      <c r="A5002" s="12" t="s">
        <v>7037</v>
      </c>
      <c r="B5002" s="12" t="s">
        <v>5546</v>
      </c>
      <c r="C5002" s="14">
        <v>930600</v>
      </c>
      <c r="D5002" s="12"/>
      <c r="E5002" s="14"/>
    </row>
    <row r="5003" spans="1:5" ht="11.1" hidden="1" customHeight="1" x14ac:dyDescent="0.25">
      <c r="A5003" s="12" t="s">
        <v>7038</v>
      </c>
      <c r="B5003" s="12" t="s">
        <v>2119</v>
      </c>
      <c r="C5003" s="14">
        <v>974.91</v>
      </c>
      <c r="D5003" s="12"/>
      <c r="E5003" s="13"/>
    </row>
    <row r="5004" spans="1:5" ht="11.1" hidden="1" customHeight="1" x14ac:dyDescent="0.25">
      <c r="A5004" s="12" t="s">
        <v>7039</v>
      </c>
      <c r="B5004" s="12" t="s">
        <v>7040</v>
      </c>
      <c r="C5004" s="14">
        <v>1454.17</v>
      </c>
      <c r="D5004" s="12"/>
      <c r="E5004" s="14"/>
    </row>
    <row r="5005" spans="1:5" ht="11.1" hidden="1" customHeight="1" x14ac:dyDescent="0.25">
      <c r="A5005" s="12" t="s">
        <v>7041</v>
      </c>
      <c r="B5005" s="12" t="s">
        <v>7042</v>
      </c>
      <c r="C5005" s="14">
        <v>1806.67</v>
      </c>
      <c r="D5005" s="12"/>
      <c r="E5005" s="14"/>
    </row>
    <row r="5006" spans="1:5" ht="11.1" hidden="1" customHeight="1" x14ac:dyDescent="0.25">
      <c r="A5006" s="12" t="s">
        <v>7043</v>
      </c>
      <c r="B5006" s="12" t="s">
        <v>871</v>
      </c>
      <c r="C5006" s="14">
        <v>58.33</v>
      </c>
      <c r="D5006" s="12"/>
      <c r="E5006" s="13"/>
    </row>
    <row r="5007" spans="1:5" ht="11.1" hidden="1" customHeight="1" x14ac:dyDescent="0.25">
      <c r="A5007" s="12" t="s">
        <v>7044</v>
      </c>
      <c r="B5007" s="12" t="s">
        <v>944</v>
      </c>
      <c r="C5007" s="14">
        <v>217.5</v>
      </c>
      <c r="D5007" s="12"/>
      <c r="E5007" s="13"/>
    </row>
    <row r="5008" spans="1:5" ht="11.1" hidden="1" customHeight="1" x14ac:dyDescent="0.25">
      <c r="A5008" s="12" t="s">
        <v>7045</v>
      </c>
      <c r="B5008" s="12" t="s">
        <v>1452</v>
      </c>
      <c r="C5008" s="14">
        <v>1573.33</v>
      </c>
      <c r="D5008" s="12"/>
      <c r="E5008" s="14"/>
    </row>
    <row r="5009" spans="1:5" ht="11.1" hidden="1" customHeight="1" x14ac:dyDescent="0.25">
      <c r="A5009" s="12" t="s">
        <v>7046</v>
      </c>
      <c r="B5009" s="12" t="s">
        <v>7047</v>
      </c>
      <c r="C5009" s="14">
        <v>5243</v>
      </c>
      <c r="D5009" s="12"/>
      <c r="E5009" s="14"/>
    </row>
    <row r="5010" spans="1:5" ht="11.1" hidden="1" customHeight="1" x14ac:dyDescent="0.25">
      <c r="A5010" s="12" t="s">
        <v>7048</v>
      </c>
      <c r="B5010" s="12" t="s">
        <v>7049</v>
      </c>
      <c r="C5010" s="14">
        <v>400</v>
      </c>
      <c r="D5010" s="12"/>
      <c r="E5010" s="13"/>
    </row>
    <row r="5011" spans="1:5" ht="11.1" hidden="1" customHeight="1" x14ac:dyDescent="0.25">
      <c r="A5011" s="12" t="s">
        <v>7050</v>
      </c>
      <c r="B5011" s="12" t="s">
        <v>2030</v>
      </c>
      <c r="C5011" s="14">
        <v>319.51</v>
      </c>
      <c r="D5011" s="12"/>
      <c r="E5011" s="13"/>
    </row>
    <row r="5012" spans="1:5" ht="11.1" hidden="1" customHeight="1" x14ac:dyDescent="0.25">
      <c r="A5012" s="12" t="s">
        <v>7051</v>
      </c>
      <c r="B5012" s="12" t="s">
        <v>7052</v>
      </c>
      <c r="C5012" s="14">
        <v>308.33</v>
      </c>
      <c r="D5012" s="12"/>
      <c r="E5012" s="13"/>
    </row>
    <row r="5013" spans="1:5" ht="11.1" hidden="1" customHeight="1" x14ac:dyDescent="0.25">
      <c r="A5013" s="12" t="s">
        <v>7053</v>
      </c>
      <c r="B5013" s="12" t="s">
        <v>7054</v>
      </c>
      <c r="C5013" s="14">
        <v>216640</v>
      </c>
      <c r="D5013" s="12"/>
      <c r="E5013" s="14"/>
    </row>
    <row r="5014" spans="1:5" ht="11.1" hidden="1" customHeight="1" x14ac:dyDescent="0.25">
      <c r="A5014" s="12" t="s">
        <v>7055</v>
      </c>
      <c r="B5014" s="12" t="s">
        <v>5471</v>
      </c>
      <c r="C5014" s="14">
        <v>467.5</v>
      </c>
      <c r="D5014" s="12"/>
      <c r="E5014" s="13"/>
    </row>
    <row r="5015" spans="1:5" ht="11.1" hidden="1" customHeight="1" x14ac:dyDescent="0.25">
      <c r="A5015" s="12" t="s">
        <v>7056</v>
      </c>
      <c r="B5015" s="12" t="s">
        <v>7057</v>
      </c>
      <c r="C5015" s="14">
        <v>2175</v>
      </c>
      <c r="D5015" s="12"/>
      <c r="E5015" s="14"/>
    </row>
    <row r="5016" spans="1:5" ht="11.1" hidden="1" customHeight="1" x14ac:dyDescent="0.25">
      <c r="A5016" s="12" t="s">
        <v>7058</v>
      </c>
      <c r="B5016" s="12" t="s">
        <v>725</v>
      </c>
      <c r="C5016" s="14">
        <v>364.17</v>
      </c>
      <c r="D5016" s="12"/>
      <c r="E5016" s="13"/>
    </row>
    <row r="5017" spans="1:5" ht="11.1" hidden="1" customHeight="1" x14ac:dyDescent="0.25">
      <c r="A5017" s="12" t="s">
        <v>7059</v>
      </c>
      <c r="B5017" s="12" t="s">
        <v>4924</v>
      </c>
      <c r="C5017" s="14">
        <v>319</v>
      </c>
      <c r="D5017" s="12"/>
      <c r="E5017" s="13"/>
    </row>
    <row r="5018" spans="1:5" ht="23.1" hidden="1" customHeight="1" x14ac:dyDescent="0.25">
      <c r="A5018" s="12" t="s">
        <v>7060</v>
      </c>
      <c r="B5018" s="12" t="s">
        <v>7061</v>
      </c>
      <c r="C5018" s="14">
        <v>3680</v>
      </c>
      <c r="D5018" s="12"/>
      <c r="E5018" s="14"/>
    </row>
    <row r="5019" spans="1:5" ht="23.1" hidden="1" customHeight="1" x14ac:dyDescent="0.25">
      <c r="A5019" s="12" t="s">
        <v>7062</v>
      </c>
      <c r="B5019" s="12" t="s">
        <v>1000</v>
      </c>
      <c r="C5019" s="14">
        <v>3285</v>
      </c>
      <c r="D5019" s="12"/>
      <c r="E5019" s="14"/>
    </row>
    <row r="5020" spans="1:5" ht="11.1" hidden="1" customHeight="1" x14ac:dyDescent="0.25">
      <c r="A5020" s="12" t="s">
        <v>7063</v>
      </c>
      <c r="B5020" s="12" t="s">
        <v>7064</v>
      </c>
      <c r="C5020" s="14">
        <v>34158.33</v>
      </c>
      <c r="D5020" s="12"/>
      <c r="E5020" s="14"/>
    </row>
    <row r="5021" spans="1:5" ht="11.1" hidden="1" customHeight="1" x14ac:dyDescent="0.25">
      <c r="A5021" s="12" t="s">
        <v>7065</v>
      </c>
      <c r="B5021" s="12" t="s">
        <v>7066</v>
      </c>
      <c r="C5021" s="14">
        <v>6781.67</v>
      </c>
      <c r="D5021" s="12"/>
      <c r="E5021" s="14"/>
    </row>
    <row r="5022" spans="1:5" ht="11.1" hidden="1" customHeight="1" x14ac:dyDescent="0.25">
      <c r="A5022" s="12" t="s">
        <v>7067</v>
      </c>
      <c r="B5022" s="12" t="s">
        <v>7068</v>
      </c>
      <c r="C5022" s="14">
        <v>44941.98</v>
      </c>
      <c r="D5022" s="12"/>
      <c r="E5022" s="14"/>
    </row>
    <row r="5023" spans="1:5" ht="11.1" hidden="1" customHeight="1" x14ac:dyDescent="0.25">
      <c r="A5023" s="12" t="s">
        <v>7069</v>
      </c>
      <c r="B5023" s="12" t="s">
        <v>918</v>
      </c>
      <c r="C5023" s="14">
        <v>25917.5</v>
      </c>
      <c r="D5023" s="12"/>
      <c r="E5023" s="14"/>
    </row>
    <row r="5024" spans="1:5" ht="11.1" hidden="1" customHeight="1" x14ac:dyDescent="0.25">
      <c r="A5024" s="12" t="s">
        <v>7070</v>
      </c>
      <c r="B5024" s="12" t="s">
        <v>3032</v>
      </c>
      <c r="C5024" s="14">
        <v>2908.33</v>
      </c>
      <c r="D5024" s="12"/>
      <c r="E5024" s="14"/>
    </row>
    <row r="5025" spans="1:5" ht="11.1" hidden="1" customHeight="1" x14ac:dyDescent="0.25">
      <c r="A5025" s="12" t="s">
        <v>7071</v>
      </c>
      <c r="B5025" s="12" t="s">
        <v>3030</v>
      </c>
      <c r="C5025" s="14">
        <v>2416.67</v>
      </c>
      <c r="D5025" s="12"/>
      <c r="E5025" s="14"/>
    </row>
    <row r="5026" spans="1:5" ht="11.1" hidden="1" customHeight="1" x14ac:dyDescent="0.25">
      <c r="A5026" s="12" t="s">
        <v>7072</v>
      </c>
      <c r="B5026" s="12" t="s">
        <v>7073</v>
      </c>
      <c r="C5026" s="14">
        <v>6753.34</v>
      </c>
      <c r="D5026" s="12"/>
      <c r="E5026" s="14"/>
    </row>
    <row r="5027" spans="1:5" ht="11.1" hidden="1" customHeight="1" x14ac:dyDescent="0.25">
      <c r="A5027" s="12" t="s">
        <v>7074</v>
      </c>
      <c r="B5027" s="12" t="s">
        <v>7073</v>
      </c>
      <c r="C5027" s="14">
        <v>8056.67</v>
      </c>
      <c r="D5027" s="12"/>
      <c r="E5027" s="14"/>
    </row>
    <row r="5028" spans="1:5" ht="11.1" hidden="1" customHeight="1" x14ac:dyDescent="0.25">
      <c r="A5028" s="12" t="s">
        <v>7075</v>
      </c>
      <c r="B5028" s="12" t="s">
        <v>4071</v>
      </c>
      <c r="C5028" s="14">
        <v>122600</v>
      </c>
      <c r="D5028" s="12"/>
      <c r="E5028" s="14"/>
    </row>
    <row r="5029" spans="1:5" ht="11.1" hidden="1" customHeight="1" x14ac:dyDescent="0.25">
      <c r="A5029" s="12" t="s">
        <v>7076</v>
      </c>
      <c r="B5029" s="12" t="s">
        <v>4071</v>
      </c>
      <c r="C5029" s="14">
        <v>105600</v>
      </c>
      <c r="D5029" s="12"/>
      <c r="E5029" s="14"/>
    </row>
    <row r="5030" spans="1:5" ht="11.1" hidden="1" customHeight="1" x14ac:dyDescent="0.25">
      <c r="A5030" s="12" t="s">
        <v>7077</v>
      </c>
      <c r="B5030" s="12" t="s">
        <v>4596</v>
      </c>
      <c r="C5030" s="14">
        <v>231000</v>
      </c>
      <c r="D5030" s="12"/>
      <c r="E5030" s="14"/>
    </row>
    <row r="5031" spans="1:5" ht="11.1" hidden="1" customHeight="1" x14ac:dyDescent="0.25">
      <c r="A5031" s="12" t="s">
        <v>7078</v>
      </c>
      <c r="B5031" s="12" t="s">
        <v>7079</v>
      </c>
      <c r="C5031" s="14">
        <v>39071.67</v>
      </c>
      <c r="D5031" s="12"/>
      <c r="E5031" s="14"/>
    </row>
    <row r="5032" spans="1:5" ht="11.1" hidden="1" customHeight="1" x14ac:dyDescent="0.25">
      <c r="A5032" s="12" t="s">
        <v>7080</v>
      </c>
      <c r="B5032" s="12" t="s">
        <v>7081</v>
      </c>
      <c r="C5032" s="14">
        <v>104166.67</v>
      </c>
      <c r="D5032" s="12"/>
      <c r="E5032" s="14"/>
    </row>
    <row r="5033" spans="1:5" ht="11.1" hidden="1" customHeight="1" x14ac:dyDescent="0.25">
      <c r="A5033" s="12" t="s">
        <v>7082</v>
      </c>
      <c r="B5033" s="12" t="s">
        <v>7083</v>
      </c>
      <c r="C5033" s="14">
        <v>484068.33</v>
      </c>
      <c r="D5033" s="12"/>
      <c r="E5033" s="14"/>
    </row>
    <row r="5034" spans="1:5" ht="11.1" hidden="1" customHeight="1" x14ac:dyDescent="0.25">
      <c r="A5034" s="12" t="s">
        <v>7084</v>
      </c>
      <c r="B5034" s="12" t="s">
        <v>7085</v>
      </c>
      <c r="C5034" s="14">
        <v>1150</v>
      </c>
      <c r="D5034" s="12"/>
      <c r="E5034" s="14"/>
    </row>
    <row r="5035" spans="1:5" ht="11.1" hidden="1" customHeight="1" x14ac:dyDescent="0.25">
      <c r="A5035" s="12" t="s">
        <v>7086</v>
      </c>
      <c r="B5035" s="12" t="s">
        <v>7087</v>
      </c>
      <c r="C5035" s="14">
        <v>2850</v>
      </c>
      <c r="D5035" s="12"/>
      <c r="E5035" s="14"/>
    </row>
    <row r="5036" spans="1:5" ht="11.1" hidden="1" customHeight="1" x14ac:dyDescent="0.25">
      <c r="A5036" s="12" t="s">
        <v>7088</v>
      </c>
      <c r="B5036" s="12" t="s">
        <v>7089</v>
      </c>
      <c r="C5036" s="14">
        <v>29585</v>
      </c>
      <c r="D5036" s="12"/>
      <c r="E5036" s="14"/>
    </row>
    <row r="5037" spans="1:5" ht="11.1" hidden="1" customHeight="1" x14ac:dyDescent="0.25">
      <c r="A5037" s="12" t="s">
        <v>7090</v>
      </c>
      <c r="B5037" s="12" t="s">
        <v>7091</v>
      </c>
      <c r="C5037" s="14">
        <v>3658.33</v>
      </c>
      <c r="D5037" s="12"/>
      <c r="E5037" s="14"/>
    </row>
    <row r="5038" spans="1:5" ht="11.1" hidden="1" customHeight="1" x14ac:dyDescent="0.25">
      <c r="A5038" s="12" t="s">
        <v>7092</v>
      </c>
      <c r="B5038" s="12" t="s">
        <v>7093</v>
      </c>
      <c r="C5038" s="14">
        <v>38952.5</v>
      </c>
      <c r="D5038" s="12"/>
      <c r="E5038" s="14"/>
    </row>
    <row r="5039" spans="1:5" ht="11.1" hidden="1" customHeight="1" x14ac:dyDescent="0.25">
      <c r="A5039" s="12" t="s">
        <v>7094</v>
      </c>
      <c r="B5039" s="12" t="s">
        <v>862</v>
      </c>
      <c r="C5039" s="14">
        <v>1820.84</v>
      </c>
      <c r="D5039" s="12"/>
      <c r="E5039" s="14"/>
    </row>
    <row r="5040" spans="1:5" ht="11.1" hidden="1" customHeight="1" x14ac:dyDescent="0.25">
      <c r="A5040" s="12" t="s">
        <v>7095</v>
      </c>
      <c r="B5040" s="12" t="s">
        <v>7096</v>
      </c>
      <c r="C5040" s="14">
        <v>19750</v>
      </c>
      <c r="D5040" s="12"/>
      <c r="E5040" s="14"/>
    </row>
    <row r="5041" spans="1:5" ht="11.1" hidden="1" customHeight="1" x14ac:dyDescent="0.25">
      <c r="A5041" s="12" t="s">
        <v>7097</v>
      </c>
      <c r="B5041" s="12" t="s">
        <v>7098</v>
      </c>
      <c r="C5041" s="14">
        <v>13041.67</v>
      </c>
      <c r="D5041" s="12"/>
      <c r="E5041" s="14"/>
    </row>
    <row r="5042" spans="1:5" ht="11.1" hidden="1" customHeight="1" x14ac:dyDescent="0.25">
      <c r="A5042" s="12" t="s">
        <v>7099</v>
      </c>
      <c r="B5042" s="12" t="s">
        <v>3550</v>
      </c>
      <c r="C5042" s="14">
        <v>51365.78</v>
      </c>
      <c r="D5042" s="12"/>
      <c r="E5042" s="14"/>
    </row>
    <row r="5043" spans="1:5" ht="11.1" hidden="1" customHeight="1" x14ac:dyDescent="0.25">
      <c r="A5043" s="12" t="s">
        <v>7100</v>
      </c>
      <c r="B5043" s="12" t="s">
        <v>7101</v>
      </c>
      <c r="C5043" s="14">
        <v>295.87</v>
      </c>
      <c r="D5043" s="12"/>
      <c r="E5043" s="13"/>
    </row>
    <row r="5044" spans="1:5" ht="11.1" hidden="1" customHeight="1" x14ac:dyDescent="0.25">
      <c r="A5044" s="12" t="s">
        <v>7102</v>
      </c>
      <c r="B5044" s="12" t="s">
        <v>4119</v>
      </c>
      <c r="C5044" s="14">
        <v>13916.41</v>
      </c>
      <c r="D5044" s="12"/>
      <c r="E5044" s="14"/>
    </row>
    <row r="5045" spans="1:5" ht="11.1" hidden="1" customHeight="1" x14ac:dyDescent="0.25">
      <c r="A5045" s="12" t="s">
        <v>7103</v>
      </c>
      <c r="B5045" s="12" t="s">
        <v>1038</v>
      </c>
      <c r="C5045" s="14">
        <v>35</v>
      </c>
      <c r="D5045" s="12"/>
      <c r="E5045" s="13"/>
    </row>
    <row r="5046" spans="1:5" ht="11.1" hidden="1" customHeight="1" x14ac:dyDescent="0.25">
      <c r="A5046" s="12" t="s">
        <v>7104</v>
      </c>
      <c r="B5046" s="12" t="s">
        <v>7105</v>
      </c>
      <c r="C5046" s="14">
        <v>350.83</v>
      </c>
      <c r="D5046" s="12"/>
      <c r="E5046" s="13"/>
    </row>
    <row r="5047" spans="1:5" ht="11.1" hidden="1" customHeight="1" x14ac:dyDescent="0.25">
      <c r="A5047" s="12" t="s">
        <v>7106</v>
      </c>
      <c r="B5047" s="12" t="s">
        <v>7107</v>
      </c>
      <c r="C5047" s="14">
        <v>1081</v>
      </c>
      <c r="D5047" s="12"/>
      <c r="E5047" s="14"/>
    </row>
    <row r="5048" spans="1:5" ht="11.1" hidden="1" customHeight="1" x14ac:dyDescent="0.25">
      <c r="A5048" s="12" t="s">
        <v>7108</v>
      </c>
      <c r="B5048" s="12" t="s">
        <v>7109</v>
      </c>
      <c r="C5048" s="14">
        <v>178529.86</v>
      </c>
      <c r="D5048" s="12"/>
      <c r="E5048" s="14"/>
    </row>
    <row r="5049" spans="1:5" ht="11.1" hidden="1" customHeight="1" x14ac:dyDescent="0.25">
      <c r="A5049" s="12" t="s">
        <v>7110</v>
      </c>
      <c r="B5049" s="12" t="s">
        <v>7109</v>
      </c>
      <c r="C5049" s="14">
        <v>194407.56</v>
      </c>
      <c r="D5049" s="12"/>
      <c r="E5049" s="14"/>
    </row>
    <row r="5050" spans="1:5" ht="11.1" hidden="1" customHeight="1" x14ac:dyDescent="0.25">
      <c r="A5050" s="12" t="s">
        <v>7111</v>
      </c>
      <c r="B5050" s="12" t="s">
        <v>1973</v>
      </c>
      <c r="C5050" s="14">
        <v>816.25</v>
      </c>
      <c r="D5050" s="12"/>
      <c r="E5050" s="13"/>
    </row>
    <row r="5051" spans="1:5" ht="11.1" hidden="1" customHeight="1" x14ac:dyDescent="0.25">
      <c r="A5051" s="12" t="s">
        <v>7112</v>
      </c>
      <c r="B5051" s="12" t="s">
        <v>1267</v>
      </c>
      <c r="C5051" s="14">
        <v>427.5</v>
      </c>
      <c r="D5051" s="12"/>
      <c r="E5051" s="13"/>
    </row>
    <row r="5052" spans="1:5" ht="11.1" hidden="1" customHeight="1" x14ac:dyDescent="0.25">
      <c r="A5052" s="12" t="s">
        <v>7113</v>
      </c>
      <c r="B5052" s="12" t="s">
        <v>523</v>
      </c>
      <c r="C5052" s="14">
        <v>85.83</v>
      </c>
      <c r="D5052" s="12"/>
      <c r="E5052" s="13"/>
    </row>
    <row r="5053" spans="1:5" ht="11.1" hidden="1" customHeight="1" x14ac:dyDescent="0.25">
      <c r="A5053" s="12" t="s">
        <v>7114</v>
      </c>
      <c r="B5053" s="12" t="s">
        <v>3292</v>
      </c>
      <c r="C5053" s="14">
        <v>14.99</v>
      </c>
      <c r="D5053" s="12"/>
      <c r="E5053" s="13"/>
    </row>
    <row r="5054" spans="1:5" ht="11.1" hidden="1" customHeight="1" x14ac:dyDescent="0.25">
      <c r="A5054" s="12" t="s">
        <v>7115</v>
      </c>
      <c r="B5054" s="12" t="s">
        <v>3292</v>
      </c>
      <c r="C5054" s="14">
        <v>4.66</v>
      </c>
      <c r="D5054" s="12"/>
      <c r="E5054" s="13"/>
    </row>
    <row r="5055" spans="1:5" ht="11.1" hidden="1" customHeight="1" x14ac:dyDescent="0.25">
      <c r="A5055" s="12" t="s">
        <v>7116</v>
      </c>
      <c r="B5055" s="12" t="s">
        <v>3292</v>
      </c>
      <c r="C5055" s="14">
        <v>9.0399999999999991</v>
      </c>
      <c r="D5055" s="12"/>
      <c r="E5055" s="13"/>
    </row>
    <row r="5056" spans="1:5" ht="11.1" hidden="1" customHeight="1" x14ac:dyDescent="0.25">
      <c r="A5056" s="12" t="s">
        <v>7117</v>
      </c>
      <c r="B5056" s="12" t="s">
        <v>3292</v>
      </c>
      <c r="C5056" s="14">
        <v>12.31</v>
      </c>
      <c r="D5056" s="12"/>
      <c r="E5056" s="13"/>
    </row>
    <row r="5057" spans="1:5" ht="11.1" hidden="1" customHeight="1" x14ac:dyDescent="0.25">
      <c r="A5057" s="12" t="s">
        <v>7118</v>
      </c>
      <c r="B5057" s="12" t="s">
        <v>3292</v>
      </c>
      <c r="C5057" s="14">
        <v>11.95</v>
      </c>
      <c r="D5057" s="12"/>
      <c r="E5057" s="13"/>
    </row>
    <row r="5058" spans="1:5" ht="11.1" hidden="1" customHeight="1" x14ac:dyDescent="0.25">
      <c r="A5058" s="12" t="s">
        <v>7119</v>
      </c>
      <c r="B5058" s="12" t="s">
        <v>652</v>
      </c>
      <c r="C5058" s="14">
        <v>3079.17</v>
      </c>
      <c r="D5058" s="12"/>
      <c r="E5058" s="14"/>
    </row>
    <row r="5059" spans="1:5" ht="11.1" hidden="1" customHeight="1" x14ac:dyDescent="0.25">
      <c r="A5059" s="12" t="s">
        <v>7120</v>
      </c>
      <c r="B5059" s="12" t="s">
        <v>7121</v>
      </c>
      <c r="C5059" s="14">
        <v>270.83</v>
      </c>
      <c r="D5059" s="12"/>
      <c r="E5059" s="13"/>
    </row>
    <row r="5060" spans="1:5" ht="11.1" hidden="1" customHeight="1" x14ac:dyDescent="0.25">
      <c r="A5060" s="12" t="s">
        <v>7122</v>
      </c>
      <c r="B5060" s="12" t="s">
        <v>7123</v>
      </c>
      <c r="C5060" s="14">
        <v>165</v>
      </c>
      <c r="D5060" s="12"/>
      <c r="E5060" s="13"/>
    </row>
    <row r="5061" spans="1:5" ht="11.1" hidden="1" customHeight="1" x14ac:dyDescent="0.25">
      <c r="A5061" s="12" t="s">
        <v>7124</v>
      </c>
      <c r="B5061" s="12" t="s">
        <v>2063</v>
      </c>
      <c r="C5061" s="14">
        <v>185</v>
      </c>
      <c r="D5061" s="12"/>
      <c r="E5061" s="13"/>
    </row>
    <row r="5062" spans="1:5" ht="11.1" hidden="1" customHeight="1" x14ac:dyDescent="0.25">
      <c r="A5062" s="12" t="s">
        <v>7125</v>
      </c>
      <c r="B5062" s="12" t="s">
        <v>7126</v>
      </c>
      <c r="C5062" s="14">
        <v>140</v>
      </c>
      <c r="D5062" s="12"/>
      <c r="E5062" s="13"/>
    </row>
    <row r="5063" spans="1:5" ht="11.1" hidden="1" customHeight="1" x14ac:dyDescent="0.25">
      <c r="A5063" s="12" t="s">
        <v>7127</v>
      </c>
      <c r="B5063" s="12" t="s">
        <v>2063</v>
      </c>
      <c r="C5063" s="14">
        <v>261.67</v>
      </c>
      <c r="D5063" s="12"/>
      <c r="E5063" s="13"/>
    </row>
    <row r="5064" spans="1:5" ht="11.1" hidden="1" customHeight="1" x14ac:dyDescent="0.25">
      <c r="A5064" s="12" t="s">
        <v>7128</v>
      </c>
      <c r="B5064" s="12" t="s">
        <v>7129</v>
      </c>
      <c r="C5064" s="14">
        <v>6974.17</v>
      </c>
      <c r="D5064" s="12"/>
      <c r="E5064" s="14"/>
    </row>
    <row r="5065" spans="1:5" ht="11.1" hidden="1" customHeight="1" x14ac:dyDescent="0.25">
      <c r="A5065" s="12" t="s">
        <v>7130</v>
      </c>
      <c r="B5065" s="12" t="s">
        <v>7131</v>
      </c>
      <c r="C5065" s="14">
        <v>366.67</v>
      </c>
      <c r="D5065" s="12"/>
      <c r="E5065" s="13"/>
    </row>
    <row r="5066" spans="1:5" ht="11.1" hidden="1" customHeight="1" x14ac:dyDescent="0.25">
      <c r="A5066" s="12" t="s">
        <v>7132</v>
      </c>
      <c r="B5066" s="12" t="s">
        <v>7131</v>
      </c>
      <c r="C5066" s="14">
        <v>366.67</v>
      </c>
      <c r="D5066" s="12"/>
      <c r="E5066" s="13"/>
    </row>
    <row r="5067" spans="1:5" ht="11.1" hidden="1" customHeight="1" x14ac:dyDescent="0.25">
      <c r="A5067" s="12" t="s">
        <v>7133</v>
      </c>
      <c r="B5067" s="12" t="s">
        <v>2100</v>
      </c>
      <c r="C5067" s="14">
        <v>97.92</v>
      </c>
      <c r="D5067" s="12"/>
      <c r="E5067" s="13"/>
    </row>
    <row r="5068" spans="1:5" ht="11.1" hidden="1" customHeight="1" x14ac:dyDescent="0.25">
      <c r="A5068" s="12" t="s">
        <v>7134</v>
      </c>
      <c r="B5068" s="12" t="s">
        <v>2113</v>
      </c>
      <c r="C5068" s="14">
        <v>71.67</v>
      </c>
      <c r="D5068" s="12"/>
      <c r="E5068" s="13"/>
    </row>
    <row r="5069" spans="1:5" ht="11.1" hidden="1" customHeight="1" x14ac:dyDescent="0.25">
      <c r="A5069" s="12" t="s">
        <v>7135</v>
      </c>
      <c r="B5069" s="12" t="s">
        <v>7136</v>
      </c>
      <c r="C5069" s="14">
        <v>125</v>
      </c>
      <c r="D5069" s="12"/>
      <c r="E5069" s="13"/>
    </row>
    <row r="5070" spans="1:5" ht="11.1" hidden="1" customHeight="1" x14ac:dyDescent="0.25">
      <c r="A5070" s="12" t="s">
        <v>7137</v>
      </c>
      <c r="B5070" s="12" t="s">
        <v>2100</v>
      </c>
      <c r="C5070" s="14">
        <v>2635</v>
      </c>
      <c r="D5070" s="12"/>
      <c r="E5070" s="14"/>
    </row>
    <row r="5071" spans="1:5" ht="11.1" hidden="1" customHeight="1" x14ac:dyDescent="0.25">
      <c r="A5071" s="12" t="s">
        <v>7138</v>
      </c>
      <c r="B5071" s="12" t="s">
        <v>2107</v>
      </c>
      <c r="C5071" s="14">
        <v>53.33</v>
      </c>
      <c r="D5071" s="12"/>
      <c r="E5071" s="13"/>
    </row>
    <row r="5072" spans="1:5" ht="11.1" hidden="1" customHeight="1" x14ac:dyDescent="0.25">
      <c r="A5072" s="12" t="s">
        <v>7139</v>
      </c>
      <c r="B5072" s="12" t="s">
        <v>7140</v>
      </c>
      <c r="C5072" s="14">
        <v>900</v>
      </c>
      <c r="D5072" s="12"/>
      <c r="E5072" s="13"/>
    </row>
    <row r="5073" spans="1:5" ht="11.1" hidden="1" customHeight="1" x14ac:dyDescent="0.25">
      <c r="A5073" s="12" t="s">
        <v>7141</v>
      </c>
      <c r="B5073" s="12" t="s">
        <v>2056</v>
      </c>
      <c r="C5073" s="14">
        <v>3030</v>
      </c>
      <c r="D5073" s="12"/>
      <c r="E5073" s="14"/>
    </row>
    <row r="5074" spans="1:5" ht="11.1" hidden="1" customHeight="1" x14ac:dyDescent="0.25">
      <c r="A5074" s="12" t="s">
        <v>7142</v>
      </c>
      <c r="B5074" s="12" t="s">
        <v>2990</v>
      </c>
      <c r="C5074" s="14">
        <v>28</v>
      </c>
      <c r="D5074" s="12"/>
      <c r="E5074" s="13"/>
    </row>
    <row r="5075" spans="1:5" ht="11.1" hidden="1" customHeight="1" x14ac:dyDescent="0.25">
      <c r="A5075" s="12" t="s">
        <v>7143</v>
      </c>
      <c r="B5075" s="12" t="s">
        <v>7144</v>
      </c>
      <c r="C5075" s="14">
        <v>690</v>
      </c>
      <c r="D5075" s="12"/>
      <c r="E5075" s="13"/>
    </row>
    <row r="5076" spans="1:5" ht="11.1" hidden="1" customHeight="1" x14ac:dyDescent="0.25">
      <c r="A5076" s="12" t="s">
        <v>7145</v>
      </c>
      <c r="B5076" s="12" t="s">
        <v>862</v>
      </c>
      <c r="C5076" s="14">
        <v>453.33</v>
      </c>
      <c r="D5076" s="12"/>
      <c r="E5076" s="13"/>
    </row>
    <row r="5077" spans="1:5" ht="11.1" hidden="1" customHeight="1" x14ac:dyDescent="0.25">
      <c r="A5077" s="12" t="s">
        <v>7146</v>
      </c>
      <c r="B5077" s="12" t="s">
        <v>7147</v>
      </c>
      <c r="C5077" s="14">
        <v>1870</v>
      </c>
      <c r="D5077" s="12"/>
      <c r="E5077" s="14"/>
    </row>
    <row r="5078" spans="1:5" ht="11.1" hidden="1" customHeight="1" x14ac:dyDescent="0.25">
      <c r="A5078" s="12" t="s">
        <v>7148</v>
      </c>
      <c r="B5078" s="12" t="s">
        <v>7147</v>
      </c>
      <c r="C5078" s="14">
        <v>3180</v>
      </c>
      <c r="D5078" s="12"/>
      <c r="E5078" s="14"/>
    </row>
    <row r="5079" spans="1:5" ht="11.1" hidden="1" customHeight="1" x14ac:dyDescent="0.25">
      <c r="A5079" s="12" t="s">
        <v>7149</v>
      </c>
      <c r="B5079" s="12" t="s">
        <v>7150</v>
      </c>
      <c r="C5079" s="14">
        <v>1560</v>
      </c>
      <c r="D5079" s="12"/>
      <c r="E5079" s="14"/>
    </row>
    <row r="5080" spans="1:5" ht="11.1" hidden="1" customHeight="1" x14ac:dyDescent="0.25">
      <c r="A5080" s="12" t="s">
        <v>7151</v>
      </c>
      <c r="B5080" s="12" t="s">
        <v>2335</v>
      </c>
      <c r="C5080" s="14">
        <v>18974.5</v>
      </c>
      <c r="D5080" s="12"/>
      <c r="E5080" s="14"/>
    </row>
    <row r="5081" spans="1:5" ht="11.1" hidden="1" customHeight="1" x14ac:dyDescent="0.25">
      <c r="A5081" s="12" t="s">
        <v>7152</v>
      </c>
      <c r="B5081" s="12" t="s">
        <v>7153</v>
      </c>
      <c r="C5081" s="14">
        <v>530</v>
      </c>
      <c r="D5081" s="12"/>
      <c r="E5081" s="13"/>
    </row>
    <row r="5082" spans="1:5" ht="11.1" hidden="1" customHeight="1" x14ac:dyDescent="0.25">
      <c r="A5082" s="12" t="s">
        <v>7154</v>
      </c>
      <c r="B5082" s="12" t="s">
        <v>2588</v>
      </c>
      <c r="C5082" s="14">
        <v>5549</v>
      </c>
      <c r="D5082" s="12"/>
      <c r="E5082" s="14"/>
    </row>
    <row r="5083" spans="1:5" ht="11.1" hidden="1" customHeight="1" x14ac:dyDescent="0.25">
      <c r="A5083" s="12" t="s">
        <v>7155</v>
      </c>
      <c r="B5083" s="12" t="s">
        <v>7156</v>
      </c>
      <c r="C5083" s="14">
        <v>25490</v>
      </c>
      <c r="D5083" s="12"/>
      <c r="E5083" s="14"/>
    </row>
    <row r="5084" spans="1:5" ht="11.1" hidden="1" customHeight="1" x14ac:dyDescent="0.25">
      <c r="A5084" s="12" t="s">
        <v>7157</v>
      </c>
      <c r="B5084" s="12" t="s">
        <v>7158</v>
      </c>
      <c r="C5084" s="14">
        <v>416.67</v>
      </c>
      <c r="D5084" s="12"/>
      <c r="E5084" s="13"/>
    </row>
    <row r="5085" spans="1:5" ht="11.1" hidden="1" customHeight="1" x14ac:dyDescent="0.25">
      <c r="A5085" s="12" t="s">
        <v>7159</v>
      </c>
      <c r="B5085" s="12" t="s">
        <v>7160</v>
      </c>
      <c r="C5085" s="14">
        <v>50000</v>
      </c>
      <c r="D5085" s="12"/>
      <c r="E5085" s="14"/>
    </row>
    <row r="5086" spans="1:5" ht="11.1" hidden="1" customHeight="1" x14ac:dyDescent="0.25">
      <c r="A5086" s="12" t="s">
        <v>7161</v>
      </c>
      <c r="B5086" s="12" t="s">
        <v>5983</v>
      </c>
      <c r="C5086" s="14">
        <v>245</v>
      </c>
      <c r="D5086" s="12"/>
      <c r="E5086" s="13"/>
    </row>
    <row r="5087" spans="1:5" ht="11.1" hidden="1" customHeight="1" x14ac:dyDescent="0.25">
      <c r="A5087" s="12" t="s">
        <v>7162</v>
      </c>
      <c r="B5087" s="12" t="s">
        <v>1985</v>
      </c>
      <c r="C5087" s="14">
        <v>104.17</v>
      </c>
      <c r="D5087" s="12"/>
      <c r="E5087" s="13"/>
    </row>
    <row r="5088" spans="1:5" ht="11.1" hidden="1" customHeight="1" x14ac:dyDescent="0.25">
      <c r="A5088" s="12" t="s">
        <v>7163</v>
      </c>
      <c r="B5088" s="12" t="s">
        <v>7164</v>
      </c>
      <c r="C5088" s="14">
        <v>71781.649999999994</v>
      </c>
      <c r="D5088" s="12"/>
      <c r="E5088" s="14"/>
    </row>
    <row r="5089" spans="1:5" ht="11.1" hidden="1" customHeight="1" x14ac:dyDescent="0.25">
      <c r="A5089" s="12" t="s">
        <v>7165</v>
      </c>
      <c r="B5089" s="12" t="s">
        <v>5025</v>
      </c>
      <c r="C5089" s="14">
        <v>397603.05</v>
      </c>
      <c r="D5089" s="12"/>
      <c r="E5089" s="14"/>
    </row>
    <row r="5090" spans="1:5" ht="11.1" hidden="1" customHeight="1" x14ac:dyDescent="0.25">
      <c r="A5090" s="12" t="s">
        <v>7166</v>
      </c>
      <c r="B5090" s="12" t="s">
        <v>878</v>
      </c>
      <c r="C5090" s="14">
        <v>270.83</v>
      </c>
      <c r="D5090" s="12"/>
      <c r="E5090" s="13"/>
    </row>
    <row r="5091" spans="1:5" ht="11.1" hidden="1" customHeight="1" x14ac:dyDescent="0.25">
      <c r="A5091" s="12" t="s">
        <v>7167</v>
      </c>
      <c r="B5091" s="12" t="s">
        <v>878</v>
      </c>
      <c r="C5091" s="14">
        <v>239.17</v>
      </c>
      <c r="D5091" s="12"/>
      <c r="E5091" s="13"/>
    </row>
    <row r="5092" spans="1:5" ht="11.1" hidden="1" customHeight="1" x14ac:dyDescent="0.25">
      <c r="A5092" s="12" t="s">
        <v>7168</v>
      </c>
      <c r="B5092" s="12" t="s">
        <v>650</v>
      </c>
      <c r="C5092" s="14">
        <v>410.83</v>
      </c>
      <c r="D5092" s="12"/>
      <c r="E5092" s="13"/>
    </row>
    <row r="5093" spans="1:5" ht="11.1" hidden="1" customHeight="1" x14ac:dyDescent="0.25">
      <c r="A5093" s="12" t="s">
        <v>7169</v>
      </c>
      <c r="B5093" s="12" t="s">
        <v>713</v>
      </c>
      <c r="C5093" s="14">
        <v>375.83</v>
      </c>
      <c r="D5093" s="12"/>
      <c r="E5093" s="13"/>
    </row>
    <row r="5094" spans="1:5" ht="11.1" hidden="1" customHeight="1" x14ac:dyDescent="0.25">
      <c r="A5094" s="12" t="s">
        <v>7170</v>
      </c>
      <c r="B5094" s="12" t="s">
        <v>571</v>
      </c>
      <c r="C5094" s="14">
        <v>1666.67</v>
      </c>
      <c r="D5094" s="12"/>
      <c r="E5094" s="14"/>
    </row>
    <row r="5095" spans="1:5" ht="11.1" hidden="1" customHeight="1" x14ac:dyDescent="0.25">
      <c r="A5095" s="12" t="s">
        <v>7171</v>
      </c>
      <c r="B5095" s="12" t="s">
        <v>7172</v>
      </c>
      <c r="C5095" s="14">
        <v>94250</v>
      </c>
      <c r="D5095" s="12"/>
      <c r="E5095" s="14"/>
    </row>
    <row r="5096" spans="1:5" ht="11.1" hidden="1" customHeight="1" x14ac:dyDescent="0.25">
      <c r="A5096" s="12" t="s">
        <v>7173</v>
      </c>
      <c r="B5096" s="12" t="s">
        <v>741</v>
      </c>
      <c r="C5096" s="14">
        <v>3280</v>
      </c>
      <c r="D5096" s="12"/>
      <c r="E5096" s="14"/>
    </row>
    <row r="5097" spans="1:5" ht="11.1" hidden="1" customHeight="1" x14ac:dyDescent="0.25">
      <c r="A5097" s="12" t="s">
        <v>7174</v>
      </c>
      <c r="B5097" s="12" t="s">
        <v>2849</v>
      </c>
      <c r="C5097" s="14">
        <v>8200</v>
      </c>
      <c r="D5097" s="12"/>
      <c r="E5097" s="14"/>
    </row>
    <row r="5098" spans="1:5" ht="11.1" hidden="1" customHeight="1" x14ac:dyDescent="0.25">
      <c r="A5098" s="12" t="s">
        <v>7175</v>
      </c>
      <c r="B5098" s="12" t="s">
        <v>7176</v>
      </c>
      <c r="C5098" s="14">
        <v>1895</v>
      </c>
      <c r="D5098" s="12"/>
      <c r="E5098" s="14"/>
    </row>
    <row r="5099" spans="1:5" ht="11.1" hidden="1" customHeight="1" x14ac:dyDescent="0.25">
      <c r="A5099" s="12" t="s">
        <v>7177</v>
      </c>
      <c r="B5099" s="12" t="s">
        <v>7178</v>
      </c>
      <c r="C5099" s="14">
        <v>8107.5</v>
      </c>
      <c r="D5099" s="12"/>
      <c r="E5099" s="14"/>
    </row>
    <row r="5100" spans="1:5" ht="11.1" hidden="1" customHeight="1" x14ac:dyDescent="0.25">
      <c r="A5100" s="12" t="s">
        <v>7179</v>
      </c>
      <c r="B5100" s="12" t="s">
        <v>7180</v>
      </c>
      <c r="C5100" s="14">
        <v>32511.67</v>
      </c>
      <c r="D5100" s="12"/>
      <c r="E5100" s="14"/>
    </row>
    <row r="5101" spans="1:5" ht="11.1" hidden="1" customHeight="1" x14ac:dyDescent="0.25">
      <c r="A5101" s="12" t="s">
        <v>7181</v>
      </c>
      <c r="B5101" s="12" t="s">
        <v>7182</v>
      </c>
      <c r="C5101" s="14">
        <v>380</v>
      </c>
      <c r="D5101" s="12"/>
      <c r="E5101" s="13"/>
    </row>
    <row r="5102" spans="1:5" ht="11.1" hidden="1" customHeight="1" x14ac:dyDescent="0.25">
      <c r="A5102" s="12" t="s">
        <v>7183</v>
      </c>
      <c r="B5102" s="12" t="s">
        <v>7184</v>
      </c>
      <c r="C5102" s="14">
        <v>445</v>
      </c>
      <c r="D5102" s="12"/>
      <c r="E5102" s="13"/>
    </row>
    <row r="5103" spans="1:5" ht="11.1" hidden="1" customHeight="1" x14ac:dyDescent="0.25">
      <c r="A5103" s="12" t="s">
        <v>7185</v>
      </c>
      <c r="B5103" s="12" t="s">
        <v>72</v>
      </c>
      <c r="C5103" s="14">
        <v>1770.12</v>
      </c>
      <c r="D5103" s="12"/>
      <c r="E5103" s="14"/>
    </row>
    <row r="5104" spans="1:5" ht="11.1" hidden="1" customHeight="1" x14ac:dyDescent="0.25">
      <c r="A5104" s="12" t="s">
        <v>7186</v>
      </c>
      <c r="B5104" s="12" t="s">
        <v>72</v>
      </c>
      <c r="C5104" s="14">
        <v>1770.12</v>
      </c>
      <c r="D5104" s="12"/>
      <c r="E5104" s="14"/>
    </row>
    <row r="5105" spans="1:5" ht="11.1" hidden="1" customHeight="1" x14ac:dyDescent="0.25">
      <c r="A5105" s="12" t="s">
        <v>7187</v>
      </c>
      <c r="B5105" s="12" t="s">
        <v>72</v>
      </c>
      <c r="C5105" s="14">
        <v>1770.13</v>
      </c>
      <c r="D5105" s="12"/>
      <c r="E5105" s="14"/>
    </row>
    <row r="5106" spans="1:5" ht="23.1" hidden="1" customHeight="1" x14ac:dyDescent="0.25">
      <c r="A5106" s="12" t="s">
        <v>7188</v>
      </c>
      <c r="B5106" s="12" t="s">
        <v>7189</v>
      </c>
      <c r="C5106" s="14">
        <v>2.63</v>
      </c>
      <c r="D5106" s="12"/>
      <c r="E5106" s="13"/>
    </row>
    <row r="5107" spans="1:5" ht="23.1" hidden="1" customHeight="1" x14ac:dyDescent="0.25">
      <c r="A5107" s="12" t="s">
        <v>7190</v>
      </c>
      <c r="B5107" s="12" t="s">
        <v>928</v>
      </c>
      <c r="C5107" s="14">
        <v>559.16999999999996</v>
      </c>
      <c r="D5107" s="12"/>
      <c r="E5107" s="13"/>
    </row>
    <row r="5108" spans="1:5" ht="11.1" hidden="1" customHeight="1" x14ac:dyDescent="0.25">
      <c r="A5108" s="12" t="s">
        <v>7191</v>
      </c>
      <c r="B5108" s="12" t="s">
        <v>563</v>
      </c>
      <c r="C5108" s="14">
        <v>455.83</v>
      </c>
      <c r="D5108" s="12"/>
      <c r="E5108" s="13"/>
    </row>
    <row r="5109" spans="1:5" ht="11.1" hidden="1" customHeight="1" x14ac:dyDescent="0.25">
      <c r="A5109" s="12" t="s">
        <v>7192</v>
      </c>
      <c r="B5109" s="12" t="s">
        <v>2028</v>
      </c>
      <c r="C5109" s="14">
        <v>873.54</v>
      </c>
      <c r="D5109" s="12"/>
      <c r="E5109" s="13"/>
    </row>
    <row r="5110" spans="1:5" ht="11.1" hidden="1" customHeight="1" x14ac:dyDescent="0.25">
      <c r="A5110" s="12" t="s">
        <v>7193</v>
      </c>
      <c r="B5110" s="12" t="s">
        <v>536</v>
      </c>
      <c r="C5110" s="14">
        <v>257.5</v>
      </c>
      <c r="D5110" s="12"/>
      <c r="E5110" s="13"/>
    </row>
    <row r="5111" spans="1:5" ht="11.1" hidden="1" customHeight="1" x14ac:dyDescent="0.25">
      <c r="A5111" s="12" t="s">
        <v>7194</v>
      </c>
      <c r="B5111" s="12" t="s">
        <v>536</v>
      </c>
      <c r="C5111" s="14">
        <v>257.5</v>
      </c>
      <c r="D5111" s="12"/>
      <c r="E5111" s="13"/>
    </row>
    <row r="5112" spans="1:5" ht="11.1" hidden="1" customHeight="1" x14ac:dyDescent="0.25">
      <c r="A5112" s="12" t="s">
        <v>7195</v>
      </c>
      <c r="B5112" s="12" t="s">
        <v>536</v>
      </c>
      <c r="C5112" s="14">
        <v>257.5</v>
      </c>
      <c r="D5112" s="12"/>
      <c r="E5112" s="13"/>
    </row>
    <row r="5113" spans="1:5" ht="11.1" hidden="1" customHeight="1" x14ac:dyDescent="0.25">
      <c r="A5113" s="12" t="s">
        <v>7196</v>
      </c>
      <c r="B5113" s="12" t="s">
        <v>536</v>
      </c>
      <c r="C5113" s="14">
        <v>257.5</v>
      </c>
      <c r="D5113" s="12"/>
      <c r="E5113" s="13"/>
    </row>
    <row r="5114" spans="1:5" ht="11.1" hidden="1" customHeight="1" x14ac:dyDescent="0.25">
      <c r="A5114" s="12" t="s">
        <v>7197</v>
      </c>
      <c r="B5114" s="12" t="s">
        <v>3623</v>
      </c>
      <c r="C5114" s="14">
        <v>650</v>
      </c>
      <c r="D5114" s="12"/>
      <c r="E5114" s="13"/>
    </row>
    <row r="5115" spans="1:5" ht="11.1" hidden="1" customHeight="1" x14ac:dyDescent="0.25">
      <c r="A5115" s="12" t="s">
        <v>7198</v>
      </c>
      <c r="B5115" s="12" t="s">
        <v>780</v>
      </c>
      <c r="C5115" s="14">
        <v>39.17</v>
      </c>
      <c r="D5115" s="12"/>
      <c r="E5115" s="13"/>
    </row>
    <row r="5116" spans="1:5" ht="11.1" hidden="1" customHeight="1" x14ac:dyDescent="0.25">
      <c r="A5116" s="12" t="s">
        <v>7199</v>
      </c>
      <c r="B5116" s="12" t="s">
        <v>7200</v>
      </c>
      <c r="C5116" s="14">
        <v>1071.67</v>
      </c>
      <c r="D5116" s="12"/>
      <c r="E5116" s="14"/>
    </row>
    <row r="5117" spans="1:5" ht="11.1" hidden="1" customHeight="1" x14ac:dyDescent="0.25">
      <c r="A5117" s="12" t="s">
        <v>7201</v>
      </c>
      <c r="B5117" s="12" t="s">
        <v>2107</v>
      </c>
      <c r="C5117" s="14">
        <v>50.75</v>
      </c>
      <c r="D5117" s="12"/>
      <c r="E5117" s="13"/>
    </row>
    <row r="5118" spans="1:5" ht="11.1" hidden="1" customHeight="1" x14ac:dyDescent="0.25">
      <c r="A5118" s="12" t="s">
        <v>7202</v>
      </c>
      <c r="B5118" s="12" t="s">
        <v>1985</v>
      </c>
      <c r="C5118" s="14">
        <v>46.75</v>
      </c>
      <c r="D5118" s="12"/>
      <c r="E5118" s="13"/>
    </row>
    <row r="5119" spans="1:5" ht="11.1" hidden="1" customHeight="1" x14ac:dyDescent="0.25">
      <c r="A5119" s="12" t="s">
        <v>7203</v>
      </c>
      <c r="B5119" s="12" t="s">
        <v>2113</v>
      </c>
      <c r="C5119" s="14">
        <v>107.5</v>
      </c>
      <c r="D5119" s="12"/>
      <c r="E5119" s="13"/>
    </row>
    <row r="5120" spans="1:5" ht="11.1" hidden="1" customHeight="1" x14ac:dyDescent="0.25">
      <c r="A5120" s="12" t="s">
        <v>7204</v>
      </c>
      <c r="B5120" s="12" t="s">
        <v>1985</v>
      </c>
      <c r="C5120" s="14">
        <v>329.17</v>
      </c>
      <c r="D5120" s="12"/>
      <c r="E5120" s="13"/>
    </row>
    <row r="5121" spans="1:5" ht="11.1" hidden="1" customHeight="1" x14ac:dyDescent="0.25">
      <c r="A5121" s="12" t="s">
        <v>7205</v>
      </c>
      <c r="B5121" s="12" t="s">
        <v>1985</v>
      </c>
      <c r="C5121" s="14">
        <v>783.33</v>
      </c>
      <c r="D5121" s="12"/>
      <c r="E5121" s="13"/>
    </row>
    <row r="5122" spans="1:5" ht="11.1" hidden="1" customHeight="1" x14ac:dyDescent="0.25">
      <c r="A5122" s="12" t="s">
        <v>7206</v>
      </c>
      <c r="B5122" s="12" t="s">
        <v>2162</v>
      </c>
      <c r="C5122" s="14">
        <v>521.66999999999996</v>
      </c>
      <c r="D5122" s="12"/>
      <c r="E5122" s="13"/>
    </row>
    <row r="5123" spans="1:5" ht="23.1" hidden="1" customHeight="1" x14ac:dyDescent="0.25">
      <c r="A5123" s="12" t="s">
        <v>7207</v>
      </c>
      <c r="B5123" s="12" t="s">
        <v>2182</v>
      </c>
      <c r="C5123" s="14">
        <v>27708.33</v>
      </c>
      <c r="D5123" s="12"/>
      <c r="E5123" s="14"/>
    </row>
    <row r="5124" spans="1:5" ht="11.1" hidden="1" customHeight="1" x14ac:dyDescent="0.25">
      <c r="A5124" s="12" t="s">
        <v>7208</v>
      </c>
      <c r="B5124" s="12" t="s">
        <v>6949</v>
      </c>
      <c r="C5124" s="14">
        <v>14691.36</v>
      </c>
      <c r="D5124" s="12"/>
      <c r="E5124" s="14"/>
    </row>
    <row r="5125" spans="1:5" ht="11.1" hidden="1" customHeight="1" x14ac:dyDescent="0.25">
      <c r="A5125" s="12" t="s">
        <v>7209</v>
      </c>
      <c r="B5125" s="12" t="s">
        <v>7210</v>
      </c>
      <c r="C5125" s="14">
        <v>350</v>
      </c>
      <c r="D5125" s="12"/>
      <c r="E5125" s="13"/>
    </row>
    <row r="5126" spans="1:5" ht="11.1" hidden="1" customHeight="1" x14ac:dyDescent="0.25">
      <c r="A5126" s="12" t="s">
        <v>7211</v>
      </c>
      <c r="B5126" s="12" t="s">
        <v>7212</v>
      </c>
      <c r="C5126" s="14">
        <v>1000</v>
      </c>
      <c r="D5126" s="12"/>
      <c r="E5126" s="14"/>
    </row>
    <row r="5127" spans="1:5" ht="11.1" hidden="1" customHeight="1" x14ac:dyDescent="0.25">
      <c r="A5127" s="12" t="s">
        <v>7213</v>
      </c>
      <c r="B5127" s="12" t="s">
        <v>7212</v>
      </c>
      <c r="C5127" s="14">
        <v>1000</v>
      </c>
      <c r="D5127" s="12"/>
      <c r="E5127" s="14"/>
    </row>
    <row r="5128" spans="1:5" ht="11.1" hidden="1" customHeight="1" x14ac:dyDescent="0.25">
      <c r="A5128" s="12" t="s">
        <v>7214</v>
      </c>
      <c r="B5128" s="12" t="s">
        <v>7215</v>
      </c>
      <c r="C5128" s="14">
        <v>215510</v>
      </c>
      <c r="D5128" s="12"/>
      <c r="E5128" s="14"/>
    </row>
    <row r="5129" spans="1:5" ht="11.1" hidden="1" customHeight="1" x14ac:dyDescent="0.25">
      <c r="A5129" s="12" t="s">
        <v>7216</v>
      </c>
      <c r="B5129" s="12" t="s">
        <v>4167</v>
      </c>
      <c r="C5129" s="14">
        <v>3835.83</v>
      </c>
      <c r="D5129" s="12"/>
      <c r="E5129" s="14"/>
    </row>
    <row r="5130" spans="1:5" ht="11.1" hidden="1" customHeight="1" x14ac:dyDescent="0.25">
      <c r="A5130" s="12" t="s">
        <v>7217</v>
      </c>
      <c r="B5130" s="12" t="s">
        <v>3621</v>
      </c>
      <c r="C5130" s="14">
        <v>2083.33</v>
      </c>
      <c r="D5130" s="12"/>
      <c r="E5130" s="14"/>
    </row>
    <row r="5131" spans="1:5" ht="11.1" hidden="1" customHeight="1" x14ac:dyDescent="0.25">
      <c r="A5131" s="12" t="s">
        <v>7218</v>
      </c>
      <c r="B5131" s="12" t="s">
        <v>7219</v>
      </c>
      <c r="C5131" s="14">
        <v>10000</v>
      </c>
      <c r="D5131" s="12"/>
      <c r="E5131" s="14"/>
    </row>
    <row r="5132" spans="1:5" ht="11.1" hidden="1" customHeight="1" x14ac:dyDescent="0.25">
      <c r="A5132" s="12" t="s">
        <v>7220</v>
      </c>
      <c r="B5132" s="12" t="s">
        <v>7221</v>
      </c>
      <c r="C5132" s="14">
        <v>5346</v>
      </c>
      <c r="D5132" s="12"/>
      <c r="E5132" s="14"/>
    </row>
    <row r="5133" spans="1:5" ht="11.1" hidden="1" customHeight="1" x14ac:dyDescent="0.25">
      <c r="A5133" s="12" t="s">
        <v>7222</v>
      </c>
      <c r="B5133" s="12" t="s">
        <v>7223</v>
      </c>
      <c r="C5133" s="14">
        <v>11516</v>
      </c>
      <c r="D5133" s="12"/>
      <c r="E5133" s="14"/>
    </row>
    <row r="5134" spans="1:5" ht="11.1" hidden="1" customHeight="1" x14ac:dyDescent="0.25">
      <c r="A5134" s="12" t="s">
        <v>7224</v>
      </c>
      <c r="B5134" s="12" t="s">
        <v>7225</v>
      </c>
      <c r="C5134" s="14">
        <v>12350</v>
      </c>
      <c r="D5134" s="12"/>
      <c r="E5134" s="14"/>
    </row>
    <row r="5135" spans="1:5" ht="11.1" hidden="1" customHeight="1" x14ac:dyDescent="0.25">
      <c r="A5135" s="12" t="s">
        <v>7226</v>
      </c>
      <c r="B5135" s="12" t="s">
        <v>7223</v>
      </c>
      <c r="C5135" s="14">
        <v>12720</v>
      </c>
      <c r="D5135" s="12"/>
      <c r="E5135" s="14"/>
    </row>
    <row r="5136" spans="1:5" ht="11.1" hidden="1" customHeight="1" x14ac:dyDescent="0.25">
      <c r="A5136" s="12" t="s">
        <v>7227</v>
      </c>
      <c r="B5136" s="12" t="s">
        <v>7225</v>
      </c>
      <c r="C5136" s="14">
        <v>13577</v>
      </c>
      <c r="D5136" s="12"/>
      <c r="E5136" s="14"/>
    </row>
    <row r="5137" spans="1:5" ht="11.1" hidden="1" customHeight="1" x14ac:dyDescent="0.25">
      <c r="A5137" s="12" t="s">
        <v>7228</v>
      </c>
      <c r="B5137" s="12" t="s">
        <v>7229</v>
      </c>
      <c r="C5137" s="14">
        <v>7762</v>
      </c>
      <c r="D5137" s="12"/>
      <c r="E5137" s="14"/>
    </row>
    <row r="5138" spans="1:5" ht="11.1" hidden="1" customHeight="1" x14ac:dyDescent="0.25">
      <c r="A5138" s="12" t="s">
        <v>7230</v>
      </c>
      <c r="B5138" s="12" t="s">
        <v>7229</v>
      </c>
      <c r="C5138" s="14">
        <v>7762</v>
      </c>
      <c r="D5138" s="12"/>
      <c r="E5138" s="14"/>
    </row>
    <row r="5139" spans="1:5" ht="11.1" hidden="1" customHeight="1" x14ac:dyDescent="0.25">
      <c r="A5139" s="12" t="s">
        <v>7231</v>
      </c>
      <c r="B5139" s="12" t="s">
        <v>7232</v>
      </c>
      <c r="C5139" s="14">
        <v>5379</v>
      </c>
      <c r="D5139" s="12"/>
      <c r="E5139" s="14"/>
    </row>
    <row r="5140" spans="1:5" ht="11.1" hidden="1" customHeight="1" x14ac:dyDescent="0.25">
      <c r="A5140" s="12" t="s">
        <v>7233</v>
      </c>
      <c r="B5140" s="12" t="s">
        <v>7232</v>
      </c>
      <c r="C5140" s="14">
        <v>5354</v>
      </c>
      <c r="D5140" s="12"/>
      <c r="E5140" s="14"/>
    </row>
    <row r="5141" spans="1:5" ht="11.1" hidden="1" customHeight="1" x14ac:dyDescent="0.25">
      <c r="A5141" s="12" t="s">
        <v>7234</v>
      </c>
      <c r="B5141" s="12" t="s">
        <v>7235</v>
      </c>
      <c r="C5141" s="14">
        <v>5379</v>
      </c>
      <c r="D5141" s="12"/>
      <c r="E5141" s="14"/>
    </row>
    <row r="5142" spans="1:5" ht="23.1" hidden="1" customHeight="1" x14ac:dyDescent="0.25">
      <c r="A5142" s="12" t="s">
        <v>7236</v>
      </c>
      <c r="B5142" s="12" t="s">
        <v>7237</v>
      </c>
      <c r="C5142" s="14">
        <v>9929</v>
      </c>
      <c r="D5142" s="12"/>
      <c r="E5142" s="14"/>
    </row>
    <row r="5143" spans="1:5" ht="11.1" hidden="1" customHeight="1" x14ac:dyDescent="0.25">
      <c r="A5143" s="12" t="s">
        <v>7238</v>
      </c>
      <c r="B5143" s="12" t="s">
        <v>7235</v>
      </c>
      <c r="C5143" s="14">
        <v>5554</v>
      </c>
      <c r="D5143" s="12"/>
      <c r="E5143" s="14"/>
    </row>
    <row r="5144" spans="1:5" ht="11.1" hidden="1" customHeight="1" x14ac:dyDescent="0.25">
      <c r="A5144" s="12" t="s">
        <v>7239</v>
      </c>
      <c r="B5144" s="12" t="s">
        <v>7221</v>
      </c>
      <c r="C5144" s="14">
        <v>5179</v>
      </c>
      <c r="D5144" s="12"/>
      <c r="E5144" s="14"/>
    </row>
    <row r="5145" spans="1:5" ht="11.1" hidden="1" customHeight="1" x14ac:dyDescent="0.25">
      <c r="A5145" s="12" t="s">
        <v>7240</v>
      </c>
      <c r="B5145" s="12" t="s">
        <v>7241</v>
      </c>
      <c r="C5145" s="14">
        <v>5346</v>
      </c>
      <c r="D5145" s="12"/>
      <c r="E5145" s="14"/>
    </row>
    <row r="5146" spans="1:5" ht="11.1" hidden="1" customHeight="1" x14ac:dyDescent="0.25">
      <c r="A5146" s="12" t="s">
        <v>7242</v>
      </c>
      <c r="B5146" s="12" t="s">
        <v>7241</v>
      </c>
      <c r="C5146" s="14">
        <v>5179</v>
      </c>
      <c r="D5146" s="12"/>
      <c r="E5146" s="14"/>
    </row>
    <row r="5147" spans="1:5" ht="11.1" hidden="1" customHeight="1" x14ac:dyDescent="0.25">
      <c r="A5147" s="12" t="s">
        <v>7243</v>
      </c>
      <c r="B5147" s="12" t="s">
        <v>7244</v>
      </c>
      <c r="C5147" s="14">
        <v>11309</v>
      </c>
      <c r="D5147" s="12"/>
      <c r="E5147" s="14"/>
    </row>
    <row r="5148" spans="1:5" ht="11.1" hidden="1" customHeight="1" x14ac:dyDescent="0.25">
      <c r="A5148" s="12" t="s">
        <v>7245</v>
      </c>
      <c r="B5148" s="12" t="s">
        <v>7246</v>
      </c>
      <c r="C5148" s="14">
        <v>11380</v>
      </c>
      <c r="D5148" s="12"/>
      <c r="E5148" s="14"/>
    </row>
    <row r="5149" spans="1:5" ht="11.1" hidden="1" customHeight="1" x14ac:dyDescent="0.25">
      <c r="A5149" s="12" t="s">
        <v>7247</v>
      </c>
      <c r="B5149" s="12" t="s">
        <v>7248</v>
      </c>
      <c r="C5149" s="14">
        <v>11309</v>
      </c>
      <c r="D5149" s="12"/>
      <c r="E5149" s="14"/>
    </row>
    <row r="5150" spans="1:5" ht="11.1" hidden="1" customHeight="1" x14ac:dyDescent="0.25">
      <c r="A5150" s="12" t="s">
        <v>7249</v>
      </c>
      <c r="B5150" s="12" t="s">
        <v>7248</v>
      </c>
      <c r="C5150" s="14">
        <v>11280</v>
      </c>
      <c r="D5150" s="12"/>
      <c r="E5150" s="14"/>
    </row>
    <row r="5151" spans="1:5" ht="11.1" hidden="1" customHeight="1" x14ac:dyDescent="0.25">
      <c r="A5151" s="12" t="s">
        <v>7250</v>
      </c>
      <c r="B5151" s="12" t="s">
        <v>7244</v>
      </c>
      <c r="C5151" s="14">
        <v>11280</v>
      </c>
      <c r="D5151" s="12"/>
      <c r="E5151" s="14"/>
    </row>
    <row r="5152" spans="1:5" ht="11.1" hidden="1" customHeight="1" x14ac:dyDescent="0.25">
      <c r="A5152" s="12" t="s">
        <v>7251</v>
      </c>
      <c r="B5152" s="12" t="s">
        <v>7246</v>
      </c>
      <c r="C5152" s="14">
        <v>11409</v>
      </c>
      <c r="D5152" s="12"/>
      <c r="E5152" s="14"/>
    </row>
    <row r="5153" spans="1:5" ht="11.1" hidden="1" customHeight="1" x14ac:dyDescent="0.25">
      <c r="A5153" s="12" t="s">
        <v>7252</v>
      </c>
      <c r="B5153" s="12" t="s">
        <v>7253</v>
      </c>
      <c r="C5153" s="14">
        <v>10871</v>
      </c>
      <c r="D5153" s="12"/>
      <c r="E5153" s="14"/>
    </row>
    <row r="5154" spans="1:5" ht="11.1" hidden="1" customHeight="1" x14ac:dyDescent="0.25">
      <c r="A5154" s="12" t="s">
        <v>7254</v>
      </c>
      <c r="B5154" s="12" t="s">
        <v>7255</v>
      </c>
      <c r="C5154" s="14">
        <v>10971</v>
      </c>
      <c r="D5154" s="12"/>
      <c r="E5154" s="14"/>
    </row>
    <row r="5155" spans="1:5" ht="11.1" hidden="1" customHeight="1" x14ac:dyDescent="0.25">
      <c r="A5155" s="12" t="s">
        <v>7256</v>
      </c>
      <c r="B5155" s="12" t="s">
        <v>7255</v>
      </c>
      <c r="C5155" s="14">
        <v>11087</v>
      </c>
      <c r="D5155" s="12"/>
      <c r="E5155" s="14"/>
    </row>
    <row r="5156" spans="1:5" ht="11.1" hidden="1" customHeight="1" x14ac:dyDescent="0.25">
      <c r="A5156" s="12" t="s">
        <v>7257</v>
      </c>
      <c r="B5156" s="12" t="s">
        <v>7253</v>
      </c>
      <c r="C5156" s="14">
        <v>11039</v>
      </c>
      <c r="D5156" s="12"/>
      <c r="E5156" s="14"/>
    </row>
    <row r="5157" spans="1:5" ht="11.1" hidden="1" customHeight="1" x14ac:dyDescent="0.25">
      <c r="A5157" s="12" t="s">
        <v>7258</v>
      </c>
      <c r="B5157" s="12" t="s">
        <v>7259</v>
      </c>
      <c r="C5157" s="14">
        <v>13674</v>
      </c>
      <c r="D5157" s="12"/>
      <c r="E5157" s="14"/>
    </row>
    <row r="5158" spans="1:5" ht="11.1" hidden="1" customHeight="1" x14ac:dyDescent="0.25">
      <c r="A5158" s="12" t="s">
        <v>7260</v>
      </c>
      <c r="B5158" s="12" t="s">
        <v>7261</v>
      </c>
      <c r="C5158" s="14">
        <v>14531</v>
      </c>
      <c r="D5158" s="12"/>
      <c r="E5158" s="14"/>
    </row>
    <row r="5159" spans="1:5" ht="11.1" hidden="1" customHeight="1" x14ac:dyDescent="0.25">
      <c r="A5159" s="12" t="s">
        <v>7262</v>
      </c>
      <c r="B5159" s="12" t="s">
        <v>7263</v>
      </c>
      <c r="C5159" s="14">
        <v>9363</v>
      </c>
      <c r="D5159" s="12"/>
      <c r="E5159" s="14"/>
    </row>
    <row r="5160" spans="1:5" ht="11.1" hidden="1" customHeight="1" x14ac:dyDescent="0.25">
      <c r="A5160" s="12" t="s">
        <v>7264</v>
      </c>
      <c r="B5160" s="12" t="s">
        <v>7265</v>
      </c>
      <c r="C5160" s="14">
        <v>6554</v>
      </c>
      <c r="D5160" s="12"/>
      <c r="E5160" s="14"/>
    </row>
    <row r="5161" spans="1:5" ht="23.1" hidden="1" customHeight="1" x14ac:dyDescent="0.25">
      <c r="A5161" s="12" t="s">
        <v>7266</v>
      </c>
      <c r="B5161" s="12" t="s">
        <v>7267</v>
      </c>
      <c r="C5161" s="14">
        <v>6554</v>
      </c>
      <c r="D5161" s="12"/>
      <c r="E5161" s="14"/>
    </row>
    <row r="5162" spans="1:5" ht="11.1" hidden="1" customHeight="1" x14ac:dyDescent="0.25">
      <c r="A5162" s="12" t="s">
        <v>7268</v>
      </c>
      <c r="B5162" s="12" t="s">
        <v>7267</v>
      </c>
      <c r="C5162" s="14">
        <v>10614</v>
      </c>
      <c r="D5162" s="12"/>
      <c r="E5162" s="14"/>
    </row>
    <row r="5163" spans="1:5" ht="11.1" hidden="1" customHeight="1" x14ac:dyDescent="0.25">
      <c r="A5163" s="12" t="s">
        <v>7269</v>
      </c>
      <c r="B5163" s="12" t="s">
        <v>7265</v>
      </c>
      <c r="C5163" s="14">
        <v>10661</v>
      </c>
      <c r="D5163" s="12"/>
      <c r="E5163" s="14"/>
    </row>
    <row r="5164" spans="1:5" ht="11.1" hidden="1" customHeight="1" x14ac:dyDescent="0.25">
      <c r="A5164" s="12" t="s">
        <v>7270</v>
      </c>
      <c r="B5164" s="12" t="s">
        <v>7271</v>
      </c>
      <c r="C5164" s="14">
        <v>5788</v>
      </c>
      <c r="D5164" s="12"/>
      <c r="E5164" s="14"/>
    </row>
    <row r="5165" spans="1:5" ht="11.1" hidden="1" customHeight="1" x14ac:dyDescent="0.25">
      <c r="A5165" s="12" t="s">
        <v>7272</v>
      </c>
      <c r="B5165" s="12" t="s">
        <v>7273</v>
      </c>
      <c r="C5165" s="14">
        <v>5371</v>
      </c>
      <c r="D5165" s="12"/>
      <c r="E5165" s="14"/>
    </row>
    <row r="5166" spans="1:5" ht="11.1" hidden="1" customHeight="1" x14ac:dyDescent="0.25">
      <c r="A5166" s="12" t="s">
        <v>7274</v>
      </c>
      <c r="B5166" s="12" t="s">
        <v>7275</v>
      </c>
      <c r="C5166" s="14">
        <v>9313</v>
      </c>
      <c r="D5166" s="12"/>
      <c r="E5166" s="14"/>
    </row>
    <row r="5167" spans="1:5" ht="11.1" hidden="1" customHeight="1" x14ac:dyDescent="0.25">
      <c r="A5167" s="12" t="s">
        <v>7276</v>
      </c>
      <c r="B5167" s="12" t="s">
        <v>7275</v>
      </c>
      <c r="C5167" s="14">
        <v>12511</v>
      </c>
      <c r="D5167" s="12"/>
      <c r="E5167" s="14"/>
    </row>
    <row r="5168" spans="1:5" ht="11.1" hidden="1" customHeight="1" x14ac:dyDescent="0.25">
      <c r="A5168" s="12" t="s">
        <v>7277</v>
      </c>
      <c r="B5168" s="12" t="s">
        <v>7278</v>
      </c>
      <c r="C5168" s="14">
        <v>9704</v>
      </c>
      <c r="D5168" s="12"/>
      <c r="E5168" s="14"/>
    </row>
    <row r="5169" spans="1:5" ht="11.1" hidden="1" customHeight="1" x14ac:dyDescent="0.25">
      <c r="A5169" s="12" t="s">
        <v>7279</v>
      </c>
      <c r="B5169" s="12" t="s">
        <v>7278</v>
      </c>
      <c r="C5169" s="14">
        <v>12522</v>
      </c>
      <c r="D5169" s="12"/>
      <c r="E5169" s="14"/>
    </row>
    <row r="5170" spans="1:5" ht="11.1" hidden="1" customHeight="1" x14ac:dyDescent="0.25">
      <c r="A5170" s="12" t="s">
        <v>7280</v>
      </c>
      <c r="B5170" s="12" t="s">
        <v>7281</v>
      </c>
      <c r="C5170" s="14">
        <v>8596</v>
      </c>
      <c r="D5170" s="12"/>
      <c r="E5170" s="14"/>
    </row>
    <row r="5171" spans="1:5" ht="11.1" hidden="1" customHeight="1" x14ac:dyDescent="0.25">
      <c r="A5171" s="12" t="s">
        <v>7282</v>
      </c>
      <c r="B5171" s="12" t="s">
        <v>7281</v>
      </c>
      <c r="C5171" s="14">
        <v>12695</v>
      </c>
      <c r="D5171" s="12"/>
      <c r="E5171" s="14"/>
    </row>
    <row r="5172" spans="1:5" ht="23.1" hidden="1" customHeight="1" x14ac:dyDescent="0.25">
      <c r="A5172" s="12" t="s">
        <v>7283</v>
      </c>
      <c r="B5172" s="12" t="s">
        <v>7284</v>
      </c>
      <c r="C5172" s="14">
        <v>1525</v>
      </c>
      <c r="D5172" s="12"/>
      <c r="E5172" s="14"/>
    </row>
    <row r="5173" spans="1:5" ht="11.1" hidden="1" customHeight="1" x14ac:dyDescent="0.25">
      <c r="A5173" s="12" t="s">
        <v>7285</v>
      </c>
      <c r="B5173" s="12" t="s">
        <v>993</v>
      </c>
      <c r="C5173" s="14">
        <v>2722.5</v>
      </c>
      <c r="D5173" s="12"/>
      <c r="E5173" s="14"/>
    </row>
    <row r="5174" spans="1:5" ht="11.1" hidden="1" customHeight="1" x14ac:dyDescent="0.25">
      <c r="A5174" s="12" t="s">
        <v>7286</v>
      </c>
      <c r="B5174" s="12" t="s">
        <v>3322</v>
      </c>
      <c r="C5174" s="14">
        <v>920.83</v>
      </c>
      <c r="D5174" s="12"/>
      <c r="E5174" s="13"/>
    </row>
    <row r="5175" spans="1:5" ht="11.1" hidden="1" customHeight="1" x14ac:dyDescent="0.25">
      <c r="A5175" s="12" t="s">
        <v>7287</v>
      </c>
      <c r="B5175" s="12" t="s">
        <v>4904</v>
      </c>
      <c r="C5175" s="14">
        <v>53.33</v>
      </c>
      <c r="D5175" s="12"/>
      <c r="E5175" s="13"/>
    </row>
    <row r="5176" spans="1:5" ht="11.1" hidden="1" customHeight="1" x14ac:dyDescent="0.25">
      <c r="A5176" s="12" t="s">
        <v>7288</v>
      </c>
      <c r="B5176" s="12" t="s">
        <v>7289</v>
      </c>
      <c r="C5176" s="14">
        <v>19000</v>
      </c>
      <c r="D5176" s="12"/>
      <c r="E5176" s="14"/>
    </row>
    <row r="5177" spans="1:5" ht="11.1" hidden="1" customHeight="1" x14ac:dyDescent="0.25">
      <c r="A5177" s="12" t="s">
        <v>7290</v>
      </c>
      <c r="B5177" s="12" t="s">
        <v>7291</v>
      </c>
      <c r="C5177" s="14">
        <v>100</v>
      </c>
      <c r="D5177" s="12"/>
      <c r="E5177" s="13"/>
    </row>
    <row r="5178" spans="1:5" ht="11.1" hidden="1" customHeight="1" x14ac:dyDescent="0.25">
      <c r="A5178" s="12" t="s">
        <v>7292</v>
      </c>
      <c r="B5178" s="12" t="s">
        <v>7291</v>
      </c>
      <c r="C5178" s="14">
        <v>108.33</v>
      </c>
      <c r="D5178" s="12"/>
      <c r="E5178" s="13"/>
    </row>
    <row r="5179" spans="1:5" ht="11.1" hidden="1" customHeight="1" x14ac:dyDescent="0.25">
      <c r="A5179" s="12" t="s">
        <v>7293</v>
      </c>
      <c r="B5179" s="12" t="s">
        <v>7291</v>
      </c>
      <c r="C5179" s="14">
        <v>124.17</v>
      </c>
      <c r="D5179" s="12"/>
      <c r="E5179" s="13"/>
    </row>
    <row r="5180" spans="1:5" ht="11.1" hidden="1" customHeight="1" x14ac:dyDescent="0.25">
      <c r="A5180" s="12" t="s">
        <v>7294</v>
      </c>
      <c r="B5180" s="12" t="s">
        <v>7291</v>
      </c>
      <c r="C5180" s="14">
        <v>179.17</v>
      </c>
      <c r="D5180" s="12"/>
      <c r="E5180" s="13"/>
    </row>
    <row r="5181" spans="1:5" ht="11.1" hidden="1" customHeight="1" x14ac:dyDescent="0.25">
      <c r="A5181" s="12" t="s">
        <v>7295</v>
      </c>
      <c r="B5181" s="12" t="s">
        <v>1041</v>
      </c>
      <c r="C5181" s="14">
        <v>71</v>
      </c>
      <c r="D5181" s="12"/>
      <c r="E5181" s="13"/>
    </row>
    <row r="5182" spans="1:5" ht="11.1" hidden="1" customHeight="1" x14ac:dyDescent="0.25">
      <c r="A5182" s="12" t="s">
        <v>7296</v>
      </c>
      <c r="B5182" s="12" t="s">
        <v>7297</v>
      </c>
      <c r="C5182" s="14">
        <v>64</v>
      </c>
      <c r="D5182" s="12"/>
      <c r="E5182" s="13"/>
    </row>
    <row r="5183" spans="1:5" ht="11.1" hidden="1" customHeight="1" x14ac:dyDescent="0.25">
      <c r="A5183" s="12" t="s">
        <v>7298</v>
      </c>
      <c r="B5183" s="12" t="s">
        <v>1041</v>
      </c>
      <c r="C5183" s="14">
        <v>47</v>
      </c>
      <c r="D5183" s="12"/>
      <c r="E5183" s="13"/>
    </row>
    <row r="5184" spans="1:5" ht="11.1" hidden="1" customHeight="1" x14ac:dyDescent="0.25">
      <c r="A5184" s="12" t="s">
        <v>7299</v>
      </c>
      <c r="B5184" s="12" t="s">
        <v>7297</v>
      </c>
      <c r="C5184" s="14">
        <v>16</v>
      </c>
      <c r="D5184" s="12"/>
      <c r="E5184" s="13"/>
    </row>
    <row r="5185" spans="1:5" ht="11.1" hidden="1" customHeight="1" x14ac:dyDescent="0.25">
      <c r="A5185" s="12" t="s">
        <v>7300</v>
      </c>
      <c r="B5185" s="12" t="s">
        <v>1041</v>
      </c>
      <c r="C5185" s="14">
        <v>50</v>
      </c>
      <c r="D5185" s="12"/>
      <c r="E5185" s="13"/>
    </row>
    <row r="5186" spans="1:5" ht="11.1" hidden="1" customHeight="1" x14ac:dyDescent="0.25">
      <c r="A5186" s="12" t="s">
        <v>7301</v>
      </c>
      <c r="B5186" s="12" t="s">
        <v>6558</v>
      </c>
      <c r="C5186" s="14">
        <v>1443.33</v>
      </c>
      <c r="D5186" s="12"/>
      <c r="E5186" s="14"/>
    </row>
    <row r="5187" spans="1:5" ht="11.1" hidden="1" customHeight="1" x14ac:dyDescent="0.25">
      <c r="A5187" s="12" t="s">
        <v>7302</v>
      </c>
      <c r="B5187" s="12" t="s">
        <v>7303</v>
      </c>
      <c r="C5187" s="14">
        <v>252.5</v>
      </c>
      <c r="D5187" s="12"/>
      <c r="E5187" s="13"/>
    </row>
    <row r="5188" spans="1:5" ht="11.1" hidden="1" customHeight="1" x14ac:dyDescent="0.25">
      <c r="A5188" s="12" t="s">
        <v>7304</v>
      </c>
      <c r="B5188" s="12" t="s">
        <v>2178</v>
      </c>
      <c r="C5188" s="14">
        <v>1114</v>
      </c>
      <c r="D5188" s="12"/>
      <c r="E5188" s="14"/>
    </row>
    <row r="5189" spans="1:5" ht="11.1" hidden="1" customHeight="1" x14ac:dyDescent="0.25">
      <c r="A5189" s="12" t="s">
        <v>7305</v>
      </c>
      <c r="B5189" s="12" t="s">
        <v>733</v>
      </c>
      <c r="C5189" s="14">
        <v>73.61</v>
      </c>
      <c r="D5189" s="12"/>
      <c r="E5189" s="13"/>
    </row>
    <row r="5190" spans="1:5" ht="11.1" hidden="1" customHeight="1" x14ac:dyDescent="0.25">
      <c r="A5190" s="12" t="s">
        <v>7306</v>
      </c>
      <c r="B5190" s="12" t="s">
        <v>146</v>
      </c>
      <c r="C5190" s="14">
        <v>938</v>
      </c>
      <c r="D5190" s="12"/>
      <c r="E5190" s="13"/>
    </row>
    <row r="5191" spans="1:5" ht="11.1" hidden="1" customHeight="1" x14ac:dyDescent="0.25">
      <c r="A5191" s="12" t="s">
        <v>7307</v>
      </c>
      <c r="B5191" s="12" t="s">
        <v>733</v>
      </c>
      <c r="C5191" s="14">
        <v>100</v>
      </c>
      <c r="D5191" s="12"/>
      <c r="E5191" s="13"/>
    </row>
    <row r="5192" spans="1:5" ht="11.1" hidden="1" customHeight="1" x14ac:dyDescent="0.25">
      <c r="A5192" s="12" t="s">
        <v>7308</v>
      </c>
      <c r="B5192" s="12" t="s">
        <v>7309</v>
      </c>
      <c r="C5192" s="14">
        <v>176723.33</v>
      </c>
      <c r="D5192" s="12"/>
      <c r="E5192" s="14"/>
    </row>
    <row r="5193" spans="1:5" ht="11.1" hidden="1" customHeight="1" x14ac:dyDescent="0.25">
      <c r="A5193" s="12" t="s">
        <v>7310</v>
      </c>
      <c r="B5193" s="12" t="s">
        <v>7309</v>
      </c>
      <c r="C5193" s="14">
        <v>169710.65</v>
      </c>
      <c r="D5193" s="12"/>
      <c r="E5193" s="14"/>
    </row>
    <row r="5194" spans="1:5" ht="11.1" hidden="1" customHeight="1" x14ac:dyDescent="0.25">
      <c r="A5194" s="12" t="s">
        <v>7311</v>
      </c>
      <c r="B5194" s="12" t="s">
        <v>1041</v>
      </c>
      <c r="C5194" s="14">
        <v>423</v>
      </c>
      <c r="D5194" s="12"/>
      <c r="E5194" s="13"/>
    </row>
    <row r="5195" spans="1:5" ht="11.1" hidden="1" customHeight="1" x14ac:dyDescent="0.25">
      <c r="A5195" s="12" t="s">
        <v>7312</v>
      </c>
      <c r="B5195" s="12" t="s">
        <v>7313</v>
      </c>
      <c r="C5195" s="14">
        <v>2483.33</v>
      </c>
      <c r="D5195" s="12"/>
      <c r="E5195" s="14"/>
    </row>
    <row r="5196" spans="1:5" ht="11.1" hidden="1" customHeight="1" x14ac:dyDescent="0.25">
      <c r="A5196" s="12" t="s">
        <v>7314</v>
      </c>
      <c r="B5196" s="12" t="s">
        <v>7315</v>
      </c>
      <c r="C5196" s="14">
        <v>72</v>
      </c>
      <c r="D5196" s="12"/>
      <c r="E5196" s="13"/>
    </row>
    <row r="5197" spans="1:5" ht="11.1" hidden="1" customHeight="1" x14ac:dyDescent="0.25">
      <c r="A5197" s="12" t="s">
        <v>7316</v>
      </c>
      <c r="B5197" s="12" t="s">
        <v>7317</v>
      </c>
      <c r="C5197" s="14">
        <v>60</v>
      </c>
      <c r="D5197" s="12"/>
      <c r="E5197" s="13"/>
    </row>
    <row r="5198" spans="1:5" ht="11.1" hidden="1" customHeight="1" x14ac:dyDescent="0.25">
      <c r="A5198" s="12" t="s">
        <v>7318</v>
      </c>
      <c r="B5198" s="12" t="s">
        <v>7319</v>
      </c>
      <c r="C5198" s="14">
        <v>733</v>
      </c>
      <c r="D5198" s="12"/>
      <c r="E5198" s="13"/>
    </row>
    <row r="5199" spans="1:5" ht="11.1" hidden="1" customHeight="1" x14ac:dyDescent="0.25">
      <c r="A5199" s="12" t="s">
        <v>7320</v>
      </c>
      <c r="B5199" s="12" t="s">
        <v>2886</v>
      </c>
      <c r="C5199" s="14">
        <v>29.85</v>
      </c>
      <c r="D5199" s="12"/>
      <c r="E5199" s="13"/>
    </row>
    <row r="5200" spans="1:5" ht="11.1" hidden="1" customHeight="1" x14ac:dyDescent="0.25">
      <c r="A5200" s="12" t="s">
        <v>7321</v>
      </c>
      <c r="B5200" s="12" t="s">
        <v>4055</v>
      </c>
      <c r="C5200" s="14">
        <v>11.72</v>
      </c>
      <c r="D5200" s="12"/>
      <c r="E5200" s="13"/>
    </row>
    <row r="5201" spans="1:5" ht="11.1" hidden="1" customHeight="1" x14ac:dyDescent="0.25">
      <c r="A5201" s="12" t="s">
        <v>7322</v>
      </c>
      <c r="B5201" s="12" t="s">
        <v>215</v>
      </c>
      <c r="C5201" s="14">
        <v>15.83</v>
      </c>
      <c r="D5201" s="12"/>
      <c r="E5201" s="13"/>
    </row>
    <row r="5202" spans="1:5" ht="11.1" hidden="1" customHeight="1" x14ac:dyDescent="0.25">
      <c r="A5202" s="12" t="s">
        <v>7323</v>
      </c>
      <c r="B5202" s="12" t="s">
        <v>4055</v>
      </c>
      <c r="C5202" s="14">
        <v>11.72</v>
      </c>
      <c r="D5202" s="12"/>
      <c r="E5202" s="13"/>
    </row>
    <row r="5203" spans="1:5" ht="11.1" hidden="1" customHeight="1" x14ac:dyDescent="0.25">
      <c r="A5203" s="12" t="s">
        <v>7324</v>
      </c>
      <c r="B5203" s="12" t="s">
        <v>7325</v>
      </c>
      <c r="C5203" s="14">
        <v>35</v>
      </c>
      <c r="D5203" s="12"/>
      <c r="E5203" s="13"/>
    </row>
    <row r="5204" spans="1:5" ht="11.1" hidden="1" customHeight="1" x14ac:dyDescent="0.25">
      <c r="A5204" s="12" t="s">
        <v>7326</v>
      </c>
      <c r="B5204" s="12" t="s">
        <v>3421</v>
      </c>
      <c r="C5204" s="14">
        <v>702.5</v>
      </c>
      <c r="D5204" s="12"/>
      <c r="E5204" s="13"/>
    </row>
    <row r="5205" spans="1:5" ht="11.1" hidden="1" customHeight="1" x14ac:dyDescent="0.25">
      <c r="A5205" s="12" t="s">
        <v>7327</v>
      </c>
      <c r="B5205" s="12" t="s">
        <v>4250</v>
      </c>
      <c r="C5205" s="14">
        <v>61.67</v>
      </c>
      <c r="D5205" s="12"/>
      <c r="E5205" s="13"/>
    </row>
    <row r="5206" spans="1:5" ht="11.1" hidden="1" customHeight="1" x14ac:dyDescent="0.25">
      <c r="A5206" s="12" t="s">
        <v>7328</v>
      </c>
      <c r="B5206" s="12" t="s">
        <v>7329</v>
      </c>
      <c r="C5206" s="14">
        <v>125.97</v>
      </c>
      <c r="D5206" s="12"/>
      <c r="E5206" s="13"/>
    </row>
    <row r="5207" spans="1:5" ht="11.1" hidden="1" customHeight="1" x14ac:dyDescent="0.25">
      <c r="A5207" s="12" t="s">
        <v>7330</v>
      </c>
      <c r="B5207" s="12" t="s">
        <v>2806</v>
      </c>
      <c r="C5207" s="14">
        <v>260.83</v>
      </c>
      <c r="D5207" s="12"/>
      <c r="E5207" s="13"/>
    </row>
    <row r="5208" spans="1:5" ht="11.1" hidden="1" customHeight="1" x14ac:dyDescent="0.25">
      <c r="A5208" s="12" t="s">
        <v>7331</v>
      </c>
      <c r="B5208" s="12" t="s">
        <v>7332</v>
      </c>
      <c r="C5208" s="14">
        <v>619.79</v>
      </c>
      <c r="D5208" s="12"/>
      <c r="E5208" s="13"/>
    </row>
    <row r="5209" spans="1:5" ht="11.1" hidden="1" customHeight="1" x14ac:dyDescent="0.25">
      <c r="A5209" s="12" t="s">
        <v>7333</v>
      </c>
      <c r="B5209" s="12" t="s">
        <v>3117</v>
      </c>
      <c r="C5209" s="14">
        <v>378.21</v>
      </c>
      <c r="D5209" s="12"/>
      <c r="E5209" s="13"/>
    </row>
    <row r="5210" spans="1:5" ht="11.1" hidden="1" customHeight="1" x14ac:dyDescent="0.25">
      <c r="A5210" s="12" t="s">
        <v>7334</v>
      </c>
      <c r="B5210" s="12" t="s">
        <v>7335</v>
      </c>
      <c r="C5210" s="14">
        <v>126.67</v>
      </c>
      <c r="D5210" s="12"/>
      <c r="E5210" s="13"/>
    </row>
    <row r="5211" spans="1:5" ht="11.1" hidden="1" customHeight="1" x14ac:dyDescent="0.25">
      <c r="A5211" s="12" t="s">
        <v>7336</v>
      </c>
      <c r="B5211" s="12" t="s">
        <v>7337</v>
      </c>
      <c r="C5211" s="14">
        <v>306.67</v>
      </c>
      <c r="D5211" s="12"/>
      <c r="E5211" s="13"/>
    </row>
    <row r="5212" spans="1:5" ht="11.1" hidden="1" customHeight="1" x14ac:dyDescent="0.25">
      <c r="A5212" s="12" t="s">
        <v>7338</v>
      </c>
      <c r="B5212" s="12" t="s">
        <v>7339</v>
      </c>
      <c r="C5212" s="14">
        <v>3500</v>
      </c>
      <c r="D5212" s="12"/>
      <c r="E5212" s="14"/>
    </row>
    <row r="5213" spans="1:5" ht="11.1" hidden="1" customHeight="1" x14ac:dyDescent="0.25">
      <c r="A5213" s="12" t="s">
        <v>7340</v>
      </c>
      <c r="B5213" s="12" t="s">
        <v>523</v>
      </c>
      <c r="C5213" s="14">
        <v>420.83</v>
      </c>
      <c r="D5213" s="12"/>
      <c r="E5213" s="13"/>
    </row>
    <row r="5214" spans="1:5" ht="11.1" hidden="1" customHeight="1" x14ac:dyDescent="0.25">
      <c r="A5214" s="12" t="s">
        <v>7341</v>
      </c>
      <c r="B5214" s="12" t="s">
        <v>4107</v>
      </c>
      <c r="C5214" s="14">
        <v>100</v>
      </c>
      <c r="D5214" s="12"/>
      <c r="E5214" s="13"/>
    </row>
    <row r="5215" spans="1:5" ht="11.1" hidden="1" customHeight="1" x14ac:dyDescent="0.25">
      <c r="A5215" s="12" t="s">
        <v>7342</v>
      </c>
      <c r="B5215" s="12" t="s">
        <v>7343</v>
      </c>
      <c r="C5215" s="14">
        <v>10800</v>
      </c>
      <c r="D5215" s="12"/>
      <c r="E5215" s="14"/>
    </row>
    <row r="5216" spans="1:5" ht="11.1" hidden="1" customHeight="1" x14ac:dyDescent="0.25">
      <c r="A5216" s="12" t="s">
        <v>7344</v>
      </c>
      <c r="B5216" s="12" t="s">
        <v>7345</v>
      </c>
      <c r="C5216" s="14">
        <v>193.96</v>
      </c>
      <c r="D5216" s="12"/>
      <c r="E5216" s="13"/>
    </row>
    <row r="5217" spans="1:5" ht="11.1" hidden="1" customHeight="1" x14ac:dyDescent="0.25">
      <c r="A5217" s="12" t="s">
        <v>7346</v>
      </c>
      <c r="B5217" s="12" t="s">
        <v>7347</v>
      </c>
      <c r="C5217" s="14">
        <v>2500</v>
      </c>
      <c r="D5217" s="12"/>
      <c r="E5217" s="14"/>
    </row>
    <row r="5218" spans="1:5" ht="11.1" hidden="1" customHeight="1" x14ac:dyDescent="0.25">
      <c r="A5218" s="12" t="s">
        <v>7348</v>
      </c>
      <c r="B5218" s="12" t="s">
        <v>7349</v>
      </c>
      <c r="C5218" s="14">
        <v>9.17</v>
      </c>
      <c r="D5218" s="12"/>
      <c r="E5218" s="13"/>
    </row>
    <row r="5219" spans="1:5" ht="11.1" hidden="1" customHeight="1" x14ac:dyDescent="0.25">
      <c r="A5219" s="12" t="s">
        <v>7350</v>
      </c>
      <c r="B5219" s="12" t="s">
        <v>3322</v>
      </c>
      <c r="C5219" s="14">
        <v>4.83</v>
      </c>
      <c r="D5219" s="12"/>
      <c r="E5219" s="13"/>
    </row>
    <row r="5220" spans="1:5" ht="11.1" hidden="1" customHeight="1" x14ac:dyDescent="0.25">
      <c r="A5220" s="12" t="s">
        <v>7351</v>
      </c>
      <c r="B5220" s="12" t="s">
        <v>3322</v>
      </c>
      <c r="C5220" s="14">
        <v>5.79</v>
      </c>
      <c r="D5220" s="12"/>
      <c r="E5220" s="13"/>
    </row>
    <row r="5221" spans="1:5" ht="11.1" hidden="1" customHeight="1" x14ac:dyDescent="0.25">
      <c r="A5221" s="12" t="s">
        <v>7352</v>
      </c>
      <c r="B5221" s="12" t="s">
        <v>3322</v>
      </c>
      <c r="C5221" s="14">
        <v>21.96</v>
      </c>
      <c r="D5221" s="12"/>
      <c r="E5221" s="13"/>
    </row>
    <row r="5222" spans="1:5" ht="11.1" hidden="1" customHeight="1" x14ac:dyDescent="0.25">
      <c r="A5222" s="12" t="s">
        <v>7353</v>
      </c>
      <c r="B5222" s="12" t="s">
        <v>3322</v>
      </c>
      <c r="C5222" s="14">
        <v>20.29</v>
      </c>
      <c r="D5222" s="12"/>
      <c r="E5222" s="13"/>
    </row>
    <row r="5223" spans="1:5" ht="11.1" hidden="1" customHeight="1" x14ac:dyDescent="0.25">
      <c r="A5223" s="12" t="s">
        <v>7354</v>
      </c>
      <c r="B5223" s="12" t="s">
        <v>3322</v>
      </c>
      <c r="C5223" s="14">
        <v>6.33</v>
      </c>
      <c r="D5223" s="12"/>
      <c r="E5223" s="13"/>
    </row>
    <row r="5224" spans="1:5" ht="11.1" hidden="1" customHeight="1" x14ac:dyDescent="0.25">
      <c r="A5224" s="12" t="s">
        <v>7355</v>
      </c>
      <c r="B5224" s="12" t="s">
        <v>3322</v>
      </c>
      <c r="C5224" s="14">
        <v>7.83</v>
      </c>
      <c r="D5224" s="12"/>
      <c r="E5224" s="13"/>
    </row>
    <row r="5225" spans="1:5" ht="11.1" hidden="1" customHeight="1" x14ac:dyDescent="0.25">
      <c r="A5225" s="12" t="s">
        <v>7356</v>
      </c>
      <c r="B5225" s="12" t="s">
        <v>7349</v>
      </c>
      <c r="C5225" s="14">
        <v>7.5</v>
      </c>
      <c r="D5225" s="12"/>
      <c r="E5225" s="13"/>
    </row>
    <row r="5226" spans="1:5" ht="11.1" hidden="1" customHeight="1" x14ac:dyDescent="0.25">
      <c r="A5226" s="12" t="s">
        <v>7357</v>
      </c>
      <c r="B5226" s="12" t="s">
        <v>3322</v>
      </c>
      <c r="C5226" s="14">
        <v>11.04</v>
      </c>
      <c r="D5226" s="12"/>
      <c r="E5226" s="13"/>
    </row>
    <row r="5227" spans="1:5" ht="11.1" hidden="1" customHeight="1" x14ac:dyDescent="0.25">
      <c r="A5227" s="12" t="s">
        <v>7358</v>
      </c>
      <c r="B5227" s="12" t="s">
        <v>3322</v>
      </c>
      <c r="C5227" s="14">
        <v>13.83</v>
      </c>
      <c r="D5227" s="12"/>
      <c r="E5227" s="13"/>
    </row>
    <row r="5228" spans="1:5" ht="11.1" hidden="1" customHeight="1" x14ac:dyDescent="0.25">
      <c r="A5228" s="12" t="s">
        <v>7359</v>
      </c>
      <c r="B5228" s="12" t="s">
        <v>3322</v>
      </c>
      <c r="C5228" s="14">
        <v>10.83</v>
      </c>
      <c r="D5228" s="12"/>
      <c r="E5228" s="13"/>
    </row>
    <row r="5229" spans="1:5" ht="11.1" hidden="1" customHeight="1" x14ac:dyDescent="0.25">
      <c r="A5229" s="12" t="s">
        <v>7360</v>
      </c>
      <c r="B5229" s="12" t="s">
        <v>7349</v>
      </c>
      <c r="C5229" s="14">
        <v>20</v>
      </c>
      <c r="D5229" s="12"/>
      <c r="E5229" s="13"/>
    </row>
    <row r="5230" spans="1:5" ht="11.1" hidden="1" customHeight="1" x14ac:dyDescent="0.25">
      <c r="A5230" s="12" t="s">
        <v>7361</v>
      </c>
      <c r="B5230" s="12" t="s">
        <v>7362</v>
      </c>
      <c r="C5230" s="14">
        <v>9.33</v>
      </c>
      <c r="D5230" s="12"/>
      <c r="E5230" s="13"/>
    </row>
    <row r="5231" spans="1:5" ht="11.1" hidden="1" customHeight="1" x14ac:dyDescent="0.25">
      <c r="A5231" s="12" t="s">
        <v>7363</v>
      </c>
      <c r="B5231" s="12" t="s">
        <v>7364</v>
      </c>
      <c r="C5231" s="14">
        <v>92.2</v>
      </c>
      <c r="D5231" s="12"/>
      <c r="E5231" s="13"/>
    </row>
    <row r="5232" spans="1:5" ht="11.1" hidden="1" customHeight="1" x14ac:dyDescent="0.25">
      <c r="A5232" s="12" t="s">
        <v>7365</v>
      </c>
      <c r="B5232" s="12" t="s">
        <v>180</v>
      </c>
      <c r="C5232" s="14">
        <v>1300</v>
      </c>
      <c r="D5232" s="12"/>
      <c r="E5232" s="14"/>
    </row>
    <row r="5233" spans="1:5" ht="11.1" hidden="1" customHeight="1" x14ac:dyDescent="0.25">
      <c r="A5233" s="12" t="s">
        <v>7366</v>
      </c>
      <c r="B5233" s="12" t="s">
        <v>6586</v>
      </c>
      <c r="C5233" s="14">
        <v>19.53</v>
      </c>
      <c r="D5233" s="12"/>
      <c r="E5233" s="13"/>
    </row>
    <row r="5234" spans="1:5" ht="11.1" hidden="1" customHeight="1" x14ac:dyDescent="0.25">
      <c r="A5234" s="12" t="s">
        <v>7367</v>
      </c>
      <c r="B5234" s="12" t="s">
        <v>7368</v>
      </c>
      <c r="C5234" s="14">
        <v>20</v>
      </c>
      <c r="D5234" s="12"/>
      <c r="E5234" s="13"/>
    </row>
    <row r="5235" spans="1:5" ht="11.1" hidden="1" customHeight="1" x14ac:dyDescent="0.25">
      <c r="A5235" s="12" t="s">
        <v>7369</v>
      </c>
      <c r="B5235" s="12" t="s">
        <v>6586</v>
      </c>
      <c r="C5235" s="14">
        <v>32.96</v>
      </c>
      <c r="D5235" s="12"/>
      <c r="E5235" s="13"/>
    </row>
    <row r="5236" spans="1:5" ht="11.1" hidden="1" customHeight="1" x14ac:dyDescent="0.25">
      <c r="A5236" s="12" t="s">
        <v>7370</v>
      </c>
      <c r="B5236" s="12" t="s">
        <v>7371</v>
      </c>
      <c r="C5236" s="14">
        <v>29.29</v>
      </c>
      <c r="D5236" s="12"/>
      <c r="E5236" s="13"/>
    </row>
    <row r="5237" spans="1:5" ht="11.1" hidden="1" customHeight="1" x14ac:dyDescent="0.25">
      <c r="A5237" s="12" t="s">
        <v>7372</v>
      </c>
      <c r="B5237" s="12" t="s">
        <v>7373</v>
      </c>
      <c r="C5237" s="14">
        <v>44.58</v>
      </c>
      <c r="D5237" s="12"/>
      <c r="E5237" s="13"/>
    </row>
    <row r="5238" spans="1:5" ht="11.1" hidden="1" customHeight="1" x14ac:dyDescent="0.25">
      <c r="A5238" s="12" t="s">
        <v>7374</v>
      </c>
      <c r="B5238" s="12" t="s">
        <v>497</v>
      </c>
      <c r="C5238" s="14">
        <v>261.67</v>
      </c>
      <c r="D5238" s="12"/>
      <c r="E5238" s="13"/>
    </row>
    <row r="5239" spans="1:5" ht="11.1" hidden="1" customHeight="1" x14ac:dyDescent="0.25">
      <c r="A5239" s="12" t="s">
        <v>7375</v>
      </c>
      <c r="B5239" s="12" t="s">
        <v>1362</v>
      </c>
      <c r="C5239" s="14">
        <v>2220</v>
      </c>
      <c r="D5239" s="12"/>
      <c r="E5239" s="14"/>
    </row>
    <row r="5240" spans="1:5" ht="11.1" hidden="1" customHeight="1" x14ac:dyDescent="0.25">
      <c r="A5240" s="12" t="s">
        <v>7376</v>
      </c>
      <c r="B5240" s="12" t="s">
        <v>780</v>
      </c>
      <c r="C5240" s="14">
        <v>230.83</v>
      </c>
      <c r="D5240" s="12"/>
      <c r="E5240" s="13"/>
    </row>
    <row r="5241" spans="1:5" ht="11.1" hidden="1" customHeight="1" x14ac:dyDescent="0.25">
      <c r="A5241" s="12" t="s">
        <v>7377</v>
      </c>
      <c r="B5241" s="12" t="s">
        <v>2119</v>
      </c>
      <c r="C5241" s="14">
        <v>82.61</v>
      </c>
      <c r="D5241" s="12"/>
      <c r="E5241" s="13"/>
    </row>
    <row r="5242" spans="1:5" ht="23.1" hidden="1" customHeight="1" x14ac:dyDescent="0.25">
      <c r="A5242" s="12" t="s">
        <v>7378</v>
      </c>
      <c r="B5242" s="12" t="s">
        <v>7379</v>
      </c>
      <c r="C5242" s="14">
        <v>10.55</v>
      </c>
      <c r="D5242" s="12"/>
      <c r="E5242" s="13"/>
    </row>
    <row r="5243" spans="1:5" ht="11.1" hidden="1" customHeight="1" x14ac:dyDescent="0.25">
      <c r="A5243" s="12" t="s">
        <v>7380</v>
      </c>
      <c r="B5243" s="12" t="s">
        <v>7379</v>
      </c>
      <c r="C5243" s="14">
        <v>3.02</v>
      </c>
      <c r="D5243" s="12"/>
      <c r="E5243" s="13"/>
    </row>
    <row r="5244" spans="1:5" ht="23.1" hidden="1" customHeight="1" x14ac:dyDescent="0.25">
      <c r="A5244" s="12" t="s">
        <v>7381</v>
      </c>
      <c r="B5244" s="12" t="s">
        <v>2119</v>
      </c>
      <c r="C5244" s="14">
        <v>56.19</v>
      </c>
      <c r="D5244" s="12"/>
      <c r="E5244" s="13"/>
    </row>
    <row r="5245" spans="1:5" ht="11.1" hidden="1" customHeight="1" x14ac:dyDescent="0.25">
      <c r="A5245" s="12" t="s">
        <v>7382</v>
      </c>
      <c r="B5245" s="12" t="s">
        <v>7383</v>
      </c>
      <c r="C5245" s="14">
        <v>25.49</v>
      </c>
      <c r="D5245" s="12"/>
      <c r="E5245" s="13"/>
    </row>
    <row r="5246" spans="1:5" ht="11.1" hidden="1" customHeight="1" x14ac:dyDescent="0.25">
      <c r="A5246" s="12" t="s">
        <v>7384</v>
      </c>
      <c r="B5246" s="12" t="s">
        <v>7362</v>
      </c>
      <c r="C5246" s="14">
        <v>24.83</v>
      </c>
      <c r="D5246" s="12"/>
      <c r="E5246" s="13"/>
    </row>
    <row r="5247" spans="1:5" ht="11.1" hidden="1" customHeight="1" x14ac:dyDescent="0.25">
      <c r="A5247" s="12" t="s">
        <v>7385</v>
      </c>
      <c r="B5247" s="12" t="s">
        <v>7386</v>
      </c>
      <c r="C5247" s="14">
        <v>216.67</v>
      </c>
      <c r="D5247" s="12"/>
      <c r="E5247" s="13"/>
    </row>
    <row r="5248" spans="1:5" ht="11.1" hidden="1" customHeight="1" x14ac:dyDescent="0.25">
      <c r="A5248" s="12" t="s">
        <v>7387</v>
      </c>
      <c r="B5248" s="12" t="s">
        <v>7386</v>
      </c>
      <c r="C5248" s="14">
        <v>75</v>
      </c>
      <c r="D5248" s="12"/>
      <c r="E5248" s="13"/>
    </row>
    <row r="5249" spans="1:5" ht="11.1" hidden="1" customHeight="1" x14ac:dyDescent="0.25">
      <c r="A5249" s="12" t="s">
        <v>7388</v>
      </c>
      <c r="B5249" s="12" t="s">
        <v>7383</v>
      </c>
      <c r="C5249" s="14">
        <v>31.58</v>
      </c>
      <c r="D5249" s="12"/>
      <c r="E5249" s="13"/>
    </row>
    <row r="5250" spans="1:5" ht="11.1" hidden="1" customHeight="1" x14ac:dyDescent="0.25">
      <c r="A5250" s="12" t="s">
        <v>7389</v>
      </c>
      <c r="B5250" s="12" t="s">
        <v>7383</v>
      </c>
      <c r="C5250" s="14">
        <v>12.29</v>
      </c>
      <c r="D5250" s="12"/>
      <c r="E5250" s="13"/>
    </row>
    <row r="5251" spans="1:5" ht="11.1" hidden="1" customHeight="1" x14ac:dyDescent="0.25">
      <c r="A5251" s="12" t="s">
        <v>7390</v>
      </c>
      <c r="B5251" s="12" t="s">
        <v>7391</v>
      </c>
      <c r="C5251" s="14">
        <v>110.7</v>
      </c>
      <c r="D5251" s="12"/>
      <c r="E5251" s="13"/>
    </row>
    <row r="5252" spans="1:5" ht="11.1" hidden="1" customHeight="1" x14ac:dyDescent="0.25">
      <c r="A5252" s="12" t="s">
        <v>7392</v>
      </c>
      <c r="B5252" s="12" t="s">
        <v>7368</v>
      </c>
      <c r="C5252" s="14">
        <v>11.4</v>
      </c>
      <c r="D5252" s="12"/>
      <c r="E5252" s="13"/>
    </row>
    <row r="5253" spans="1:5" ht="11.1" hidden="1" customHeight="1" x14ac:dyDescent="0.25">
      <c r="A5253" s="12" t="s">
        <v>7393</v>
      </c>
      <c r="B5253" s="12" t="s">
        <v>7394</v>
      </c>
      <c r="C5253" s="14">
        <v>1549.17</v>
      </c>
      <c r="D5253" s="12"/>
      <c r="E5253" s="14"/>
    </row>
    <row r="5254" spans="1:5" ht="11.1" hidden="1" customHeight="1" x14ac:dyDescent="0.25">
      <c r="A5254" s="12" t="s">
        <v>7395</v>
      </c>
      <c r="B5254" s="12" t="s">
        <v>4262</v>
      </c>
      <c r="C5254" s="14">
        <v>18.21</v>
      </c>
      <c r="D5254" s="12"/>
      <c r="E5254" s="13"/>
    </row>
    <row r="5255" spans="1:5" ht="11.1" hidden="1" customHeight="1" x14ac:dyDescent="0.25">
      <c r="A5255" s="12" t="s">
        <v>7396</v>
      </c>
      <c r="B5255" s="12" t="s">
        <v>2588</v>
      </c>
      <c r="C5255" s="14">
        <v>2849.79</v>
      </c>
      <c r="D5255" s="12"/>
      <c r="E5255" s="14"/>
    </row>
    <row r="5256" spans="1:5" ht="11.1" hidden="1" customHeight="1" x14ac:dyDescent="0.25">
      <c r="A5256" s="12" t="s">
        <v>7397</v>
      </c>
      <c r="B5256" s="12" t="s">
        <v>780</v>
      </c>
      <c r="C5256" s="14">
        <v>1721.67</v>
      </c>
      <c r="D5256" s="12"/>
      <c r="E5256" s="14"/>
    </row>
    <row r="5257" spans="1:5" ht="11.1" hidden="1" customHeight="1" x14ac:dyDescent="0.25">
      <c r="A5257" s="12" t="s">
        <v>7398</v>
      </c>
      <c r="B5257" s="12" t="s">
        <v>2826</v>
      </c>
      <c r="C5257" s="14">
        <v>198.33</v>
      </c>
      <c r="D5257" s="12"/>
      <c r="E5257" s="13"/>
    </row>
    <row r="5258" spans="1:5" ht="11.1" hidden="1" customHeight="1" x14ac:dyDescent="0.25">
      <c r="A5258" s="12" t="s">
        <v>7399</v>
      </c>
      <c r="B5258" s="12" t="s">
        <v>2042</v>
      </c>
      <c r="C5258" s="14">
        <v>140.83000000000001</v>
      </c>
      <c r="D5258" s="12"/>
      <c r="E5258" s="13"/>
    </row>
    <row r="5259" spans="1:5" ht="11.1" hidden="1" customHeight="1" x14ac:dyDescent="0.25">
      <c r="A5259" s="12" t="s">
        <v>7400</v>
      </c>
      <c r="B5259" s="12" t="s">
        <v>7401</v>
      </c>
      <c r="C5259" s="14">
        <v>248.33</v>
      </c>
      <c r="D5259" s="12"/>
      <c r="E5259" s="13"/>
    </row>
    <row r="5260" spans="1:5" ht="23.1" hidden="1" customHeight="1" x14ac:dyDescent="0.25">
      <c r="A5260" s="12" t="s">
        <v>7402</v>
      </c>
      <c r="B5260" s="12" t="s">
        <v>6046</v>
      </c>
      <c r="C5260" s="14">
        <v>141.66999999999999</v>
      </c>
      <c r="D5260" s="12"/>
      <c r="E5260" s="13"/>
    </row>
    <row r="5261" spans="1:5" ht="11.1" hidden="1" customHeight="1" x14ac:dyDescent="0.25">
      <c r="A5261" s="12" t="s">
        <v>7403</v>
      </c>
      <c r="B5261" s="12" t="s">
        <v>355</v>
      </c>
      <c r="C5261" s="14">
        <v>744.17</v>
      </c>
      <c r="D5261" s="12"/>
      <c r="E5261" s="13"/>
    </row>
    <row r="5262" spans="1:5" ht="23.1" hidden="1" customHeight="1" x14ac:dyDescent="0.25">
      <c r="A5262" s="12" t="s">
        <v>7404</v>
      </c>
      <c r="B5262" s="12" t="s">
        <v>4932</v>
      </c>
      <c r="C5262" s="14">
        <v>114.17</v>
      </c>
      <c r="D5262" s="12"/>
      <c r="E5262" s="13"/>
    </row>
    <row r="5263" spans="1:5" ht="11.1" hidden="1" customHeight="1" x14ac:dyDescent="0.25">
      <c r="A5263" s="12" t="s">
        <v>7405</v>
      </c>
      <c r="B5263" s="12" t="s">
        <v>355</v>
      </c>
      <c r="C5263" s="14">
        <v>814.17</v>
      </c>
      <c r="D5263" s="12"/>
      <c r="E5263" s="13"/>
    </row>
    <row r="5264" spans="1:5" ht="23.1" hidden="1" customHeight="1" x14ac:dyDescent="0.25">
      <c r="A5264" s="12" t="s">
        <v>7406</v>
      </c>
      <c r="B5264" s="12" t="s">
        <v>7407</v>
      </c>
      <c r="C5264" s="14">
        <v>6416.53</v>
      </c>
      <c r="D5264" s="12"/>
      <c r="E5264" s="14"/>
    </row>
    <row r="5265" spans="1:5" ht="11.1" hidden="1" customHeight="1" x14ac:dyDescent="0.25">
      <c r="A5265" s="12" t="s">
        <v>7408</v>
      </c>
      <c r="B5265" s="12" t="s">
        <v>7409</v>
      </c>
      <c r="C5265" s="14">
        <v>7805.96</v>
      </c>
      <c r="D5265" s="12"/>
      <c r="E5265" s="14"/>
    </row>
    <row r="5266" spans="1:5" ht="11.1" hidden="1" customHeight="1" x14ac:dyDescent="0.25">
      <c r="A5266" s="12" t="s">
        <v>7410</v>
      </c>
      <c r="B5266" s="12" t="s">
        <v>2381</v>
      </c>
      <c r="C5266" s="14">
        <v>4915.75</v>
      </c>
      <c r="D5266" s="12"/>
      <c r="E5266" s="14"/>
    </row>
    <row r="5267" spans="1:5" ht="11.1" hidden="1" customHeight="1" x14ac:dyDescent="0.25">
      <c r="A5267" s="12" t="s">
        <v>7411</v>
      </c>
      <c r="B5267" s="12" t="s">
        <v>6947</v>
      </c>
      <c r="C5267" s="14">
        <v>4317.5</v>
      </c>
      <c r="D5267" s="12"/>
      <c r="E5267" s="14"/>
    </row>
    <row r="5268" spans="1:5" ht="11.1" hidden="1" customHeight="1" x14ac:dyDescent="0.25">
      <c r="A5268" s="12" t="s">
        <v>7412</v>
      </c>
      <c r="B5268" s="12" t="s">
        <v>7413</v>
      </c>
      <c r="C5268" s="14">
        <v>4987.5</v>
      </c>
      <c r="D5268" s="12"/>
      <c r="E5268" s="14"/>
    </row>
    <row r="5269" spans="1:5" ht="11.1" hidden="1" customHeight="1" x14ac:dyDescent="0.25">
      <c r="A5269" s="12" t="s">
        <v>7414</v>
      </c>
      <c r="B5269" s="12" t="s">
        <v>7415</v>
      </c>
      <c r="C5269" s="14">
        <v>6983.33</v>
      </c>
      <c r="D5269" s="12"/>
      <c r="E5269" s="14"/>
    </row>
    <row r="5270" spans="1:5" ht="11.1" hidden="1" customHeight="1" x14ac:dyDescent="0.25">
      <c r="A5270" s="12" t="s">
        <v>7416</v>
      </c>
      <c r="B5270" s="12" t="s">
        <v>7417</v>
      </c>
      <c r="C5270" s="14">
        <v>7330.83</v>
      </c>
      <c r="D5270" s="12"/>
      <c r="E5270" s="14"/>
    </row>
    <row r="5271" spans="1:5" ht="11.1" hidden="1" customHeight="1" x14ac:dyDescent="0.25">
      <c r="A5271" s="12" t="s">
        <v>7418</v>
      </c>
      <c r="B5271" s="12" t="s">
        <v>7419</v>
      </c>
      <c r="C5271" s="14">
        <v>5795.68</v>
      </c>
      <c r="D5271" s="12"/>
      <c r="E5271" s="14"/>
    </row>
    <row r="5272" spans="1:5" ht="11.1" hidden="1" customHeight="1" x14ac:dyDescent="0.25">
      <c r="A5272" s="12" t="s">
        <v>7420</v>
      </c>
      <c r="B5272" s="12" t="s">
        <v>7421</v>
      </c>
      <c r="C5272" s="14">
        <v>5705</v>
      </c>
      <c r="D5272" s="12"/>
      <c r="E5272" s="14"/>
    </row>
    <row r="5273" spans="1:5" ht="11.1" hidden="1" customHeight="1" x14ac:dyDescent="0.25">
      <c r="A5273" s="12" t="s">
        <v>7422</v>
      </c>
      <c r="B5273" s="12" t="s">
        <v>7421</v>
      </c>
      <c r="C5273" s="14">
        <v>6368.33</v>
      </c>
      <c r="D5273" s="12"/>
      <c r="E5273" s="14"/>
    </row>
    <row r="5274" spans="1:5" ht="11.1" hidden="1" customHeight="1" x14ac:dyDescent="0.25">
      <c r="A5274" s="12" t="s">
        <v>7423</v>
      </c>
      <c r="B5274" s="12" t="s">
        <v>6927</v>
      </c>
      <c r="C5274" s="14">
        <v>3729.24</v>
      </c>
      <c r="D5274" s="12"/>
      <c r="E5274" s="14"/>
    </row>
    <row r="5275" spans="1:5" ht="11.1" hidden="1" customHeight="1" x14ac:dyDescent="0.25">
      <c r="A5275" s="12" t="s">
        <v>7424</v>
      </c>
      <c r="B5275" s="12" t="s">
        <v>5825</v>
      </c>
      <c r="C5275" s="14">
        <v>8173.23</v>
      </c>
      <c r="D5275" s="12"/>
      <c r="E5275" s="14"/>
    </row>
    <row r="5276" spans="1:5" ht="11.1" hidden="1" customHeight="1" x14ac:dyDescent="0.25">
      <c r="A5276" s="12" t="s">
        <v>7425</v>
      </c>
      <c r="B5276" s="12" t="s">
        <v>6828</v>
      </c>
      <c r="C5276" s="14">
        <v>5906.67</v>
      </c>
      <c r="D5276" s="12"/>
      <c r="E5276" s="14"/>
    </row>
    <row r="5277" spans="1:5" ht="11.1" hidden="1" customHeight="1" x14ac:dyDescent="0.25">
      <c r="A5277" s="12" t="s">
        <v>7426</v>
      </c>
      <c r="B5277" s="12" t="s">
        <v>6828</v>
      </c>
      <c r="C5277" s="14">
        <v>5810</v>
      </c>
      <c r="D5277" s="12"/>
      <c r="E5277" s="14"/>
    </row>
    <row r="5278" spans="1:5" ht="11.1" hidden="1" customHeight="1" x14ac:dyDescent="0.25">
      <c r="A5278" s="12" t="s">
        <v>7427</v>
      </c>
      <c r="B5278" s="12" t="s">
        <v>6828</v>
      </c>
      <c r="C5278" s="14">
        <v>7495</v>
      </c>
      <c r="D5278" s="12"/>
      <c r="E5278" s="14"/>
    </row>
    <row r="5279" spans="1:5" ht="11.1" hidden="1" customHeight="1" x14ac:dyDescent="0.25">
      <c r="A5279" s="12" t="s">
        <v>7428</v>
      </c>
      <c r="B5279" s="12" t="s">
        <v>6951</v>
      </c>
      <c r="C5279" s="14">
        <v>7526.67</v>
      </c>
      <c r="D5279" s="12"/>
      <c r="E5279" s="14"/>
    </row>
    <row r="5280" spans="1:5" ht="11.1" hidden="1" customHeight="1" x14ac:dyDescent="0.25">
      <c r="A5280" s="12" t="s">
        <v>7429</v>
      </c>
      <c r="B5280" s="12" t="s">
        <v>6842</v>
      </c>
      <c r="C5280" s="14">
        <v>7907.19</v>
      </c>
      <c r="D5280" s="12"/>
      <c r="E5280" s="14"/>
    </row>
    <row r="5281" spans="1:5" ht="11.1" hidden="1" customHeight="1" x14ac:dyDescent="0.25">
      <c r="A5281" s="12" t="s">
        <v>7430</v>
      </c>
      <c r="B5281" s="12" t="s">
        <v>1038</v>
      </c>
      <c r="C5281" s="14">
        <v>100</v>
      </c>
      <c r="D5281" s="12"/>
      <c r="E5281" s="13"/>
    </row>
    <row r="5282" spans="1:5" ht="11.1" hidden="1" customHeight="1" x14ac:dyDescent="0.25">
      <c r="A5282" s="12" t="s">
        <v>7431</v>
      </c>
      <c r="B5282" s="12" t="s">
        <v>1038</v>
      </c>
      <c r="C5282" s="14">
        <v>40</v>
      </c>
      <c r="D5282" s="12"/>
      <c r="E5282" s="13"/>
    </row>
    <row r="5283" spans="1:5" ht="11.1" hidden="1" customHeight="1" x14ac:dyDescent="0.25">
      <c r="A5283" s="12" t="s">
        <v>7432</v>
      </c>
      <c r="B5283" s="12" t="s">
        <v>7433</v>
      </c>
      <c r="C5283" s="14">
        <v>160.83000000000001</v>
      </c>
      <c r="D5283" s="12"/>
      <c r="E5283" s="13"/>
    </row>
    <row r="5284" spans="1:5" ht="11.1" hidden="1" customHeight="1" x14ac:dyDescent="0.25">
      <c r="A5284" s="12" t="s">
        <v>7434</v>
      </c>
      <c r="B5284" s="12" t="s">
        <v>7435</v>
      </c>
      <c r="C5284" s="14">
        <v>200</v>
      </c>
      <c r="D5284" s="12"/>
      <c r="E5284" s="13"/>
    </row>
    <row r="5285" spans="1:5" ht="11.1" hidden="1" customHeight="1" x14ac:dyDescent="0.25">
      <c r="A5285" s="12" t="s">
        <v>7436</v>
      </c>
      <c r="B5285" s="12" t="s">
        <v>5720</v>
      </c>
      <c r="C5285" s="14">
        <v>106872.5</v>
      </c>
      <c r="D5285" s="12"/>
      <c r="E5285" s="14"/>
    </row>
    <row r="5286" spans="1:5" ht="11.1" hidden="1" customHeight="1" x14ac:dyDescent="0.25">
      <c r="A5286" s="12" t="s">
        <v>7437</v>
      </c>
      <c r="B5286" s="12" t="s">
        <v>482</v>
      </c>
      <c r="C5286" s="14">
        <v>185.83</v>
      </c>
      <c r="D5286" s="12"/>
      <c r="E5286" s="13"/>
    </row>
    <row r="5287" spans="1:5" ht="11.1" hidden="1" customHeight="1" x14ac:dyDescent="0.25">
      <c r="A5287" s="12" t="s">
        <v>7438</v>
      </c>
      <c r="B5287" s="12" t="s">
        <v>7439</v>
      </c>
      <c r="C5287" s="14">
        <v>1441666.67</v>
      </c>
      <c r="D5287" s="12"/>
      <c r="E5287" s="14"/>
    </row>
    <row r="5288" spans="1:5" ht="11.1" hidden="1" customHeight="1" x14ac:dyDescent="0.25">
      <c r="A5288" s="12" t="s">
        <v>7440</v>
      </c>
      <c r="B5288" s="12" t="s">
        <v>7394</v>
      </c>
      <c r="C5288" s="14">
        <v>1733</v>
      </c>
      <c r="D5288" s="12"/>
      <c r="E5288" s="14"/>
    </row>
    <row r="5289" spans="1:5" ht="11.1" hidden="1" customHeight="1" x14ac:dyDescent="0.25">
      <c r="A5289" s="12" t="s">
        <v>7441</v>
      </c>
      <c r="B5289" s="12" t="s">
        <v>5329</v>
      </c>
      <c r="C5289" s="14">
        <v>1696.67</v>
      </c>
      <c r="D5289" s="12"/>
      <c r="E5289" s="14"/>
    </row>
    <row r="5290" spans="1:5" ht="11.1" hidden="1" customHeight="1" x14ac:dyDescent="0.25">
      <c r="A5290" s="12" t="s">
        <v>7442</v>
      </c>
      <c r="B5290" s="12" t="s">
        <v>3009</v>
      </c>
      <c r="C5290" s="14">
        <v>1696.67</v>
      </c>
      <c r="D5290" s="12"/>
      <c r="E5290" s="14"/>
    </row>
    <row r="5291" spans="1:5" ht="11.1" hidden="1" customHeight="1" x14ac:dyDescent="0.25">
      <c r="A5291" s="12" t="s">
        <v>7443</v>
      </c>
      <c r="B5291" s="12" t="s">
        <v>7444</v>
      </c>
      <c r="C5291" s="14">
        <v>1890</v>
      </c>
      <c r="D5291" s="12"/>
      <c r="E5291" s="14"/>
    </row>
    <row r="5292" spans="1:5" ht="11.1" hidden="1" customHeight="1" x14ac:dyDescent="0.25">
      <c r="A5292" s="12" t="s">
        <v>7445</v>
      </c>
      <c r="B5292" s="12" t="s">
        <v>2178</v>
      </c>
      <c r="C5292" s="14">
        <v>791.67</v>
      </c>
      <c r="D5292" s="12"/>
      <c r="E5292" s="13"/>
    </row>
    <row r="5293" spans="1:5" ht="11.1" hidden="1" customHeight="1" x14ac:dyDescent="0.25">
      <c r="A5293" s="12" t="s">
        <v>7446</v>
      </c>
      <c r="B5293" s="12" t="s">
        <v>7447</v>
      </c>
      <c r="C5293" s="14">
        <v>25186</v>
      </c>
      <c r="D5293" s="12"/>
      <c r="E5293" s="14"/>
    </row>
    <row r="5294" spans="1:5" ht="11.1" hidden="1" customHeight="1" x14ac:dyDescent="0.25">
      <c r="A5294" s="12" t="s">
        <v>7448</v>
      </c>
      <c r="B5294" s="12" t="s">
        <v>7449</v>
      </c>
      <c r="C5294" s="14">
        <v>1628.33</v>
      </c>
      <c r="D5294" s="12"/>
      <c r="E5294" s="14"/>
    </row>
    <row r="5295" spans="1:5" ht="11.1" hidden="1" customHeight="1" x14ac:dyDescent="0.25">
      <c r="A5295" s="12" t="s">
        <v>7450</v>
      </c>
      <c r="B5295" s="12" t="s">
        <v>4719</v>
      </c>
      <c r="C5295" s="14">
        <v>46</v>
      </c>
      <c r="D5295" s="12"/>
      <c r="E5295" s="13"/>
    </row>
    <row r="5296" spans="1:5" ht="11.1" hidden="1" customHeight="1" x14ac:dyDescent="0.25">
      <c r="A5296" s="12" t="s">
        <v>7451</v>
      </c>
      <c r="B5296" s="12" t="s">
        <v>7452</v>
      </c>
      <c r="C5296" s="14">
        <v>236.17</v>
      </c>
      <c r="D5296" s="12"/>
      <c r="E5296" s="13"/>
    </row>
    <row r="5297" spans="1:5" ht="11.1" hidden="1" customHeight="1" x14ac:dyDescent="0.25">
      <c r="A5297" s="12" t="s">
        <v>7453</v>
      </c>
      <c r="B5297" s="12" t="s">
        <v>2210</v>
      </c>
      <c r="C5297" s="14">
        <v>21.67</v>
      </c>
      <c r="D5297" s="12"/>
      <c r="E5297" s="13"/>
    </row>
    <row r="5298" spans="1:5" ht="11.1" hidden="1" customHeight="1" x14ac:dyDescent="0.25">
      <c r="A5298" s="12" t="s">
        <v>7454</v>
      </c>
      <c r="B5298" s="12" t="s">
        <v>2210</v>
      </c>
      <c r="C5298" s="14">
        <v>33.33</v>
      </c>
      <c r="D5298" s="12"/>
      <c r="E5298" s="13"/>
    </row>
    <row r="5299" spans="1:5" ht="11.1" hidden="1" customHeight="1" x14ac:dyDescent="0.25">
      <c r="A5299" s="12" t="s">
        <v>7455</v>
      </c>
      <c r="B5299" s="12" t="s">
        <v>2210</v>
      </c>
      <c r="C5299" s="14">
        <v>59.17</v>
      </c>
      <c r="D5299" s="12"/>
      <c r="E5299" s="13"/>
    </row>
    <row r="5300" spans="1:5" ht="11.1" hidden="1" customHeight="1" x14ac:dyDescent="0.25">
      <c r="A5300" s="12" t="s">
        <v>7456</v>
      </c>
      <c r="B5300" s="12" t="s">
        <v>7297</v>
      </c>
      <c r="C5300" s="14">
        <v>40</v>
      </c>
      <c r="D5300" s="12"/>
      <c r="E5300" s="13"/>
    </row>
    <row r="5301" spans="1:5" ht="11.1" hidden="1" customHeight="1" x14ac:dyDescent="0.25">
      <c r="A5301" s="12" t="s">
        <v>7457</v>
      </c>
      <c r="B5301" s="12" t="s">
        <v>309</v>
      </c>
      <c r="C5301" s="14">
        <v>669.17</v>
      </c>
      <c r="D5301" s="12"/>
      <c r="E5301" s="13"/>
    </row>
    <row r="5302" spans="1:5" ht="11.1" hidden="1" customHeight="1" x14ac:dyDescent="0.25">
      <c r="A5302" s="12" t="s">
        <v>7458</v>
      </c>
      <c r="B5302" s="12" t="s">
        <v>1041</v>
      </c>
      <c r="C5302" s="14">
        <v>48</v>
      </c>
      <c r="D5302" s="12"/>
      <c r="E5302" s="13"/>
    </row>
    <row r="5303" spans="1:5" ht="11.1" hidden="1" customHeight="1" x14ac:dyDescent="0.25">
      <c r="A5303" s="12" t="s">
        <v>7459</v>
      </c>
      <c r="B5303" s="12" t="s">
        <v>7447</v>
      </c>
      <c r="C5303" s="14">
        <v>8605.2000000000007</v>
      </c>
      <c r="D5303" s="12"/>
      <c r="E5303" s="14"/>
    </row>
    <row r="5304" spans="1:5" ht="11.1" hidden="1" customHeight="1" x14ac:dyDescent="0.25">
      <c r="A5304" s="12" t="s">
        <v>7460</v>
      </c>
      <c r="B5304" s="12" t="s">
        <v>7461</v>
      </c>
      <c r="C5304" s="14">
        <v>27662</v>
      </c>
      <c r="D5304" s="12"/>
      <c r="E5304" s="14"/>
    </row>
    <row r="5305" spans="1:5" ht="11.1" hidden="1" customHeight="1" x14ac:dyDescent="0.25">
      <c r="A5305" s="12" t="s">
        <v>7462</v>
      </c>
      <c r="B5305" s="12" t="s">
        <v>3314</v>
      </c>
      <c r="C5305" s="14">
        <v>4040.52</v>
      </c>
      <c r="D5305" s="12"/>
      <c r="E5305" s="14"/>
    </row>
    <row r="5306" spans="1:5" ht="11.1" hidden="1" customHeight="1" x14ac:dyDescent="0.25">
      <c r="A5306" s="12" t="s">
        <v>7463</v>
      </c>
      <c r="B5306" s="12" t="s">
        <v>7447</v>
      </c>
      <c r="C5306" s="14">
        <v>10239.200000000001</v>
      </c>
      <c r="D5306" s="12"/>
      <c r="E5306" s="14"/>
    </row>
    <row r="5307" spans="1:5" ht="11.1" hidden="1" customHeight="1" x14ac:dyDescent="0.25">
      <c r="A5307" s="12" t="s">
        <v>7464</v>
      </c>
      <c r="B5307" s="12" t="s">
        <v>3314</v>
      </c>
      <c r="C5307" s="14">
        <v>2538.6</v>
      </c>
      <c r="D5307" s="12"/>
      <c r="E5307" s="14"/>
    </row>
    <row r="5308" spans="1:5" ht="11.1" hidden="1" customHeight="1" x14ac:dyDescent="0.25">
      <c r="A5308" s="12" t="s">
        <v>7465</v>
      </c>
      <c r="B5308" s="12" t="s">
        <v>7466</v>
      </c>
      <c r="C5308" s="14">
        <v>503</v>
      </c>
      <c r="D5308" s="12"/>
      <c r="E5308" s="13"/>
    </row>
    <row r="5309" spans="1:5" ht="11.1" hidden="1" customHeight="1" x14ac:dyDescent="0.25">
      <c r="A5309" s="12" t="s">
        <v>7467</v>
      </c>
      <c r="B5309" s="12" t="s">
        <v>1452</v>
      </c>
      <c r="C5309" s="14">
        <v>2386.67</v>
      </c>
      <c r="D5309" s="12"/>
      <c r="E5309" s="14"/>
    </row>
    <row r="5310" spans="1:5" ht="11.1" hidden="1" customHeight="1" x14ac:dyDescent="0.25">
      <c r="A5310" s="12" t="s">
        <v>7468</v>
      </c>
      <c r="B5310" s="12" t="s">
        <v>7469</v>
      </c>
      <c r="C5310" s="14">
        <v>1696.58</v>
      </c>
      <c r="D5310" s="12"/>
      <c r="E5310" s="14"/>
    </row>
    <row r="5311" spans="1:5" ht="11.1" hidden="1" customHeight="1" x14ac:dyDescent="0.25">
      <c r="A5311" s="12" t="s">
        <v>7470</v>
      </c>
      <c r="B5311" s="12" t="s">
        <v>7471</v>
      </c>
      <c r="C5311" s="14">
        <v>381.67</v>
      </c>
      <c r="D5311" s="12"/>
      <c r="E5311" s="13"/>
    </row>
    <row r="5312" spans="1:5" ht="11.1" hidden="1" customHeight="1" x14ac:dyDescent="0.25">
      <c r="A5312" s="12" t="s">
        <v>7472</v>
      </c>
      <c r="B5312" s="12" t="s">
        <v>6507</v>
      </c>
      <c r="C5312" s="14">
        <v>5566</v>
      </c>
      <c r="D5312" s="12"/>
      <c r="E5312" s="14"/>
    </row>
    <row r="5313" spans="1:5" ht="11.1" hidden="1" customHeight="1" x14ac:dyDescent="0.25">
      <c r="A5313" s="12" t="s">
        <v>7473</v>
      </c>
      <c r="B5313" s="12" t="s">
        <v>7474</v>
      </c>
      <c r="C5313" s="14">
        <v>30000</v>
      </c>
      <c r="D5313" s="12"/>
      <c r="E5313" s="14"/>
    </row>
    <row r="5314" spans="1:5" ht="11.1" hidden="1" customHeight="1" x14ac:dyDescent="0.25">
      <c r="A5314" s="12" t="s">
        <v>7475</v>
      </c>
      <c r="B5314" s="12" t="s">
        <v>749</v>
      </c>
      <c r="C5314" s="14">
        <v>215</v>
      </c>
      <c r="D5314" s="12"/>
      <c r="E5314" s="13"/>
    </row>
    <row r="5315" spans="1:5" ht="11.1" hidden="1" customHeight="1" x14ac:dyDescent="0.25">
      <c r="A5315" s="12" t="s">
        <v>7476</v>
      </c>
      <c r="B5315" s="12" t="s">
        <v>5004</v>
      </c>
      <c r="C5315" s="14">
        <v>29586.6</v>
      </c>
      <c r="D5315" s="12"/>
      <c r="E5315" s="14"/>
    </row>
    <row r="5316" spans="1:5" ht="11.1" hidden="1" customHeight="1" x14ac:dyDescent="0.25">
      <c r="A5316" s="12" t="s">
        <v>7477</v>
      </c>
      <c r="B5316" s="12" t="s">
        <v>7478</v>
      </c>
      <c r="C5316" s="14">
        <v>38392.5</v>
      </c>
      <c r="D5316" s="12"/>
      <c r="E5316" s="14"/>
    </row>
    <row r="5317" spans="1:5" ht="11.1" hidden="1" customHeight="1" x14ac:dyDescent="0.25">
      <c r="A5317" s="12" t="s">
        <v>7479</v>
      </c>
      <c r="B5317" s="12" t="s">
        <v>7480</v>
      </c>
      <c r="C5317" s="14">
        <v>472.5</v>
      </c>
      <c r="D5317" s="12"/>
      <c r="E5317" s="13"/>
    </row>
    <row r="5318" spans="1:5" ht="11.1" hidden="1" customHeight="1" x14ac:dyDescent="0.25">
      <c r="A5318" s="12" t="s">
        <v>7481</v>
      </c>
      <c r="B5318" s="12" t="s">
        <v>892</v>
      </c>
      <c r="C5318" s="14">
        <v>3525.83</v>
      </c>
      <c r="D5318" s="12"/>
      <c r="E5318" s="14"/>
    </row>
    <row r="5319" spans="1:5" ht="11.1" hidden="1" customHeight="1" x14ac:dyDescent="0.25">
      <c r="A5319" s="12" t="s">
        <v>7482</v>
      </c>
      <c r="B5319" s="12" t="s">
        <v>3605</v>
      </c>
      <c r="C5319" s="14">
        <v>749.17</v>
      </c>
      <c r="D5319" s="12"/>
      <c r="E5319" s="13"/>
    </row>
    <row r="5320" spans="1:5" ht="11.1" hidden="1" customHeight="1" x14ac:dyDescent="0.25">
      <c r="A5320" s="12" t="s">
        <v>7483</v>
      </c>
      <c r="B5320" s="12" t="s">
        <v>2044</v>
      </c>
      <c r="C5320" s="14">
        <v>66.58</v>
      </c>
      <c r="D5320" s="12"/>
      <c r="E5320" s="13"/>
    </row>
    <row r="5321" spans="1:5" ht="11.1" hidden="1" customHeight="1" x14ac:dyDescent="0.25">
      <c r="A5321" s="12" t="s">
        <v>7484</v>
      </c>
      <c r="B5321" s="12" t="s">
        <v>5951</v>
      </c>
      <c r="C5321" s="14">
        <v>35.979999999999997</v>
      </c>
      <c r="D5321" s="12"/>
      <c r="E5321" s="13"/>
    </row>
    <row r="5322" spans="1:5" ht="11.1" hidden="1" customHeight="1" x14ac:dyDescent="0.25">
      <c r="A5322" s="12" t="s">
        <v>7485</v>
      </c>
      <c r="B5322" s="12" t="s">
        <v>2826</v>
      </c>
      <c r="C5322" s="14">
        <v>51.25</v>
      </c>
      <c r="D5322" s="12"/>
      <c r="E5322" s="13"/>
    </row>
    <row r="5323" spans="1:5" ht="11.1" hidden="1" customHeight="1" x14ac:dyDescent="0.25">
      <c r="A5323" s="12" t="s">
        <v>7486</v>
      </c>
      <c r="B5323" s="12" t="s">
        <v>2044</v>
      </c>
      <c r="C5323" s="14">
        <v>209.17</v>
      </c>
      <c r="D5323" s="12"/>
      <c r="E5323" s="13"/>
    </row>
    <row r="5324" spans="1:5" ht="11.1" hidden="1" customHeight="1" x14ac:dyDescent="0.25">
      <c r="A5324" s="12" t="s">
        <v>7487</v>
      </c>
      <c r="B5324" s="12" t="s">
        <v>7488</v>
      </c>
      <c r="C5324" s="14">
        <v>1450</v>
      </c>
      <c r="D5324" s="12"/>
      <c r="E5324" s="14"/>
    </row>
    <row r="5325" spans="1:5" ht="11.1" hidden="1" customHeight="1" x14ac:dyDescent="0.25">
      <c r="A5325" s="12" t="s">
        <v>7489</v>
      </c>
      <c r="B5325" s="12" t="s">
        <v>4878</v>
      </c>
      <c r="C5325" s="14">
        <v>8860.17</v>
      </c>
      <c r="D5325" s="12"/>
      <c r="E5325" s="14"/>
    </row>
    <row r="5326" spans="1:5" ht="11.1" hidden="1" customHeight="1" x14ac:dyDescent="0.25">
      <c r="A5326" s="12" t="s">
        <v>7490</v>
      </c>
      <c r="B5326" s="12" t="s">
        <v>7491</v>
      </c>
      <c r="C5326" s="14">
        <v>34.17</v>
      </c>
      <c r="D5326" s="12"/>
      <c r="E5326" s="13"/>
    </row>
    <row r="5327" spans="1:5" ht="11.1" hidden="1" customHeight="1" x14ac:dyDescent="0.25">
      <c r="A5327" s="12" t="s">
        <v>7492</v>
      </c>
      <c r="B5327" s="12" t="s">
        <v>1973</v>
      </c>
      <c r="C5327" s="14">
        <v>160.78</v>
      </c>
      <c r="D5327" s="12"/>
      <c r="E5327" s="13"/>
    </row>
    <row r="5328" spans="1:5" ht="11.1" hidden="1" customHeight="1" x14ac:dyDescent="0.25">
      <c r="A5328" s="12" t="s">
        <v>7493</v>
      </c>
      <c r="B5328" s="12" t="s">
        <v>241</v>
      </c>
      <c r="C5328" s="14">
        <v>270.83</v>
      </c>
      <c r="D5328" s="12"/>
      <c r="E5328" s="13"/>
    </row>
    <row r="5329" spans="1:5" ht="11.1" hidden="1" customHeight="1" x14ac:dyDescent="0.25">
      <c r="A5329" s="12" t="s">
        <v>7494</v>
      </c>
      <c r="B5329" s="12" t="s">
        <v>7495</v>
      </c>
      <c r="C5329" s="14">
        <v>1620</v>
      </c>
      <c r="D5329" s="12"/>
      <c r="E5329" s="14"/>
    </row>
    <row r="5330" spans="1:5" ht="11.1" hidden="1" customHeight="1" x14ac:dyDescent="0.25">
      <c r="A5330" s="12" t="s">
        <v>7496</v>
      </c>
      <c r="B5330" s="12" t="s">
        <v>7497</v>
      </c>
      <c r="C5330" s="14">
        <v>10300</v>
      </c>
      <c r="D5330" s="12"/>
      <c r="E5330" s="14"/>
    </row>
    <row r="5331" spans="1:5" ht="11.1" hidden="1" customHeight="1" x14ac:dyDescent="0.25">
      <c r="A5331" s="12" t="s">
        <v>15</v>
      </c>
      <c r="B5331" s="12" t="s">
        <v>5559</v>
      </c>
      <c r="C5331" s="14">
        <v>41.67</v>
      </c>
      <c r="D5331" s="12"/>
      <c r="E5331" s="13"/>
    </row>
    <row r="5332" spans="1:5" ht="11.1" hidden="1" customHeight="1" x14ac:dyDescent="0.25">
      <c r="A5332" s="12" t="s">
        <v>7498</v>
      </c>
      <c r="B5332" s="12" t="s">
        <v>1038</v>
      </c>
      <c r="C5332" s="14">
        <v>6</v>
      </c>
      <c r="D5332" s="12"/>
      <c r="E5332" s="13"/>
    </row>
    <row r="5333" spans="1:5" ht="11.1" hidden="1" customHeight="1" x14ac:dyDescent="0.25">
      <c r="A5333" s="12" t="s">
        <v>7499</v>
      </c>
      <c r="B5333" s="12" t="s">
        <v>7500</v>
      </c>
      <c r="C5333" s="14">
        <v>209.54</v>
      </c>
      <c r="D5333" s="12"/>
      <c r="E5333" s="13"/>
    </row>
    <row r="5334" spans="1:5" ht="11.1" hidden="1" customHeight="1" x14ac:dyDescent="0.25">
      <c r="A5334" s="12" t="s">
        <v>7501</v>
      </c>
      <c r="B5334" s="12" t="s">
        <v>7500</v>
      </c>
      <c r="C5334" s="14">
        <v>205.77</v>
      </c>
      <c r="D5334" s="12"/>
      <c r="E5334" s="13"/>
    </row>
    <row r="5335" spans="1:5" ht="11.1" hidden="1" customHeight="1" x14ac:dyDescent="0.25">
      <c r="A5335" s="12" t="s">
        <v>7502</v>
      </c>
      <c r="B5335" s="12" t="s">
        <v>1038</v>
      </c>
      <c r="C5335" s="14">
        <v>270</v>
      </c>
      <c r="D5335" s="12"/>
      <c r="E5335" s="13"/>
    </row>
    <row r="5336" spans="1:5" ht="11.1" hidden="1" customHeight="1" x14ac:dyDescent="0.25">
      <c r="A5336" s="12" t="s">
        <v>7503</v>
      </c>
      <c r="B5336" s="12" t="s">
        <v>536</v>
      </c>
      <c r="C5336" s="14">
        <v>512.5</v>
      </c>
      <c r="D5336" s="12"/>
      <c r="E5336" s="13"/>
    </row>
    <row r="5337" spans="1:5" ht="11.1" hidden="1" customHeight="1" x14ac:dyDescent="0.25">
      <c r="A5337" s="12" t="s">
        <v>7504</v>
      </c>
      <c r="B5337" s="12" t="s">
        <v>4223</v>
      </c>
      <c r="C5337" s="14">
        <v>19150</v>
      </c>
      <c r="D5337" s="12"/>
      <c r="E5337" s="14"/>
    </row>
    <row r="5338" spans="1:5" ht="11.1" hidden="1" customHeight="1" x14ac:dyDescent="0.25">
      <c r="A5338" s="12" t="s">
        <v>7505</v>
      </c>
      <c r="B5338" s="12" t="s">
        <v>7506</v>
      </c>
      <c r="C5338" s="14">
        <v>14710.83</v>
      </c>
      <c r="D5338" s="12"/>
      <c r="E5338" s="14"/>
    </row>
    <row r="5339" spans="1:5" ht="11.1" hidden="1" customHeight="1" x14ac:dyDescent="0.25">
      <c r="A5339" s="12" t="s">
        <v>7507</v>
      </c>
      <c r="B5339" s="12" t="s">
        <v>1041</v>
      </c>
      <c r="C5339" s="14">
        <v>3399</v>
      </c>
      <c r="D5339" s="12"/>
      <c r="E5339" s="14"/>
    </row>
    <row r="5340" spans="1:5" ht="11.1" hidden="1" customHeight="1" x14ac:dyDescent="0.25">
      <c r="A5340" s="12" t="s">
        <v>7508</v>
      </c>
      <c r="B5340" s="12" t="s">
        <v>7509</v>
      </c>
      <c r="C5340" s="14">
        <v>2933.33</v>
      </c>
      <c r="D5340" s="12"/>
      <c r="E5340" s="14"/>
    </row>
    <row r="5341" spans="1:5" ht="11.1" hidden="1" customHeight="1" x14ac:dyDescent="0.25">
      <c r="A5341" s="12" t="s">
        <v>7510</v>
      </c>
      <c r="B5341" s="12" t="s">
        <v>2407</v>
      </c>
      <c r="C5341" s="14">
        <v>1116.67</v>
      </c>
      <c r="D5341" s="12"/>
      <c r="E5341" s="14"/>
    </row>
    <row r="5342" spans="1:5" ht="11.1" hidden="1" customHeight="1" x14ac:dyDescent="0.25">
      <c r="A5342" s="12" t="s">
        <v>7511</v>
      </c>
      <c r="B5342" s="12" t="s">
        <v>7512</v>
      </c>
      <c r="C5342" s="14">
        <v>7649</v>
      </c>
      <c r="D5342" s="12"/>
      <c r="E5342" s="14"/>
    </row>
    <row r="5343" spans="1:5" ht="11.1" hidden="1" customHeight="1" x14ac:dyDescent="0.25">
      <c r="A5343" s="12" t="s">
        <v>7513</v>
      </c>
      <c r="B5343" s="12" t="s">
        <v>7514</v>
      </c>
      <c r="C5343" s="14">
        <v>333.33</v>
      </c>
      <c r="D5343" s="12"/>
      <c r="E5343" s="13"/>
    </row>
    <row r="5344" spans="1:5" ht="11.1" hidden="1" customHeight="1" x14ac:dyDescent="0.25">
      <c r="A5344" s="12" t="s">
        <v>7515</v>
      </c>
      <c r="B5344" s="12" t="s">
        <v>7516</v>
      </c>
      <c r="C5344" s="14">
        <v>1811.67</v>
      </c>
      <c r="D5344" s="12"/>
      <c r="E5344" s="14"/>
    </row>
    <row r="5345" spans="1:5" ht="11.1" hidden="1" customHeight="1" x14ac:dyDescent="0.25">
      <c r="A5345" s="12" t="s">
        <v>7517</v>
      </c>
      <c r="B5345" s="12" t="s">
        <v>7518</v>
      </c>
      <c r="C5345" s="14">
        <v>207.5</v>
      </c>
      <c r="D5345" s="12"/>
      <c r="E5345" s="13"/>
    </row>
    <row r="5346" spans="1:5" ht="11.1" hidden="1" customHeight="1" x14ac:dyDescent="0.25">
      <c r="A5346" s="12" t="s">
        <v>7519</v>
      </c>
      <c r="B5346" s="12" t="s">
        <v>7520</v>
      </c>
      <c r="C5346" s="14">
        <v>6087.5</v>
      </c>
      <c r="D5346" s="12"/>
      <c r="E5346" s="14"/>
    </row>
    <row r="5347" spans="1:5" ht="11.1" hidden="1" customHeight="1" x14ac:dyDescent="0.25">
      <c r="A5347" s="12" t="s">
        <v>7521</v>
      </c>
      <c r="B5347" s="12" t="s">
        <v>6965</v>
      </c>
      <c r="C5347" s="14">
        <v>487.5</v>
      </c>
      <c r="D5347" s="12"/>
      <c r="E5347" s="13"/>
    </row>
    <row r="5348" spans="1:5" ht="11.1" hidden="1" customHeight="1" x14ac:dyDescent="0.25">
      <c r="A5348" s="12" t="s">
        <v>7522</v>
      </c>
      <c r="B5348" s="12" t="s">
        <v>7523</v>
      </c>
      <c r="C5348" s="14">
        <v>450.83</v>
      </c>
      <c r="D5348" s="12"/>
      <c r="E5348" s="13"/>
    </row>
    <row r="5349" spans="1:5" ht="11.1" hidden="1" customHeight="1" x14ac:dyDescent="0.25">
      <c r="A5349" s="12" t="s">
        <v>7524</v>
      </c>
      <c r="B5349" s="12" t="s">
        <v>6965</v>
      </c>
      <c r="C5349" s="14">
        <v>325</v>
      </c>
      <c r="D5349" s="12"/>
      <c r="E5349" s="13"/>
    </row>
    <row r="5350" spans="1:5" ht="11.1" hidden="1" customHeight="1" x14ac:dyDescent="0.25">
      <c r="A5350" s="12" t="s">
        <v>7525</v>
      </c>
      <c r="B5350" s="12" t="s">
        <v>7526</v>
      </c>
      <c r="C5350" s="14">
        <v>590.83000000000004</v>
      </c>
      <c r="D5350" s="12"/>
      <c r="E5350" s="13"/>
    </row>
    <row r="5351" spans="1:5" ht="11.1" hidden="1" customHeight="1" x14ac:dyDescent="0.25">
      <c r="A5351" s="12" t="s">
        <v>7527</v>
      </c>
      <c r="B5351" s="12" t="s">
        <v>7528</v>
      </c>
      <c r="C5351" s="14">
        <v>590.83000000000004</v>
      </c>
      <c r="D5351" s="12"/>
      <c r="E5351" s="13"/>
    </row>
    <row r="5352" spans="1:5" ht="11.1" hidden="1" customHeight="1" x14ac:dyDescent="0.25">
      <c r="A5352" s="12" t="s">
        <v>7529</v>
      </c>
      <c r="B5352" s="12" t="s">
        <v>7530</v>
      </c>
      <c r="C5352" s="14">
        <v>958.33</v>
      </c>
      <c r="D5352" s="12"/>
      <c r="E5352" s="13"/>
    </row>
    <row r="5353" spans="1:5" ht="11.1" hidden="1" customHeight="1" x14ac:dyDescent="0.25">
      <c r="A5353" s="12" t="s">
        <v>7531</v>
      </c>
      <c r="B5353" s="12" t="s">
        <v>7532</v>
      </c>
      <c r="C5353" s="14">
        <v>1520.83</v>
      </c>
      <c r="D5353" s="12"/>
      <c r="E5353" s="14"/>
    </row>
    <row r="5354" spans="1:5" ht="11.1" hidden="1" customHeight="1" x14ac:dyDescent="0.25">
      <c r="A5354" s="12" t="s">
        <v>7533</v>
      </c>
      <c r="B5354" s="12" t="s">
        <v>2666</v>
      </c>
      <c r="C5354" s="14">
        <v>1050.83</v>
      </c>
      <c r="D5354" s="12"/>
      <c r="E5354" s="14"/>
    </row>
    <row r="5355" spans="1:5" ht="11.1" hidden="1" customHeight="1" x14ac:dyDescent="0.25">
      <c r="A5355" s="12" t="s">
        <v>7534</v>
      </c>
      <c r="B5355" s="12" t="s">
        <v>7535</v>
      </c>
      <c r="C5355" s="14">
        <v>522.5</v>
      </c>
      <c r="D5355" s="12"/>
      <c r="E5355" s="13"/>
    </row>
    <row r="5356" spans="1:5" ht="11.1" hidden="1" customHeight="1" x14ac:dyDescent="0.25">
      <c r="A5356" s="12" t="s">
        <v>7536</v>
      </c>
      <c r="B5356" s="12" t="s">
        <v>7537</v>
      </c>
      <c r="C5356" s="14">
        <v>6380161.6699999999</v>
      </c>
      <c r="D5356" s="12"/>
      <c r="E5356" s="14"/>
    </row>
    <row r="5357" spans="1:5" ht="11.1" hidden="1" customHeight="1" x14ac:dyDescent="0.25">
      <c r="A5357" s="12" t="s">
        <v>7538</v>
      </c>
      <c r="B5357" s="12" t="s">
        <v>7539</v>
      </c>
      <c r="C5357" s="14">
        <v>7300</v>
      </c>
      <c r="D5357" s="12"/>
      <c r="E5357" s="14"/>
    </row>
    <row r="5358" spans="1:5" ht="11.1" hidden="1" customHeight="1" x14ac:dyDescent="0.25">
      <c r="A5358" s="12" t="s">
        <v>7540</v>
      </c>
      <c r="B5358" s="12" t="s">
        <v>7541</v>
      </c>
      <c r="C5358" s="14">
        <v>4470.71</v>
      </c>
      <c r="D5358" s="12"/>
      <c r="E5358" s="14"/>
    </row>
    <row r="5359" spans="1:5" ht="11.1" hidden="1" customHeight="1" x14ac:dyDescent="0.25">
      <c r="A5359" s="12" t="s">
        <v>7542</v>
      </c>
      <c r="B5359" s="12" t="s">
        <v>7543</v>
      </c>
      <c r="C5359" s="14">
        <v>833.33</v>
      </c>
      <c r="D5359" s="12"/>
      <c r="E5359" s="13"/>
    </row>
    <row r="5360" spans="1:5" ht="11.1" hidden="1" customHeight="1" x14ac:dyDescent="0.25">
      <c r="A5360" s="12" t="s">
        <v>7544</v>
      </c>
      <c r="B5360" s="12" t="s">
        <v>7545</v>
      </c>
      <c r="C5360" s="14">
        <v>2875.2</v>
      </c>
      <c r="D5360" s="12"/>
      <c r="E5360" s="14"/>
    </row>
    <row r="5361" spans="1:5" ht="11.1" hidden="1" customHeight="1" x14ac:dyDescent="0.25">
      <c r="A5361" s="12" t="s">
        <v>7546</v>
      </c>
      <c r="B5361" s="12" t="s">
        <v>7547</v>
      </c>
      <c r="C5361" s="14">
        <v>585800</v>
      </c>
      <c r="D5361" s="12"/>
      <c r="E5361" s="14"/>
    </row>
    <row r="5362" spans="1:5" ht="23.1" hidden="1" customHeight="1" x14ac:dyDescent="0.25">
      <c r="A5362" s="12" t="s">
        <v>7548</v>
      </c>
      <c r="B5362" s="12" t="s">
        <v>7549</v>
      </c>
      <c r="C5362" s="14">
        <v>4500</v>
      </c>
      <c r="D5362" s="12"/>
      <c r="E5362" s="14"/>
    </row>
    <row r="5363" spans="1:5" ht="11.1" hidden="1" customHeight="1" x14ac:dyDescent="0.25">
      <c r="A5363" s="12" t="s">
        <v>7550</v>
      </c>
      <c r="B5363" s="12" t="s">
        <v>7551</v>
      </c>
      <c r="C5363" s="14">
        <v>10500</v>
      </c>
      <c r="D5363" s="12"/>
      <c r="E5363" s="14"/>
    </row>
    <row r="5364" spans="1:5" ht="11.1" hidden="1" customHeight="1" x14ac:dyDescent="0.25">
      <c r="A5364" s="12" t="s">
        <v>7552</v>
      </c>
      <c r="B5364" s="12" t="s">
        <v>7553</v>
      </c>
      <c r="C5364" s="14">
        <v>5200</v>
      </c>
      <c r="D5364" s="12"/>
      <c r="E5364" s="14"/>
    </row>
    <row r="5365" spans="1:5" ht="11.1" hidden="1" customHeight="1" x14ac:dyDescent="0.25">
      <c r="A5365" s="12" t="s">
        <v>7554</v>
      </c>
      <c r="B5365" s="12" t="s">
        <v>7555</v>
      </c>
      <c r="C5365" s="14">
        <v>19300</v>
      </c>
      <c r="D5365" s="12"/>
      <c r="E5365" s="14"/>
    </row>
    <row r="5366" spans="1:5" ht="11.1" hidden="1" customHeight="1" x14ac:dyDescent="0.25">
      <c r="A5366" s="12" t="s">
        <v>7556</v>
      </c>
      <c r="B5366" s="12" t="s">
        <v>7557</v>
      </c>
      <c r="C5366" s="14">
        <v>58795.45</v>
      </c>
      <c r="D5366" s="12"/>
      <c r="E5366" s="14"/>
    </row>
    <row r="5367" spans="1:5" ht="11.1" hidden="1" customHeight="1" x14ac:dyDescent="0.25">
      <c r="A5367" s="12" t="s">
        <v>7558</v>
      </c>
      <c r="B5367" s="12" t="s">
        <v>7559</v>
      </c>
      <c r="C5367" s="14">
        <v>83900</v>
      </c>
      <c r="D5367" s="12"/>
      <c r="E5367" s="14"/>
    </row>
    <row r="5368" spans="1:5" ht="11.1" hidden="1" customHeight="1" x14ac:dyDescent="0.25">
      <c r="A5368" s="12" t="s">
        <v>7560</v>
      </c>
      <c r="B5368" s="12" t="s">
        <v>7535</v>
      </c>
      <c r="C5368" s="14">
        <v>1040</v>
      </c>
      <c r="D5368" s="12"/>
      <c r="E5368" s="14"/>
    </row>
    <row r="5369" spans="1:5" ht="11.1" hidden="1" customHeight="1" x14ac:dyDescent="0.25">
      <c r="A5369" s="12" t="s">
        <v>7561</v>
      </c>
      <c r="B5369" s="12" t="s">
        <v>7562</v>
      </c>
      <c r="C5369" s="14">
        <v>41115</v>
      </c>
      <c r="D5369" s="12"/>
      <c r="E5369" s="14"/>
    </row>
    <row r="5370" spans="1:5" ht="11.1" hidden="1" customHeight="1" x14ac:dyDescent="0.25">
      <c r="A5370" s="12" t="s">
        <v>7563</v>
      </c>
      <c r="B5370" s="12" t="s">
        <v>7564</v>
      </c>
      <c r="C5370" s="14">
        <v>35000</v>
      </c>
      <c r="D5370" s="12"/>
      <c r="E5370" s="14"/>
    </row>
    <row r="5371" spans="1:5" ht="11.1" hidden="1" customHeight="1" x14ac:dyDescent="0.25">
      <c r="A5371" s="12" t="s">
        <v>7565</v>
      </c>
      <c r="B5371" s="12" t="s">
        <v>7566</v>
      </c>
      <c r="C5371" s="14">
        <v>19858.400000000001</v>
      </c>
      <c r="D5371" s="12"/>
      <c r="E5371" s="14"/>
    </row>
    <row r="5372" spans="1:5" ht="11.1" hidden="1" customHeight="1" x14ac:dyDescent="0.25">
      <c r="A5372" s="12" t="s">
        <v>7567</v>
      </c>
      <c r="B5372" s="12" t="s">
        <v>7568</v>
      </c>
      <c r="C5372" s="14">
        <v>38156.25</v>
      </c>
      <c r="D5372" s="12"/>
      <c r="E5372" s="14"/>
    </row>
    <row r="5373" spans="1:5" ht="11.1" hidden="1" customHeight="1" x14ac:dyDescent="0.25">
      <c r="A5373" s="12" t="s">
        <v>7569</v>
      </c>
      <c r="B5373" s="12" t="s">
        <v>7570</v>
      </c>
      <c r="C5373" s="14">
        <v>3750</v>
      </c>
      <c r="D5373" s="12"/>
      <c r="E5373" s="14"/>
    </row>
    <row r="5374" spans="1:5" ht="11.1" hidden="1" customHeight="1" x14ac:dyDescent="0.25">
      <c r="A5374" s="12" t="s">
        <v>7571</v>
      </c>
      <c r="B5374" s="12" t="s">
        <v>7572</v>
      </c>
      <c r="C5374" s="14">
        <v>45787.5</v>
      </c>
      <c r="D5374" s="12"/>
      <c r="E5374" s="14"/>
    </row>
    <row r="5375" spans="1:5" ht="11.1" hidden="1" customHeight="1" x14ac:dyDescent="0.25">
      <c r="A5375" s="12" t="s">
        <v>7573</v>
      </c>
      <c r="B5375" s="12" t="s">
        <v>7574</v>
      </c>
      <c r="C5375" s="14">
        <v>1380000</v>
      </c>
      <c r="D5375" s="12"/>
      <c r="E5375" s="14"/>
    </row>
    <row r="5376" spans="1:5" ht="11.1" hidden="1" customHeight="1" x14ac:dyDescent="0.25">
      <c r="A5376" s="12" t="s">
        <v>7575</v>
      </c>
      <c r="B5376" s="12" t="s">
        <v>7576</v>
      </c>
      <c r="C5376" s="14">
        <v>97632</v>
      </c>
      <c r="D5376" s="12"/>
      <c r="E5376" s="14"/>
    </row>
    <row r="5377" spans="1:5" ht="11.1" hidden="1" customHeight="1" x14ac:dyDescent="0.25">
      <c r="A5377" s="12" t="s">
        <v>7577</v>
      </c>
      <c r="B5377" s="12" t="s">
        <v>7578</v>
      </c>
      <c r="C5377" s="14">
        <v>88245.87</v>
      </c>
      <c r="D5377" s="12"/>
      <c r="E5377" s="14"/>
    </row>
    <row r="5378" spans="1:5" ht="11.1" hidden="1" customHeight="1" x14ac:dyDescent="0.25">
      <c r="A5378" s="12" t="s">
        <v>7579</v>
      </c>
      <c r="B5378" s="12" t="s">
        <v>7580</v>
      </c>
      <c r="C5378" s="14">
        <v>291666.67</v>
      </c>
      <c r="D5378" s="12"/>
      <c r="E5378" s="14"/>
    </row>
    <row r="5379" spans="1:5" ht="11.1" hidden="1" customHeight="1" x14ac:dyDescent="0.25">
      <c r="A5379" s="12" t="s">
        <v>7581</v>
      </c>
      <c r="B5379" s="12" t="s">
        <v>7582</v>
      </c>
      <c r="C5379" s="14">
        <v>35000</v>
      </c>
      <c r="D5379" s="12"/>
      <c r="E5379" s="14"/>
    </row>
    <row r="5380" spans="1:5" ht="11.1" hidden="1" customHeight="1" x14ac:dyDescent="0.25">
      <c r="A5380" s="12" t="s">
        <v>7583</v>
      </c>
      <c r="B5380" s="12" t="s">
        <v>7584</v>
      </c>
      <c r="C5380" s="14">
        <v>833.33</v>
      </c>
      <c r="D5380" s="12"/>
      <c r="E5380" s="13"/>
    </row>
    <row r="5381" spans="1:5" ht="11.1" hidden="1" customHeight="1" x14ac:dyDescent="0.25">
      <c r="A5381" s="12" t="s">
        <v>7585</v>
      </c>
      <c r="B5381" s="12" t="s">
        <v>2304</v>
      </c>
      <c r="C5381" s="14">
        <v>68975</v>
      </c>
      <c r="D5381" s="12"/>
      <c r="E5381" s="14"/>
    </row>
    <row r="5382" spans="1:5" ht="11.1" hidden="1" customHeight="1" x14ac:dyDescent="0.25">
      <c r="A5382" s="12" t="s">
        <v>7586</v>
      </c>
      <c r="B5382" s="12" t="s">
        <v>7587</v>
      </c>
      <c r="C5382" s="14">
        <v>1823</v>
      </c>
      <c r="D5382" s="12"/>
      <c r="E5382" s="14"/>
    </row>
    <row r="5383" spans="1:5" ht="11.1" hidden="1" customHeight="1" x14ac:dyDescent="0.25">
      <c r="A5383" s="12" t="s">
        <v>7588</v>
      </c>
      <c r="B5383" s="12" t="s">
        <v>7589</v>
      </c>
      <c r="C5383" s="14">
        <v>19000</v>
      </c>
      <c r="D5383" s="12"/>
      <c r="E5383" s="14"/>
    </row>
    <row r="5384" spans="1:5" ht="11.1" hidden="1" customHeight="1" x14ac:dyDescent="0.25">
      <c r="A5384" s="12" t="s">
        <v>7590</v>
      </c>
      <c r="B5384" s="12" t="s">
        <v>7591</v>
      </c>
      <c r="C5384" s="14">
        <v>40708.26</v>
      </c>
      <c r="D5384" s="12"/>
      <c r="E5384" s="14"/>
    </row>
    <row r="5385" spans="1:5" ht="11.1" hidden="1" customHeight="1" x14ac:dyDescent="0.25">
      <c r="A5385" s="12" t="s">
        <v>7592</v>
      </c>
      <c r="B5385" s="12" t="s">
        <v>193</v>
      </c>
      <c r="C5385" s="14">
        <v>220.92</v>
      </c>
      <c r="D5385" s="12"/>
      <c r="E5385" s="13"/>
    </row>
    <row r="5386" spans="1:5" ht="11.1" hidden="1" customHeight="1" x14ac:dyDescent="0.25">
      <c r="A5386" s="12" t="s">
        <v>7593</v>
      </c>
      <c r="B5386" s="12" t="s">
        <v>7594</v>
      </c>
      <c r="C5386" s="14">
        <v>394.17</v>
      </c>
      <c r="D5386" s="12"/>
      <c r="E5386" s="13"/>
    </row>
    <row r="5387" spans="1:5" ht="11.1" hidden="1" customHeight="1" x14ac:dyDescent="0.25">
      <c r="A5387" s="12" t="s">
        <v>7595</v>
      </c>
      <c r="B5387" s="12" t="s">
        <v>7596</v>
      </c>
      <c r="C5387" s="14">
        <v>948.5</v>
      </c>
      <c r="D5387" s="12"/>
      <c r="E5387" s="13"/>
    </row>
    <row r="5388" spans="1:5" ht="11.1" hidden="1" customHeight="1" x14ac:dyDescent="0.25">
      <c r="A5388" s="12" t="s">
        <v>7597</v>
      </c>
      <c r="B5388" s="12" t="s">
        <v>2056</v>
      </c>
      <c r="C5388" s="14">
        <v>255.83</v>
      </c>
      <c r="D5388" s="12"/>
      <c r="E5388" s="13"/>
    </row>
    <row r="5389" spans="1:5" ht="11.1" hidden="1" customHeight="1" x14ac:dyDescent="0.25">
      <c r="A5389" s="12" t="s">
        <v>7598</v>
      </c>
      <c r="B5389" s="12" t="s">
        <v>2107</v>
      </c>
      <c r="C5389" s="14">
        <v>289.17</v>
      </c>
      <c r="D5389" s="12"/>
      <c r="E5389" s="13"/>
    </row>
    <row r="5390" spans="1:5" ht="11.1" hidden="1" customHeight="1" x14ac:dyDescent="0.25">
      <c r="A5390" s="12" t="s">
        <v>7599</v>
      </c>
      <c r="B5390" s="12" t="s">
        <v>1985</v>
      </c>
      <c r="C5390" s="14">
        <v>326.67</v>
      </c>
      <c r="D5390" s="12"/>
      <c r="E5390" s="13"/>
    </row>
    <row r="5391" spans="1:5" ht="11.1" hidden="1" customHeight="1" x14ac:dyDescent="0.25">
      <c r="A5391" s="12" t="s">
        <v>7600</v>
      </c>
      <c r="B5391" s="12" t="s">
        <v>2123</v>
      </c>
      <c r="C5391" s="14">
        <v>141.66999999999999</v>
      </c>
      <c r="D5391" s="12"/>
      <c r="E5391" s="13"/>
    </row>
    <row r="5392" spans="1:5" ht="11.1" hidden="1" customHeight="1" x14ac:dyDescent="0.25">
      <c r="A5392" s="12" t="s">
        <v>7601</v>
      </c>
      <c r="B5392" s="12" t="s">
        <v>2100</v>
      </c>
      <c r="C5392" s="14">
        <v>145</v>
      </c>
      <c r="D5392" s="12"/>
      <c r="E5392" s="13"/>
    </row>
    <row r="5393" spans="1:5" ht="11.1" hidden="1" customHeight="1" x14ac:dyDescent="0.25">
      <c r="A5393" s="12" t="s">
        <v>7602</v>
      </c>
      <c r="B5393" s="12" t="s">
        <v>2113</v>
      </c>
      <c r="C5393" s="14">
        <v>613.33000000000004</v>
      </c>
      <c r="D5393" s="12"/>
      <c r="E5393" s="13"/>
    </row>
    <row r="5394" spans="1:5" ht="11.1" hidden="1" customHeight="1" x14ac:dyDescent="0.25">
      <c r="A5394" s="12" t="s">
        <v>7603</v>
      </c>
      <c r="B5394" s="12" t="s">
        <v>2053</v>
      </c>
      <c r="C5394" s="14">
        <v>266.68</v>
      </c>
      <c r="D5394" s="12"/>
      <c r="E5394" s="13"/>
    </row>
    <row r="5395" spans="1:5" ht="11.1" hidden="1" customHeight="1" x14ac:dyDescent="0.25">
      <c r="A5395" s="12" t="s">
        <v>7604</v>
      </c>
      <c r="B5395" s="12" t="s">
        <v>7605</v>
      </c>
      <c r="C5395" s="14">
        <v>312.5</v>
      </c>
      <c r="D5395" s="12"/>
      <c r="E5395" s="13"/>
    </row>
    <row r="5396" spans="1:5" ht="11.1" hidden="1" customHeight="1" x14ac:dyDescent="0.25">
      <c r="A5396" s="12" t="s">
        <v>7606</v>
      </c>
      <c r="B5396" s="12" t="s">
        <v>7607</v>
      </c>
      <c r="C5396" s="14">
        <v>57497.01</v>
      </c>
      <c r="D5396" s="12"/>
      <c r="E5396" s="14"/>
    </row>
    <row r="5397" spans="1:5" ht="11.1" hidden="1" customHeight="1" x14ac:dyDescent="0.25">
      <c r="A5397" s="12" t="s">
        <v>7608</v>
      </c>
      <c r="B5397" s="12" t="s">
        <v>3985</v>
      </c>
      <c r="C5397" s="14">
        <v>990.25</v>
      </c>
      <c r="D5397" s="12"/>
      <c r="E5397" s="13"/>
    </row>
    <row r="5398" spans="1:5" ht="11.1" hidden="1" customHeight="1" x14ac:dyDescent="0.25">
      <c r="A5398" s="12" t="s">
        <v>7609</v>
      </c>
      <c r="B5398" s="12" t="s">
        <v>7610</v>
      </c>
      <c r="C5398" s="14">
        <v>484.5</v>
      </c>
      <c r="D5398" s="12"/>
      <c r="E5398" s="13"/>
    </row>
    <row r="5399" spans="1:5" ht="11.1" hidden="1" customHeight="1" x14ac:dyDescent="0.25">
      <c r="A5399" s="12" t="s">
        <v>7611</v>
      </c>
      <c r="B5399" s="12" t="s">
        <v>3985</v>
      </c>
      <c r="C5399" s="14">
        <v>422.88</v>
      </c>
      <c r="D5399" s="12"/>
      <c r="E5399" s="13"/>
    </row>
    <row r="5400" spans="1:5" ht="11.1" hidden="1" customHeight="1" x14ac:dyDescent="0.25">
      <c r="A5400" s="12" t="s">
        <v>7612</v>
      </c>
      <c r="B5400" s="12" t="s">
        <v>1754</v>
      </c>
      <c r="C5400" s="14">
        <v>2098.34</v>
      </c>
      <c r="D5400" s="12"/>
      <c r="E5400" s="14"/>
    </row>
    <row r="5401" spans="1:5" ht="11.1" hidden="1" customHeight="1" x14ac:dyDescent="0.25">
      <c r="A5401" s="12" t="s">
        <v>7613</v>
      </c>
      <c r="B5401" s="12" t="s">
        <v>7614</v>
      </c>
      <c r="C5401" s="14">
        <v>12424.8</v>
      </c>
      <c r="D5401" s="12"/>
      <c r="E5401" s="14"/>
    </row>
    <row r="5402" spans="1:5" ht="11.1" hidden="1" customHeight="1" x14ac:dyDescent="0.25">
      <c r="A5402" s="12" t="s">
        <v>7615</v>
      </c>
      <c r="B5402" s="12" t="s">
        <v>7616</v>
      </c>
      <c r="C5402" s="14">
        <v>367.5</v>
      </c>
      <c r="D5402" s="12"/>
      <c r="E5402" s="13"/>
    </row>
    <row r="5403" spans="1:5" ht="11.1" hidden="1" customHeight="1" x14ac:dyDescent="0.25">
      <c r="A5403" s="12" t="s">
        <v>7617</v>
      </c>
      <c r="B5403" s="12" t="s">
        <v>2030</v>
      </c>
      <c r="C5403" s="14">
        <v>17.579999999999998</v>
      </c>
      <c r="D5403" s="12"/>
      <c r="E5403" s="13"/>
    </row>
    <row r="5404" spans="1:5" ht="11.1" hidden="1" customHeight="1" x14ac:dyDescent="0.25">
      <c r="A5404" s="12" t="s">
        <v>7618</v>
      </c>
      <c r="B5404" s="12" t="s">
        <v>3623</v>
      </c>
      <c r="C5404" s="14">
        <v>539.16999999999996</v>
      </c>
      <c r="D5404" s="12"/>
      <c r="E5404" s="13"/>
    </row>
    <row r="5405" spans="1:5" ht="11.1" hidden="1" customHeight="1" x14ac:dyDescent="0.25">
      <c r="A5405" s="12" t="s">
        <v>7619</v>
      </c>
      <c r="B5405" s="12" t="s">
        <v>2030</v>
      </c>
      <c r="C5405" s="14">
        <v>70.34</v>
      </c>
      <c r="D5405" s="12"/>
      <c r="E5405" s="13"/>
    </row>
    <row r="5406" spans="1:5" ht="11.1" hidden="1" customHeight="1" x14ac:dyDescent="0.25">
      <c r="A5406" s="12" t="s">
        <v>7620</v>
      </c>
      <c r="B5406" s="12" t="s">
        <v>7621</v>
      </c>
      <c r="C5406" s="14">
        <v>360</v>
      </c>
      <c r="D5406" s="12"/>
      <c r="E5406" s="13"/>
    </row>
    <row r="5407" spans="1:5" ht="11.1" hidden="1" customHeight="1" x14ac:dyDescent="0.25">
      <c r="A5407" s="12" t="s">
        <v>7622</v>
      </c>
      <c r="B5407" s="12" t="s">
        <v>7623</v>
      </c>
      <c r="C5407" s="14">
        <v>98.33</v>
      </c>
      <c r="D5407" s="12"/>
      <c r="E5407" s="13"/>
    </row>
    <row r="5408" spans="1:5" ht="11.1" hidden="1" customHeight="1" x14ac:dyDescent="0.25">
      <c r="A5408" s="12" t="s">
        <v>7624</v>
      </c>
      <c r="B5408" s="12" t="s">
        <v>7625</v>
      </c>
      <c r="C5408" s="14">
        <v>1499</v>
      </c>
      <c r="D5408" s="12"/>
      <c r="E5408" s="14"/>
    </row>
    <row r="5409" spans="1:5" ht="11.1" hidden="1" customHeight="1" x14ac:dyDescent="0.25">
      <c r="A5409" s="12" t="s">
        <v>7626</v>
      </c>
      <c r="B5409" s="12" t="s">
        <v>7627</v>
      </c>
      <c r="C5409" s="14">
        <v>559</v>
      </c>
      <c r="D5409" s="12"/>
      <c r="E5409" s="13"/>
    </row>
    <row r="5410" spans="1:5" ht="11.1" hidden="1" customHeight="1" x14ac:dyDescent="0.25">
      <c r="A5410" s="12" t="s">
        <v>7628</v>
      </c>
      <c r="B5410" s="12" t="s">
        <v>262</v>
      </c>
      <c r="C5410" s="14">
        <v>1923.73</v>
      </c>
      <c r="D5410" s="12"/>
      <c r="E5410" s="14"/>
    </row>
    <row r="5411" spans="1:5" ht="11.1" hidden="1" customHeight="1" x14ac:dyDescent="0.25">
      <c r="A5411" s="12" t="s">
        <v>7629</v>
      </c>
      <c r="B5411" s="12" t="s">
        <v>4238</v>
      </c>
      <c r="C5411" s="14">
        <v>1916.67</v>
      </c>
      <c r="D5411" s="12"/>
      <c r="E5411" s="14"/>
    </row>
    <row r="5412" spans="1:5" ht="11.1" hidden="1" customHeight="1" x14ac:dyDescent="0.25">
      <c r="A5412" s="12" t="s">
        <v>7630</v>
      </c>
      <c r="B5412" s="12" t="s">
        <v>4238</v>
      </c>
      <c r="C5412" s="14">
        <v>4500</v>
      </c>
      <c r="D5412" s="12"/>
      <c r="E5412" s="14"/>
    </row>
    <row r="5413" spans="1:5" ht="11.1" hidden="1" customHeight="1" x14ac:dyDescent="0.25">
      <c r="A5413" s="12" t="s">
        <v>7631</v>
      </c>
      <c r="B5413" s="12" t="s">
        <v>4238</v>
      </c>
      <c r="C5413" s="14">
        <v>9066.67</v>
      </c>
      <c r="D5413" s="12"/>
      <c r="E5413" s="14"/>
    </row>
    <row r="5414" spans="1:5" ht="11.1" hidden="1" customHeight="1" x14ac:dyDescent="0.25">
      <c r="A5414" s="12" t="s">
        <v>7632</v>
      </c>
      <c r="B5414" s="12" t="s">
        <v>7633</v>
      </c>
      <c r="C5414" s="14">
        <v>99</v>
      </c>
      <c r="D5414" s="12"/>
      <c r="E5414" s="13"/>
    </row>
    <row r="5415" spans="1:5" ht="11.1" hidden="1" customHeight="1" x14ac:dyDescent="0.25">
      <c r="A5415" s="12" t="s">
        <v>7634</v>
      </c>
      <c r="B5415" s="12" t="s">
        <v>4238</v>
      </c>
      <c r="C5415" s="14">
        <v>2383.33</v>
      </c>
      <c r="D5415" s="12"/>
      <c r="E5415" s="14"/>
    </row>
    <row r="5416" spans="1:5" ht="11.1" hidden="1" customHeight="1" x14ac:dyDescent="0.25">
      <c r="A5416" s="12" t="s">
        <v>7635</v>
      </c>
      <c r="B5416" s="12" t="s">
        <v>7636</v>
      </c>
      <c r="C5416" s="14">
        <v>279.17</v>
      </c>
      <c r="D5416" s="12"/>
      <c r="E5416" s="13"/>
    </row>
    <row r="5417" spans="1:5" ht="11.1" hidden="1" customHeight="1" x14ac:dyDescent="0.25">
      <c r="A5417" s="12" t="s">
        <v>7637</v>
      </c>
      <c r="B5417" s="12" t="s">
        <v>5757</v>
      </c>
      <c r="C5417" s="14">
        <v>517.49</v>
      </c>
      <c r="D5417" s="12"/>
      <c r="E5417" s="13"/>
    </row>
    <row r="5418" spans="1:5" ht="11.1" hidden="1" customHeight="1" x14ac:dyDescent="0.25">
      <c r="A5418" s="12" t="s">
        <v>7638</v>
      </c>
      <c r="B5418" s="12" t="s">
        <v>7636</v>
      </c>
      <c r="C5418" s="14">
        <v>547.5</v>
      </c>
      <c r="D5418" s="12"/>
      <c r="E5418" s="13"/>
    </row>
    <row r="5419" spans="1:5" ht="11.1" hidden="1" customHeight="1" x14ac:dyDescent="0.25">
      <c r="A5419" s="12" t="s">
        <v>7639</v>
      </c>
      <c r="B5419" s="12" t="s">
        <v>7640</v>
      </c>
      <c r="C5419" s="14">
        <v>1970</v>
      </c>
      <c r="D5419" s="12"/>
      <c r="E5419" s="14"/>
    </row>
    <row r="5420" spans="1:5" ht="11.1" hidden="1" customHeight="1" x14ac:dyDescent="0.25">
      <c r="A5420" s="12" t="s">
        <v>7641</v>
      </c>
      <c r="B5420" s="12" t="s">
        <v>7642</v>
      </c>
      <c r="C5420" s="14">
        <v>468600</v>
      </c>
      <c r="D5420" s="12"/>
      <c r="E5420" s="14"/>
    </row>
    <row r="5421" spans="1:5" ht="11.1" hidden="1" customHeight="1" x14ac:dyDescent="0.25">
      <c r="A5421" s="12" t="s">
        <v>7643</v>
      </c>
      <c r="B5421" s="12" t="s">
        <v>7644</v>
      </c>
      <c r="C5421" s="14">
        <v>129.16999999999999</v>
      </c>
      <c r="D5421" s="12"/>
      <c r="E5421" s="13"/>
    </row>
    <row r="5422" spans="1:5" ht="11.1" hidden="1" customHeight="1" x14ac:dyDescent="0.25">
      <c r="A5422" s="12" t="s">
        <v>7645</v>
      </c>
      <c r="B5422" s="12" t="s">
        <v>1812</v>
      </c>
      <c r="C5422" s="14">
        <v>769</v>
      </c>
      <c r="D5422" s="12"/>
      <c r="E5422" s="13"/>
    </row>
    <row r="5423" spans="1:5" ht="11.1" hidden="1" customHeight="1" x14ac:dyDescent="0.25">
      <c r="A5423" s="12" t="s">
        <v>7646</v>
      </c>
      <c r="B5423" s="12" t="s">
        <v>7647</v>
      </c>
      <c r="C5423" s="14">
        <v>551</v>
      </c>
      <c r="D5423" s="12"/>
      <c r="E5423" s="13"/>
    </row>
    <row r="5424" spans="1:5" ht="11.1" hidden="1" customHeight="1" x14ac:dyDescent="0.25">
      <c r="A5424" s="12" t="s">
        <v>7648</v>
      </c>
      <c r="B5424" s="12" t="s">
        <v>7649</v>
      </c>
      <c r="C5424" s="14">
        <v>680</v>
      </c>
      <c r="D5424" s="12"/>
      <c r="E5424" s="13"/>
    </row>
    <row r="5425" spans="1:5" ht="11.1" hidden="1" customHeight="1" x14ac:dyDescent="0.25">
      <c r="A5425" s="12" t="s">
        <v>7650</v>
      </c>
      <c r="B5425" s="12" t="s">
        <v>3934</v>
      </c>
      <c r="C5425" s="14">
        <v>4205.0600000000004</v>
      </c>
      <c r="D5425" s="12"/>
      <c r="E5425" s="14"/>
    </row>
    <row r="5426" spans="1:5" ht="11.1" hidden="1" customHeight="1" x14ac:dyDescent="0.25">
      <c r="A5426" s="12" t="s">
        <v>7651</v>
      </c>
      <c r="B5426" s="12" t="s">
        <v>7652</v>
      </c>
      <c r="C5426" s="14">
        <v>136.66999999999999</v>
      </c>
      <c r="D5426" s="12"/>
      <c r="E5426" s="13"/>
    </row>
    <row r="5427" spans="1:5" ht="11.1" hidden="1" customHeight="1" x14ac:dyDescent="0.25">
      <c r="A5427" s="12" t="s">
        <v>7653</v>
      </c>
      <c r="B5427" s="12" t="s">
        <v>7654</v>
      </c>
      <c r="C5427" s="14">
        <v>55.83</v>
      </c>
      <c r="D5427" s="12"/>
      <c r="E5427" s="13"/>
    </row>
    <row r="5428" spans="1:5" ht="11.1" hidden="1" customHeight="1" x14ac:dyDescent="0.25">
      <c r="A5428" s="12" t="s">
        <v>7655</v>
      </c>
      <c r="B5428" s="12" t="s">
        <v>7654</v>
      </c>
      <c r="C5428" s="14">
        <v>86.67</v>
      </c>
      <c r="D5428" s="12"/>
      <c r="E5428" s="13"/>
    </row>
    <row r="5429" spans="1:5" ht="11.1" hidden="1" customHeight="1" x14ac:dyDescent="0.25">
      <c r="A5429" s="12" t="s">
        <v>7656</v>
      </c>
      <c r="B5429" s="12" t="s">
        <v>7654</v>
      </c>
      <c r="C5429" s="14">
        <v>44.17</v>
      </c>
      <c r="D5429" s="12"/>
      <c r="E5429" s="13"/>
    </row>
    <row r="5430" spans="1:5" ht="11.1" hidden="1" customHeight="1" x14ac:dyDescent="0.25">
      <c r="A5430" s="12" t="s">
        <v>7657</v>
      </c>
      <c r="B5430" s="12" t="s">
        <v>5550</v>
      </c>
      <c r="C5430" s="14">
        <v>57.33</v>
      </c>
      <c r="D5430" s="12"/>
      <c r="E5430" s="13"/>
    </row>
    <row r="5431" spans="1:5" ht="11.1" hidden="1" customHeight="1" x14ac:dyDescent="0.25">
      <c r="A5431" s="12" t="s">
        <v>7658</v>
      </c>
      <c r="B5431" s="12" t="s">
        <v>5550</v>
      </c>
      <c r="C5431" s="14">
        <v>78.83</v>
      </c>
      <c r="D5431" s="12"/>
      <c r="E5431" s="13"/>
    </row>
    <row r="5432" spans="1:5" ht="11.1" hidden="1" customHeight="1" x14ac:dyDescent="0.25">
      <c r="A5432" s="12" t="s">
        <v>7659</v>
      </c>
      <c r="B5432" s="12" t="s">
        <v>5550</v>
      </c>
      <c r="C5432" s="14">
        <v>44.5</v>
      </c>
      <c r="D5432" s="12"/>
      <c r="E5432" s="13"/>
    </row>
    <row r="5433" spans="1:5" ht="11.1" hidden="1" customHeight="1" x14ac:dyDescent="0.25">
      <c r="A5433" s="12" t="s">
        <v>7660</v>
      </c>
      <c r="B5433" s="12" t="s">
        <v>5550</v>
      </c>
      <c r="C5433" s="14">
        <v>41.25</v>
      </c>
      <c r="D5433" s="12"/>
      <c r="E5433" s="13"/>
    </row>
    <row r="5434" spans="1:5" ht="11.1" hidden="1" customHeight="1" x14ac:dyDescent="0.25">
      <c r="A5434" s="12" t="s">
        <v>7661</v>
      </c>
      <c r="B5434" s="12" t="s">
        <v>5550</v>
      </c>
      <c r="C5434" s="14">
        <v>58.67</v>
      </c>
      <c r="D5434" s="12"/>
      <c r="E5434" s="13"/>
    </row>
    <row r="5435" spans="1:5" ht="11.1" hidden="1" customHeight="1" x14ac:dyDescent="0.25">
      <c r="A5435" s="12" t="s">
        <v>7662</v>
      </c>
      <c r="B5435" s="12" t="s">
        <v>5550</v>
      </c>
      <c r="C5435" s="14">
        <v>34.42</v>
      </c>
      <c r="D5435" s="12"/>
      <c r="E5435" s="13"/>
    </row>
    <row r="5436" spans="1:5" ht="11.1" hidden="1" customHeight="1" x14ac:dyDescent="0.25">
      <c r="A5436" s="12" t="s">
        <v>7663</v>
      </c>
      <c r="B5436" s="12" t="s">
        <v>223</v>
      </c>
      <c r="C5436" s="14">
        <v>65.83</v>
      </c>
      <c r="D5436" s="12"/>
      <c r="E5436" s="13"/>
    </row>
    <row r="5437" spans="1:5" ht="11.1" hidden="1" customHeight="1" x14ac:dyDescent="0.25">
      <c r="A5437" s="12" t="s">
        <v>7664</v>
      </c>
      <c r="B5437" s="12" t="s">
        <v>7332</v>
      </c>
      <c r="C5437" s="14">
        <v>90.29</v>
      </c>
      <c r="D5437" s="12"/>
      <c r="E5437" s="13"/>
    </row>
    <row r="5438" spans="1:5" ht="11.1" hidden="1" customHeight="1" x14ac:dyDescent="0.25">
      <c r="A5438" s="12" t="s">
        <v>7665</v>
      </c>
      <c r="B5438" s="12" t="s">
        <v>7666</v>
      </c>
      <c r="C5438" s="14">
        <v>220</v>
      </c>
      <c r="D5438" s="12"/>
      <c r="E5438" s="13"/>
    </row>
    <row r="5439" spans="1:5" ht="11.1" hidden="1" customHeight="1" x14ac:dyDescent="0.25">
      <c r="A5439" s="12" t="s">
        <v>7667</v>
      </c>
      <c r="B5439" s="12" t="s">
        <v>223</v>
      </c>
      <c r="C5439" s="14">
        <v>219.17</v>
      </c>
      <c r="D5439" s="12"/>
      <c r="E5439" s="13"/>
    </row>
    <row r="5440" spans="1:5" ht="11.1" hidden="1" customHeight="1" x14ac:dyDescent="0.25">
      <c r="A5440" s="12" t="s">
        <v>7668</v>
      </c>
      <c r="B5440" s="12" t="s">
        <v>7297</v>
      </c>
      <c r="C5440" s="14">
        <v>75</v>
      </c>
      <c r="D5440" s="12"/>
      <c r="E5440" s="13"/>
    </row>
    <row r="5441" spans="1:5" ht="11.1" hidden="1" customHeight="1" x14ac:dyDescent="0.25">
      <c r="A5441" s="12" t="s">
        <v>7669</v>
      </c>
      <c r="B5441" s="12" t="s">
        <v>7297</v>
      </c>
      <c r="C5441" s="14">
        <v>75</v>
      </c>
      <c r="D5441" s="12"/>
      <c r="E5441" s="13"/>
    </row>
    <row r="5442" spans="1:5" ht="11.1" hidden="1" customHeight="1" x14ac:dyDescent="0.25">
      <c r="A5442" s="12" t="s">
        <v>7670</v>
      </c>
      <c r="B5442" s="12" t="s">
        <v>7332</v>
      </c>
      <c r="C5442" s="14">
        <v>71.290000000000006</v>
      </c>
      <c r="D5442" s="12"/>
      <c r="E5442" s="13"/>
    </row>
    <row r="5443" spans="1:5" ht="11.1" hidden="1" customHeight="1" x14ac:dyDescent="0.25">
      <c r="A5443" s="12" t="s">
        <v>7671</v>
      </c>
      <c r="B5443" s="12" t="s">
        <v>223</v>
      </c>
      <c r="C5443" s="14">
        <v>449.17</v>
      </c>
      <c r="D5443" s="12"/>
      <c r="E5443" s="13"/>
    </row>
    <row r="5444" spans="1:5" ht="11.1" hidden="1" customHeight="1" x14ac:dyDescent="0.25">
      <c r="A5444" s="12" t="s">
        <v>7672</v>
      </c>
      <c r="B5444" s="12" t="s">
        <v>223</v>
      </c>
      <c r="C5444" s="14">
        <v>63.33</v>
      </c>
      <c r="D5444" s="12"/>
      <c r="E5444" s="13"/>
    </row>
    <row r="5445" spans="1:5" ht="11.1" hidden="1" customHeight="1" x14ac:dyDescent="0.25">
      <c r="A5445" s="12" t="s">
        <v>7673</v>
      </c>
      <c r="B5445" s="12" t="s">
        <v>646</v>
      </c>
      <c r="C5445" s="14">
        <v>115.83</v>
      </c>
      <c r="D5445" s="12"/>
      <c r="E5445" s="13"/>
    </row>
    <row r="5446" spans="1:5" ht="11.1" hidden="1" customHeight="1" x14ac:dyDescent="0.25">
      <c r="A5446" s="12" t="s">
        <v>7674</v>
      </c>
      <c r="B5446" s="12" t="s">
        <v>7652</v>
      </c>
      <c r="C5446" s="14">
        <v>485</v>
      </c>
      <c r="D5446" s="12"/>
      <c r="E5446" s="13"/>
    </row>
    <row r="5447" spans="1:5" ht="11.1" hidden="1" customHeight="1" x14ac:dyDescent="0.25">
      <c r="A5447" s="12" t="s">
        <v>7675</v>
      </c>
      <c r="B5447" s="12" t="s">
        <v>7676</v>
      </c>
      <c r="C5447" s="14">
        <v>350</v>
      </c>
      <c r="D5447" s="12"/>
      <c r="E5447" s="13"/>
    </row>
    <row r="5448" spans="1:5" ht="11.1" hidden="1" customHeight="1" x14ac:dyDescent="0.25">
      <c r="A5448" s="12" t="s">
        <v>7677</v>
      </c>
      <c r="B5448" s="12" t="s">
        <v>7678</v>
      </c>
      <c r="C5448" s="14">
        <v>86.67</v>
      </c>
      <c r="D5448" s="12"/>
      <c r="E5448" s="13"/>
    </row>
    <row r="5449" spans="1:5" ht="11.1" hidden="1" customHeight="1" x14ac:dyDescent="0.25">
      <c r="A5449" s="12" t="s">
        <v>7679</v>
      </c>
      <c r="B5449" s="12" t="s">
        <v>5175</v>
      </c>
      <c r="C5449" s="14">
        <v>6766.67</v>
      </c>
      <c r="D5449" s="12"/>
      <c r="E5449" s="14"/>
    </row>
    <row r="5450" spans="1:5" ht="11.1" hidden="1" customHeight="1" x14ac:dyDescent="0.25">
      <c r="A5450" s="12" t="s">
        <v>7680</v>
      </c>
      <c r="B5450" s="12" t="s">
        <v>1556</v>
      </c>
      <c r="C5450" s="14">
        <v>315</v>
      </c>
      <c r="D5450" s="12"/>
      <c r="E5450" s="13"/>
    </row>
    <row r="5451" spans="1:5" ht="23.1" hidden="1" customHeight="1" x14ac:dyDescent="0.25">
      <c r="A5451" s="12" t="s">
        <v>7681</v>
      </c>
      <c r="B5451" s="12" t="s">
        <v>7682</v>
      </c>
      <c r="C5451" s="14">
        <v>582.5</v>
      </c>
      <c r="D5451" s="12"/>
      <c r="E5451" s="13"/>
    </row>
    <row r="5452" spans="1:5" ht="11.1" hidden="1" customHeight="1" x14ac:dyDescent="0.25">
      <c r="A5452" s="12" t="s">
        <v>7683</v>
      </c>
      <c r="B5452" s="12" t="s">
        <v>7684</v>
      </c>
      <c r="C5452" s="14">
        <v>260</v>
      </c>
      <c r="D5452" s="12"/>
      <c r="E5452" s="13"/>
    </row>
    <row r="5453" spans="1:5" ht="11.1" hidden="1" customHeight="1" x14ac:dyDescent="0.25">
      <c r="A5453" s="12" t="s">
        <v>7685</v>
      </c>
      <c r="B5453" s="12" t="s">
        <v>7686</v>
      </c>
      <c r="C5453" s="14">
        <v>252.65</v>
      </c>
      <c r="D5453" s="12"/>
      <c r="E5453" s="13"/>
    </row>
    <row r="5454" spans="1:5" ht="11.1" hidden="1" customHeight="1" x14ac:dyDescent="0.25">
      <c r="A5454" s="12" t="s">
        <v>7687</v>
      </c>
      <c r="B5454" s="12" t="s">
        <v>3533</v>
      </c>
      <c r="C5454" s="14">
        <v>725</v>
      </c>
      <c r="D5454" s="12"/>
      <c r="E5454" s="13"/>
    </row>
    <row r="5455" spans="1:5" ht="11.1" hidden="1" customHeight="1" x14ac:dyDescent="0.25">
      <c r="A5455" s="12" t="s">
        <v>7688</v>
      </c>
      <c r="B5455" s="12" t="s">
        <v>7689</v>
      </c>
      <c r="C5455" s="14">
        <v>840</v>
      </c>
      <c r="D5455" s="12"/>
      <c r="E5455" s="13"/>
    </row>
    <row r="5456" spans="1:5" ht="11.1" hidden="1" customHeight="1" x14ac:dyDescent="0.25">
      <c r="A5456" s="12" t="s">
        <v>7690</v>
      </c>
      <c r="B5456" s="12" t="s">
        <v>2248</v>
      </c>
      <c r="C5456" s="14">
        <v>585</v>
      </c>
      <c r="D5456" s="12"/>
      <c r="E5456" s="13"/>
    </row>
    <row r="5457" spans="1:5" ht="11.1" hidden="1" customHeight="1" x14ac:dyDescent="0.25">
      <c r="A5457" s="12" t="s">
        <v>7691</v>
      </c>
      <c r="B5457" s="12" t="s">
        <v>4685</v>
      </c>
      <c r="C5457" s="14">
        <v>458.33</v>
      </c>
      <c r="D5457" s="12"/>
      <c r="E5457" s="13"/>
    </row>
    <row r="5458" spans="1:5" ht="11.1" hidden="1" customHeight="1" x14ac:dyDescent="0.25">
      <c r="A5458" s="12" t="s">
        <v>7692</v>
      </c>
      <c r="B5458" s="12" t="s">
        <v>3536</v>
      </c>
      <c r="C5458" s="14">
        <v>558.34</v>
      </c>
      <c r="D5458" s="12"/>
      <c r="E5458" s="13"/>
    </row>
    <row r="5459" spans="1:5" ht="11.1" hidden="1" customHeight="1" x14ac:dyDescent="0.25">
      <c r="A5459" s="12" t="s">
        <v>7693</v>
      </c>
      <c r="B5459" s="12" t="s">
        <v>2053</v>
      </c>
      <c r="C5459" s="14">
        <v>860.83</v>
      </c>
      <c r="D5459" s="12"/>
      <c r="E5459" s="13"/>
    </row>
    <row r="5460" spans="1:5" ht="11.1" hidden="1" customHeight="1" x14ac:dyDescent="0.25">
      <c r="A5460" s="12" t="s">
        <v>7694</v>
      </c>
      <c r="B5460" s="12" t="s">
        <v>1985</v>
      </c>
      <c r="C5460" s="14">
        <v>248.33</v>
      </c>
      <c r="D5460" s="12"/>
      <c r="E5460" s="13"/>
    </row>
    <row r="5461" spans="1:5" ht="11.1" hidden="1" customHeight="1" x14ac:dyDescent="0.25">
      <c r="A5461" s="12" t="s">
        <v>7695</v>
      </c>
      <c r="B5461" s="12" t="s">
        <v>2162</v>
      </c>
      <c r="C5461" s="14">
        <v>655.83</v>
      </c>
      <c r="D5461" s="12"/>
      <c r="E5461" s="13"/>
    </row>
    <row r="5462" spans="1:5" ht="11.1" hidden="1" customHeight="1" x14ac:dyDescent="0.25">
      <c r="A5462" s="12" t="s">
        <v>7696</v>
      </c>
      <c r="B5462" s="12" t="s">
        <v>1985</v>
      </c>
      <c r="C5462" s="14">
        <v>8454.17</v>
      </c>
      <c r="D5462" s="12"/>
      <c r="E5462" s="14"/>
    </row>
    <row r="5463" spans="1:5" ht="11.1" hidden="1" customHeight="1" x14ac:dyDescent="0.25">
      <c r="A5463" s="12" t="s">
        <v>7697</v>
      </c>
      <c r="B5463" s="12" t="s">
        <v>1245</v>
      </c>
      <c r="C5463" s="14">
        <v>126.67</v>
      </c>
      <c r="D5463" s="12"/>
      <c r="E5463" s="13"/>
    </row>
    <row r="5464" spans="1:5" ht="11.1" hidden="1" customHeight="1" x14ac:dyDescent="0.25">
      <c r="A5464" s="12" t="s">
        <v>7698</v>
      </c>
      <c r="B5464" s="12" t="s">
        <v>1245</v>
      </c>
      <c r="C5464" s="14">
        <v>320.83</v>
      </c>
      <c r="D5464" s="12"/>
      <c r="E5464" s="13"/>
    </row>
    <row r="5465" spans="1:5" ht="11.1" hidden="1" customHeight="1" x14ac:dyDescent="0.25">
      <c r="A5465" s="12" t="s">
        <v>7699</v>
      </c>
      <c r="B5465" s="12" t="s">
        <v>3045</v>
      </c>
      <c r="C5465" s="14">
        <v>164.17</v>
      </c>
      <c r="D5465" s="12"/>
      <c r="E5465" s="13"/>
    </row>
    <row r="5466" spans="1:5" ht="11.1" hidden="1" customHeight="1" x14ac:dyDescent="0.25">
      <c r="A5466" s="12" t="s">
        <v>7700</v>
      </c>
      <c r="B5466" s="12" t="s">
        <v>3045</v>
      </c>
      <c r="C5466" s="14">
        <v>44.17</v>
      </c>
      <c r="D5466" s="12"/>
      <c r="E5466" s="13"/>
    </row>
    <row r="5467" spans="1:5" ht="11.1" hidden="1" customHeight="1" x14ac:dyDescent="0.25">
      <c r="A5467" s="12" t="s">
        <v>7701</v>
      </c>
      <c r="B5467" s="12" t="s">
        <v>7702</v>
      </c>
      <c r="C5467" s="14">
        <v>12500</v>
      </c>
      <c r="D5467" s="12"/>
      <c r="E5467" s="14"/>
    </row>
    <row r="5468" spans="1:5" ht="11.1" hidden="1" customHeight="1" x14ac:dyDescent="0.25">
      <c r="A5468" s="12" t="s">
        <v>7703</v>
      </c>
      <c r="B5468" s="12" t="s">
        <v>4357</v>
      </c>
      <c r="C5468" s="14">
        <v>316.67</v>
      </c>
      <c r="D5468" s="12"/>
      <c r="E5468" s="13"/>
    </row>
    <row r="5469" spans="1:5" ht="11.1" hidden="1" customHeight="1" x14ac:dyDescent="0.25">
      <c r="A5469" s="12" t="s">
        <v>7704</v>
      </c>
      <c r="B5469" s="12" t="s">
        <v>3298</v>
      </c>
      <c r="C5469" s="14">
        <v>100</v>
      </c>
      <c r="D5469" s="12"/>
      <c r="E5469" s="13"/>
    </row>
    <row r="5470" spans="1:5" ht="11.1" hidden="1" customHeight="1" x14ac:dyDescent="0.25">
      <c r="A5470" s="12" t="s">
        <v>7705</v>
      </c>
      <c r="B5470" s="12" t="s">
        <v>7706</v>
      </c>
      <c r="C5470" s="14">
        <v>1325</v>
      </c>
      <c r="D5470" s="12"/>
      <c r="E5470" s="14"/>
    </row>
    <row r="5471" spans="1:5" ht="11.1" hidden="1" customHeight="1" x14ac:dyDescent="0.25">
      <c r="A5471" s="12" t="s">
        <v>7707</v>
      </c>
      <c r="B5471" s="12" t="s">
        <v>7706</v>
      </c>
      <c r="C5471" s="14">
        <v>1325</v>
      </c>
      <c r="D5471" s="12"/>
      <c r="E5471" s="14"/>
    </row>
    <row r="5472" spans="1:5" ht="11.1" hidden="1" customHeight="1" x14ac:dyDescent="0.25">
      <c r="A5472" s="12" t="s">
        <v>7708</v>
      </c>
      <c r="B5472" s="12" t="s">
        <v>182</v>
      </c>
      <c r="C5472" s="14">
        <v>925</v>
      </c>
      <c r="D5472" s="12"/>
      <c r="E5472" s="13"/>
    </row>
    <row r="5473" spans="1:5" ht="11.1" hidden="1" customHeight="1" x14ac:dyDescent="0.25">
      <c r="A5473" s="12" t="s">
        <v>7709</v>
      </c>
      <c r="B5473" s="12" t="s">
        <v>1214</v>
      </c>
      <c r="C5473" s="14">
        <v>793.34</v>
      </c>
      <c r="D5473" s="12"/>
      <c r="E5473" s="13"/>
    </row>
    <row r="5474" spans="1:5" ht="11.1" hidden="1" customHeight="1" x14ac:dyDescent="0.25">
      <c r="A5474" s="12" t="s">
        <v>7710</v>
      </c>
      <c r="B5474" s="12" t="s">
        <v>7711</v>
      </c>
      <c r="C5474" s="14">
        <v>2860</v>
      </c>
      <c r="D5474" s="12"/>
      <c r="E5474" s="14"/>
    </row>
    <row r="5475" spans="1:5" ht="11.1" hidden="1" customHeight="1" x14ac:dyDescent="0.25">
      <c r="A5475" s="12" t="s">
        <v>7712</v>
      </c>
      <c r="B5475" s="12" t="s">
        <v>7711</v>
      </c>
      <c r="C5475" s="14">
        <v>2860</v>
      </c>
      <c r="D5475" s="12"/>
      <c r="E5475" s="14"/>
    </row>
    <row r="5476" spans="1:5" ht="11.1" hidden="1" customHeight="1" x14ac:dyDescent="0.25">
      <c r="A5476" s="12" t="s">
        <v>7713</v>
      </c>
      <c r="B5476" s="12" t="s">
        <v>7711</v>
      </c>
      <c r="C5476" s="14">
        <v>2860</v>
      </c>
      <c r="D5476" s="12"/>
      <c r="E5476" s="14"/>
    </row>
    <row r="5477" spans="1:5" ht="11.1" hidden="1" customHeight="1" x14ac:dyDescent="0.25">
      <c r="A5477" s="12" t="s">
        <v>7714</v>
      </c>
      <c r="B5477" s="12" t="s">
        <v>7711</v>
      </c>
      <c r="C5477" s="14">
        <v>2860</v>
      </c>
      <c r="D5477" s="12"/>
      <c r="E5477" s="14"/>
    </row>
    <row r="5478" spans="1:5" ht="11.1" hidden="1" customHeight="1" x14ac:dyDescent="0.25">
      <c r="A5478" s="12" t="s">
        <v>7715</v>
      </c>
      <c r="B5478" s="12" t="s">
        <v>7711</v>
      </c>
      <c r="C5478" s="14">
        <v>2860</v>
      </c>
      <c r="D5478" s="12"/>
      <c r="E5478" s="14"/>
    </row>
    <row r="5479" spans="1:5" ht="11.1" hidden="1" customHeight="1" x14ac:dyDescent="0.25">
      <c r="A5479" s="12" t="s">
        <v>7716</v>
      </c>
      <c r="B5479" s="12" t="s">
        <v>7717</v>
      </c>
      <c r="C5479" s="14">
        <v>569.16999999999996</v>
      </c>
      <c r="D5479" s="12"/>
      <c r="E5479" s="13"/>
    </row>
    <row r="5480" spans="1:5" ht="11.1" hidden="1" customHeight="1" x14ac:dyDescent="0.25">
      <c r="A5480" s="12" t="s">
        <v>7718</v>
      </c>
      <c r="B5480" s="12" t="s">
        <v>2056</v>
      </c>
      <c r="C5480" s="14">
        <v>110.83</v>
      </c>
      <c r="D5480" s="12"/>
      <c r="E5480" s="13"/>
    </row>
    <row r="5481" spans="1:5" ht="11.1" hidden="1" customHeight="1" x14ac:dyDescent="0.25">
      <c r="A5481" s="12" t="s">
        <v>7719</v>
      </c>
      <c r="B5481" s="12" t="s">
        <v>7720</v>
      </c>
      <c r="C5481" s="14">
        <v>8910</v>
      </c>
      <c r="D5481" s="12"/>
      <c r="E5481" s="14"/>
    </row>
    <row r="5482" spans="1:5" ht="23.1" hidden="1" customHeight="1" x14ac:dyDescent="0.25">
      <c r="A5482" s="12" t="s">
        <v>7721</v>
      </c>
      <c r="B5482" s="12" t="s">
        <v>7722</v>
      </c>
      <c r="C5482" s="14">
        <v>9250</v>
      </c>
      <c r="D5482" s="12"/>
      <c r="E5482" s="14"/>
    </row>
    <row r="5483" spans="1:5" ht="23.1" hidden="1" customHeight="1" x14ac:dyDescent="0.25">
      <c r="A5483" s="12" t="s">
        <v>7723</v>
      </c>
      <c r="B5483" s="12" t="s">
        <v>7722</v>
      </c>
      <c r="C5483" s="14">
        <v>9250</v>
      </c>
      <c r="D5483" s="12"/>
      <c r="E5483" s="14"/>
    </row>
    <row r="5484" spans="1:5" ht="11.1" hidden="1" customHeight="1" x14ac:dyDescent="0.25">
      <c r="A5484" s="12" t="s">
        <v>7724</v>
      </c>
      <c r="B5484" s="12" t="s">
        <v>7725</v>
      </c>
      <c r="C5484" s="14">
        <v>4500</v>
      </c>
      <c r="D5484" s="12"/>
      <c r="E5484" s="14"/>
    </row>
    <row r="5485" spans="1:5" ht="11.1" hidden="1" customHeight="1" x14ac:dyDescent="0.25">
      <c r="A5485" s="12" t="s">
        <v>7726</v>
      </c>
      <c r="B5485" s="12" t="s">
        <v>80</v>
      </c>
      <c r="C5485" s="14">
        <v>833.34</v>
      </c>
      <c r="D5485" s="12"/>
      <c r="E5485" s="13"/>
    </row>
    <row r="5486" spans="1:5" ht="11.1" hidden="1" customHeight="1" x14ac:dyDescent="0.25">
      <c r="A5486" s="12" t="s">
        <v>7727</v>
      </c>
      <c r="B5486" s="12" t="s">
        <v>1505</v>
      </c>
      <c r="C5486" s="14">
        <v>4863.5</v>
      </c>
      <c r="D5486" s="12"/>
      <c r="E5486" s="14"/>
    </row>
    <row r="5487" spans="1:5" ht="11.1" hidden="1" customHeight="1" x14ac:dyDescent="0.25">
      <c r="A5487" s="12" t="s">
        <v>7728</v>
      </c>
      <c r="B5487" s="12" t="s">
        <v>7729</v>
      </c>
      <c r="C5487" s="14">
        <v>566.66999999999996</v>
      </c>
      <c r="D5487" s="12"/>
      <c r="E5487" s="13"/>
    </row>
    <row r="5488" spans="1:5" ht="11.1" hidden="1" customHeight="1" x14ac:dyDescent="0.25">
      <c r="A5488" s="12" t="s">
        <v>7730</v>
      </c>
      <c r="B5488" s="12" t="s">
        <v>7731</v>
      </c>
      <c r="C5488" s="14">
        <v>2600</v>
      </c>
      <c r="D5488" s="12"/>
      <c r="E5488" s="14"/>
    </row>
    <row r="5489" spans="1:5" ht="11.1" hidden="1" customHeight="1" x14ac:dyDescent="0.25">
      <c r="A5489" s="12" t="s">
        <v>7732</v>
      </c>
      <c r="B5489" s="12" t="s">
        <v>7733</v>
      </c>
      <c r="C5489" s="14">
        <v>1811.1</v>
      </c>
      <c r="D5489" s="12"/>
      <c r="E5489" s="14"/>
    </row>
    <row r="5490" spans="1:5" ht="11.1" hidden="1" customHeight="1" x14ac:dyDescent="0.25">
      <c r="A5490" s="12" t="s">
        <v>7734</v>
      </c>
      <c r="B5490" s="12" t="s">
        <v>7733</v>
      </c>
      <c r="C5490" s="14">
        <v>1354.73</v>
      </c>
      <c r="D5490" s="12"/>
      <c r="E5490" s="14"/>
    </row>
    <row r="5491" spans="1:5" ht="11.1" hidden="1" customHeight="1" x14ac:dyDescent="0.25">
      <c r="A5491" s="12" t="s">
        <v>7735</v>
      </c>
      <c r="B5491" s="12" t="s">
        <v>7736</v>
      </c>
      <c r="C5491" s="14">
        <v>341.67</v>
      </c>
      <c r="D5491" s="12"/>
      <c r="E5491" s="13"/>
    </row>
    <row r="5492" spans="1:5" ht="11.1" hidden="1" customHeight="1" x14ac:dyDescent="0.25">
      <c r="A5492" s="12" t="s">
        <v>7737</v>
      </c>
      <c r="B5492" s="12" t="s">
        <v>7738</v>
      </c>
      <c r="C5492" s="14">
        <v>475</v>
      </c>
      <c r="D5492" s="12"/>
      <c r="E5492" s="13"/>
    </row>
    <row r="5493" spans="1:5" ht="11.1" hidden="1" customHeight="1" x14ac:dyDescent="0.25">
      <c r="A5493" s="12" t="s">
        <v>7739</v>
      </c>
      <c r="B5493" s="12" t="s">
        <v>7738</v>
      </c>
      <c r="C5493" s="14">
        <v>516.66999999999996</v>
      </c>
      <c r="D5493" s="12"/>
      <c r="E5493" s="13"/>
    </row>
    <row r="5494" spans="1:5" ht="11.1" hidden="1" customHeight="1" x14ac:dyDescent="0.25">
      <c r="A5494" s="12" t="s">
        <v>7740</v>
      </c>
      <c r="B5494" s="12" t="s">
        <v>7738</v>
      </c>
      <c r="C5494" s="14">
        <v>450</v>
      </c>
      <c r="D5494" s="12"/>
      <c r="E5494" s="13"/>
    </row>
    <row r="5495" spans="1:5" ht="11.1" hidden="1" customHeight="1" x14ac:dyDescent="0.25">
      <c r="A5495" s="12" t="s">
        <v>7741</v>
      </c>
      <c r="B5495" s="12" t="s">
        <v>7738</v>
      </c>
      <c r="C5495" s="14">
        <v>458.33</v>
      </c>
      <c r="D5495" s="12"/>
      <c r="E5495" s="13"/>
    </row>
    <row r="5496" spans="1:5" ht="11.1" hidden="1" customHeight="1" x14ac:dyDescent="0.25">
      <c r="A5496" s="12" t="s">
        <v>7742</v>
      </c>
      <c r="B5496" s="12" t="s">
        <v>7738</v>
      </c>
      <c r="C5496" s="14">
        <v>450</v>
      </c>
      <c r="D5496" s="12"/>
      <c r="E5496" s="13"/>
    </row>
    <row r="5497" spans="1:5" ht="11.1" hidden="1" customHeight="1" x14ac:dyDescent="0.25">
      <c r="A5497" s="12" t="s">
        <v>7743</v>
      </c>
      <c r="B5497" s="12" t="s">
        <v>1505</v>
      </c>
      <c r="C5497" s="14">
        <v>4051.6</v>
      </c>
      <c r="D5497" s="12"/>
      <c r="E5497" s="14"/>
    </row>
    <row r="5498" spans="1:5" ht="11.1" hidden="1" customHeight="1" x14ac:dyDescent="0.25">
      <c r="A5498" s="12" t="s">
        <v>7744</v>
      </c>
      <c r="B5498" s="12" t="s">
        <v>7745</v>
      </c>
      <c r="C5498" s="14">
        <v>483.33</v>
      </c>
      <c r="D5498" s="12"/>
      <c r="E5498" s="13"/>
    </row>
    <row r="5499" spans="1:5" ht="11.1" hidden="1" customHeight="1" x14ac:dyDescent="0.25">
      <c r="A5499" s="12" t="s">
        <v>7746</v>
      </c>
      <c r="B5499" s="12" t="s">
        <v>7745</v>
      </c>
      <c r="C5499" s="14">
        <v>483.33</v>
      </c>
      <c r="D5499" s="12"/>
      <c r="E5499" s="13"/>
    </row>
    <row r="5500" spans="1:5" ht="11.1" hidden="1" customHeight="1" x14ac:dyDescent="0.25">
      <c r="A5500" s="12" t="s">
        <v>7747</v>
      </c>
      <c r="B5500" s="12" t="s">
        <v>7745</v>
      </c>
      <c r="C5500" s="14">
        <v>683.34</v>
      </c>
      <c r="D5500" s="12"/>
      <c r="E5500" s="13"/>
    </row>
    <row r="5501" spans="1:5" ht="11.1" hidden="1" customHeight="1" x14ac:dyDescent="0.25">
      <c r="A5501" s="12" t="s">
        <v>7748</v>
      </c>
      <c r="B5501" s="12" t="s">
        <v>4954</v>
      </c>
      <c r="C5501" s="14">
        <v>458.33</v>
      </c>
      <c r="D5501" s="12"/>
      <c r="E5501" s="13"/>
    </row>
    <row r="5502" spans="1:5" ht="11.1" hidden="1" customHeight="1" x14ac:dyDescent="0.25">
      <c r="A5502" s="12" t="s">
        <v>7749</v>
      </c>
      <c r="B5502" s="12" t="s">
        <v>7750</v>
      </c>
      <c r="C5502" s="14">
        <v>508.34</v>
      </c>
      <c r="D5502" s="12"/>
      <c r="E5502" s="13"/>
    </row>
    <row r="5503" spans="1:5" ht="11.1" hidden="1" customHeight="1" x14ac:dyDescent="0.25">
      <c r="A5503" s="12" t="s">
        <v>7751</v>
      </c>
      <c r="B5503" s="12" t="s">
        <v>7750</v>
      </c>
      <c r="C5503" s="14">
        <v>875</v>
      </c>
      <c r="D5503" s="12"/>
      <c r="E5503" s="13"/>
    </row>
    <row r="5504" spans="1:5" ht="11.1" hidden="1" customHeight="1" x14ac:dyDescent="0.25">
      <c r="A5504" s="12" t="s">
        <v>7752</v>
      </c>
      <c r="B5504" s="12" t="s">
        <v>7750</v>
      </c>
      <c r="C5504" s="14">
        <v>525</v>
      </c>
      <c r="D5504" s="12"/>
      <c r="E5504" s="13"/>
    </row>
    <row r="5505" spans="1:5" ht="11.1" hidden="1" customHeight="1" x14ac:dyDescent="0.25">
      <c r="A5505" s="12" t="s">
        <v>7753</v>
      </c>
      <c r="B5505" s="12" t="s">
        <v>4954</v>
      </c>
      <c r="C5505" s="14">
        <v>875</v>
      </c>
      <c r="D5505" s="12"/>
      <c r="E5505" s="13"/>
    </row>
    <row r="5506" spans="1:5" ht="11.1" hidden="1" customHeight="1" x14ac:dyDescent="0.25">
      <c r="A5506" s="12" t="s">
        <v>7754</v>
      </c>
      <c r="B5506" s="12" t="s">
        <v>7750</v>
      </c>
      <c r="C5506" s="14">
        <v>1166.67</v>
      </c>
      <c r="D5506" s="12"/>
      <c r="E5506" s="14"/>
    </row>
    <row r="5507" spans="1:5" ht="11.1" hidden="1" customHeight="1" x14ac:dyDescent="0.25">
      <c r="A5507" s="12" t="s">
        <v>7755</v>
      </c>
      <c r="B5507" s="12" t="s">
        <v>7750</v>
      </c>
      <c r="C5507" s="14">
        <v>1083.33</v>
      </c>
      <c r="D5507" s="12"/>
      <c r="E5507" s="14"/>
    </row>
    <row r="5508" spans="1:5" ht="11.1" hidden="1" customHeight="1" x14ac:dyDescent="0.25">
      <c r="A5508" s="12" t="s">
        <v>7756</v>
      </c>
      <c r="B5508" s="12" t="s">
        <v>7750</v>
      </c>
      <c r="C5508" s="14">
        <v>1775</v>
      </c>
      <c r="D5508" s="12"/>
      <c r="E5508" s="14"/>
    </row>
    <row r="5509" spans="1:5" ht="23.1" hidden="1" customHeight="1" x14ac:dyDescent="0.25">
      <c r="A5509" s="12" t="s">
        <v>7757</v>
      </c>
      <c r="B5509" s="12" t="s">
        <v>7758</v>
      </c>
      <c r="C5509" s="14">
        <v>5633.34</v>
      </c>
      <c r="D5509" s="12"/>
      <c r="E5509" s="14"/>
    </row>
    <row r="5510" spans="1:5" ht="23.1" hidden="1" customHeight="1" x14ac:dyDescent="0.25">
      <c r="A5510" s="12" t="s">
        <v>7759</v>
      </c>
      <c r="B5510" s="12" t="s">
        <v>7760</v>
      </c>
      <c r="C5510" s="14">
        <v>7108.33</v>
      </c>
      <c r="D5510" s="12"/>
      <c r="E5510" s="14"/>
    </row>
    <row r="5511" spans="1:5" ht="23.1" hidden="1" customHeight="1" x14ac:dyDescent="0.25">
      <c r="A5511" s="12" t="s">
        <v>7761</v>
      </c>
      <c r="B5511" s="12" t="s">
        <v>7758</v>
      </c>
      <c r="C5511" s="14">
        <v>4658.33</v>
      </c>
      <c r="D5511" s="12"/>
      <c r="E5511" s="14"/>
    </row>
    <row r="5512" spans="1:5" ht="23.1" hidden="1" customHeight="1" x14ac:dyDescent="0.25">
      <c r="A5512" s="12" t="s">
        <v>7762</v>
      </c>
      <c r="B5512" s="12" t="s">
        <v>7763</v>
      </c>
      <c r="C5512" s="14">
        <v>558.33000000000004</v>
      </c>
      <c r="D5512" s="12"/>
      <c r="E5512" s="13"/>
    </row>
    <row r="5513" spans="1:5" ht="11.1" hidden="1" customHeight="1" x14ac:dyDescent="0.25">
      <c r="A5513" s="12" t="s">
        <v>7764</v>
      </c>
      <c r="B5513" s="12" t="s">
        <v>7765</v>
      </c>
      <c r="C5513" s="14">
        <v>600</v>
      </c>
      <c r="D5513" s="12"/>
      <c r="E5513" s="13"/>
    </row>
    <row r="5514" spans="1:5" ht="23.1" hidden="1" customHeight="1" x14ac:dyDescent="0.25">
      <c r="A5514" s="12" t="s">
        <v>7766</v>
      </c>
      <c r="B5514" s="12" t="s">
        <v>7758</v>
      </c>
      <c r="C5514" s="14">
        <v>7883.33</v>
      </c>
      <c r="D5514" s="12"/>
      <c r="E5514" s="14"/>
    </row>
    <row r="5515" spans="1:5" ht="23.1" hidden="1" customHeight="1" x14ac:dyDescent="0.25">
      <c r="A5515" s="12" t="s">
        <v>7767</v>
      </c>
      <c r="B5515" s="12" t="s">
        <v>7768</v>
      </c>
      <c r="C5515" s="14">
        <v>1841.67</v>
      </c>
      <c r="D5515" s="12"/>
      <c r="E5515" s="14"/>
    </row>
    <row r="5516" spans="1:5" ht="23.1" hidden="1" customHeight="1" x14ac:dyDescent="0.25">
      <c r="A5516" s="12" t="s">
        <v>7769</v>
      </c>
      <c r="B5516" s="12" t="s">
        <v>7758</v>
      </c>
      <c r="C5516" s="14">
        <v>9316.67</v>
      </c>
      <c r="D5516" s="12"/>
      <c r="E5516" s="14"/>
    </row>
    <row r="5517" spans="1:5" ht="23.1" hidden="1" customHeight="1" x14ac:dyDescent="0.25">
      <c r="A5517" s="12" t="s">
        <v>7770</v>
      </c>
      <c r="B5517" s="12" t="s">
        <v>7760</v>
      </c>
      <c r="C5517" s="14">
        <v>7583.33</v>
      </c>
      <c r="D5517" s="12"/>
      <c r="E5517" s="14"/>
    </row>
    <row r="5518" spans="1:5" ht="23.1" hidden="1" customHeight="1" x14ac:dyDescent="0.25">
      <c r="A5518" s="12" t="s">
        <v>7771</v>
      </c>
      <c r="B5518" s="12" t="s">
        <v>7760</v>
      </c>
      <c r="C5518" s="14">
        <v>1083.3399999999999</v>
      </c>
      <c r="D5518" s="12"/>
      <c r="E5518" s="14"/>
    </row>
    <row r="5519" spans="1:5" ht="23.1" hidden="1" customHeight="1" x14ac:dyDescent="0.25">
      <c r="A5519" s="12" t="s">
        <v>7772</v>
      </c>
      <c r="B5519" s="12" t="s">
        <v>7760</v>
      </c>
      <c r="C5519" s="14">
        <v>1516.67</v>
      </c>
      <c r="D5519" s="12"/>
      <c r="E5519" s="14"/>
    </row>
    <row r="5520" spans="1:5" ht="23.1" hidden="1" customHeight="1" x14ac:dyDescent="0.25">
      <c r="A5520" s="12" t="s">
        <v>7773</v>
      </c>
      <c r="B5520" s="12" t="s">
        <v>1163</v>
      </c>
      <c r="C5520" s="14">
        <v>5283.34</v>
      </c>
      <c r="D5520" s="12"/>
      <c r="E5520" s="14"/>
    </row>
    <row r="5521" spans="1:5" ht="11.1" hidden="1" customHeight="1" x14ac:dyDescent="0.25">
      <c r="A5521" s="12" t="s">
        <v>7774</v>
      </c>
      <c r="B5521" s="12" t="s">
        <v>7736</v>
      </c>
      <c r="C5521" s="14">
        <v>233.33</v>
      </c>
      <c r="D5521" s="12"/>
      <c r="E5521" s="13"/>
    </row>
    <row r="5522" spans="1:5" ht="11.1" hidden="1" customHeight="1" x14ac:dyDescent="0.25">
      <c r="A5522" s="12" t="s">
        <v>7775</v>
      </c>
      <c r="B5522" s="12" t="s">
        <v>7776</v>
      </c>
      <c r="C5522" s="14">
        <v>307.5</v>
      </c>
      <c r="D5522" s="12"/>
      <c r="E5522" s="13"/>
    </row>
    <row r="5523" spans="1:5" ht="11.1" hidden="1" customHeight="1" x14ac:dyDescent="0.25">
      <c r="A5523" s="12" t="s">
        <v>7777</v>
      </c>
      <c r="B5523" s="12" t="s">
        <v>2102</v>
      </c>
      <c r="C5523" s="14">
        <v>1978.33</v>
      </c>
      <c r="D5523" s="12"/>
      <c r="E5523" s="14"/>
    </row>
    <row r="5524" spans="1:5" ht="11.1" hidden="1" customHeight="1" x14ac:dyDescent="0.25">
      <c r="A5524" s="12" t="s">
        <v>7778</v>
      </c>
      <c r="B5524" s="12" t="s">
        <v>5823</v>
      </c>
      <c r="C5524" s="14">
        <v>2390</v>
      </c>
      <c r="D5524" s="12"/>
      <c r="E5524" s="14"/>
    </row>
    <row r="5525" spans="1:5" ht="11.1" hidden="1" customHeight="1" x14ac:dyDescent="0.25">
      <c r="A5525" s="12" t="s">
        <v>7779</v>
      </c>
      <c r="B5525" s="12" t="s">
        <v>5823</v>
      </c>
      <c r="C5525" s="14">
        <v>3326</v>
      </c>
      <c r="D5525" s="12"/>
      <c r="E5525" s="14"/>
    </row>
    <row r="5526" spans="1:5" ht="11.1" hidden="1" customHeight="1" x14ac:dyDescent="0.25">
      <c r="A5526" s="12" t="s">
        <v>7780</v>
      </c>
      <c r="B5526" s="12" t="s">
        <v>5823</v>
      </c>
      <c r="C5526" s="14">
        <v>3521.43</v>
      </c>
      <c r="D5526" s="12"/>
      <c r="E5526" s="14"/>
    </row>
    <row r="5527" spans="1:5" ht="11.1" hidden="1" customHeight="1" x14ac:dyDescent="0.25">
      <c r="A5527" s="12" t="s">
        <v>7781</v>
      </c>
      <c r="B5527" s="12" t="s">
        <v>3196</v>
      </c>
      <c r="C5527" s="14">
        <v>15963.6</v>
      </c>
      <c r="D5527" s="12"/>
      <c r="E5527" s="14"/>
    </row>
    <row r="5528" spans="1:5" ht="11.1" hidden="1" customHeight="1" x14ac:dyDescent="0.25">
      <c r="A5528" s="12" t="s">
        <v>7782</v>
      </c>
      <c r="B5528" s="12" t="s">
        <v>7783</v>
      </c>
      <c r="C5528" s="14">
        <v>188.2</v>
      </c>
      <c r="D5528" s="12"/>
      <c r="E5528" s="13"/>
    </row>
    <row r="5529" spans="1:5" ht="11.1" hidden="1" customHeight="1" x14ac:dyDescent="0.25">
      <c r="A5529" s="12" t="s">
        <v>7784</v>
      </c>
      <c r="B5529" s="12" t="s">
        <v>7785</v>
      </c>
      <c r="C5529" s="14">
        <v>114.83</v>
      </c>
      <c r="D5529" s="12"/>
      <c r="E5529" s="13"/>
    </row>
    <row r="5530" spans="1:5" ht="11.1" hidden="1" customHeight="1" x14ac:dyDescent="0.25">
      <c r="A5530" s="12" t="s">
        <v>7786</v>
      </c>
      <c r="B5530" s="12" t="s">
        <v>7787</v>
      </c>
      <c r="C5530" s="14">
        <v>137.58000000000001</v>
      </c>
      <c r="D5530" s="12"/>
      <c r="E5530" s="13"/>
    </row>
    <row r="5531" spans="1:5" ht="11.1" hidden="1" customHeight="1" x14ac:dyDescent="0.25">
      <c r="A5531" s="12" t="s">
        <v>7788</v>
      </c>
      <c r="B5531" s="12" t="s">
        <v>7785</v>
      </c>
      <c r="C5531" s="14">
        <v>130.13999999999999</v>
      </c>
      <c r="D5531" s="12"/>
      <c r="E5531" s="13"/>
    </row>
    <row r="5532" spans="1:5" ht="11.1" hidden="1" customHeight="1" x14ac:dyDescent="0.25">
      <c r="A5532" s="12" t="s">
        <v>7789</v>
      </c>
      <c r="B5532" s="12" t="s">
        <v>7787</v>
      </c>
      <c r="C5532" s="14">
        <v>121.4</v>
      </c>
      <c r="D5532" s="12"/>
      <c r="E5532" s="13"/>
    </row>
    <row r="5533" spans="1:5" ht="23.1" hidden="1" customHeight="1" x14ac:dyDescent="0.25">
      <c r="A5533" s="12" t="s">
        <v>7790</v>
      </c>
      <c r="B5533" s="12" t="s">
        <v>780</v>
      </c>
      <c r="C5533" s="14">
        <v>385</v>
      </c>
      <c r="D5533" s="12"/>
      <c r="E5533" s="13"/>
    </row>
    <row r="5534" spans="1:5" ht="11.1" hidden="1" customHeight="1" x14ac:dyDescent="0.25">
      <c r="A5534" s="12" t="s">
        <v>7791</v>
      </c>
      <c r="B5534" s="12" t="s">
        <v>7792</v>
      </c>
      <c r="C5534" s="14">
        <v>275</v>
      </c>
      <c r="D5534" s="12"/>
      <c r="E5534" s="13"/>
    </row>
    <row r="5535" spans="1:5" ht="11.1" hidden="1" customHeight="1" x14ac:dyDescent="0.25">
      <c r="A5535" s="12" t="s">
        <v>7793</v>
      </c>
      <c r="B5535" s="12" t="s">
        <v>6438</v>
      </c>
      <c r="C5535" s="14">
        <v>14500</v>
      </c>
      <c r="D5535" s="12"/>
      <c r="E5535" s="14"/>
    </row>
    <row r="5536" spans="1:5" ht="11.1" hidden="1" customHeight="1" x14ac:dyDescent="0.25">
      <c r="A5536" s="12" t="s">
        <v>7794</v>
      </c>
      <c r="B5536" s="12" t="s">
        <v>6438</v>
      </c>
      <c r="C5536" s="14">
        <v>4500</v>
      </c>
      <c r="D5536" s="12"/>
      <c r="E5536" s="14"/>
    </row>
    <row r="5537" spans="1:5" ht="23.1" hidden="1" customHeight="1" x14ac:dyDescent="0.25">
      <c r="A5537" s="12" t="s">
        <v>7795</v>
      </c>
      <c r="B5537" s="12" t="s">
        <v>6438</v>
      </c>
      <c r="C5537" s="14">
        <v>9164.4599999999991</v>
      </c>
      <c r="D5537" s="12"/>
      <c r="E5537" s="14"/>
    </row>
    <row r="5538" spans="1:5" ht="23.1" hidden="1" customHeight="1" x14ac:dyDescent="0.25">
      <c r="A5538" s="12" t="s">
        <v>7796</v>
      </c>
      <c r="B5538" s="12" t="s">
        <v>6438</v>
      </c>
      <c r="C5538" s="14">
        <v>19500</v>
      </c>
      <c r="D5538" s="12"/>
      <c r="E5538" s="14"/>
    </row>
    <row r="5539" spans="1:5" ht="11.1" hidden="1" customHeight="1" x14ac:dyDescent="0.25">
      <c r="A5539" s="12" t="s">
        <v>7797</v>
      </c>
      <c r="B5539" s="12" t="s">
        <v>7798</v>
      </c>
      <c r="C5539" s="14">
        <v>483.33</v>
      </c>
      <c r="D5539" s="12"/>
      <c r="E5539" s="13"/>
    </row>
    <row r="5540" spans="1:5" ht="23.1" hidden="1" customHeight="1" x14ac:dyDescent="0.25">
      <c r="A5540" s="12" t="s">
        <v>7799</v>
      </c>
      <c r="B5540" s="12" t="s">
        <v>3594</v>
      </c>
      <c r="C5540" s="14">
        <v>369</v>
      </c>
      <c r="D5540" s="12"/>
      <c r="E5540" s="13"/>
    </row>
    <row r="5541" spans="1:5" ht="11.1" hidden="1" customHeight="1" x14ac:dyDescent="0.25">
      <c r="A5541" s="12" t="s">
        <v>7800</v>
      </c>
      <c r="B5541" s="12" t="s">
        <v>5662</v>
      </c>
      <c r="C5541" s="14">
        <v>732</v>
      </c>
      <c r="D5541" s="12"/>
      <c r="E5541" s="13"/>
    </row>
    <row r="5542" spans="1:5" ht="23.1" hidden="1" customHeight="1" x14ac:dyDescent="0.25">
      <c r="A5542" s="12" t="s">
        <v>7801</v>
      </c>
      <c r="B5542" s="12" t="s">
        <v>72</v>
      </c>
      <c r="C5542" s="14">
        <v>422.88</v>
      </c>
      <c r="D5542" s="12"/>
      <c r="E5542" s="13"/>
    </row>
    <row r="5543" spans="1:5" ht="11.1" hidden="1" customHeight="1" x14ac:dyDescent="0.25">
      <c r="A5543" s="12" t="s">
        <v>7802</v>
      </c>
      <c r="B5543" s="12" t="s">
        <v>2074</v>
      </c>
      <c r="C5543" s="14">
        <v>422.87</v>
      </c>
      <c r="D5543" s="12"/>
      <c r="E5543" s="13"/>
    </row>
    <row r="5544" spans="1:5" ht="11.1" hidden="1" customHeight="1" x14ac:dyDescent="0.25">
      <c r="A5544" s="12" t="s">
        <v>7803</v>
      </c>
      <c r="B5544" s="12" t="s">
        <v>2074</v>
      </c>
      <c r="C5544" s="14">
        <v>635.37</v>
      </c>
      <c r="D5544" s="12"/>
      <c r="E5544" s="13"/>
    </row>
    <row r="5545" spans="1:5" ht="11.1" hidden="1" customHeight="1" x14ac:dyDescent="0.25">
      <c r="A5545" s="12" t="s">
        <v>7804</v>
      </c>
      <c r="B5545" s="12" t="s">
        <v>2074</v>
      </c>
      <c r="C5545" s="14">
        <v>422.88</v>
      </c>
      <c r="D5545" s="12"/>
      <c r="E5545" s="13"/>
    </row>
    <row r="5546" spans="1:5" ht="11.1" hidden="1" customHeight="1" x14ac:dyDescent="0.25">
      <c r="A5546" s="12" t="s">
        <v>7805</v>
      </c>
      <c r="B5546" s="12" t="s">
        <v>72</v>
      </c>
      <c r="C5546" s="14">
        <v>422.88</v>
      </c>
      <c r="D5546" s="12"/>
      <c r="E5546" s="13"/>
    </row>
    <row r="5547" spans="1:5" ht="11.1" hidden="1" customHeight="1" x14ac:dyDescent="0.25">
      <c r="A5547" s="12" t="s">
        <v>7806</v>
      </c>
      <c r="B5547" s="12" t="s">
        <v>72</v>
      </c>
      <c r="C5547" s="14">
        <v>422.87</v>
      </c>
      <c r="D5547" s="12"/>
      <c r="E5547" s="13"/>
    </row>
    <row r="5548" spans="1:5" ht="11.1" hidden="1" customHeight="1" x14ac:dyDescent="0.25">
      <c r="A5548" s="12" t="s">
        <v>7807</v>
      </c>
      <c r="B5548" s="12" t="s">
        <v>72</v>
      </c>
      <c r="C5548" s="14">
        <v>422.87</v>
      </c>
      <c r="D5548" s="12"/>
      <c r="E5548" s="13"/>
    </row>
    <row r="5549" spans="1:5" ht="11.1" hidden="1" customHeight="1" x14ac:dyDescent="0.25">
      <c r="A5549" s="12" t="s">
        <v>7808</v>
      </c>
      <c r="B5549" s="12" t="s">
        <v>3993</v>
      </c>
      <c r="C5549" s="14">
        <v>635.37</v>
      </c>
      <c r="D5549" s="12"/>
      <c r="E5549" s="13"/>
    </row>
    <row r="5550" spans="1:5" ht="23.1" hidden="1" customHeight="1" x14ac:dyDescent="0.25">
      <c r="A5550" s="12" t="s">
        <v>7809</v>
      </c>
      <c r="B5550" s="12" t="s">
        <v>3993</v>
      </c>
      <c r="C5550" s="14">
        <v>635.38</v>
      </c>
      <c r="D5550" s="12"/>
      <c r="E5550" s="13"/>
    </row>
    <row r="5551" spans="1:5" ht="11.1" hidden="1" customHeight="1" x14ac:dyDescent="0.25">
      <c r="A5551" s="12" t="s">
        <v>7810</v>
      </c>
      <c r="B5551" s="12" t="s">
        <v>7811</v>
      </c>
      <c r="C5551" s="14">
        <v>13139</v>
      </c>
      <c r="D5551" s="12"/>
      <c r="E5551" s="14"/>
    </row>
    <row r="5552" spans="1:5" ht="11.1" hidden="1" customHeight="1" x14ac:dyDescent="0.25">
      <c r="A5552" s="12" t="s">
        <v>7812</v>
      </c>
      <c r="B5552" s="12" t="s">
        <v>759</v>
      </c>
      <c r="C5552" s="14">
        <v>70.83</v>
      </c>
      <c r="D5552" s="12"/>
      <c r="E5552" s="13"/>
    </row>
    <row r="5553" spans="1:5" ht="11.1" hidden="1" customHeight="1" x14ac:dyDescent="0.25">
      <c r="A5553" s="12" t="s">
        <v>7813</v>
      </c>
      <c r="B5553" s="12" t="s">
        <v>7814</v>
      </c>
      <c r="C5553" s="14">
        <v>4.5199999999999996</v>
      </c>
      <c r="D5553" s="12"/>
      <c r="E5553" s="13"/>
    </row>
    <row r="5554" spans="1:5" ht="11.1" hidden="1" customHeight="1" x14ac:dyDescent="0.25">
      <c r="A5554" s="12" t="s">
        <v>7815</v>
      </c>
      <c r="B5554" s="12" t="s">
        <v>7816</v>
      </c>
      <c r="C5554" s="14">
        <v>2636.67</v>
      </c>
      <c r="D5554" s="12"/>
      <c r="E5554" s="14"/>
    </row>
    <row r="5555" spans="1:5" ht="11.1" hidden="1" customHeight="1" x14ac:dyDescent="0.25">
      <c r="A5555" s="12" t="s">
        <v>7817</v>
      </c>
      <c r="B5555" s="12" t="s">
        <v>725</v>
      </c>
      <c r="C5555" s="14">
        <v>1220.8399999999999</v>
      </c>
      <c r="D5555" s="12"/>
      <c r="E5555" s="14"/>
    </row>
    <row r="5556" spans="1:5" ht="11.1" hidden="1" customHeight="1" x14ac:dyDescent="0.25">
      <c r="A5556" s="12" t="s">
        <v>7818</v>
      </c>
      <c r="B5556" s="12" t="s">
        <v>4000</v>
      </c>
      <c r="C5556" s="14">
        <v>1840.25</v>
      </c>
      <c r="D5556" s="12"/>
      <c r="E5556" s="14"/>
    </row>
    <row r="5557" spans="1:5" ht="11.1" hidden="1" customHeight="1" x14ac:dyDescent="0.25">
      <c r="A5557" s="12" t="s">
        <v>7819</v>
      </c>
      <c r="B5557" s="12" t="s">
        <v>3993</v>
      </c>
      <c r="C5557" s="14">
        <v>1840.25</v>
      </c>
      <c r="D5557" s="12"/>
      <c r="E5557" s="14"/>
    </row>
    <row r="5558" spans="1:5" ht="11.1" hidden="1" customHeight="1" x14ac:dyDescent="0.25">
      <c r="A5558" s="12" t="s">
        <v>7820</v>
      </c>
      <c r="B5558" s="12" t="s">
        <v>4000</v>
      </c>
      <c r="C5558" s="14">
        <v>1840.25</v>
      </c>
      <c r="D5558" s="12"/>
      <c r="E5558" s="14"/>
    </row>
    <row r="5559" spans="1:5" ht="11.1" hidden="1" customHeight="1" x14ac:dyDescent="0.25">
      <c r="A5559" s="12" t="s">
        <v>7821</v>
      </c>
      <c r="B5559" s="12" t="s">
        <v>5384</v>
      </c>
      <c r="C5559" s="14">
        <v>1840.25</v>
      </c>
      <c r="D5559" s="12"/>
      <c r="E5559" s="14"/>
    </row>
    <row r="5560" spans="1:5" ht="11.1" hidden="1" customHeight="1" x14ac:dyDescent="0.25">
      <c r="A5560" s="12" t="s">
        <v>7822</v>
      </c>
      <c r="B5560" s="12" t="s">
        <v>3985</v>
      </c>
      <c r="C5560" s="14">
        <v>1840.25</v>
      </c>
      <c r="D5560" s="12"/>
      <c r="E5560" s="14"/>
    </row>
    <row r="5561" spans="1:5" ht="11.1" hidden="1" customHeight="1" x14ac:dyDescent="0.25">
      <c r="A5561" s="12" t="s">
        <v>7823</v>
      </c>
      <c r="B5561" s="12" t="s">
        <v>7824</v>
      </c>
      <c r="C5561" s="14">
        <v>1840.25</v>
      </c>
      <c r="D5561" s="12"/>
      <c r="E5561" s="14"/>
    </row>
    <row r="5562" spans="1:5" ht="11.1" hidden="1" customHeight="1" x14ac:dyDescent="0.25">
      <c r="A5562" s="12" t="s">
        <v>7825</v>
      </c>
      <c r="B5562" s="12" t="s">
        <v>2076</v>
      </c>
      <c r="C5562" s="14">
        <v>1840.25</v>
      </c>
      <c r="D5562" s="12"/>
      <c r="E5562" s="14"/>
    </row>
    <row r="5563" spans="1:5" ht="11.1" hidden="1" customHeight="1" x14ac:dyDescent="0.25">
      <c r="A5563" s="12" t="s">
        <v>7826</v>
      </c>
      <c r="B5563" s="12" t="s">
        <v>7827</v>
      </c>
      <c r="C5563" s="14">
        <v>1500</v>
      </c>
      <c r="D5563" s="12"/>
      <c r="E5563" s="14"/>
    </row>
    <row r="5564" spans="1:5" ht="23.1" hidden="1" customHeight="1" x14ac:dyDescent="0.25">
      <c r="A5564" s="12" t="s">
        <v>7828</v>
      </c>
      <c r="B5564" s="12" t="s">
        <v>7829</v>
      </c>
      <c r="C5564" s="14">
        <v>22491.67</v>
      </c>
      <c r="D5564" s="12"/>
      <c r="E5564" s="14"/>
    </row>
    <row r="5565" spans="1:5" ht="11.1" hidden="1" customHeight="1" x14ac:dyDescent="0.25">
      <c r="A5565" s="12" t="s">
        <v>7830</v>
      </c>
      <c r="B5565" s="12" t="s">
        <v>3006</v>
      </c>
      <c r="C5565" s="14">
        <v>30941.67</v>
      </c>
      <c r="D5565" s="12"/>
      <c r="E5565" s="14"/>
    </row>
    <row r="5566" spans="1:5" ht="11.1" hidden="1" customHeight="1" x14ac:dyDescent="0.25">
      <c r="A5566" s="12" t="s">
        <v>7831</v>
      </c>
      <c r="B5566" s="12" t="s">
        <v>2131</v>
      </c>
      <c r="C5566" s="14">
        <v>709.17</v>
      </c>
      <c r="D5566" s="12"/>
      <c r="E5566" s="13"/>
    </row>
    <row r="5567" spans="1:5" ht="11.1" hidden="1" customHeight="1" x14ac:dyDescent="0.25">
      <c r="A5567" s="12" t="s">
        <v>7832</v>
      </c>
      <c r="B5567" s="12" t="s">
        <v>2284</v>
      </c>
      <c r="C5567" s="14">
        <v>235.84</v>
      </c>
      <c r="D5567" s="12"/>
      <c r="E5567" s="13"/>
    </row>
    <row r="5568" spans="1:5" ht="11.1" hidden="1" customHeight="1" x14ac:dyDescent="0.25">
      <c r="A5568" s="12" t="s">
        <v>7833</v>
      </c>
      <c r="B5568" s="12" t="s">
        <v>2699</v>
      </c>
      <c r="C5568" s="14">
        <v>216</v>
      </c>
      <c r="D5568" s="12"/>
      <c r="E5568" s="13"/>
    </row>
    <row r="5569" spans="1:5" ht="11.1" hidden="1" customHeight="1" x14ac:dyDescent="0.25">
      <c r="A5569" s="12" t="s">
        <v>7834</v>
      </c>
      <c r="B5569" s="12" t="s">
        <v>7835</v>
      </c>
      <c r="C5569" s="14">
        <v>181.67</v>
      </c>
      <c r="D5569" s="12"/>
      <c r="E5569" s="13"/>
    </row>
    <row r="5570" spans="1:5" ht="11.1" hidden="1" customHeight="1" x14ac:dyDescent="0.25">
      <c r="A5570" s="12" t="s">
        <v>7836</v>
      </c>
      <c r="B5570" s="12" t="s">
        <v>1041</v>
      </c>
      <c r="C5570" s="14">
        <v>14</v>
      </c>
      <c r="D5570" s="12"/>
      <c r="E5570" s="13"/>
    </row>
    <row r="5571" spans="1:5" ht="11.1" hidden="1" customHeight="1" x14ac:dyDescent="0.25">
      <c r="A5571" s="12" t="s">
        <v>7837</v>
      </c>
      <c r="B5571" s="12" t="s">
        <v>3573</v>
      </c>
      <c r="C5571" s="14">
        <v>386.67</v>
      </c>
      <c r="D5571" s="12"/>
      <c r="E5571" s="13"/>
    </row>
    <row r="5572" spans="1:5" ht="11.1" hidden="1" customHeight="1" x14ac:dyDescent="0.25">
      <c r="A5572" s="12" t="s">
        <v>7838</v>
      </c>
      <c r="B5572" s="12" t="s">
        <v>7839</v>
      </c>
      <c r="C5572" s="14">
        <v>481.67</v>
      </c>
      <c r="D5572" s="12"/>
      <c r="E5572" s="13"/>
    </row>
    <row r="5573" spans="1:5" ht="11.1" hidden="1" customHeight="1" x14ac:dyDescent="0.25">
      <c r="A5573" s="12" t="s">
        <v>7840</v>
      </c>
      <c r="B5573" s="12" t="s">
        <v>7835</v>
      </c>
      <c r="C5573" s="14">
        <v>540.83000000000004</v>
      </c>
      <c r="D5573" s="12"/>
      <c r="E5573" s="13"/>
    </row>
    <row r="5574" spans="1:5" ht="11.1" hidden="1" customHeight="1" x14ac:dyDescent="0.25">
      <c r="A5574" s="12" t="s">
        <v>7841</v>
      </c>
      <c r="B5574" s="12" t="s">
        <v>523</v>
      </c>
      <c r="C5574" s="14">
        <v>113.33</v>
      </c>
      <c r="D5574" s="12"/>
      <c r="E5574" s="13"/>
    </row>
    <row r="5575" spans="1:5" ht="11.1" hidden="1" customHeight="1" x14ac:dyDescent="0.25">
      <c r="A5575" s="12" t="s">
        <v>7842</v>
      </c>
      <c r="B5575" s="12" t="s">
        <v>1687</v>
      </c>
      <c r="C5575" s="14">
        <v>34.17</v>
      </c>
      <c r="D5575" s="12"/>
      <c r="E5575" s="13"/>
    </row>
    <row r="5576" spans="1:5" ht="11.1" hidden="1" customHeight="1" x14ac:dyDescent="0.25">
      <c r="A5576" s="12" t="s">
        <v>7843</v>
      </c>
      <c r="B5576" s="12" t="s">
        <v>5816</v>
      </c>
      <c r="C5576" s="14">
        <v>408.33</v>
      </c>
      <c r="D5576" s="12"/>
      <c r="E5576" s="13"/>
    </row>
    <row r="5577" spans="1:5" ht="11.1" hidden="1" customHeight="1" x14ac:dyDescent="0.25">
      <c r="A5577" s="12" t="s">
        <v>7844</v>
      </c>
      <c r="B5577" s="12" t="s">
        <v>489</v>
      </c>
      <c r="C5577" s="14">
        <v>20782.5</v>
      </c>
      <c r="D5577" s="12"/>
      <c r="E5577" s="14"/>
    </row>
    <row r="5578" spans="1:5" ht="11.1" hidden="1" customHeight="1" x14ac:dyDescent="0.25">
      <c r="A5578" s="12" t="s">
        <v>7845</v>
      </c>
      <c r="B5578" s="12" t="s">
        <v>7846</v>
      </c>
      <c r="C5578" s="14">
        <v>113.33</v>
      </c>
      <c r="D5578" s="12"/>
      <c r="E5578" s="13"/>
    </row>
    <row r="5579" spans="1:5" ht="11.1" hidden="1" customHeight="1" x14ac:dyDescent="0.25">
      <c r="A5579" s="12" t="s">
        <v>7847</v>
      </c>
      <c r="B5579" s="12" t="s">
        <v>686</v>
      </c>
      <c r="C5579" s="14">
        <v>2083.34</v>
      </c>
      <c r="D5579" s="12"/>
      <c r="E5579" s="14"/>
    </row>
    <row r="5580" spans="1:5" ht="23.1" hidden="1" customHeight="1" x14ac:dyDescent="0.25">
      <c r="A5580" s="12" t="s">
        <v>7848</v>
      </c>
      <c r="B5580" s="12" t="s">
        <v>7750</v>
      </c>
      <c r="C5580" s="14">
        <v>483.33</v>
      </c>
      <c r="D5580" s="12"/>
      <c r="E5580" s="13"/>
    </row>
    <row r="5581" spans="1:5" ht="11.1" hidden="1" customHeight="1" x14ac:dyDescent="0.25">
      <c r="A5581" s="12" t="s">
        <v>7849</v>
      </c>
      <c r="B5581" s="12" t="s">
        <v>7750</v>
      </c>
      <c r="C5581" s="14">
        <v>483.33</v>
      </c>
      <c r="D5581" s="12"/>
      <c r="E5581" s="13"/>
    </row>
    <row r="5582" spans="1:5" ht="11.1" hidden="1" customHeight="1" x14ac:dyDescent="0.25">
      <c r="A5582" s="12" t="s">
        <v>7850</v>
      </c>
      <c r="B5582" s="12" t="s">
        <v>7750</v>
      </c>
      <c r="C5582" s="14">
        <v>483.33</v>
      </c>
      <c r="D5582" s="12"/>
      <c r="E5582" s="13"/>
    </row>
    <row r="5583" spans="1:5" ht="11.1" hidden="1" customHeight="1" x14ac:dyDescent="0.25">
      <c r="A5583" s="12" t="s">
        <v>7851</v>
      </c>
      <c r="B5583" s="12" t="s">
        <v>7750</v>
      </c>
      <c r="C5583" s="14">
        <v>483.33</v>
      </c>
      <c r="D5583" s="12"/>
      <c r="E5583" s="13"/>
    </row>
    <row r="5584" spans="1:5" ht="23.1" hidden="1" customHeight="1" x14ac:dyDescent="0.25">
      <c r="A5584" s="12" t="s">
        <v>7852</v>
      </c>
      <c r="B5584" s="12" t="s">
        <v>7750</v>
      </c>
      <c r="C5584" s="14">
        <v>650</v>
      </c>
      <c r="D5584" s="12"/>
      <c r="E5584" s="13"/>
    </row>
    <row r="5585" spans="1:5" ht="11.1" hidden="1" customHeight="1" x14ac:dyDescent="0.25">
      <c r="A5585" s="12" t="s">
        <v>7853</v>
      </c>
      <c r="B5585" s="12" t="s">
        <v>7750</v>
      </c>
      <c r="C5585" s="14">
        <v>650</v>
      </c>
      <c r="D5585" s="12"/>
      <c r="E5585" s="13"/>
    </row>
    <row r="5586" spans="1:5" ht="11.1" hidden="1" customHeight="1" x14ac:dyDescent="0.25">
      <c r="A5586" s="12" t="s">
        <v>7854</v>
      </c>
      <c r="B5586" s="12" t="s">
        <v>7750</v>
      </c>
      <c r="C5586" s="14">
        <v>791.67</v>
      </c>
      <c r="D5586" s="12"/>
      <c r="E5586" s="13"/>
    </row>
    <row r="5587" spans="1:5" ht="23.1" hidden="1" customHeight="1" x14ac:dyDescent="0.25">
      <c r="A5587" s="12" t="s">
        <v>7855</v>
      </c>
      <c r="B5587" s="12" t="s">
        <v>7750</v>
      </c>
      <c r="C5587" s="14">
        <v>791.67</v>
      </c>
      <c r="D5587" s="12"/>
      <c r="E5587" s="13"/>
    </row>
    <row r="5588" spans="1:5" ht="11.1" hidden="1" customHeight="1" x14ac:dyDescent="0.25">
      <c r="A5588" s="12" t="s">
        <v>7856</v>
      </c>
      <c r="B5588" s="12" t="s">
        <v>7750</v>
      </c>
      <c r="C5588" s="14">
        <v>1150</v>
      </c>
      <c r="D5588" s="12"/>
      <c r="E5588" s="14"/>
    </row>
    <row r="5589" spans="1:5" ht="23.1" hidden="1" customHeight="1" x14ac:dyDescent="0.25">
      <c r="A5589" s="12" t="s">
        <v>7857</v>
      </c>
      <c r="B5589" s="12" t="s">
        <v>7858</v>
      </c>
      <c r="C5589" s="14">
        <v>1150</v>
      </c>
      <c r="D5589" s="12"/>
      <c r="E5589" s="14"/>
    </row>
    <row r="5590" spans="1:5" ht="11.1" hidden="1" customHeight="1" x14ac:dyDescent="0.25">
      <c r="A5590" s="12" t="s">
        <v>7859</v>
      </c>
      <c r="B5590" s="12" t="s">
        <v>7750</v>
      </c>
      <c r="C5590" s="14">
        <v>1150</v>
      </c>
      <c r="D5590" s="12"/>
      <c r="E5590" s="14"/>
    </row>
    <row r="5591" spans="1:5" ht="11.1" hidden="1" customHeight="1" x14ac:dyDescent="0.25">
      <c r="A5591" s="12" t="s">
        <v>7860</v>
      </c>
      <c r="B5591" s="12" t="s">
        <v>7858</v>
      </c>
      <c r="C5591" s="14">
        <v>1150</v>
      </c>
      <c r="D5591" s="12"/>
      <c r="E5591" s="14"/>
    </row>
    <row r="5592" spans="1:5" ht="11.1" hidden="1" customHeight="1" x14ac:dyDescent="0.25">
      <c r="A5592" s="12" t="s">
        <v>7861</v>
      </c>
      <c r="B5592" s="12" t="s">
        <v>5823</v>
      </c>
      <c r="C5592" s="14">
        <v>4657.5</v>
      </c>
      <c r="D5592" s="12"/>
      <c r="E5592" s="14"/>
    </row>
    <row r="5593" spans="1:5" ht="11.1" hidden="1" customHeight="1" x14ac:dyDescent="0.25">
      <c r="A5593" s="12" t="s">
        <v>7862</v>
      </c>
      <c r="B5593" s="12" t="s">
        <v>5823</v>
      </c>
      <c r="C5593" s="14">
        <v>4657.5</v>
      </c>
      <c r="D5593" s="12"/>
      <c r="E5593" s="14"/>
    </row>
    <row r="5594" spans="1:5" ht="11.1" hidden="1" customHeight="1" x14ac:dyDescent="0.25">
      <c r="A5594" s="12" t="s">
        <v>7863</v>
      </c>
      <c r="B5594" s="12" t="s">
        <v>7864</v>
      </c>
      <c r="C5594" s="14">
        <v>933.33</v>
      </c>
      <c r="D5594" s="12"/>
      <c r="E5594" s="13"/>
    </row>
    <row r="5595" spans="1:5" ht="11.1" hidden="1" customHeight="1" x14ac:dyDescent="0.25">
      <c r="A5595" s="12" t="s">
        <v>7865</v>
      </c>
      <c r="B5595" s="12" t="s">
        <v>7866</v>
      </c>
      <c r="C5595" s="14">
        <v>292.5</v>
      </c>
      <c r="D5595" s="12"/>
      <c r="E5595" s="13"/>
    </row>
    <row r="5596" spans="1:5" ht="11.1" hidden="1" customHeight="1" x14ac:dyDescent="0.25">
      <c r="A5596" s="12" t="s">
        <v>7867</v>
      </c>
      <c r="B5596" s="12" t="s">
        <v>7866</v>
      </c>
      <c r="C5596" s="14">
        <v>550</v>
      </c>
      <c r="D5596" s="12"/>
      <c r="E5596" s="13"/>
    </row>
    <row r="5597" spans="1:5" ht="11.1" hidden="1" customHeight="1" x14ac:dyDescent="0.25">
      <c r="A5597" s="12" t="s">
        <v>7868</v>
      </c>
      <c r="B5597" s="12" t="s">
        <v>7869</v>
      </c>
      <c r="C5597" s="14">
        <v>614.16999999999996</v>
      </c>
      <c r="D5597" s="12"/>
      <c r="E5597" s="13"/>
    </row>
    <row r="5598" spans="1:5" ht="11.1" hidden="1" customHeight="1" x14ac:dyDescent="0.25">
      <c r="A5598" s="12" t="s">
        <v>7870</v>
      </c>
      <c r="B5598" s="12" t="s">
        <v>7871</v>
      </c>
      <c r="C5598" s="14">
        <v>198.83</v>
      </c>
      <c r="D5598" s="12"/>
      <c r="E5598" s="13"/>
    </row>
    <row r="5599" spans="1:5" ht="11.1" hidden="1" customHeight="1" x14ac:dyDescent="0.25">
      <c r="A5599" s="12" t="s">
        <v>7872</v>
      </c>
      <c r="B5599" s="12" t="s">
        <v>7871</v>
      </c>
      <c r="C5599" s="14">
        <v>212.63</v>
      </c>
      <c r="D5599" s="12"/>
      <c r="E5599" s="13"/>
    </row>
    <row r="5600" spans="1:5" ht="11.1" hidden="1" customHeight="1" x14ac:dyDescent="0.25">
      <c r="A5600" s="12" t="s">
        <v>7873</v>
      </c>
      <c r="B5600" s="12" t="s">
        <v>7871</v>
      </c>
      <c r="C5600" s="14">
        <v>245.78</v>
      </c>
      <c r="D5600" s="12"/>
      <c r="E5600" s="13"/>
    </row>
    <row r="5601" spans="1:5" ht="11.1" hidden="1" customHeight="1" x14ac:dyDescent="0.25">
      <c r="A5601" s="12" t="s">
        <v>7874</v>
      </c>
      <c r="B5601" s="12" t="s">
        <v>7871</v>
      </c>
      <c r="C5601" s="14">
        <v>259.58</v>
      </c>
      <c r="D5601" s="12"/>
      <c r="E5601" s="13"/>
    </row>
    <row r="5602" spans="1:5" ht="11.1" hidden="1" customHeight="1" x14ac:dyDescent="0.25">
      <c r="A5602" s="12" t="s">
        <v>7875</v>
      </c>
      <c r="B5602" s="12" t="s">
        <v>7876</v>
      </c>
      <c r="C5602" s="14">
        <v>415</v>
      </c>
      <c r="D5602" s="12"/>
      <c r="E5602" s="13"/>
    </row>
    <row r="5603" spans="1:5" ht="11.1" hidden="1" customHeight="1" x14ac:dyDescent="0.25">
      <c r="A5603" s="12" t="s">
        <v>7877</v>
      </c>
      <c r="B5603" s="12" t="s">
        <v>7500</v>
      </c>
      <c r="C5603" s="14">
        <v>200.15</v>
      </c>
      <c r="D5603" s="12"/>
      <c r="E5603" s="13"/>
    </row>
    <row r="5604" spans="1:5" ht="11.1" hidden="1" customHeight="1" x14ac:dyDescent="0.25">
      <c r="A5604" s="12" t="s">
        <v>7878</v>
      </c>
      <c r="B5604" s="12" t="s">
        <v>7500</v>
      </c>
      <c r="C5604" s="14">
        <v>229.15</v>
      </c>
      <c r="D5604" s="12"/>
      <c r="E5604" s="13"/>
    </row>
    <row r="5605" spans="1:5" ht="11.1" hidden="1" customHeight="1" x14ac:dyDescent="0.25">
      <c r="A5605" s="12" t="s">
        <v>7879</v>
      </c>
      <c r="B5605" s="12" t="s">
        <v>7880</v>
      </c>
      <c r="C5605" s="14">
        <v>1466.67</v>
      </c>
      <c r="D5605" s="12"/>
      <c r="E5605" s="14"/>
    </row>
    <row r="5606" spans="1:5" ht="11.1" hidden="1" customHeight="1" x14ac:dyDescent="0.25">
      <c r="A5606" s="12" t="s">
        <v>7881</v>
      </c>
      <c r="B5606" s="12" t="s">
        <v>1267</v>
      </c>
      <c r="C5606" s="14">
        <v>7540</v>
      </c>
      <c r="D5606" s="12"/>
      <c r="E5606" s="14"/>
    </row>
    <row r="5607" spans="1:5" ht="11.1" hidden="1" customHeight="1" x14ac:dyDescent="0.25">
      <c r="A5607" s="12" t="s">
        <v>7882</v>
      </c>
      <c r="B5607" s="12" t="s">
        <v>7883</v>
      </c>
      <c r="C5607" s="14">
        <v>1435</v>
      </c>
      <c r="D5607" s="12"/>
      <c r="E5607" s="14"/>
    </row>
    <row r="5608" spans="1:5" ht="11.1" hidden="1" customHeight="1" x14ac:dyDescent="0.25">
      <c r="A5608" s="12" t="s">
        <v>7884</v>
      </c>
      <c r="B5608" s="12" t="s">
        <v>7885</v>
      </c>
      <c r="C5608" s="14">
        <v>120</v>
      </c>
      <c r="D5608" s="12"/>
      <c r="E5608" s="13"/>
    </row>
    <row r="5609" spans="1:5" ht="11.1" hidden="1" customHeight="1" x14ac:dyDescent="0.25">
      <c r="A5609" s="12" t="s">
        <v>7886</v>
      </c>
      <c r="B5609" s="12" t="s">
        <v>7885</v>
      </c>
      <c r="C5609" s="14">
        <v>120</v>
      </c>
      <c r="D5609" s="12"/>
      <c r="E5609" s="13"/>
    </row>
    <row r="5610" spans="1:5" ht="11.1" hidden="1" customHeight="1" x14ac:dyDescent="0.25">
      <c r="A5610" s="12" t="s">
        <v>7887</v>
      </c>
      <c r="B5610" s="12" t="s">
        <v>2753</v>
      </c>
      <c r="C5610" s="14">
        <v>594</v>
      </c>
      <c r="D5610" s="12"/>
      <c r="E5610" s="13"/>
    </row>
    <row r="5611" spans="1:5" ht="11.1" hidden="1" customHeight="1" x14ac:dyDescent="0.25">
      <c r="A5611" s="12" t="s">
        <v>7888</v>
      </c>
      <c r="B5611" s="12" t="s">
        <v>7889</v>
      </c>
      <c r="C5611" s="14">
        <v>21691.67</v>
      </c>
      <c r="D5611" s="12"/>
      <c r="E5611" s="14"/>
    </row>
    <row r="5612" spans="1:5" ht="11.1" hidden="1" customHeight="1" x14ac:dyDescent="0.25">
      <c r="A5612" s="12" t="s">
        <v>7890</v>
      </c>
      <c r="B5612" s="12" t="s">
        <v>7891</v>
      </c>
      <c r="C5612" s="14">
        <v>827.87</v>
      </c>
      <c r="D5612" s="12"/>
      <c r="E5612" s="13"/>
    </row>
    <row r="5613" spans="1:5" ht="11.1" hidden="1" customHeight="1" x14ac:dyDescent="0.25">
      <c r="A5613" s="12" t="s">
        <v>7892</v>
      </c>
      <c r="B5613" s="12" t="s">
        <v>7893</v>
      </c>
      <c r="C5613" s="14">
        <v>32194</v>
      </c>
      <c r="D5613" s="12"/>
      <c r="E5613" s="14"/>
    </row>
    <row r="5614" spans="1:5" ht="11.1" hidden="1" customHeight="1" x14ac:dyDescent="0.25">
      <c r="A5614" s="12" t="s">
        <v>7894</v>
      </c>
      <c r="B5614" s="12" t="s">
        <v>7895</v>
      </c>
      <c r="C5614" s="14">
        <v>3787.92</v>
      </c>
      <c r="D5614" s="12"/>
      <c r="E5614" s="14"/>
    </row>
    <row r="5615" spans="1:5" ht="11.1" hidden="1" customHeight="1" x14ac:dyDescent="0.25">
      <c r="A5615" s="12" t="s">
        <v>7896</v>
      </c>
      <c r="B5615" s="12" t="s">
        <v>1958</v>
      </c>
      <c r="C5615" s="14">
        <v>1004.67</v>
      </c>
      <c r="D5615" s="12"/>
      <c r="E5615" s="14"/>
    </row>
    <row r="5616" spans="1:5" ht="11.1" hidden="1" customHeight="1" x14ac:dyDescent="0.25">
      <c r="A5616" s="12" t="s">
        <v>7897</v>
      </c>
      <c r="B5616" s="12" t="s">
        <v>3550</v>
      </c>
      <c r="C5616" s="14">
        <v>64466.7</v>
      </c>
      <c r="D5616" s="12"/>
      <c r="E5616" s="14"/>
    </row>
    <row r="5617" spans="1:5" ht="11.1" hidden="1" customHeight="1" x14ac:dyDescent="0.25">
      <c r="A5617" s="12" t="s">
        <v>7898</v>
      </c>
      <c r="B5617" s="12" t="s">
        <v>674</v>
      </c>
      <c r="C5617" s="14">
        <v>886</v>
      </c>
      <c r="D5617" s="12"/>
      <c r="E5617" s="13"/>
    </row>
    <row r="5618" spans="1:5" ht="11.1" hidden="1" customHeight="1" x14ac:dyDescent="0.25">
      <c r="A5618" s="12" t="s">
        <v>7899</v>
      </c>
      <c r="B5618" s="12" t="s">
        <v>2565</v>
      </c>
      <c r="C5618" s="14">
        <v>370</v>
      </c>
      <c r="D5618" s="12"/>
      <c r="E5618" s="13"/>
    </row>
    <row r="5619" spans="1:5" ht="11.1" hidden="1" customHeight="1" x14ac:dyDescent="0.25">
      <c r="A5619" s="12" t="s">
        <v>7900</v>
      </c>
      <c r="B5619" s="12" t="s">
        <v>7901</v>
      </c>
      <c r="C5619" s="14">
        <v>240.83</v>
      </c>
      <c r="D5619" s="12"/>
      <c r="E5619" s="13"/>
    </row>
    <row r="5620" spans="1:5" ht="11.1" hidden="1" customHeight="1" x14ac:dyDescent="0.25">
      <c r="A5620" s="12" t="s">
        <v>7902</v>
      </c>
      <c r="B5620" s="12" t="s">
        <v>472</v>
      </c>
      <c r="C5620" s="14">
        <v>433.33</v>
      </c>
      <c r="D5620" s="12"/>
      <c r="E5620" s="13"/>
    </row>
    <row r="5621" spans="1:5" ht="11.1" hidden="1" customHeight="1" x14ac:dyDescent="0.25">
      <c r="A5621" s="12" t="s">
        <v>7903</v>
      </c>
      <c r="B5621" s="12" t="s">
        <v>7904</v>
      </c>
      <c r="C5621" s="14">
        <v>269.17</v>
      </c>
      <c r="D5621" s="12"/>
      <c r="E5621" s="13"/>
    </row>
    <row r="5622" spans="1:5" ht="11.1" hidden="1" customHeight="1" x14ac:dyDescent="0.25">
      <c r="A5622" s="12" t="s">
        <v>7905</v>
      </c>
      <c r="B5622" s="12" t="s">
        <v>472</v>
      </c>
      <c r="C5622" s="14">
        <v>290</v>
      </c>
      <c r="D5622" s="12"/>
      <c r="E5622" s="13"/>
    </row>
    <row r="5623" spans="1:5" ht="11.1" hidden="1" customHeight="1" x14ac:dyDescent="0.25">
      <c r="A5623" s="12" t="s">
        <v>7906</v>
      </c>
      <c r="B5623" s="12" t="s">
        <v>7907</v>
      </c>
      <c r="C5623" s="14">
        <v>759.17</v>
      </c>
      <c r="D5623" s="12"/>
      <c r="E5623" s="13"/>
    </row>
    <row r="5624" spans="1:5" ht="11.1" hidden="1" customHeight="1" x14ac:dyDescent="0.25">
      <c r="A5624" s="12" t="s">
        <v>7908</v>
      </c>
      <c r="B5624" s="12" t="s">
        <v>2971</v>
      </c>
      <c r="C5624" s="14">
        <v>652.5</v>
      </c>
      <c r="D5624" s="12"/>
      <c r="E5624" s="13"/>
    </row>
    <row r="5625" spans="1:5" ht="11.1" hidden="1" customHeight="1" x14ac:dyDescent="0.25">
      <c r="A5625" s="12" t="s">
        <v>7909</v>
      </c>
      <c r="B5625" s="12" t="s">
        <v>2333</v>
      </c>
      <c r="C5625" s="14">
        <v>743</v>
      </c>
      <c r="D5625" s="12"/>
      <c r="E5625" s="13"/>
    </row>
    <row r="5626" spans="1:5" ht="11.1" hidden="1" customHeight="1" x14ac:dyDescent="0.25">
      <c r="A5626" s="42" t="s">
        <v>7910</v>
      </c>
      <c r="B5626" s="42" t="s">
        <v>191</v>
      </c>
      <c r="C5626" s="43">
        <v>265.83</v>
      </c>
      <c r="D5626" s="12"/>
      <c r="E5626" s="13"/>
    </row>
    <row r="5627" spans="1:5" ht="11.1" hidden="1" customHeight="1" x14ac:dyDescent="0.25">
      <c r="A5627" s="12" t="s">
        <v>7911</v>
      </c>
      <c r="B5627" s="12" t="s">
        <v>3937</v>
      </c>
      <c r="C5627" s="14">
        <v>229</v>
      </c>
      <c r="D5627" s="12"/>
      <c r="E5627" s="13"/>
    </row>
    <row r="5628" spans="1:5" ht="11.1" hidden="1" customHeight="1" x14ac:dyDescent="0.25">
      <c r="A5628" s="42" t="s">
        <v>7912</v>
      </c>
      <c r="B5628" s="42" t="s">
        <v>4663</v>
      </c>
      <c r="C5628" s="43">
        <v>299</v>
      </c>
      <c r="D5628" s="12"/>
      <c r="E5628" s="13"/>
    </row>
    <row r="5629" spans="1:5" ht="11.1" hidden="1" customHeight="1" x14ac:dyDescent="0.25">
      <c r="A5629" s="42" t="s">
        <v>7913</v>
      </c>
      <c r="B5629" s="42" t="s">
        <v>4663</v>
      </c>
      <c r="C5629" s="43">
        <v>299</v>
      </c>
      <c r="D5629" s="12"/>
      <c r="E5629" s="13"/>
    </row>
    <row r="5630" spans="1:5" ht="11.1" hidden="1" customHeight="1" x14ac:dyDescent="0.25">
      <c r="A5630" s="42" t="s">
        <v>7914</v>
      </c>
      <c r="B5630" s="42" t="s">
        <v>6319</v>
      </c>
      <c r="C5630" s="43">
        <v>274.17</v>
      </c>
      <c r="D5630" s="12"/>
      <c r="E5630" s="13"/>
    </row>
    <row r="5631" spans="1:5" ht="11.1" hidden="1" customHeight="1" x14ac:dyDescent="0.25">
      <c r="A5631" s="12" t="s">
        <v>7915</v>
      </c>
      <c r="B5631" s="12" t="s">
        <v>3937</v>
      </c>
      <c r="C5631" s="14">
        <v>259</v>
      </c>
      <c r="D5631" s="12"/>
      <c r="E5631" s="13"/>
    </row>
    <row r="5632" spans="1:5" ht="11.1" hidden="1" customHeight="1" x14ac:dyDescent="0.25">
      <c r="A5632" s="12" t="s">
        <v>7916</v>
      </c>
      <c r="B5632" s="12" t="s">
        <v>7917</v>
      </c>
      <c r="C5632" s="14">
        <v>2116</v>
      </c>
      <c r="D5632" s="12"/>
      <c r="E5632" s="14"/>
    </row>
    <row r="5633" spans="1:5" ht="11.1" hidden="1" customHeight="1" x14ac:dyDescent="0.25">
      <c r="A5633" s="12" t="s">
        <v>7918</v>
      </c>
      <c r="B5633" s="12" t="s">
        <v>7919</v>
      </c>
      <c r="C5633" s="14">
        <v>23166.67</v>
      </c>
      <c r="D5633" s="12"/>
      <c r="E5633" s="14"/>
    </row>
    <row r="5634" spans="1:5" ht="11.1" hidden="1" customHeight="1" x14ac:dyDescent="0.25">
      <c r="A5634" s="12" t="s">
        <v>7920</v>
      </c>
      <c r="B5634" s="12" t="s">
        <v>182</v>
      </c>
      <c r="C5634" s="14">
        <v>1092.5</v>
      </c>
      <c r="D5634" s="12"/>
      <c r="E5634" s="14"/>
    </row>
    <row r="5635" spans="1:5" ht="11.1" hidden="1" customHeight="1" x14ac:dyDescent="0.25">
      <c r="A5635" s="12" t="s">
        <v>7921</v>
      </c>
      <c r="B5635" s="12" t="s">
        <v>2105</v>
      </c>
      <c r="C5635" s="14">
        <v>497</v>
      </c>
      <c r="D5635" s="12"/>
      <c r="E5635" s="13"/>
    </row>
    <row r="5636" spans="1:5" ht="11.1" hidden="1" customHeight="1" x14ac:dyDescent="0.25">
      <c r="A5636" s="12" t="s">
        <v>7922</v>
      </c>
      <c r="B5636" s="12" t="s">
        <v>7923</v>
      </c>
      <c r="C5636" s="14">
        <v>6.1</v>
      </c>
      <c r="D5636" s="12"/>
      <c r="E5636" s="13"/>
    </row>
    <row r="5637" spans="1:5" ht="11.1" hidden="1" customHeight="1" x14ac:dyDescent="0.25">
      <c r="A5637" s="12" t="s">
        <v>7924</v>
      </c>
      <c r="B5637" s="12" t="s">
        <v>7925</v>
      </c>
      <c r="C5637" s="14">
        <v>459</v>
      </c>
      <c r="D5637" s="12"/>
      <c r="E5637" s="13"/>
    </row>
    <row r="5638" spans="1:5" ht="11.1" hidden="1" customHeight="1" x14ac:dyDescent="0.25">
      <c r="A5638" s="12" t="s">
        <v>7926</v>
      </c>
      <c r="B5638" s="12" t="s">
        <v>5940</v>
      </c>
      <c r="C5638" s="14">
        <v>25712.42</v>
      </c>
      <c r="D5638" s="12"/>
      <c r="E5638" s="14"/>
    </row>
    <row r="5639" spans="1:5" ht="11.1" hidden="1" customHeight="1" x14ac:dyDescent="0.25">
      <c r="A5639" s="12" t="s">
        <v>7927</v>
      </c>
      <c r="B5639" s="12" t="s">
        <v>4107</v>
      </c>
      <c r="C5639" s="14">
        <v>15600</v>
      </c>
      <c r="D5639" s="12"/>
      <c r="E5639" s="14"/>
    </row>
    <row r="5640" spans="1:5" ht="11.1" hidden="1" customHeight="1" x14ac:dyDescent="0.25">
      <c r="A5640" s="12" t="s">
        <v>7928</v>
      </c>
      <c r="B5640" s="12" t="s">
        <v>2826</v>
      </c>
      <c r="C5640" s="14">
        <v>186.67</v>
      </c>
      <c r="D5640" s="12"/>
      <c r="E5640" s="13"/>
    </row>
    <row r="5641" spans="1:5" ht="11.1" hidden="1" customHeight="1" x14ac:dyDescent="0.25">
      <c r="A5641" s="12" t="s">
        <v>7929</v>
      </c>
      <c r="B5641" s="12" t="s">
        <v>2826</v>
      </c>
      <c r="C5641" s="14">
        <v>199.18</v>
      </c>
      <c r="D5641" s="12"/>
      <c r="E5641" s="13"/>
    </row>
    <row r="5642" spans="1:5" ht="11.1" hidden="1" customHeight="1" x14ac:dyDescent="0.25">
      <c r="A5642" s="12" t="s">
        <v>7930</v>
      </c>
      <c r="B5642" s="12" t="s">
        <v>7931</v>
      </c>
      <c r="C5642" s="14">
        <v>3575</v>
      </c>
      <c r="D5642" s="12"/>
      <c r="E5642" s="14"/>
    </row>
    <row r="5643" spans="1:5" ht="11.1" hidden="1" customHeight="1" x14ac:dyDescent="0.25">
      <c r="A5643" s="12" t="s">
        <v>7932</v>
      </c>
      <c r="B5643" s="12" t="s">
        <v>4223</v>
      </c>
      <c r="C5643" s="14">
        <v>2686.86</v>
      </c>
      <c r="D5643" s="12"/>
      <c r="E5643" s="14"/>
    </row>
    <row r="5644" spans="1:5" ht="11.1" hidden="1" customHeight="1" x14ac:dyDescent="0.25">
      <c r="A5644" s="12" t="s">
        <v>7933</v>
      </c>
      <c r="B5644" s="12" t="s">
        <v>7934</v>
      </c>
      <c r="C5644" s="14">
        <v>5300.15</v>
      </c>
      <c r="D5644" s="12"/>
      <c r="E5644" s="14"/>
    </row>
    <row r="5645" spans="1:5" ht="11.1" hidden="1" customHeight="1" x14ac:dyDescent="0.25">
      <c r="A5645" s="12" t="s">
        <v>7935</v>
      </c>
      <c r="B5645" s="12" t="s">
        <v>7936</v>
      </c>
      <c r="C5645" s="14">
        <v>12800</v>
      </c>
      <c r="D5645" s="12"/>
      <c r="E5645" s="14"/>
    </row>
    <row r="5646" spans="1:5" ht="11.1" hidden="1" customHeight="1" x14ac:dyDescent="0.25">
      <c r="A5646" s="12" t="s">
        <v>7937</v>
      </c>
      <c r="B5646" s="12" t="s">
        <v>4830</v>
      </c>
      <c r="C5646" s="14">
        <v>1180.83</v>
      </c>
      <c r="D5646" s="12"/>
      <c r="E5646" s="14"/>
    </row>
    <row r="5647" spans="1:5" ht="11.1" hidden="1" customHeight="1" x14ac:dyDescent="0.25">
      <c r="A5647" s="12" t="s">
        <v>7938</v>
      </c>
      <c r="B5647" s="12" t="s">
        <v>1932</v>
      </c>
      <c r="C5647" s="14">
        <v>15.6</v>
      </c>
      <c r="D5647" s="12"/>
      <c r="E5647" s="13"/>
    </row>
    <row r="5648" spans="1:5" ht="11.1" hidden="1" customHeight="1" x14ac:dyDescent="0.25">
      <c r="A5648" s="12" t="s">
        <v>7939</v>
      </c>
      <c r="B5648" s="12" t="s">
        <v>7940</v>
      </c>
      <c r="C5648" s="14">
        <v>0.2</v>
      </c>
      <c r="D5648" s="12"/>
      <c r="E5648" s="13"/>
    </row>
    <row r="5649" spans="1:5" ht="11.1" hidden="1" customHeight="1" x14ac:dyDescent="0.25">
      <c r="A5649" s="12" t="s">
        <v>7941</v>
      </c>
      <c r="B5649" s="12" t="s">
        <v>2708</v>
      </c>
      <c r="C5649" s="14">
        <v>310</v>
      </c>
      <c r="D5649" s="12"/>
      <c r="E5649" s="13"/>
    </row>
    <row r="5650" spans="1:5" ht="11.1" hidden="1" customHeight="1" x14ac:dyDescent="0.25">
      <c r="A5650" s="12" t="s">
        <v>7942</v>
      </c>
      <c r="B5650" s="12" t="s">
        <v>2708</v>
      </c>
      <c r="C5650" s="14">
        <v>12.68</v>
      </c>
      <c r="D5650" s="12"/>
      <c r="E5650" s="13"/>
    </row>
    <row r="5651" spans="1:5" ht="11.1" hidden="1" customHeight="1" x14ac:dyDescent="0.25">
      <c r="A5651" s="12" t="s">
        <v>7943</v>
      </c>
      <c r="B5651" s="12" t="s">
        <v>7944</v>
      </c>
      <c r="C5651" s="14">
        <v>0.35</v>
      </c>
      <c r="D5651" s="12"/>
      <c r="E5651" s="13"/>
    </row>
    <row r="5652" spans="1:5" ht="11.1" hidden="1" customHeight="1" x14ac:dyDescent="0.25">
      <c r="A5652" s="12" t="s">
        <v>7945</v>
      </c>
      <c r="B5652" s="12" t="s">
        <v>2495</v>
      </c>
      <c r="C5652" s="14">
        <v>200.09</v>
      </c>
      <c r="D5652" s="12"/>
      <c r="E5652" s="13"/>
    </row>
    <row r="5653" spans="1:5" ht="11.1" hidden="1" customHeight="1" x14ac:dyDescent="0.25">
      <c r="A5653" s="12" t="s">
        <v>7946</v>
      </c>
      <c r="B5653" s="12" t="s">
        <v>7947</v>
      </c>
      <c r="C5653" s="14">
        <v>0.14000000000000001</v>
      </c>
      <c r="D5653" s="12"/>
      <c r="E5653" s="13"/>
    </row>
    <row r="5654" spans="1:5" ht="11.1" hidden="1" customHeight="1" x14ac:dyDescent="0.25">
      <c r="A5654" s="12" t="s">
        <v>7948</v>
      </c>
      <c r="B5654" s="12" t="s">
        <v>1613</v>
      </c>
      <c r="C5654" s="14">
        <v>2.25</v>
      </c>
      <c r="D5654" s="12"/>
      <c r="E5654" s="13"/>
    </row>
    <row r="5655" spans="1:5" ht="11.1" hidden="1" customHeight="1" x14ac:dyDescent="0.25">
      <c r="A5655" s="12" t="s">
        <v>7949</v>
      </c>
      <c r="B5655" s="12" t="s">
        <v>2233</v>
      </c>
      <c r="C5655" s="14">
        <v>10.83</v>
      </c>
      <c r="D5655" s="12"/>
      <c r="E5655" s="13"/>
    </row>
    <row r="5656" spans="1:5" ht="11.1" hidden="1" customHeight="1" x14ac:dyDescent="0.25">
      <c r="A5656" s="12" t="s">
        <v>7950</v>
      </c>
      <c r="B5656" s="12" t="s">
        <v>2487</v>
      </c>
      <c r="C5656" s="14">
        <v>0.24</v>
      </c>
      <c r="D5656" s="12"/>
      <c r="E5656" s="13"/>
    </row>
    <row r="5657" spans="1:5" ht="11.1" hidden="1" customHeight="1" x14ac:dyDescent="0.25">
      <c r="A5657" s="12" t="s">
        <v>7951</v>
      </c>
      <c r="B5657" s="12" t="s">
        <v>2708</v>
      </c>
      <c r="C5657" s="14">
        <v>310</v>
      </c>
      <c r="D5657" s="12"/>
      <c r="E5657" s="13"/>
    </row>
    <row r="5658" spans="1:5" ht="11.1" hidden="1" customHeight="1" x14ac:dyDescent="0.25">
      <c r="A5658" s="12" t="s">
        <v>7952</v>
      </c>
      <c r="B5658" s="12" t="s">
        <v>2217</v>
      </c>
      <c r="C5658" s="14">
        <v>3.33</v>
      </c>
      <c r="D5658" s="12"/>
      <c r="E5658" s="13"/>
    </row>
    <row r="5659" spans="1:5" ht="11.1" hidden="1" customHeight="1" x14ac:dyDescent="0.25">
      <c r="A5659" s="12" t="s">
        <v>7953</v>
      </c>
      <c r="B5659" s="12" t="s">
        <v>2284</v>
      </c>
      <c r="C5659" s="14">
        <v>169.17</v>
      </c>
      <c r="D5659" s="12"/>
      <c r="E5659" s="13"/>
    </row>
    <row r="5660" spans="1:5" ht="11.1" hidden="1" customHeight="1" x14ac:dyDescent="0.25">
      <c r="A5660" s="12" t="s">
        <v>7954</v>
      </c>
      <c r="B5660" s="12" t="s">
        <v>7955</v>
      </c>
      <c r="C5660" s="14">
        <v>0.68</v>
      </c>
      <c r="D5660" s="12"/>
      <c r="E5660" s="13"/>
    </row>
    <row r="5661" spans="1:5" ht="11.1" hidden="1" customHeight="1" x14ac:dyDescent="0.25">
      <c r="A5661" s="12" t="s">
        <v>7956</v>
      </c>
      <c r="B5661" s="12" t="s">
        <v>2487</v>
      </c>
      <c r="C5661" s="14">
        <v>0.53</v>
      </c>
      <c r="D5661" s="12"/>
      <c r="E5661" s="13"/>
    </row>
    <row r="5662" spans="1:5" ht="11.1" hidden="1" customHeight="1" x14ac:dyDescent="0.25">
      <c r="A5662" s="12" t="s">
        <v>7957</v>
      </c>
      <c r="B5662" s="12" t="s">
        <v>2715</v>
      </c>
      <c r="C5662" s="14">
        <v>7.96</v>
      </c>
      <c r="D5662" s="12"/>
      <c r="E5662" s="13"/>
    </row>
    <row r="5663" spans="1:5" ht="11.1" hidden="1" customHeight="1" x14ac:dyDescent="0.25">
      <c r="A5663" s="12" t="s">
        <v>7958</v>
      </c>
      <c r="B5663" s="12" t="s">
        <v>6337</v>
      </c>
      <c r="C5663" s="14">
        <v>0.38</v>
      </c>
      <c r="D5663" s="12"/>
      <c r="E5663" s="13"/>
    </row>
    <row r="5664" spans="1:5" ht="11.1" hidden="1" customHeight="1" x14ac:dyDescent="0.25">
      <c r="A5664" s="12" t="s">
        <v>7959</v>
      </c>
      <c r="B5664" s="12" t="s">
        <v>2426</v>
      </c>
      <c r="C5664" s="14">
        <v>248.33</v>
      </c>
      <c r="D5664" s="12"/>
      <c r="E5664" s="13"/>
    </row>
    <row r="5665" spans="1:5" ht="11.1" hidden="1" customHeight="1" x14ac:dyDescent="0.25">
      <c r="A5665" s="12" t="s">
        <v>7960</v>
      </c>
      <c r="B5665" s="12" t="s">
        <v>600</v>
      </c>
      <c r="C5665" s="14">
        <v>0.14000000000000001</v>
      </c>
      <c r="D5665" s="12"/>
      <c r="E5665" s="13"/>
    </row>
    <row r="5666" spans="1:5" ht="11.1" hidden="1" customHeight="1" x14ac:dyDescent="0.25">
      <c r="A5666" s="12" t="s">
        <v>7961</v>
      </c>
      <c r="B5666" s="12" t="s">
        <v>2737</v>
      </c>
      <c r="C5666" s="14">
        <v>0.48</v>
      </c>
      <c r="D5666" s="12"/>
      <c r="E5666" s="13"/>
    </row>
    <row r="5667" spans="1:5" ht="11.1" hidden="1" customHeight="1" x14ac:dyDescent="0.25">
      <c r="A5667" s="12" t="s">
        <v>7962</v>
      </c>
      <c r="B5667" s="12" t="s">
        <v>2284</v>
      </c>
      <c r="C5667" s="14">
        <v>30.83</v>
      </c>
      <c r="D5667" s="12"/>
      <c r="E5667" s="13"/>
    </row>
    <row r="5668" spans="1:5" ht="11.1" hidden="1" customHeight="1" x14ac:dyDescent="0.25">
      <c r="A5668" s="12" t="s">
        <v>7963</v>
      </c>
      <c r="B5668" s="12" t="s">
        <v>7964</v>
      </c>
      <c r="C5668" s="14">
        <v>0.39</v>
      </c>
      <c r="D5668" s="12"/>
      <c r="E5668" s="13"/>
    </row>
    <row r="5669" spans="1:5" ht="11.1" hidden="1" customHeight="1" x14ac:dyDescent="0.25">
      <c r="A5669" s="12" t="s">
        <v>7965</v>
      </c>
      <c r="B5669" s="12" t="s">
        <v>7966</v>
      </c>
      <c r="C5669" s="14">
        <v>2.83</v>
      </c>
      <c r="D5669" s="12"/>
      <c r="E5669" s="13"/>
    </row>
    <row r="5670" spans="1:5" ht="11.1" hidden="1" customHeight="1" x14ac:dyDescent="0.25">
      <c r="A5670" s="12" t="s">
        <v>7967</v>
      </c>
      <c r="B5670" s="12" t="s">
        <v>4830</v>
      </c>
      <c r="C5670" s="14">
        <v>512.5</v>
      </c>
      <c r="D5670" s="12"/>
      <c r="E5670" s="13"/>
    </row>
    <row r="5671" spans="1:5" ht="11.1" hidden="1" customHeight="1" x14ac:dyDescent="0.25">
      <c r="A5671" s="12" t="s">
        <v>7968</v>
      </c>
      <c r="B5671" s="12" t="s">
        <v>741</v>
      </c>
      <c r="C5671" s="14">
        <v>250</v>
      </c>
      <c r="D5671" s="12"/>
      <c r="E5671" s="13"/>
    </row>
    <row r="5672" spans="1:5" ht="11.1" hidden="1" customHeight="1" x14ac:dyDescent="0.25">
      <c r="A5672" s="12" t="s">
        <v>7969</v>
      </c>
      <c r="B5672" s="12" t="s">
        <v>2932</v>
      </c>
      <c r="C5672" s="14">
        <v>391.67</v>
      </c>
      <c r="D5672" s="12"/>
      <c r="E5672" s="13"/>
    </row>
    <row r="5673" spans="1:5" ht="11.1" hidden="1" customHeight="1" x14ac:dyDescent="0.25">
      <c r="A5673" s="12" t="s">
        <v>7970</v>
      </c>
      <c r="B5673" s="12" t="s">
        <v>7971</v>
      </c>
      <c r="C5673" s="14">
        <v>791.67</v>
      </c>
      <c r="D5673" s="12"/>
      <c r="E5673" s="13"/>
    </row>
    <row r="5674" spans="1:5" ht="11.1" hidden="1" customHeight="1" x14ac:dyDescent="0.25">
      <c r="A5674" s="12" t="s">
        <v>7972</v>
      </c>
      <c r="B5674" s="12" t="s">
        <v>182</v>
      </c>
      <c r="C5674" s="14">
        <v>934.31</v>
      </c>
      <c r="D5674" s="12"/>
      <c r="E5674" s="13"/>
    </row>
    <row r="5675" spans="1:5" ht="11.1" hidden="1" customHeight="1" x14ac:dyDescent="0.25">
      <c r="A5675" s="12" t="s">
        <v>7973</v>
      </c>
      <c r="B5675" s="12" t="s">
        <v>2358</v>
      </c>
      <c r="C5675" s="14">
        <v>12</v>
      </c>
      <c r="D5675" s="12"/>
      <c r="E5675" s="13"/>
    </row>
    <row r="5676" spans="1:5" ht="11.1" hidden="1" customHeight="1" x14ac:dyDescent="0.25">
      <c r="A5676" s="12" t="s">
        <v>7974</v>
      </c>
      <c r="B5676" s="12" t="s">
        <v>3070</v>
      </c>
      <c r="C5676" s="14">
        <v>1306.25</v>
      </c>
      <c r="D5676" s="12"/>
      <c r="E5676" s="14"/>
    </row>
    <row r="5677" spans="1:5" ht="11.1" hidden="1" customHeight="1" x14ac:dyDescent="0.25">
      <c r="A5677" s="12" t="s">
        <v>7975</v>
      </c>
      <c r="B5677" s="12" t="s">
        <v>7976</v>
      </c>
      <c r="C5677" s="14">
        <v>8102.5</v>
      </c>
      <c r="D5677" s="12"/>
      <c r="E5677" s="14"/>
    </row>
    <row r="5678" spans="1:5" ht="11.1" hidden="1" customHeight="1" x14ac:dyDescent="0.25">
      <c r="A5678" s="12" t="s">
        <v>7977</v>
      </c>
      <c r="B5678" s="12" t="s">
        <v>7978</v>
      </c>
      <c r="C5678" s="14">
        <v>8340.83</v>
      </c>
      <c r="D5678" s="12"/>
      <c r="E5678" s="14"/>
    </row>
    <row r="5679" spans="1:5" ht="11.1" hidden="1" customHeight="1" x14ac:dyDescent="0.25">
      <c r="A5679" s="12" t="s">
        <v>7979</v>
      </c>
      <c r="B5679" s="12" t="s">
        <v>7980</v>
      </c>
      <c r="C5679" s="14">
        <v>3825.83</v>
      </c>
      <c r="D5679" s="12"/>
      <c r="E5679" s="14"/>
    </row>
    <row r="5680" spans="1:5" ht="11.1" hidden="1" customHeight="1" x14ac:dyDescent="0.25">
      <c r="A5680" s="12" t="s">
        <v>7981</v>
      </c>
      <c r="B5680" s="12" t="s">
        <v>6998</v>
      </c>
      <c r="C5680" s="14">
        <v>9899.92</v>
      </c>
      <c r="D5680" s="12"/>
      <c r="E5680" s="14"/>
    </row>
    <row r="5681" spans="1:5" ht="11.1" hidden="1" customHeight="1" x14ac:dyDescent="0.25">
      <c r="A5681" s="12" t="s">
        <v>7982</v>
      </c>
      <c r="B5681" s="12" t="s">
        <v>7421</v>
      </c>
      <c r="C5681" s="14">
        <v>9102.5</v>
      </c>
      <c r="D5681" s="12"/>
      <c r="E5681" s="14"/>
    </row>
    <row r="5682" spans="1:5" ht="11.1" hidden="1" customHeight="1" x14ac:dyDescent="0.25">
      <c r="A5682" s="12" t="s">
        <v>7983</v>
      </c>
      <c r="B5682" s="12" t="s">
        <v>358</v>
      </c>
      <c r="C5682" s="14">
        <v>36972.5</v>
      </c>
      <c r="D5682" s="12"/>
      <c r="E5682" s="14"/>
    </row>
    <row r="5683" spans="1:5" ht="11.1" hidden="1" customHeight="1" x14ac:dyDescent="0.25">
      <c r="A5683" s="12" t="s">
        <v>7984</v>
      </c>
      <c r="B5683" s="12" t="s">
        <v>2125</v>
      </c>
      <c r="C5683" s="14">
        <v>3039.86</v>
      </c>
      <c r="D5683" s="12"/>
      <c r="E5683" s="14"/>
    </row>
    <row r="5684" spans="1:5" ht="11.1" hidden="1" customHeight="1" x14ac:dyDescent="0.25">
      <c r="A5684" s="12" t="s">
        <v>7985</v>
      </c>
      <c r="B5684" s="12" t="s">
        <v>7986</v>
      </c>
      <c r="C5684" s="14">
        <v>7166.67</v>
      </c>
      <c r="D5684" s="12"/>
      <c r="E5684" s="14"/>
    </row>
    <row r="5685" spans="1:5" ht="11.1" hidden="1" customHeight="1" x14ac:dyDescent="0.25">
      <c r="A5685" s="12" t="s">
        <v>7987</v>
      </c>
      <c r="B5685" s="12" t="s">
        <v>7988</v>
      </c>
      <c r="C5685" s="14">
        <v>13900</v>
      </c>
      <c r="D5685" s="12"/>
      <c r="E5685" s="14"/>
    </row>
    <row r="5686" spans="1:5" ht="11.1" hidden="1" customHeight="1" x14ac:dyDescent="0.25">
      <c r="A5686" s="12" t="s">
        <v>7989</v>
      </c>
      <c r="B5686" s="12" t="s">
        <v>7990</v>
      </c>
      <c r="C5686" s="14">
        <v>9865</v>
      </c>
      <c r="D5686" s="12"/>
      <c r="E5686" s="14"/>
    </row>
    <row r="5687" spans="1:5" ht="11.1" hidden="1" customHeight="1" x14ac:dyDescent="0.25">
      <c r="A5687" s="12" t="s">
        <v>7991</v>
      </c>
      <c r="B5687" s="12" t="s">
        <v>7992</v>
      </c>
      <c r="C5687" s="14">
        <v>34483.33</v>
      </c>
      <c r="D5687" s="12"/>
      <c r="E5687" s="14"/>
    </row>
    <row r="5688" spans="1:5" ht="11.1" hidden="1" customHeight="1" x14ac:dyDescent="0.25">
      <c r="A5688" s="12" t="s">
        <v>7993</v>
      </c>
      <c r="B5688" s="12" t="s">
        <v>7994</v>
      </c>
      <c r="C5688" s="14">
        <v>209408.33</v>
      </c>
      <c r="D5688" s="12"/>
      <c r="E5688" s="14"/>
    </row>
    <row r="5689" spans="1:5" ht="11.1" hidden="1" customHeight="1" x14ac:dyDescent="0.25">
      <c r="A5689" s="12" t="s">
        <v>7995</v>
      </c>
      <c r="B5689" s="12" t="s">
        <v>7994</v>
      </c>
      <c r="C5689" s="14">
        <v>209408.33</v>
      </c>
      <c r="D5689" s="12"/>
      <c r="E5689" s="14"/>
    </row>
    <row r="5690" spans="1:5" ht="11.1" hidden="1" customHeight="1" x14ac:dyDescent="0.25">
      <c r="A5690" s="12" t="s">
        <v>7996</v>
      </c>
      <c r="B5690" s="12" t="s">
        <v>7994</v>
      </c>
      <c r="C5690" s="14">
        <v>209408.34</v>
      </c>
      <c r="D5690" s="12"/>
      <c r="E5690" s="14"/>
    </row>
    <row r="5691" spans="1:5" ht="11.1" hidden="1" customHeight="1" x14ac:dyDescent="0.25">
      <c r="A5691" s="12" t="s">
        <v>7997</v>
      </c>
      <c r="B5691" s="12" t="s">
        <v>6951</v>
      </c>
      <c r="C5691" s="14">
        <v>10118.33</v>
      </c>
      <c r="D5691" s="12"/>
      <c r="E5691" s="14"/>
    </row>
    <row r="5692" spans="1:5" ht="11.1" hidden="1" customHeight="1" x14ac:dyDescent="0.25">
      <c r="A5692" s="12" t="s">
        <v>7998</v>
      </c>
      <c r="B5692" s="12" t="s">
        <v>5546</v>
      </c>
      <c r="C5692" s="14">
        <v>454490</v>
      </c>
      <c r="D5692" s="12"/>
      <c r="E5692" s="14"/>
    </row>
    <row r="5693" spans="1:5" ht="11.1" hidden="1" customHeight="1" x14ac:dyDescent="0.25">
      <c r="A5693" s="12" t="s">
        <v>7999</v>
      </c>
      <c r="B5693" s="12" t="s">
        <v>2182</v>
      </c>
      <c r="C5693" s="14">
        <v>85415</v>
      </c>
      <c r="D5693" s="12"/>
      <c r="E5693" s="14"/>
    </row>
    <row r="5694" spans="1:5" ht="11.1" hidden="1" customHeight="1" x14ac:dyDescent="0.25">
      <c r="A5694" s="12" t="s">
        <v>8000</v>
      </c>
      <c r="B5694" s="12" t="s">
        <v>8001</v>
      </c>
      <c r="C5694" s="14">
        <v>8916.67</v>
      </c>
      <c r="D5694" s="12"/>
      <c r="E5694" s="14"/>
    </row>
    <row r="5695" spans="1:5" ht="11.1" hidden="1" customHeight="1" x14ac:dyDescent="0.25">
      <c r="A5695" s="12" t="s">
        <v>8002</v>
      </c>
      <c r="B5695" s="12" t="s">
        <v>8003</v>
      </c>
      <c r="C5695" s="14">
        <v>666.67</v>
      </c>
      <c r="D5695" s="12"/>
      <c r="E5695" s="13"/>
    </row>
    <row r="5696" spans="1:5" ht="11.1" hidden="1" customHeight="1" x14ac:dyDescent="0.25">
      <c r="A5696" s="12" t="s">
        <v>8004</v>
      </c>
      <c r="B5696" s="12" t="s">
        <v>8003</v>
      </c>
      <c r="C5696" s="14">
        <v>666.67</v>
      </c>
      <c r="D5696" s="12"/>
      <c r="E5696" s="13"/>
    </row>
    <row r="5697" spans="1:5" ht="11.1" hidden="1" customHeight="1" x14ac:dyDescent="0.25">
      <c r="A5697" s="12" t="s">
        <v>8005</v>
      </c>
      <c r="B5697" s="12" t="s">
        <v>8006</v>
      </c>
      <c r="C5697" s="14">
        <v>3045.83</v>
      </c>
      <c r="D5697" s="12"/>
      <c r="E5697" s="14"/>
    </row>
    <row r="5698" spans="1:5" ht="11.1" hidden="1" customHeight="1" x14ac:dyDescent="0.25">
      <c r="A5698" s="12" t="s">
        <v>8007</v>
      </c>
      <c r="B5698" s="12" t="s">
        <v>2699</v>
      </c>
      <c r="C5698" s="14">
        <v>424.8</v>
      </c>
      <c r="D5698" s="12"/>
      <c r="E5698" s="13"/>
    </row>
    <row r="5699" spans="1:5" ht="11.1" hidden="1" customHeight="1" x14ac:dyDescent="0.25">
      <c r="A5699" s="12" t="s">
        <v>8008</v>
      </c>
      <c r="B5699" s="12" t="s">
        <v>1187</v>
      </c>
      <c r="C5699" s="14">
        <v>7125</v>
      </c>
      <c r="D5699" s="12"/>
      <c r="E5699" s="14"/>
    </row>
    <row r="5700" spans="1:5" ht="11.1" hidden="1" customHeight="1" x14ac:dyDescent="0.25">
      <c r="A5700" s="12" t="s">
        <v>8009</v>
      </c>
      <c r="B5700" s="12" t="s">
        <v>8010</v>
      </c>
      <c r="C5700" s="14">
        <v>820.87</v>
      </c>
      <c r="D5700" s="12"/>
      <c r="E5700" s="13"/>
    </row>
    <row r="5701" spans="1:5" ht="11.1" hidden="1" customHeight="1" x14ac:dyDescent="0.25">
      <c r="A5701" s="12" t="s">
        <v>8011</v>
      </c>
      <c r="B5701" s="12" t="s">
        <v>1987</v>
      </c>
      <c r="C5701" s="14">
        <v>1905</v>
      </c>
      <c r="D5701" s="12"/>
      <c r="E5701" s="14"/>
    </row>
    <row r="5702" spans="1:5" ht="11.1" hidden="1" customHeight="1" x14ac:dyDescent="0.25">
      <c r="A5702" s="12" t="s">
        <v>8012</v>
      </c>
      <c r="B5702" s="12" t="s">
        <v>8010</v>
      </c>
      <c r="C5702" s="14">
        <v>820.87</v>
      </c>
      <c r="D5702" s="12"/>
      <c r="E5702" s="13"/>
    </row>
    <row r="5703" spans="1:5" ht="11.1" hidden="1" customHeight="1" x14ac:dyDescent="0.25">
      <c r="A5703" s="12" t="s">
        <v>8013</v>
      </c>
      <c r="B5703" s="12" t="s">
        <v>6104</v>
      </c>
      <c r="C5703" s="14">
        <v>4757.5</v>
      </c>
      <c r="D5703" s="12"/>
      <c r="E5703" s="14"/>
    </row>
    <row r="5704" spans="1:5" ht="11.1" hidden="1" customHeight="1" x14ac:dyDescent="0.25">
      <c r="A5704" s="12" t="s">
        <v>8014</v>
      </c>
      <c r="B5704" s="12" t="s">
        <v>8015</v>
      </c>
      <c r="C5704" s="14">
        <v>600</v>
      </c>
      <c r="D5704" s="12"/>
      <c r="E5704" s="13"/>
    </row>
    <row r="5705" spans="1:5" ht="11.1" hidden="1" customHeight="1" x14ac:dyDescent="0.25">
      <c r="A5705" s="12" t="s">
        <v>8016</v>
      </c>
      <c r="B5705" s="12" t="s">
        <v>8017</v>
      </c>
      <c r="C5705" s="14">
        <v>90</v>
      </c>
      <c r="D5705" s="12"/>
      <c r="E5705" s="13"/>
    </row>
    <row r="5706" spans="1:5" ht="11.1" hidden="1" customHeight="1" x14ac:dyDescent="0.25">
      <c r="A5706" s="12" t="s">
        <v>8018</v>
      </c>
      <c r="B5706" s="12" t="s">
        <v>4904</v>
      </c>
      <c r="C5706" s="14">
        <v>2503.34</v>
      </c>
      <c r="D5706" s="12"/>
      <c r="E5706" s="14"/>
    </row>
    <row r="5707" spans="1:5" ht="23.1" hidden="1" customHeight="1" x14ac:dyDescent="0.25">
      <c r="A5707" s="12" t="s">
        <v>8019</v>
      </c>
      <c r="B5707" s="12" t="s">
        <v>8020</v>
      </c>
      <c r="C5707" s="14">
        <v>3747.5</v>
      </c>
      <c r="D5707" s="12"/>
      <c r="E5707" s="14"/>
    </row>
    <row r="5708" spans="1:5" ht="11.1" hidden="1" customHeight="1" x14ac:dyDescent="0.25">
      <c r="A5708" s="12" t="s">
        <v>8021</v>
      </c>
      <c r="B5708" s="12" t="s">
        <v>8022</v>
      </c>
      <c r="C5708" s="14">
        <v>107.25</v>
      </c>
      <c r="D5708" s="12"/>
      <c r="E5708" s="13"/>
    </row>
    <row r="5709" spans="1:5" ht="11.1" hidden="1" customHeight="1" x14ac:dyDescent="0.25">
      <c r="A5709" s="12" t="s">
        <v>8023</v>
      </c>
      <c r="B5709" s="12" t="s">
        <v>8022</v>
      </c>
      <c r="C5709" s="14">
        <v>107.25</v>
      </c>
      <c r="D5709" s="12"/>
      <c r="E5709" s="13"/>
    </row>
    <row r="5710" spans="1:5" ht="23.1" hidden="1" customHeight="1" x14ac:dyDescent="0.25">
      <c r="A5710" s="12" t="s">
        <v>8024</v>
      </c>
      <c r="B5710" s="12" t="s">
        <v>8022</v>
      </c>
      <c r="C5710" s="14">
        <v>107.25</v>
      </c>
      <c r="D5710" s="12"/>
      <c r="E5710" s="13"/>
    </row>
    <row r="5711" spans="1:5" ht="11.1" hidden="1" customHeight="1" x14ac:dyDescent="0.25">
      <c r="A5711" s="12" t="s">
        <v>8025</v>
      </c>
      <c r="B5711" s="12" t="s">
        <v>8022</v>
      </c>
      <c r="C5711" s="14">
        <v>107.25</v>
      </c>
      <c r="D5711" s="12"/>
      <c r="E5711" s="13"/>
    </row>
    <row r="5712" spans="1:5" ht="23.1" hidden="1" customHeight="1" x14ac:dyDescent="0.25">
      <c r="A5712" s="12" t="s">
        <v>8026</v>
      </c>
      <c r="B5712" s="12" t="s">
        <v>8022</v>
      </c>
      <c r="C5712" s="14">
        <v>124.5</v>
      </c>
      <c r="D5712" s="12"/>
      <c r="E5712" s="13"/>
    </row>
    <row r="5713" spans="1:5" ht="11.1" hidden="1" customHeight="1" x14ac:dyDescent="0.25">
      <c r="A5713" s="12" t="s">
        <v>8027</v>
      </c>
      <c r="B5713" s="12" t="s">
        <v>8022</v>
      </c>
      <c r="C5713" s="14">
        <v>124.5</v>
      </c>
      <c r="D5713" s="12"/>
      <c r="E5713" s="13"/>
    </row>
    <row r="5714" spans="1:5" ht="23.1" hidden="1" customHeight="1" x14ac:dyDescent="0.25">
      <c r="A5714" s="12" t="s">
        <v>8028</v>
      </c>
      <c r="B5714" s="12" t="s">
        <v>8022</v>
      </c>
      <c r="C5714" s="14">
        <v>124.5</v>
      </c>
      <c r="D5714" s="12"/>
      <c r="E5714" s="13"/>
    </row>
    <row r="5715" spans="1:5" ht="11.1" hidden="1" customHeight="1" x14ac:dyDescent="0.25">
      <c r="A5715" s="12" t="s">
        <v>8029</v>
      </c>
      <c r="B5715" s="12" t="s">
        <v>8022</v>
      </c>
      <c r="C5715" s="14">
        <v>138.33000000000001</v>
      </c>
      <c r="D5715" s="12"/>
      <c r="E5715" s="13"/>
    </row>
    <row r="5716" spans="1:5" ht="23.1" hidden="1" customHeight="1" x14ac:dyDescent="0.25">
      <c r="A5716" s="12" t="s">
        <v>8030</v>
      </c>
      <c r="B5716" s="12" t="s">
        <v>1754</v>
      </c>
      <c r="C5716" s="14">
        <v>26.67</v>
      </c>
      <c r="D5716" s="12"/>
      <c r="E5716" s="13"/>
    </row>
    <row r="5717" spans="1:5" ht="11.1" hidden="1" customHeight="1" x14ac:dyDescent="0.25">
      <c r="A5717" s="12" t="s">
        <v>8031</v>
      </c>
      <c r="B5717" s="12" t="s">
        <v>8032</v>
      </c>
      <c r="C5717" s="14">
        <v>1991.72</v>
      </c>
      <c r="D5717" s="12"/>
      <c r="E5717" s="14"/>
    </row>
    <row r="5718" spans="1:5" ht="23.1" hidden="1" customHeight="1" x14ac:dyDescent="0.25">
      <c r="A5718" s="12" t="s">
        <v>8033</v>
      </c>
      <c r="B5718" s="12" t="s">
        <v>8034</v>
      </c>
      <c r="C5718" s="14">
        <v>93.24</v>
      </c>
      <c r="D5718" s="12"/>
      <c r="E5718" s="13"/>
    </row>
    <row r="5719" spans="1:5" ht="11.1" hidden="1" customHeight="1" x14ac:dyDescent="0.25">
      <c r="A5719" s="12" t="s">
        <v>8035</v>
      </c>
      <c r="B5719" s="12" t="s">
        <v>8034</v>
      </c>
      <c r="C5719" s="14">
        <v>186.48</v>
      </c>
      <c r="D5719" s="12"/>
      <c r="E5719" s="13"/>
    </row>
    <row r="5720" spans="1:5" ht="23.1" hidden="1" customHeight="1" x14ac:dyDescent="0.25">
      <c r="A5720" s="12" t="s">
        <v>8036</v>
      </c>
      <c r="B5720" s="12" t="s">
        <v>8037</v>
      </c>
      <c r="C5720" s="14">
        <v>2964</v>
      </c>
      <c r="D5720" s="12"/>
      <c r="E5720" s="14"/>
    </row>
    <row r="5721" spans="1:5" ht="11.1" hidden="1" customHeight="1" x14ac:dyDescent="0.25">
      <c r="A5721" s="12" t="s">
        <v>8038</v>
      </c>
      <c r="B5721" s="12" t="s">
        <v>8037</v>
      </c>
      <c r="C5721" s="14">
        <v>3120</v>
      </c>
      <c r="D5721" s="12"/>
      <c r="E5721" s="14"/>
    </row>
    <row r="5722" spans="1:5" ht="23.1" hidden="1" customHeight="1" x14ac:dyDescent="0.25">
      <c r="A5722" s="12" t="s">
        <v>8039</v>
      </c>
      <c r="B5722" s="12" t="s">
        <v>8040</v>
      </c>
      <c r="C5722" s="14">
        <v>2620</v>
      </c>
      <c r="D5722" s="12"/>
      <c r="E5722" s="14"/>
    </row>
    <row r="5723" spans="1:5" ht="11.1" hidden="1" customHeight="1" x14ac:dyDescent="0.25">
      <c r="A5723" s="12" t="s">
        <v>8041</v>
      </c>
      <c r="B5723" s="12" t="s">
        <v>8042</v>
      </c>
      <c r="C5723" s="14">
        <v>41.67</v>
      </c>
      <c r="D5723" s="12"/>
      <c r="E5723" s="13"/>
    </row>
    <row r="5724" spans="1:5" ht="23.1" hidden="1" customHeight="1" x14ac:dyDescent="0.25">
      <c r="A5724" s="12" t="s">
        <v>8043</v>
      </c>
      <c r="B5724" s="12" t="s">
        <v>5774</v>
      </c>
      <c r="C5724" s="14">
        <v>4000</v>
      </c>
      <c r="D5724" s="12"/>
      <c r="E5724" s="14"/>
    </row>
    <row r="5725" spans="1:5" ht="11.1" hidden="1" customHeight="1" x14ac:dyDescent="0.25">
      <c r="A5725" s="12" t="s">
        <v>8044</v>
      </c>
      <c r="B5725" s="12" t="s">
        <v>7514</v>
      </c>
      <c r="C5725" s="14">
        <v>462.5</v>
      </c>
      <c r="D5725" s="12"/>
      <c r="E5725" s="13"/>
    </row>
    <row r="5726" spans="1:5" ht="23.1" hidden="1" customHeight="1" x14ac:dyDescent="0.25">
      <c r="A5726" s="12" t="s">
        <v>8045</v>
      </c>
      <c r="B5726" s="12" t="s">
        <v>8046</v>
      </c>
      <c r="C5726" s="14">
        <v>1283.33</v>
      </c>
      <c r="D5726" s="12"/>
      <c r="E5726" s="14"/>
    </row>
    <row r="5727" spans="1:5" ht="11.1" hidden="1" customHeight="1" x14ac:dyDescent="0.25">
      <c r="A5727" s="12" t="s">
        <v>8047</v>
      </c>
      <c r="B5727" s="12" t="s">
        <v>8048</v>
      </c>
      <c r="C5727" s="14">
        <v>188.33</v>
      </c>
      <c r="D5727" s="12"/>
      <c r="E5727" s="13"/>
    </row>
    <row r="5728" spans="1:5" ht="11.1" hidden="1" customHeight="1" x14ac:dyDescent="0.25">
      <c r="A5728" s="12" t="s">
        <v>8049</v>
      </c>
      <c r="B5728" s="12" t="s">
        <v>8050</v>
      </c>
      <c r="C5728" s="14">
        <v>185.83</v>
      </c>
      <c r="D5728" s="12"/>
      <c r="E5728" s="13"/>
    </row>
    <row r="5729" spans="1:5" ht="11.1" hidden="1" customHeight="1" x14ac:dyDescent="0.25">
      <c r="A5729" s="12" t="s">
        <v>8051</v>
      </c>
      <c r="B5729" s="12" t="s">
        <v>8052</v>
      </c>
      <c r="C5729" s="14">
        <v>123.33</v>
      </c>
      <c r="D5729" s="12"/>
      <c r="E5729" s="13"/>
    </row>
    <row r="5730" spans="1:5" ht="11.1" hidden="1" customHeight="1" x14ac:dyDescent="0.25">
      <c r="A5730" s="12" t="s">
        <v>8053</v>
      </c>
      <c r="B5730" s="12" t="s">
        <v>8050</v>
      </c>
      <c r="C5730" s="14">
        <v>123.33</v>
      </c>
      <c r="D5730" s="12"/>
      <c r="E5730" s="13"/>
    </row>
    <row r="5731" spans="1:5" ht="11.1" hidden="1" customHeight="1" x14ac:dyDescent="0.25">
      <c r="A5731" s="12" t="s">
        <v>8054</v>
      </c>
      <c r="B5731" s="12" t="s">
        <v>3040</v>
      </c>
      <c r="C5731" s="14">
        <v>441.67</v>
      </c>
      <c r="D5731" s="12"/>
      <c r="E5731" s="13"/>
    </row>
    <row r="5732" spans="1:5" ht="11.1" hidden="1" customHeight="1" x14ac:dyDescent="0.25">
      <c r="A5732" s="12" t="s">
        <v>8055</v>
      </c>
      <c r="B5732" s="12" t="s">
        <v>3038</v>
      </c>
      <c r="C5732" s="14">
        <v>353.49</v>
      </c>
      <c r="D5732" s="12"/>
      <c r="E5732" s="13"/>
    </row>
    <row r="5733" spans="1:5" ht="23.1" hidden="1" customHeight="1" x14ac:dyDescent="0.25">
      <c r="A5733" s="12" t="s">
        <v>8056</v>
      </c>
      <c r="B5733" s="12" t="s">
        <v>487</v>
      </c>
      <c r="C5733" s="14">
        <v>177.5</v>
      </c>
      <c r="D5733" s="12"/>
      <c r="E5733" s="13"/>
    </row>
    <row r="5734" spans="1:5" ht="11.1" hidden="1" customHeight="1" x14ac:dyDescent="0.25">
      <c r="A5734" s="12" t="s">
        <v>8057</v>
      </c>
      <c r="B5734" s="12" t="s">
        <v>1613</v>
      </c>
      <c r="C5734" s="14">
        <v>181</v>
      </c>
      <c r="D5734" s="12"/>
      <c r="E5734" s="13"/>
    </row>
    <row r="5735" spans="1:5" ht="23.1" hidden="1" customHeight="1" x14ac:dyDescent="0.25">
      <c r="A5735" s="12" t="s">
        <v>8058</v>
      </c>
      <c r="B5735" s="12" t="s">
        <v>4107</v>
      </c>
      <c r="C5735" s="14">
        <v>70480</v>
      </c>
      <c r="D5735" s="12"/>
      <c r="E5735" s="14"/>
    </row>
    <row r="5736" spans="1:5" ht="11.1" hidden="1" customHeight="1" x14ac:dyDescent="0.25">
      <c r="A5736" s="12" t="s">
        <v>8059</v>
      </c>
      <c r="B5736" s="12" t="s">
        <v>8060</v>
      </c>
      <c r="C5736" s="14">
        <v>41870</v>
      </c>
      <c r="D5736" s="12"/>
      <c r="E5736" s="14"/>
    </row>
    <row r="5737" spans="1:5" ht="23.1" hidden="1" customHeight="1" x14ac:dyDescent="0.25">
      <c r="A5737" s="12" t="s">
        <v>8061</v>
      </c>
      <c r="B5737" s="12" t="s">
        <v>8062</v>
      </c>
      <c r="C5737" s="14">
        <v>46.67</v>
      </c>
      <c r="D5737" s="12"/>
      <c r="E5737" s="13"/>
    </row>
    <row r="5738" spans="1:5" ht="11.1" hidden="1" customHeight="1" x14ac:dyDescent="0.25">
      <c r="A5738" s="12" t="s">
        <v>8063</v>
      </c>
      <c r="B5738" s="12" t="s">
        <v>8064</v>
      </c>
      <c r="C5738" s="14">
        <v>393.64</v>
      </c>
      <c r="D5738" s="12"/>
      <c r="E5738" s="13"/>
    </row>
    <row r="5739" spans="1:5" ht="23.1" hidden="1" customHeight="1" x14ac:dyDescent="0.25">
      <c r="A5739" s="12" t="s">
        <v>8065</v>
      </c>
      <c r="B5739" s="12" t="s">
        <v>3603</v>
      </c>
      <c r="C5739" s="14">
        <v>21.55</v>
      </c>
      <c r="D5739" s="12"/>
      <c r="E5739" s="13"/>
    </row>
    <row r="5740" spans="1:5" ht="11.1" hidden="1" customHeight="1" x14ac:dyDescent="0.25">
      <c r="A5740" s="12" t="s">
        <v>8066</v>
      </c>
      <c r="B5740" s="12" t="s">
        <v>8067</v>
      </c>
      <c r="C5740" s="14">
        <v>26.75</v>
      </c>
      <c r="D5740" s="12"/>
      <c r="E5740" s="13"/>
    </row>
    <row r="5741" spans="1:5" ht="11.1" hidden="1" customHeight="1" x14ac:dyDescent="0.25">
      <c r="A5741" s="12" t="s">
        <v>8068</v>
      </c>
      <c r="B5741" s="12" t="s">
        <v>8069</v>
      </c>
      <c r="C5741" s="14">
        <v>303.33</v>
      </c>
      <c r="D5741" s="12"/>
      <c r="E5741" s="13"/>
    </row>
    <row r="5742" spans="1:5" ht="23.1" hidden="1" customHeight="1" x14ac:dyDescent="0.25">
      <c r="A5742" s="12" t="s">
        <v>8070</v>
      </c>
      <c r="B5742" s="12" t="s">
        <v>8071</v>
      </c>
      <c r="C5742" s="14">
        <v>1031.67</v>
      </c>
      <c r="D5742" s="12"/>
      <c r="E5742" s="14"/>
    </row>
    <row r="5743" spans="1:5" ht="11.1" hidden="1" customHeight="1" x14ac:dyDescent="0.25">
      <c r="A5743" s="12" t="s">
        <v>8072</v>
      </c>
      <c r="B5743" s="12" t="s">
        <v>8073</v>
      </c>
      <c r="C5743" s="14">
        <v>269166</v>
      </c>
      <c r="D5743" s="12"/>
      <c r="E5743" s="14"/>
    </row>
    <row r="5744" spans="1:5" ht="23.1" hidden="1" customHeight="1" x14ac:dyDescent="0.25">
      <c r="A5744" s="12" t="s">
        <v>8074</v>
      </c>
      <c r="B5744" s="12" t="s">
        <v>2063</v>
      </c>
      <c r="C5744" s="14">
        <v>149.16999999999999</v>
      </c>
      <c r="D5744" s="12"/>
      <c r="E5744" s="13"/>
    </row>
    <row r="5745" spans="1:5" ht="11.1" hidden="1" customHeight="1" x14ac:dyDescent="0.25">
      <c r="A5745" s="12" t="s">
        <v>8075</v>
      </c>
      <c r="B5745" s="12" t="s">
        <v>8076</v>
      </c>
      <c r="C5745" s="14">
        <v>574</v>
      </c>
      <c r="D5745" s="12"/>
      <c r="E5745" s="13"/>
    </row>
    <row r="5746" spans="1:5" ht="11.1" hidden="1" customHeight="1" x14ac:dyDescent="0.25">
      <c r="A5746" s="12" t="s">
        <v>8077</v>
      </c>
      <c r="B5746" s="12" t="s">
        <v>2053</v>
      </c>
      <c r="C5746" s="14">
        <v>695</v>
      </c>
      <c r="D5746" s="12"/>
      <c r="E5746" s="13"/>
    </row>
    <row r="5747" spans="1:5" ht="11.1" hidden="1" customHeight="1" x14ac:dyDescent="0.25">
      <c r="A5747" s="12" t="s">
        <v>8078</v>
      </c>
      <c r="B5747" s="12" t="s">
        <v>2053</v>
      </c>
      <c r="C5747" s="14">
        <v>709.16</v>
      </c>
      <c r="D5747" s="12"/>
      <c r="E5747" s="13"/>
    </row>
    <row r="5748" spans="1:5" ht="11.1" hidden="1" customHeight="1" x14ac:dyDescent="0.25">
      <c r="A5748" s="12" t="s">
        <v>8079</v>
      </c>
      <c r="B5748" s="12" t="s">
        <v>2100</v>
      </c>
      <c r="C5748" s="14">
        <v>735.83</v>
      </c>
      <c r="D5748" s="12"/>
      <c r="E5748" s="13"/>
    </row>
    <row r="5749" spans="1:5" ht="11.1" hidden="1" customHeight="1" x14ac:dyDescent="0.25">
      <c r="A5749" s="12" t="s">
        <v>8080</v>
      </c>
      <c r="B5749" s="12" t="s">
        <v>2162</v>
      </c>
      <c r="C5749" s="14">
        <v>1094.17</v>
      </c>
      <c r="D5749" s="12"/>
      <c r="E5749" s="14"/>
    </row>
    <row r="5750" spans="1:5" ht="11.1" hidden="1" customHeight="1" x14ac:dyDescent="0.25">
      <c r="A5750" s="12" t="s">
        <v>8081</v>
      </c>
      <c r="B5750" s="12" t="s">
        <v>2053</v>
      </c>
      <c r="C5750" s="14">
        <v>1064.17</v>
      </c>
      <c r="D5750" s="12"/>
      <c r="E5750" s="14"/>
    </row>
    <row r="5751" spans="1:5" ht="11.1" hidden="1" customHeight="1" x14ac:dyDescent="0.25">
      <c r="A5751" s="12" t="s">
        <v>8082</v>
      </c>
      <c r="B5751" s="12" t="s">
        <v>2044</v>
      </c>
      <c r="C5751" s="14">
        <v>945.84</v>
      </c>
      <c r="D5751" s="12"/>
      <c r="E5751" s="13"/>
    </row>
    <row r="5752" spans="1:5" ht="11.1" hidden="1" customHeight="1" x14ac:dyDescent="0.25">
      <c r="A5752" s="12" t="s">
        <v>8083</v>
      </c>
      <c r="B5752" s="12" t="s">
        <v>2708</v>
      </c>
      <c r="C5752" s="14">
        <v>120</v>
      </c>
      <c r="D5752" s="12"/>
      <c r="E5752" s="13"/>
    </row>
    <row r="5753" spans="1:5" ht="11.1" hidden="1" customHeight="1" x14ac:dyDescent="0.25">
      <c r="A5753" s="12" t="s">
        <v>8084</v>
      </c>
      <c r="B5753" s="12" t="s">
        <v>4034</v>
      </c>
      <c r="C5753" s="14">
        <v>250</v>
      </c>
      <c r="D5753" s="12"/>
      <c r="E5753" s="13"/>
    </row>
    <row r="5754" spans="1:5" ht="11.1" hidden="1" customHeight="1" x14ac:dyDescent="0.25">
      <c r="A5754" s="12" t="s">
        <v>8085</v>
      </c>
      <c r="B5754" s="12" t="s">
        <v>7447</v>
      </c>
      <c r="C5754" s="14">
        <v>51510</v>
      </c>
      <c r="D5754" s="12"/>
      <c r="E5754" s="14"/>
    </row>
    <row r="5755" spans="1:5" ht="11.1" hidden="1" customHeight="1" x14ac:dyDescent="0.25">
      <c r="A5755" s="12" t="s">
        <v>8086</v>
      </c>
      <c r="B5755" s="12" t="s">
        <v>4567</v>
      </c>
      <c r="C5755" s="14">
        <v>50890.83</v>
      </c>
      <c r="D5755" s="12"/>
      <c r="E5755" s="14"/>
    </row>
    <row r="5756" spans="1:5" ht="11.1" hidden="1" customHeight="1" x14ac:dyDescent="0.25">
      <c r="A5756" s="12" t="s">
        <v>8087</v>
      </c>
      <c r="B5756" s="12" t="s">
        <v>561</v>
      </c>
      <c r="C5756" s="14">
        <v>2038.33</v>
      </c>
      <c r="D5756" s="12"/>
      <c r="E5756" s="14"/>
    </row>
    <row r="5757" spans="1:5" ht="11.1" hidden="1" customHeight="1" x14ac:dyDescent="0.25">
      <c r="A5757" s="12" t="s">
        <v>8088</v>
      </c>
      <c r="B5757" s="12" t="s">
        <v>2053</v>
      </c>
      <c r="C5757" s="14">
        <v>1545</v>
      </c>
      <c r="D5757" s="12"/>
      <c r="E5757" s="14"/>
    </row>
    <row r="5758" spans="1:5" ht="11.1" hidden="1" customHeight="1" x14ac:dyDescent="0.25">
      <c r="A5758" s="12" t="s">
        <v>8089</v>
      </c>
      <c r="B5758" s="12" t="s">
        <v>2053</v>
      </c>
      <c r="C5758" s="14">
        <v>2255</v>
      </c>
      <c r="D5758" s="12"/>
      <c r="E5758" s="14"/>
    </row>
    <row r="5759" spans="1:5" ht="11.1" hidden="1" customHeight="1" x14ac:dyDescent="0.25">
      <c r="A5759" s="12" t="s">
        <v>8090</v>
      </c>
      <c r="B5759" s="12" t="s">
        <v>465</v>
      </c>
      <c r="C5759" s="14">
        <v>4658.33</v>
      </c>
      <c r="D5759" s="12"/>
      <c r="E5759" s="14"/>
    </row>
    <row r="5760" spans="1:5" ht="11.1" hidden="1" customHeight="1" x14ac:dyDescent="0.25">
      <c r="A5760" s="12" t="s">
        <v>8091</v>
      </c>
      <c r="B5760" s="12" t="s">
        <v>7447</v>
      </c>
      <c r="C5760" s="14">
        <v>32421.7</v>
      </c>
      <c r="D5760" s="12"/>
      <c r="E5760" s="14"/>
    </row>
    <row r="5761" spans="1:5" ht="11.1" hidden="1" customHeight="1" x14ac:dyDescent="0.25">
      <c r="A5761" s="12" t="s">
        <v>8092</v>
      </c>
      <c r="B5761" s="12" t="s">
        <v>745</v>
      </c>
      <c r="C5761" s="14">
        <v>1581.67</v>
      </c>
      <c r="D5761" s="12"/>
      <c r="E5761" s="14"/>
    </row>
    <row r="5762" spans="1:5" ht="11.1" hidden="1" customHeight="1" x14ac:dyDescent="0.25">
      <c r="A5762" s="12" t="s">
        <v>8093</v>
      </c>
      <c r="B5762" s="12" t="s">
        <v>4223</v>
      </c>
      <c r="C5762" s="14">
        <v>16188.4</v>
      </c>
      <c r="D5762" s="12"/>
      <c r="E5762" s="14"/>
    </row>
    <row r="5763" spans="1:5" ht="11.1" hidden="1" customHeight="1" x14ac:dyDescent="0.25">
      <c r="A5763" s="12" t="s">
        <v>8094</v>
      </c>
      <c r="B5763" s="12" t="s">
        <v>4223</v>
      </c>
      <c r="C5763" s="14">
        <v>9560</v>
      </c>
      <c r="D5763" s="12"/>
      <c r="E5763" s="14"/>
    </row>
    <row r="5764" spans="1:5" ht="11.1" hidden="1" customHeight="1" x14ac:dyDescent="0.25">
      <c r="A5764" s="12" t="s">
        <v>8095</v>
      </c>
      <c r="B5764" s="12" t="s">
        <v>4223</v>
      </c>
      <c r="C5764" s="14">
        <v>10610</v>
      </c>
      <c r="D5764" s="12"/>
      <c r="E5764" s="14"/>
    </row>
    <row r="5765" spans="1:5" ht="11.1" hidden="1" customHeight="1" x14ac:dyDescent="0.25">
      <c r="A5765" s="12" t="s">
        <v>8096</v>
      </c>
      <c r="B5765" s="12" t="s">
        <v>4223</v>
      </c>
      <c r="C5765" s="14">
        <v>13729.1</v>
      </c>
      <c r="D5765" s="12"/>
      <c r="E5765" s="14"/>
    </row>
    <row r="5766" spans="1:5" ht="11.1" hidden="1" customHeight="1" x14ac:dyDescent="0.25">
      <c r="A5766" s="12" t="s">
        <v>8097</v>
      </c>
      <c r="B5766" s="12" t="s">
        <v>3314</v>
      </c>
      <c r="C5766" s="14">
        <v>18680.68</v>
      </c>
      <c r="D5766" s="12"/>
      <c r="E5766" s="14"/>
    </row>
    <row r="5767" spans="1:5" ht="11.1" hidden="1" customHeight="1" x14ac:dyDescent="0.25">
      <c r="A5767" s="12" t="s">
        <v>8098</v>
      </c>
      <c r="B5767" s="12" t="s">
        <v>8099</v>
      </c>
      <c r="C5767" s="14">
        <v>7014.05</v>
      </c>
      <c r="D5767" s="12"/>
      <c r="E5767" s="14"/>
    </row>
    <row r="5768" spans="1:5" ht="11.1" hidden="1" customHeight="1" x14ac:dyDescent="0.25">
      <c r="A5768" s="12" t="s">
        <v>8100</v>
      </c>
      <c r="B5768" s="12" t="s">
        <v>8101</v>
      </c>
      <c r="C5768" s="14">
        <v>357</v>
      </c>
      <c r="D5768" s="12"/>
      <c r="E5768" s="13"/>
    </row>
    <row r="5769" spans="1:5" ht="11.1" hidden="1" customHeight="1" x14ac:dyDescent="0.25">
      <c r="A5769" s="12" t="s">
        <v>8102</v>
      </c>
      <c r="B5769" s="12" t="s">
        <v>8103</v>
      </c>
      <c r="C5769" s="14">
        <v>47750</v>
      </c>
      <c r="D5769" s="12"/>
      <c r="E5769" s="14"/>
    </row>
    <row r="5770" spans="1:5" ht="11.1" hidden="1" customHeight="1" x14ac:dyDescent="0.25">
      <c r="A5770" s="12" t="s">
        <v>8104</v>
      </c>
      <c r="B5770" s="12" t="s">
        <v>8105</v>
      </c>
      <c r="C5770" s="14">
        <v>16</v>
      </c>
      <c r="D5770" s="12"/>
      <c r="E5770" s="13"/>
    </row>
    <row r="5771" spans="1:5" ht="11.1" hidden="1" customHeight="1" x14ac:dyDescent="0.25">
      <c r="A5771" s="12" t="s">
        <v>8106</v>
      </c>
      <c r="B5771" s="12" t="s">
        <v>2162</v>
      </c>
      <c r="C5771" s="14">
        <v>255.55</v>
      </c>
      <c r="D5771" s="12"/>
      <c r="E5771" s="13"/>
    </row>
    <row r="5772" spans="1:5" ht="11.1" hidden="1" customHeight="1" x14ac:dyDescent="0.25">
      <c r="A5772" s="12" t="s">
        <v>8107</v>
      </c>
      <c r="B5772" s="12" t="s">
        <v>1987</v>
      </c>
      <c r="C5772" s="14">
        <v>261.67</v>
      </c>
      <c r="D5772" s="12"/>
      <c r="E5772" s="13"/>
    </row>
    <row r="5773" spans="1:5" ht="11.1" hidden="1" customHeight="1" x14ac:dyDescent="0.25">
      <c r="A5773" s="12" t="s">
        <v>8108</v>
      </c>
      <c r="B5773" s="12" t="s">
        <v>717</v>
      </c>
      <c r="C5773" s="14">
        <v>9.17</v>
      </c>
      <c r="D5773" s="12"/>
      <c r="E5773" s="13"/>
    </row>
    <row r="5774" spans="1:5" ht="11.1" hidden="1" customHeight="1" x14ac:dyDescent="0.25">
      <c r="A5774" s="12" t="s">
        <v>8109</v>
      </c>
      <c r="B5774" s="12" t="s">
        <v>8110</v>
      </c>
      <c r="C5774" s="14">
        <v>2</v>
      </c>
      <c r="D5774" s="12"/>
      <c r="E5774" s="13"/>
    </row>
    <row r="5775" spans="1:5" ht="11.1" hidden="1" customHeight="1" x14ac:dyDescent="0.25">
      <c r="A5775" s="12" t="s">
        <v>8111</v>
      </c>
      <c r="B5775" s="12" t="s">
        <v>8112</v>
      </c>
      <c r="C5775" s="14">
        <v>76.58</v>
      </c>
      <c r="D5775" s="12"/>
      <c r="E5775" s="13"/>
    </row>
    <row r="5776" spans="1:5" ht="11.1" hidden="1" customHeight="1" x14ac:dyDescent="0.25">
      <c r="A5776" s="12" t="s">
        <v>8113</v>
      </c>
      <c r="B5776" s="12" t="s">
        <v>4465</v>
      </c>
      <c r="C5776" s="14">
        <v>10610.84</v>
      </c>
      <c r="D5776" s="12"/>
      <c r="E5776" s="14"/>
    </row>
    <row r="5777" spans="1:5" ht="11.1" hidden="1" customHeight="1" x14ac:dyDescent="0.25">
      <c r="A5777" s="12" t="s">
        <v>8114</v>
      </c>
      <c r="B5777" s="12" t="s">
        <v>8115</v>
      </c>
      <c r="C5777" s="14">
        <v>80.83</v>
      </c>
      <c r="D5777" s="12"/>
      <c r="E5777" s="13"/>
    </row>
    <row r="5778" spans="1:5" ht="11.1" hidden="1" customHeight="1" x14ac:dyDescent="0.25">
      <c r="A5778" s="12" t="s">
        <v>8116</v>
      </c>
      <c r="B5778" s="12" t="s">
        <v>4107</v>
      </c>
      <c r="C5778" s="14">
        <v>4640</v>
      </c>
      <c r="D5778" s="12"/>
      <c r="E5778" s="14"/>
    </row>
    <row r="5779" spans="1:5" ht="11.1" hidden="1" customHeight="1" x14ac:dyDescent="0.25">
      <c r="A5779" s="12" t="s">
        <v>8117</v>
      </c>
      <c r="B5779" s="12" t="s">
        <v>8118</v>
      </c>
      <c r="C5779" s="14">
        <v>545.83000000000004</v>
      </c>
      <c r="D5779" s="12"/>
      <c r="E5779" s="13"/>
    </row>
    <row r="5780" spans="1:5" ht="11.1" hidden="1" customHeight="1" x14ac:dyDescent="0.25">
      <c r="A5780" s="12" t="s">
        <v>8119</v>
      </c>
      <c r="B5780" s="12" t="s">
        <v>2826</v>
      </c>
      <c r="C5780" s="14">
        <v>70.92</v>
      </c>
      <c r="D5780" s="12"/>
      <c r="E5780" s="13"/>
    </row>
    <row r="5781" spans="1:5" ht="11.1" hidden="1" customHeight="1" x14ac:dyDescent="0.25">
      <c r="A5781" s="12" t="s">
        <v>8120</v>
      </c>
      <c r="B5781" s="12" t="s">
        <v>2042</v>
      </c>
      <c r="C5781" s="14">
        <v>138.33000000000001</v>
      </c>
      <c r="D5781" s="12"/>
      <c r="E5781" s="13"/>
    </row>
    <row r="5782" spans="1:5" ht="11.1" hidden="1" customHeight="1" x14ac:dyDescent="0.25">
      <c r="A5782" s="12" t="s">
        <v>8121</v>
      </c>
      <c r="B5782" s="12" t="s">
        <v>2826</v>
      </c>
      <c r="C5782" s="14">
        <v>64.75</v>
      </c>
      <c r="D5782" s="12"/>
      <c r="E5782" s="13"/>
    </row>
    <row r="5783" spans="1:5" ht="11.1" hidden="1" customHeight="1" x14ac:dyDescent="0.25">
      <c r="A5783" s="12" t="s">
        <v>8122</v>
      </c>
      <c r="B5783" s="12" t="s">
        <v>2826</v>
      </c>
      <c r="C5783" s="14">
        <v>264.17</v>
      </c>
      <c r="D5783" s="12"/>
      <c r="E5783" s="13"/>
    </row>
    <row r="5784" spans="1:5" ht="11.1" hidden="1" customHeight="1" x14ac:dyDescent="0.25">
      <c r="A5784" s="12" t="s">
        <v>8123</v>
      </c>
      <c r="B5784" s="12" t="s">
        <v>8124</v>
      </c>
      <c r="C5784" s="14">
        <v>1698</v>
      </c>
      <c r="D5784" s="12"/>
      <c r="E5784" s="14"/>
    </row>
    <row r="5785" spans="1:5" ht="11.1" hidden="1" customHeight="1" x14ac:dyDescent="0.25">
      <c r="A5785" s="12" t="s">
        <v>8125</v>
      </c>
      <c r="B5785" s="12" t="s">
        <v>391</v>
      </c>
      <c r="C5785" s="14">
        <v>171.67</v>
      </c>
      <c r="D5785" s="12"/>
      <c r="E5785" s="13"/>
    </row>
    <row r="5786" spans="1:5" ht="11.1" hidden="1" customHeight="1" x14ac:dyDescent="0.25">
      <c r="A5786" s="12" t="s">
        <v>8126</v>
      </c>
      <c r="B5786" s="12" t="s">
        <v>8127</v>
      </c>
      <c r="C5786" s="14">
        <v>59</v>
      </c>
      <c r="D5786" s="12"/>
      <c r="E5786" s="13"/>
    </row>
    <row r="5787" spans="1:5" ht="11.1" hidden="1" customHeight="1" x14ac:dyDescent="0.25">
      <c r="A5787" s="12" t="s">
        <v>8128</v>
      </c>
      <c r="B5787" s="12" t="s">
        <v>1368</v>
      </c>
      <c r="C5787" s="14">
        <v>2649.17</v>
      </c>
      <c r="D5787" s="12"/>
      <c r="E5787" s="14"/>
    </row>
    <row r="5788" spans="1:5" ht="11.1" hidden="1" customHeight="1" x14ac:dyDescent="0.25">
      <c r="A5788" s="12" t="s">
        <v>8129</v>
      </c>
      <c r="B5788" s="12" t="s">
        <v>8130</v>
      </c>
      <c r="C5788" s="14">
        <v>8295</v>
      </c>
      <c r="D5788" s="12"/>
      <c r="E5788" s="14"/>
    </row>
    <row r="5789" spans="1:5" ht="11.1" hidden="1" customHeight="1" x14ac:dyDescent="0.25">
      <c r="A5789" s="12" t="s">
        <v>8131</v>
      </c>
      <c r="B5789" s="12" t="s">
        <v>7839</v>
      </c>
      <c r="C5789" s="14">
        <v>470</v>
      </c>
      <c r="D5789" s="12"/>
      <c r="E5789" s="13"/>
    </row>
    <row r="5790" spans="1:5" ht="23.1" hidden="1" customHeight="1" x14ac:dyDescent="0.25">
      <c r="A5790" s="12" t="s">
        <v>8132</v>
      </c>
      <c r="B5790" s="12" t="s">
        <v>878</v>
      </c>
      <c r="C5790" s="14">
        <v>589.16999999999996</v>
      </c>
      <c r="D5790" s="12"/>
      <c r="E5790" s="13"/>
    </row>
    <row r="5791" spans="1:5" ht="11.1" hidden="1" customHeight="1" x14ac:dyDescent="0.25">
      <c r="A5791" s="12" t="s">
        <v>8133</v>
      </c>
      <c r="B5791" s="12" t="s">
        <v>301</v>
      </c>
      <c r="C5791" s="14">
        <v>445.83</v>
      </c>
      <c r="D5791" s="12"/>
      <c r="E5791" s="13"/>
    </row>
    <row r="5792" spans="1:5" ht="11.1" hidden="1" customHeight="1" x14ac:dyDescent="0.25">
      <c r="A5792" s="12" t="s">
        <v>8134</v>
      </c>
      <c r="B5792" s="12" t="s">
        <v>530</v>
      </c>
      <c r="C5792" s="14">
        <v>127.5</v>
      </c>
      <c r="D5792" s="12"/>
      <c r="E5792" s="13"/>
    </row>
    <row r="5793" spans="1:5" ht="11.1" hidden="1" customHeight="1" x14ac:dyDescent="0.25">
      <c r="A5793" s="12" t="s">
        <v>8135</v>
      </c>
      <c r="B5793" s="12" t="s">
        <v>494</v>
      </c>
      <c r="C5793" s="14">
        <v>146.66999999999999</v>
      </c>
      <c r="D5793" s="12"/>
      <c r="E5793" s="13"/>
    </row>
    <row r="5794" spans="1:5" ht="11.1" hidden="1" customHeight="1" x14ac:dyDescent="0.25">
      <c r="A5794" s="12" t="s">
        <v>8136</v>
      </c>
      <c r="B5794" s="12" t="s">
        <v>8137</v>
      </c>
      <c r="C5794" s="14">
        <v>1991.67</v>
      </c>
      <c r="D5794" s="12"/>
      <c r="E5794" s="14"/>
    </row>
    <row r="5795" spans="1:5" ht="11.1" hidden="1" customHeight="1" x14ac:dyDescent="0.25">
      <c r="A5795" s="12" t="s">
        <v>8138</v>
      </c>
      <c r="B5795" s="12" t="s">
        <v>8139</v>
      </c>
      <c r="C5795" s="14">
        <v>90</v>
      </c>
      <c r="D5795" s="12"/>
      <c r="E5795" s="13"/>
    </row>
    <row r="5796" spans="1:5" ht="11.1" hidden="1" customHeight="1" x14ac:dyDescent="0.25">
      <c r="A5796" s="12" t="s">
        <v>8140</v>
      </c>
      <c r="B5796" s="12" t="s">
        <v>8141</v>
      </c>
      <c r="C5796" s="14">
        <v>4145.83</v>
      </c>
      <c r="D5796" s="12"/>
      <c r="E5796" s="14"/>
    </row>
    <row r="5797" spans="1:5" ht="11.1" hidden="1" customHeight="1" x14ac:dyDescent="0.25">
      <c r="A5797" s="12" t="s">
        <v>8142</v>
      </c>
      <c r="B5797" s="12" t="s">
        <v>8143</v>
      </c>
      <c r="C5797" s="14">
        <v>14166.67</v>
      </c>
      <c r="D5797" s="12"/>
      <c r="E5797" s="14"/>
    </row>
    <row r="5798" spans="1:5" ht="11.1" hidden="1" customHeight="1" x14ac:dyDescent="0.25">
      <c r="A5798" s="12" t="s">
        <v>8144</v>
      </c>
      <c r="B5798" s="12" t="s">
        <v>2348</v>
      </c>
      <c r="C5798" s="14">
        <v>7027.5</v>
      </c>
      <c r="D5798" s="12"/>
      <c r="E5798" s="14"/>
    </row>
    <row r="5799" spans="1:5" ht="11.1" hidden="1" customHeight="1" x14ac:dyDescent="0.25">
      <c r="A5799" s="12" t="s">
        <v>8145</v>
      </c>
      <c r="B5799" s="12" t="s">
        <v>8146</v>
      </c>
      <c r="C5799" s="14">
        <v>11160.83</v>
      </c>
      <c r="D5799" s="12"/>
      <c r="E5799" s="14"/>
    </row>
    <row r="5800" spans="1:5" ht="11.1" hidden="1" customHeight="1" x14ac:dyDescent="0.25">
      <c r="A5800" s="12" t="s">
        <v>8147</v>
      </c>
      <c r="B5800" s="12" t="s">
        <v>193</v>
      </c>
      <c r="C5800" s="14">
        <v>114.44</v>
      </c>
      <c r="D5800" s="12"/>
      <c r="E5800" s="13"/>
    </row>
    <row r="5801" spans="1:5" ht="11.1" hidden="1" customHeight="1" x14ac:dyDescent="0.25">
      <c r="A5801" s="12" t="s">
        <v>8148</v>
      </c>
      <c r="B5801" s="12" t="s">
        <v>1704</v>
      </c>
      <c r="C5801" s="14">
        <v>2697</v>
      </c>
      <c r="D5801" s="12"/>
      <c r="E5801" s="14"/>
    </row>
    <row r="5802" spans="1:5" ht="11.1" hidden="1" customHeight="1" x14ac:dyDescent="0.25">
      <c r="A5802" s="12" t="s">
        <v>8149</v>
      </c>
      <c r="B5802" s="12" t="s">
        <v>8150</v>
      </c>
      <c r="C5802" s="14">
        <v>6133</v>
      </c>
      <c r="D5802" s="12"/>
      <c r="E5802" s="14"/>
    </row>
    <row r="5803" spans="1:5" ht="11.1" hidden="1" customHeight="1" x14ac:dyDescent="0.25">
      <c r="A5803" s="12" t="s">
        <v>8151</v>
      </c>
      <c r="B5803" s="12" t="s">
        <v>8152</v>
      </c>
      <c r="C5803" s="14">
        <v>14500</v>
      </c>
      <c r="D5803" s="12"/>
      <c r="E5803" s="14"/>
    </row>
    <row r="5804" spans="1:5" ht="11.1" hidden="1" customHeight="1" x14ac:dyDescent="0.25">
      <c r="A5804" s="12" t="s">
        <v>8153</v>
      </c>
      <c r="B5804" s="12" t="s">
        <v>3111</v>
      </c>
      <c r="C5804" s="14">
        <v>502.5</v>
      </c>
      <c r="D5804" s="12"/>
      <c r="E5804" s="13"/>
    </row>
    <row r="5805" spans="1:5" ht="11.1" hidden="1" customHeight="1" x14ac:dyDescent="0.25">
      <c r="A5805" s="12" t="s">
        <v>8154</v>
      </c>
      <c r="B5805" s="12" t="s">
        <v>5934</v>
      </c>
      <c r="C5805" s="14">
        <v>15600</v>
      </c>
      <c r="D5805" s="12"/>
      <c r="E5805" s="14"/>
    </row>
    <row r="5806" spans="1:5" ht="11.1" hidden="1" customHeight="1" x14ac:dyDescent="0.25">
      <c r="A5806" s="12" t="s">
        <v>8155</v>
      </c>
      <c r="B5806" s="12" t="s">
        <v>5934</v>
      </c>
      <c r="C5806" s="14">
        <v>19000</v>
      </c>
      <c r="D5806" s="12"/>
      <c r="E5806" s="14"/>
    </row>
    <row r="5807" spans="1:5" ht="11.1" hidden="1" customHeight="1" x14ac:dyDescent="0.25">
      <c r="A5807" s="12" t="s">
        <v>8156</v>
      </c>
      <c r="B5807" s="12" t="s">
        <v>5934</v>
      </c>
      <c r="C5807" s="14">
        <v>19708.330000000002</v>
      </c>
      <c r="D5807" s="12"/>
      <c r="E5807" s="14"/>
    </row>
    <row r="5808" spans="1:5" ht="11.1" hidden="1" customHeight="1" x14ac:dyDescent="0.25">
      <c r="A5808" s="12" t="s">
        <v>8157</v>
      </c>
      <c r="B5808" s="12" t="s">
        <v>5934</v>
      </c>
      <c r="C5808" s="14">
        <v>7383.33</v>
      </c>
      <c r="D5808" s="12"/>
      <c r="E5808" s="14"/>
    </row>
    <row r="5809" spans="1:5" ht="23.1" hidden="1" customHeight="1" x14ac:dyDescent="0.25">
      <c r="A5809" s="12" t="s">
        <v>8158</v>
      </c>
      <c r="B5809" s="12" t="s">
        <v>2630</v>
      </c>
      <c r="C5809" s="14">
        <v>3057.08</v>
      </c>
      <c r="D5809" s="12"/>
      <c r="E5809" s="14"/>
    </row>
    <row r="5810" spans="1:5" ht="23.1" hidden="1" customHeight="1" x14ac:dyDescent="0.25">
      <c r="A5810" s="12" t="s">
        <v>8159</v>
      </c>
      <c r="B5810" s="12" t="s">
        <v>2630</v>
      </c>
      <c r="C5810" s="14">
        <v>3057.08</v>
      </c>
      <c r="D5810" s="12"/>
      <c r="E5810" s="14"/>
    </row>
    <row r="5811" spans="1:5" ht="23.1" hidden="1" customHeight="1" x14ac:dyDescent="0.25">
      <c r="A5811" s="12" t="s">
        <v>8160</v>
      </c>
      <c r="B5811" s="12" t="s">
        <v>8161</v>
      </c>
      <c r="C5811" s="14">
        <v>2583.33</v>
      </c>
      <c r="D5811" s="12"/>
      <c r="E5811" s="14"/>
    </row>
    <row r="5812" spans="1:5" ht="11.1" hidden="1" customHeight="1" x14ac:dyDescent="0.25">
      <c r="A5812" s="12" t="s">
        <v>8162</v>
      </c>
      <c r="B5812" s="12" t="s">
        <v>2624</v>
      </c>
      <c r="C5812" s="14">
        <v>9166.67</v>
      </c>
      <c r="D5812" s="12"/>
      <c r="E5812" s="14"/>
    </row>
    <row r="5813" spans="1:5" ht="11.1" hidden="1" customHeight="1" x14ac:dyDescent="0.25">
      <c r="A5813" s="12" t="s">
        <v>8163</v>
      </c>
      <c r="B5813" s="12" t="s">
        <v>2609</v>
      </c>
      <c r="C5813" s="14">
        <v>11005</v>
      </c>
      <c r="D5813" s="12"/>
      <c r="E5813" s="14"/>
    </row>
    <row r="5814" spans="1:5" ht="23.1" hidden="1" customHeight="1" x14ac:dyDescent="0.25">
      <c r="A5814" s="12" t="s">
        <v>8164</v>
      </c>
      <c r="B5814" s="12" t="s">
        <v>2612</v>
      </c>
      <c r="C5814" s="14">
        <v>10358.33</v>
      </c>
      <c r="D5814" s="12"/>
      <c r="E5814" s="14"/>
    </row>
    <row r="5815" spans="1:5" ht="23.1" hidden="1" customHeight="1" x14ac:dyDescent="0.25">
      <c r="A5815" s="12" t="s">
        <v>8165</v>
      </c>
      <c r="B5815" s="12" t="s">
        <v>2612</v>
      </c>
      <c r="C5815" s="14">
        <v>10358.33</v>
      </c>
      <c r="D5815" s="12"/>
      <c r="E5815" s="14"/>
    </row>
    <row r="5816" spans="1:5" ht="11.1" hidden="1" customHeight="1" x14ac:dyDescent="0.25">
      <c r="A5816" s="12" t="s">
        <v>8166</v>
      </c>
      <c r="B5816" s="12" t="s">
        <v>8167</v>
      </c>
      <c r="C5816" s="14">
        <v>21297.5</v>
      </c>
      <c r="D5816" s="12"/>
      <c r="E5816" s="14"/>
    </row>
    <row r="5817" spans="1:5" ht="11.1" hidden="1" customHeight="1" x14ac:dyDescent="0.25">
      <c r="A5817" s="12" t="s">
        <v>8168</v>
      </c>
      <c r="B5817" s="12" t="s">
        <v>2609</v>
      </c>
      <c r="C5817" s="14">
        <v>9908.33</v>
      </c>
      <c r="D5817" s="12"/>
      <c r="E5817" s="14"/>
    </row>
    <row r="5818" spans="1:5" ht="11.1" hidden="1" customHeight="1" x14ac:dyDescent="0.25">
      <c r="A5818" s="12" t="s">
        <v>8169</v>
      </c>
      <c r="B5818" s="12" t="s">
        <v>2609</v>
      </c>
      <c r="C5818" s="14">
        <v>11506.67</v>
      </c>
      <c r="D5818" s="12"/>
      <c r="E5818" s="14"/>
    </row>
    <row r="5819" spans="1:5" ht="11.1" hidden="1" customHeight="1" x14ac:dyDescent="0.25">
      <c r="A5819" s="12" t="s">
        <v>8170</v>
      </c>
      <c r="B5819" s="12" t="s">
        <v>2609</v>
      </c>
      <c r="C5819" s="14">
        <v>13905</v>
      </c>
      <c r="D5819" s="12"/>
      <c r="E5819" s="14"/>
    </row>
    <row r="5820" spans="1:5" ht="11.1" hidden="1" customHeight="1" x14ac:dyDescent="0.25">
      <c r="A5820" s="12" t="s">
        <v>8171</v>
      </c>
      <c r="B5820" s="12" t="s">
        <v>2609</v>
      </c>
      <c r="C5820" s="14">
        <v>13905</v>
      </c>
      <c r="D5820" s="12"/>
      <c r="E5820" s="14"/>
    </row>
    <row r="5821" spans="1:5" ht="23.1" hidden="1" customHeight="1" x14ac:dyDescent="0.25">
      <c r="A5821" s="12" t="s">
        <v>8172</v>
      </c>
      <c r="B5821" s="12" t="s">
        <v>2609</v>
      </c>
      <c r="C5821" s="14">
        <v>13905</v>
      </c>
      <c r="D5821" s="12"/>
      <c r="E5821" s="14"/>
    </row>
    <row r="5822" spans="1:5" ht="11.1" hidden="1" customHeight="1" x14ac:dyDescent="0.25">
      <c r="A5822" s="12" t="s">
        <v>8173</v>
      </c>
      <c r="B5822" s="12" t="s">
        <v>8174</v>
      </c>
      <c r="C5822" s="14">
        <v>27130.83</v>
      </c>
      <c r="D5822" s="12"/>
      <c r="E5822" s="14"/>
    </row>
    <row r="5823" spans="1:5" ht="11.1" hidden="1" customHeight="1" x14ac:dyDescent="0.25">
      <c r="A5823" s="12" t="s">
        <v>8175</v>
      </c>
      <c r="B5823" s="12" t="s">
        <v>8176</v>
      </c>
      <c r="C5823" s="14">
        <v>25000</v>
      </c>
      <c r="D5823" s="12"/>
      <c r="E5823" s="14"/>
    </row>
    <row r="5824" spans="1:5" ht="11.1" hidden="1" customHeight="1" x14ac:dyDescent="0.25">
      <c r="A5824" s="12" t="s">
        <v>8177</v>
      </c>
      <c r="B5824" s="12" t="s">
        <v>5934</v>
      </c>
      <c r="C5824" s="14">
        <v>34625</v>
      </c>
      <c r="D5824" s="12"/>
      <c r="E5824" s="14"/>
    </row>
    <row r="5825" spans="1:5" ht="11.1" hidden="1" customHeight="1" x14ac:dyDescent="0.25">
      <c r="A5825" s="12" t="s">
        <v>8178</v>
      </c>
      <c r="B5825" s="12" t="s">
        <v>2633</v>
      </c>
      <c r="C5825" s="14">
        <v>32637.5</v>
      </c>
      <c r="D5825" s="12"/>
      <c r="E5825" s="14"/>
    </row>
    <row r="5826" spans="1:5" ht="11.1" hidden="1" customHeight="1" x14ac:dyDescent="0.25">
      <c r="A5826" s="12" t="s">
        <v>8179</v>
      </c>
      <c r="B5826" s="12" t="s">
        <v>8180</v>
      </c>
      <c r="C5826" s="14">
        <v>13691.5</v>
      </c>
      <c r="D5826" s="12"/>
      <c r="E5826" s="14"/>
    </row>
    <row r="5827" spans="1:5" ht="11.1" hidden="1" customHeight="1" x14ac:dyDescent="0.25">
      <c r="A5827" s="12" t="s">
        <v>8181</v>
      </c>
      <c r="B5827" s="12" t="s">
        <v>8182</v>
      </c>
      <c r="C5827" s="14">
        <v>4495.83</v>
      </c>
      <c r="D5827" s="12"/>
      <c r="E5827" s="14"/>
    </row>
    <row r="5828" spans="1:5" ht="11.1" hidden="1" customHeight="1" x14ac:dyDescent="0.25">
      <c r="A5828" s="12" t="s">
        <v>8183</v>
      </c>
      <c r="B5828" s="12" t="s">
        <v>8184</v>
      </c>
      <c r="C5828" s="14">
        <v>8643000</v>
      </c>
      <c r="D5828" s="12"/>
      <c r="E5828" s="14"/>
    </row>
    <row r="5829" spans="1:5" ht="11.1" hidden="1" customHeight="1" x14ac:dyDescent="0.25">
      <c r="A5829" s="12" t="s">
        <v>8185</v>
      </c>
      <c r="B5829" s="12" t="s">
        <v>1521</v>
      </c>
      <c r="C5829" s="14">
        <v>2545.83</v>
      </c>
      <c r="D5829" s="12"/>
      <c r="E5829" s="14"/>
    </row>
    <row r="5830" spans="1:5" ht="11.1" hidden="1" customHeight="1" x14ac:dyDescent="0.25">
      <c r="A5830" s="12" t="s">
        <v>8186</v>
      </c>
      <c r="B5830" s="12" t="s">
        <v>8187</v>
      </c>
      <c r="C5830" s="14">
        <v>9490.83</v>
      </c>
      <c r="D5830" s="12"/>
      <c r="E5830" s="14"/>
    </row>
    <row r="5831" spans="1:5" ht="11.1" hidden="1" customHeight="1" x14ac:dyDescent="0.25">
      <c r="A5831" s="12" t="s">
        <v>8188</v>
      </c>
      <c r="B5831" s="12" t="s">
        <v>8189</v>
      </c>
      <c r="C5831" s="14">
        <v>3690</v>
      </c>
      <c r="D5831" s="12"/>
      <c r="E5831" s="14"/>
    </row>
    <row r="5832" spans="1:5" ht="11.1" hidden="1" customHeight="1" x14ac:dyDescent="0.25">
      <c r="A5832" s="12" t="s">
        <v>8190</v>
      </c>
      <c r="B5832" s="12" t="s">
        <v>8191</v>
      </c>
      <c r="C5832" s="14">
        <v>2937</v>
      </c>
      <c r="D5832" s="12"/>
      <c r="E5832" s="14"/>
    </row>
    <row r="5833" spans="1:5" ht="11.1" hidden="1" customHeight="1" x14ac:dyDescent="0.25">
      <c r="A5833" s="12" t="s">
        <v>8192</v>
      </c>
      <c r="B5833" s="12" t="s">
        <v>8193</v>
      </c>
      <c r="C5833" s="14">
        <v>227716</v>
      </c>
      <c r="D5833" s="12"/>
      <c r="E5833" s="14"/>
    </row>
    <row r="5834" spans="1:5" ht="11.1" hidden="1" customHeight="1" x14ac:dyDescent="0.25">
      <c r="A5834" s="12" t="s">
        <v>8194</v>
      </c>
      <c r="B5834" s="12" t="s">
        <v>8195</v>
      </c>
      <c r="C5834" s="14">
        <v>1000</v>
      </c>
      <c r="D5834" s="12"/>
      <c r="E5834" s="14"/>
    </row>
    <row r="5835" spans="1:5" ht="11.1" hidden="1" customHeight="1" x14ac:dyDescent="0.25">
      <c r="A5835" s="12" t="s">
        <v>8196</v>
      </c>
      <c r="B5835" s="12" t="s">
        <v>8197</v>
      </c>
      <c r="C5835" s="14">
        <v>5448</v>
      </c>
      <c r="D5835" s="12"/>
      <c r="E5835" s="14"/>
    </row>
    <row r="5836" spans="1:5" ht="11.1" hidden="1" customHeight="1" x14ac:dyDescent="0.25">
      <c r="A5836" s="12" t="s">
        <v>8198</v>
      </c>
      <c r="B5836" s="12" t="s">
        <v>370</v>
      </c>
      <c r="C5836" s="14">
        <v>3398.33</v>
      </c>
      <c r="D5836" s="12"/>
      <c r="E5836" s="14"/>
    </row>
    <row r="5837" spans="1:5" ht="11.1" hidden="1" customHeight="1" x14ac:dyDescent="0.25">
      <c r="A5837" s="12" t="s">
        <v>8199</v>
      </c>
      <c r="B5837" s="12" t="s">
        <v>2806</v>
      </c>
      <c r="C5837" s="14">
        <v>171.67</v>
      </c>
      <c r="D5837" s="12"/>
      <c r="E5837" s="13"/>
    </row>
    <row r="5838" spans="1:5" ht="11.1" hidden="1" customHeight="1" x14ac:dyDescent="0.25">
      <c r="A5838" s="12" t="s">
        <v>8200</v>
      </c>
      <c r="B5838" s="12" t="s">
        <v>2588</v>
      </c>
      <c r="C5838" s="14">
        <v>1413.96</v>
      </c>
      <c r="D5838" s="12"/>
      <c r="E5838" s="14"/>
    </row>
    <row r="5839" spans="1:5" ht="11.1" hidden="1" customHeight="1" x14ac:dyDescent="0.25">
      <c r="A5839" s="12" t="s">
        <v>8201</v>
      </c>
      <c r="B5839" s="12" t="s">
        <v>3334</v>
      </c>
      <c r="C5839" s="14">
        <v>55</v>
      </c>
      <c r="D5839" s="12"/>
      <c r="E5839" s="13"/>
    </row>
    <row r="5840" spans="1:5" ht="11.1" hidden="1" customHeight="1" x14ac:dyDescent="0.25">
      <c r="A5840" s="12" t="s">
        <v>8202</v>
      </c>
      <c r="B5840" s="12" t="s">
        <v>745</v>
      </c>
      <c r="C5840" s="14">
        <v>372.5</v>
      </c>
      <c r="D5840" s="12"/>
      <c r="E5840" s="13"/>
    </row>
    <row r="5841" spans="1:5" ht="11.1" hidden="1" customHeight="1" x14ac:dyDescent="0.25">
      <c r="A5841" s="12" t="s">
        <v>8203</v>
      </c>
      <c r="B5841" s="12" t="s">
        <v>387</v>
      </c>
      <c r="C5841" s="14">
        <v>237.5</v>
      </c>
      <c r="D5841" s="12"/>
      <c r="E5841" s="13"/>
    </row>
    <row r="5842" spans="1:5" ht="11.1" hidden="1" customHeight="1" x14ac:dyDescent="0.25">
      <c r="A5842" s="12" t="s">
        <v>8204</v>
      </c>
      <c r="B5842" s="12" t="s">
        <v>474</v>
      </c>
      <c r="C5842" s="14">
        <v>8046.5</v>
      </c>
      <c r="D5842" s="12"/>
      <c r="E5842" s="14"/>
    </row>
    <row r="5843" spans="1:5" ht="11.1" hidden="1" customHeight="1" x14ac:dyDescent="0.25">
      <c r="A5843" s="12" t="s">
        <v>8205</v>
      </c>
      <c r="B5843" s="12" t="s">
        <v>8206</v>
      </c>
      <c r="C5843" s="14">
        <v>5083.33</v>
      </c>
      <c r="D5843" s="12"/>
      <c r="E5843" s="14"/>
    </row>
    <row r="5844" spans="1:5" ht="11.1" hidden="1" customHeight="1" x14ac:dyDescent="0.25">
      <c r="A5844" s="12" t="s">
        <v>8207</v>
      </c>
      <c r="B5844" s="12" t="s">
        <v>8208</v>
      </c>
      <c r="C5844" s="14">
        <v>2275</v>
      </c>
      <c r="D5844" s="12"/>
      <c r="E5844" s="14"/>
    </row>
    <row r="5845" spans="1:5" ht="11.1" hidden="1" customHeight="1" x14ac:dyDescent="0.25">
      <c r="A5845" s="12" t="s">
        <v>8209</v>
      </c>
      <c r="B5845" s="12" t="s">
        <v>8210</v>
      </c>
      <c r="C5845" s="14">
        <v>2100</v>
      </c>
      <c r="D5845" s="12"/>
      <c r="E5845" s="14"/>
    </row>
    <row r="5846" spans="1:5" ht="11.1" hidden="1" customHeight="1" x14ac:dyDescent="0.25">
      <c r="A5846" s="12" t="s">
        <v>8211</v>
      </c>
      <c r="B5846" s="12" t="s">
        <v>8208</v>
      </c>
      <c r="C5846" s="14">
        <v>5350</v>
      </c>
      <c r="D5846" s="12"/>
      <c r="E5846" s="14"/>
    </row>
    <row r="5847" spans="1:5" ht="11.1" hidden="1" customHeight="1" x14ac:dyDescent="0.25">
      <c r="A5847" s="12" t="s">
        <v>8212</v>
      </c>
      <c r="B5847" s="12" t="s">
        <v>3658</v>
      </c>
      <c r="C5847" s="14">
        <v>344.17</v>
      </c>
      <c r="D5847" s="12"/>
      <c r="E5847" s="13"/>
    </row>
    <row r="5848" spans="1:5" ht="11.1" hidden="1" customHeight="1" x14ac:dyDescent="0.25">
      <c r="A5848" s="12" t="s">
        <v>8213</v>
      </c>
      <c r="B5848" s="12" t="s">
        <v>370</v>
      </c>
      <c r="C5848" s="14">
        <v>1160</v>
      </c>
      <c r="D5848" s="12"/>
      <c r="E5848" s="14"/>
    </row>
    <row r="5849" spans="1:5" ht="11.1" hidden="1" customHeight="1" x14ac:dyDescent="0.25">
      <c r="A5849" s="12" t="s">
        <v>8214</v>
      </c>
      <c r="B5849" s="12" t="s">
        <v>492</v>
      </c>
      <c r="C5849" s="14">
        <v>370.83</v>
      </c>
      <c r="D5849" s="12"/>
      <c r="E5849" s="13"/>
    </row>
    <row r="5850" spans="1:5" ht="11.1" hidden="1" customHeight="1" x14ac:dyDescent="0.25">
      <c r="A5850" s="12" t="s">
        <v>8215</v>
      </c>
      <c r="B5850" s="12" t="s">
        <v>370</v>
      </c>
      <c r="C5850" s="14">
        <v>310</v>
      </c>
      <c r="D5850" s="12"/>
      <c r="E5850" s="13"/>
    </row>
    <row r="5851" spans="1:5" ht="11.1" hidden="1" customHeight="1" x14ac:dyDescent="0.25">
      <c r="A5851" s="12" t="s">
        <v>8216</v>
      </c>
      <c r="B5851" s="12" t="s">
        <v>1405</v>
      </c>
      <c r="C5851" s="14">
        <v>30</v>
      </c>
      <c r="D5851" s="12"/>
      <c r="E5851" s="13"/>
    </row>
    <row r="5852" spans="1:5" ht="11.1" hidden="1" customHeight="1" x14ac:dyDescent="0.25">
      <c r="A5852" s="12" t="s">
        <v>8217</v>
      </c>
      <c r="B5852" s="12" t="s">
        <v>525</v>
      </c>
      <c r="C5852" s="14">
        <v>30</v>
      </c>
      <c r="D5852" s="12"/>
      <c r="E5852" s="13"/>
    </row>
    <row r="5853" spans="1:5" ht="11.1" hidden="1" customHeight="1" x14ac:dyDescent="0.25">
      <c r="A5853" s="12" t="s">
        <v>8218</v>
      </c>
      <c r="B5853" s="12" t="s">
        <v>528</v>
      </c>
      <c r="C5853" s="14">
        <v>585</v>
      </c>
      <c r="D5853" s="12"/>
      <c r="E5853" s="13"/>
    </row>
    <row r="5854" spans="1:5" ht="11.1" hidden="1" customHeight="1" x14ac:dyDescent="0.25">
      <c r="A5854" s="12" t="s">
        <v>8219</v>
      </c>
      <c r="B5854" s="12" t="s">
        <v>2201</v>
      </c>
      <c r="C5854" s="14">
        <v>225.83</v>
      </c>
      <c r="D5854" s="12"/>
      <c r="E5854" s="13"/>
    </row>
    <row r="5855" spans="1:5" ht="11.1" hidden="1" customHeight="1" x14ac:dyDescent="0.25">
      <c r="A5855" s="12" t="s">
        <v>8220</v>
      </c>
      <c r="B5855" s="12" t="s">
        <v>301</v>
      </c>
      <c r="C5855" s="14">
        <v>634.16999999999996</v>
      </c>
      <c r="D5855" s="12"/>
      <c r="E5855" s="13"/>
    </row>
    <row r="5856" spans="1:5" ht="11.1" hidden="1" customHeight="1" x14ac:dyDescent="0.25">
      <c r="A5856" s="12" t="s">
        <v>8221</v>
      </c>
      <c r="B5856" s="12" t="s">
        <v>515</v>
      </c>
      <c r="C5856" s="14">
        <v>544.12</v>
      </c>
      <c r="D5856" s="12"/>
      <c r="E5856" s="13"/>
    </row>
    <row r="5857" spans="1:5" ht="11.1" hidden="1" customHeight="1" x14ac:dyDescent="0.25">
      <c r="A5857" s="12" t="s">
        <v>8222</v>
      </c>
      <c r="B5857" s="12" t="s">
        <v>8223</v>
      </c>
      <c r="C5857" s="14">
        <v>2.4</v>
      </c>
      <c r="D5857" s="12"/>
      <c r="E5857" s="13"/>
    </row>
    <row r="5858" spans="1:5" ht="11.1" hidden="1" customHeight="1" x14ac:dyDescent="0.25">
      <c r="A5858" s="12" t="s">
        <v>8224</v>
      </c>
      <c r="B5858" s="12" t="s">
        <v>8225</v>
      </c>
      <c r="C5858" s="14">
        <v>0.97</v>
      </c>
      <c r="D5858" s="12"/>
      <c r="E5858" s="13"/>
    </row>
    <row r="5859" spans="1:5" ht="11.1" hidden="1" customHeight="1" x14ac:dyDescent="0.25">
      <c r="A5859" s="12" t="s">
        <v>8226</v>
      </c>
      <c r="B5859" s="12" t="s">
        <v>8227</v>
      </c>
      <c r="C5859" s="14">
        <v>270</v>
      </c>
      <c r="D5859" s="12"/>
      <c r="E5859" s="13"/>
    </row>
    <row r="5860" spans="1:5" ht="11.1" hidden="1" customHeight="1" x14ac:dyDescent="0.25">
      <c r="A5860" s="12" t="s">
        <v>8228</v>
      </c>
      <c r="B5860" s="12" t="s">
        <v>1990</v>
      </c>
      <c r="C5860" s="14">
        <v>402.05</v>
      </c>
      <c r="D5860" s="12"/>
      <c r="E5860" s="13"/>
    </row>
    <row r="5861" spans="1:5" ht="11.1" hidden="1" customHeight="1" x14ac:dyDescent="0.25">
      <c r="A5861" s="12" t="s">
        <v>8229</v>
      </c>
      <c r="B5861" s="12" t="s">
        <v>2123</v>
      </c>
      <c r="C5861" s="14">
        <v>1266.1500000000001</v>
      </c>
      <c r="D5861" s="12"/>
      <c r="E5861" s="14"/>
    </row>
    <row r="5862" spans="1:5" ht="11.1" hidden="1" customHeight="1" x14ac:dyDescent="0.25">
      <c r="A5862" s="12" t="s">
        <v>8230</v>
      </c>
      <c r="B5862" s="12" t="s">
        <v>2123</v>
      </c>
      <c r="C5862" s="14">
        <v>1266.1500000000001</v>
      </c>
      <c r="D5862" s="12"/>
      <c r="E5862" s="14"/>
    </row>
    <row r="5863" spans="1:5" ht="11.1" hidden="1" customHeight="1" x14ac:dyDescent="0.25">
      <c r="A5863" s="12" t="s">
        <v>8231</v>
      </c>
      <c r="B5863" s="12" t="s">
        <v>2105</v>
      </c>
      <c r="C5863" s="14">
        <v>323.01</v>
      </c>
      <c r="D5863" s="12"/>
      <c r="E5863" s="13"/>
    </row>
    <row r="5864" spans="1:5" ht="11.1" hidden="1" customHeight="1" x14ac:dyDescent="0.25">
      <c r="A5864" s="12" t="s">
        <v>8232</v>
      </c>
      <c r="B5864" s="12" t="s">
        <v>2100</v>
      </c>
      <c r="C5864" s="14">
        <v>978.33</v>
      </c>
      <c r="D5864" s="12"/>
      <c r="E5864" s="13"/>
    </row>
    <row r="5865" spans="1:5" ht="11.1" hidden="1" customHeight="1" x14ac:dyDescent="0.25">
      <c r="A5865" s="12" t="s">
        <v>8233</v>
      </c>
      <c r="B5865" s="12" t="s">
        <v>2162</v>
      </c>
      <c r="C5865" s="14">
        <v>259.48</v>
      </c>
      <c r="D5865" s="12"/>
      <c r="E5865" s="13"/>
    </row>
    <row r="5866" spans="1:5" ht="11.1" hidden="1" customHeight="1" x14ac:dyDescent="0.25">
      <c r="A5866" s="12" t="s">
        <v>8234</v>
      </c>
      <c r="B5866" s="12" t="s">
        <v>2156</v>
      </c>
      <c r="C5866" s="14">
        <v>466.67</v>
      </c>
      <c r="D5866" s="12"/>
      <c r="E5866" s="13"/>
    </row>
    <row r="5867" spans="1:5" ht="11.1" hidden="1" customHeight="1" x14ac:dyDescent="0.25">
      <c r="A5867" s="12" t="s">
        <v>8235</v>
      </c>
      <c r="B5867" s="12" t="s">
        <v>6218</v>
      </c>
      <c r="C5867" s="14">
        <v>791.67</v>
      </c>
      <c r="D5867" s="12"/>
      <c r="E5867" s="13"/>
    </row>
    <row r="5868" spans="1:5" ht="11.1" hidden="1" customHeight="1" x14ac:dyDescent="0.25">
      <c r="A5868" s="12" t="s">
        <v>8236</v>
      </c>
      <c r="B5868" s="12" t="s">
        <v>6218</v>
      </c>
      <c r="C5868" s="14">
        <v>4060</v>
      </c>
      <c r="D5868" s="12"/>
      <c r="E5868" s="14"/>
    </row>
    <row r="5869" spans="1:5" ht="11.1" hidden="1" customHeight="1" x14ac:dyDescent="0.25">
      <c r="A5869" s="12" t="s">
        <v>8237</v>
      </c>
      <c r="B5869" s="12" t="s">
        <v>528</v>
      </c>
      <c r="C5869" s="14">
        <v>76.67</v>
      </c>
      <c r="D5869" s="12"/>
      <c r="E5869" s="13"/>
    </row>
    <row r="5870" spans="1:5" ht="11.1" hidden="1" customHeight="1" x14ac:dyDescent="0.25">
      <c r="A5870" s="12" t="s">
        <v>8238</v>
      </c>
      <c r="B5870" s="12" t="s">
        <v>1810</v>
      </c>
      <c r="C5870" s="14">
        <v>177.09</v>
      </c>
      <c r="D5870" s="12"/>
      <c r="E5870" s="13"/>
    </row>
    <row r="5871" spans="1:5" ht="23.1" hidden="1" customHeight="1" x14ac:dyDescent="0.25">
      <c r="A5871" s="12" t="s">
        <v>8239</v>
      </c>
      <c r="B5871" s="12" t="s">
        <v>1810</v>
      </c>
      <c r="C5871" s="14">
        <v>166.68</v>
      </c>
      <c r="D5871" s="12"/>
      <c r="E5871" s="13"/>
    </row>
    <row r="5872" spans="1:5" ht="11.1" hidden="1" customHeight="1" x14ac:dyDescent="0.25">
      <c r="A5872" s="12" t="s">
        <v>8240</v>
      </c>
      <c r="B5872" s="12" t="s">
        <v>2529</v>
      </c>
      <c r="C5872" s="14">
        <v>1873.33</v>
      </c>
      <c r="D5872" s="12"/>
      <c r="E5872" s="14"/>
    </row>
    <row r="5873" spans="1:10" ht="11.1" hidden="1" customHeight="1" x14ac:dyDescent="0.25">
      <c r="A5873" s="12" t="s">
        <v>8241</v>
      </c>
      <c r="B5873" s="12" t="s">
        <v>297</v>
      </c>
      <c r="C5873" s="14">
        <v>766.67</v>
      </c>
      <c r="D5873" s="12"/>
      <c r="E5873" s="13"/>
    </row>
    <row r="5874" spans="1:10" ht="11.1" hidden="1" customHeight="1" x14ac:dyDescent="0.25">
      <c r="A5874" s="12" t="s">
        <v>8242</v>
      </c>
      <c r="B5874" s="12" t="s">
        <v>8243</v>
      </c>
      <c r="C5874" s="14">
        <v>3500</v>
      </c>
      <c r="D5874" s="12"/>
      <c r="E5874" s="14"/>
    </row>
    <row r="5875" spans="1:10" ht="11.1" hidden="1" customHeight="1" x14ac:dyDescent="0.25">
      <c r="A5875" s="12" t="s">
        <v>8244</v>
      </c>
      <c r="B5875" s="12" t="s">
        <v>8245</v>
      </c>
      <c r="C5875" s="14">
        <v>7892.5</v>
      </c>
      <c r="D5875" s="12"/>
      <c r="E5875" s="14"/>
    </row>
    <row r="5876" spans="1:10" ht="11.1" hidden="1" customHeight="1" x14ac:dyDescent="0.25">
      <c r="A5876" s="12" t="s">
        <v>8246</v>
      </c>
      <c r="B5876" s="12" t="s">
        <v>8247</v>
      </c>
      <c r="C5876" s="14">
        <v>319.17</v>
      </c>
      <c r="D5876" s="12"/>
      <c r="E5876" s="13"/>
    </row>
    <row r="5877" spans="1:10" ht="11.1" hidden="1" customHeight="1" x14ac:dyDescent="0.25">
      <c r="A5877" s="12" t="s">
        <v>8248</v>
      </c>
      <c r="B5877" s="12" t="s">
        <v>2900</v>
      </c>
      <c r="C5877" s="14">
        <v>85</v>
      </c>
      <c r="D5877" s="12"/>
      <c r="E5877" s="13"/>
      <c r="H5877" s="124" t="s">
        <v>8368</v>
      </c>
      <c r="I5877" s="127">
        <v>96</v>
      </c>
      <c r="J5877" s="127">
        <v>480</v>
      </c>
    </row>
    <row r="5878" spans="1:10" ht="11.1" hidden="1" customHeight="1" x14ac:dyDescent="0.25">
      <c r="A5878" s="12" t="s">
        <v>8249</v>
      </c>
      <c r="B5878" s="12" t="s">
        <v>8250</v>
      </c>
      <c r="C5878" s="14">
        <v>314.33</v>
      </c>
      <c r="D5878" s="12"/>
      <c r="E5878" s="13"/>
      <c r="H5878" s="124" t="s">
        <v>8368</v>
      </c>
      <c r="I5878" s="127">
        <v>123.4</v>
      </c>
      <c r="J5878" s="127">
        <v>617</v>
      </c>
    </row>
    <row r="5879" spans="1:10" ht="11.1" hidden="1" customHeight="1" x14ac:dyDescent="0.25">
      <c r="A5879" s="12" t="s">
        <v>8251</v>
      </c>
      <c r="B5879" s="12" t="s">
        <v>8252</v>
      </c>
      <c r="C5879" s="14">
        <v>733.33</v>
      </c>
      <c r="D5879" s="12"/>
      <c r="E5879" s="13"/>
      <c r="H5879" s="124" t="s">
        <v>8368</v>
      </c>
      <c r="I5879" s="128">
        <v>2300.8000000000002</v>
      </c>
      <c r="J5879" s="128">
        <v>11504</v>
      </c>
    </row>
    <row r="5880" spans="1:10" ht="11.1" hidden="1" customHeight="1" x14ac:dyDescent="0.25">
      <c r="A5880" s="124" t="s">
        <v>8369</v>
      </c>
      <c r="B5880" s="124" t="s">
        <v>11736</v>
      </c>
      <c r="C5880" s="132">
        <f t="shared" ref="C5880:C5943" si="5">J5877/F5880</f>
        <v>240</v>
      </c>
      <c r="D5880" s="125">
        <f>COUNTIF(A4:A5879,A5880)</f>
        <v>0</v>
      </c>
      <c r="E5880" s="124" t="s">
        <v>8367</v>
      </c>
      <c r="F5880" s="126">
        <v>2</v>
      </c>
      <c r="G5880" s="127">
        <v>576</v>
      </c>
      <c r="H5880" s="124" t="s">
        <v>8368</v>
      </c>
      <c r="I5880" s="127">
        <v>689.6</v>
      </c>
      <c r="J5880" s="128">
        <v>3448</v>
      </c>
    </row>
    <row r="5881" spans="1:10" ht="11.1" hidden="1" customHeight="1" x14ac:dyDescent="0.25">
      <c r="A5881" s="124" t="s">
        <v>8370</v>
      </c>
      <c r="B5881" s="124" t="s">
        <v>11736</v>
      </c>
      <c r="C5881" s="132">
        <f t="shared" si="5"/>
        <v>617</v>
      </c>
      <c r="D5881" s="125">
        <f t="shared" ref="D5881:D5887" si="6">COUNTIF(A6:A5880,A5881)</f>
        <v>0</v>
      </c>
      <c r="E5881" s="124" t="s">
        <v>8367</v>
      </c>
      <c r="F5881" s="126">
        <v>1</v>
      </c>
      <c r="G5881" s="127">
        <v>740.4</v>
      </c>
      <c r="H5881" s="124" t="s">
        <v>8368</v>
      </c>
      <c r="I5881" s="127">
        <v>414.6</v>
      </c>
      <c r="J5881" s="128">
        <v>2073</v>
      </c>
    </row>
    <row r="5882" spans="1:10" ht="11.1" hidden="1" customHeight="1" x14ac:dyDescent="0.25">
      <c r="A5882" s="124" t="s">
        <v>8371</v>
      </c>
      <c r="B5882" s="124" t="s">
        <v>11736</v>
      </c>
      <c r="C5882" s="132">
        <f t="shared" si="5"/>
        <v>719</v>
      </c>
      <c r="D5882" s="125">
        <f t="shared" si="6"/>
        <v>0</v>
      </c>
      <c r="E5882" s="124" t="s">
        <v>8367</v>
      </c>
      <c r="F5882" s="126">
        <v>16</v>
      </c>
      <c r="G5882" s="128">
        <v>13804.8</v>
      </c>
      <c r="H5882" s="124" t="s">
        <v>8368</v>
      </c>
      <c r="I5882" s="127">
        <v>458.4</v>
      </c>
      <c r="J5882" s="128">
        <v>2292</v>
      </c>
    </row>
    <row r="5883" spans="1:10" ht="11.1" hidden="1" customHeight="1" x14ac:dyDescent="0.25">
      <c r="A5883" s="124" t="s">
        <v>8372</v>
      </c>
      <c r="B5883" s="124" t="s">
        <v>11736</v>
      </c>
      <c r="C5883" s="132">
        <f t="shared" si="5"/>
        <v>431</v>
      </c>
      <c r="D5883" s="125">
        <f t="shared" si="6"/>
        <v>0</v>
      </c>
      <c r="E5883" s="124" t="s">
        <v>8367</v>
      </c>
      <c r="F5883" s="126">
        <v>8</v>
      </c>
      <c r="G5883" s="128">
        <v>4137.6000000000004</v>
      </c>
      <c r="H5883" s="124" t="s">
        <v>8368</v>
      </c>
      <c r="I5883" s="128">
        <v>1382.8</v>
      </c>
      <c r="J5883" s="128">
        <v>6914</v>
      </c>
    </row>
    <row r="5884" spans="1:10" ht="11.1" hidden="1" customHeight="1" x14ac:dyDescent="0.25">
      <c r="A5884" s="124" t="s">
        <v>8373</v>
      </c>
      <c r="B5884" s="124" t="s">
        <v>11736</v>
      </c>
      <c r="C5884" s="132">
        <f t="shared" si="5"/>
        <v>691</v>
      </c>
      <c r="D5884" s="125">
        <f t="shared" si="6"/>
        <v>0</v>
      </c>
      <c r="E5884" s="124" t="s">
        <v>8367</v>
      </c>
      <c r="F5884" s="126">
        <v>3</v>
      </c>
      <c r="G5884" s="128">
        <v>2487.6</v>
      </c>
      <c r="H5884" s="124" t="s">
        <v>8368</v>
      </c>
      <c r="I5884" s="127">
        <v>516.79999999999995</v>
      </c>
      <c r="J5884" s="128">
        <v>2584</v>
      </c>
    </row>
    <row r="5885" spans="1:10" ht="11.1" hidden="1" customHeight="1" x14ac:dyDescent="0.25">
      <c r="A5885" s="124" t="s">
        <v>8374</v>
      </c>
      <c r="B5885" s="124" t="s">
        <v>11736</v>
      </c>
      <c r="C5885" s="132">
        <f t="shared" si="5"/>
        <v>573</v>
      </c>
      <c r="D5885" s="125">
        <f t="shared" si="6"/>
        <v>0</v>
      </c>
      <c r="E5885" s="124" t="s">
        <v>8367</v>
      </c>
      <c r="F5885" s="126">
        <v>4</v>
      </c>
      <c r="G5885" s="128">
        <v>2750.4</v>
      </c>
      <c r="H5885" s="124" t="s">
        <v>8368</v>
      </c>
      <c r="I5885" s="127">
        <v>418.6</v>
      </c>
      <c r="J5885" s="128">
        <v>2093</v>
      </c>
    </row>
    <row r="5886" spans="1:10" ht="11.1" hidden="1" customHeight="1" x14ac:dyDescent="0.25">
      <c r="A5886" s="124" t="s">
        <v>8375</v>
      </c>
      <c r="B5886" s="124" t="s">
        <v>11736</v>
      </c>
      <c r="C5886" s="132">
        <f t="shared" si="5"/>
        <v>3457</v>
      </c>
      <c r="D5886" s="125">
        <f t="shared" si="6"/>
        <v>0</v>
      </c>
      <c r="E5886" s="124" t="s">
        <v>8367</v>
      </c>
      <c r="F5886" s="126">
        <v>2</v>
      </c>
      <c r="G5886" s="128">
        <v>8296.7999999999993</v>
      </c>
      <c r="H5886" s="124" t="s">
        <v>8368</v>
      </c>
      <c r="I5886" s="127">
        <v>306</v>
      </c>
      <c r="J5886" s="128">
        <v>1530</v>
      </c>
    </row>
    <row r="5887" spans="1:10" ht="11.1" hidden="1" customHeight="1" x14ac:dyDescent="0.25">
      <c r="A5887" s="124" t="s">
        <v>8376</v>
      </c>
      <c r="B5887" s="124" t="s">
        <v>11736</v>
      </c>
      <c r="C5887" s="132">
        <f t="shared" si="5"/>
        <v>1292</v>
      </c>
      <c r="D5887" s="125">
        <f t="shared" si="6"/>
        <v>0</v>
      </c>
      <c r="E5887" s="124" t="s">
        <v>8367</v>
      </c>
      <c r="F5887" s="126">
        <v>2</v>
      </c>
      <c r="G5887" s="128">
        <v>3100.8</v>
      </c>
      <c r="H5887" s="124" t="s">
        <v>8368</v>
      </c>
      <c r="I5887" s="128">
        <v>2733.2</v>
      </c>
      <c r="J5887" s="128">
        <v>13666</v>
      </c>
    </row>
    <row r="5888" spans="1:10" ht="11.1" hidden="1" customHeight="1" x14ac:dyDescent="0.25">
      <c r="A5888" s="124" t="s">
        <v>8377</v>
      </c>
      <c r="B5888" s="124" t="s">
        <v>11736</v>
      </c>
      <c r="C5888" s="132">
        <f t="shared" si="5"/>
        <v>1046.5</v>
      </c>
      <c r="D5888" s="125">
        <f t="shared" ref="D5888:D5899" si="7">COUNTIF(A14:A5887,A5888)</f>
        <v>0</v>
      </c>
      <c r="E5888" s="124" t="s">
        <v>8367</v>
      </c>
      <c r="F5888" s="126">
        <v>2</v>
      </c>
      <c r="G5888" s="128">
        <v>2511.6</v>
      </c>
      <c r="H5888" s="124" t="s">
        <v>8368</v>
      </c>
      <c r="I5888" s="127">
        <v>384.2</v>
      </c>
      <c r="J5888" s="128">
        <v>1921</v>
      </c>
    </row>
    <row r="5889" spans="1:10" ht="11.1" hidden="1" customHeight="1" x14ac:dyDescent="0.25">
      <c r="A5889" s="124" t="s">
        <v>8378</v>
      </c>
      <c r="B5889" s="124" t="s">
        <v>11736</v>
      </c>
      <c r="C5889" s="132">
        <f t="shared" si="5"/>
        <v>127.5</v>
      </c>
      <c r="D5889" s="125">
        <f t="shared" si="7"/>
        <v>0</v>
      </c>
      <c r="E5889" s="124" t="s">
        <v>8367</v>
      </c>
      <c r="F5889" s="126">
        <v>12</v>
      </c>
      <c r="G5889" s="128">
        <v>1836</v>
      </c>
      <c r="H5889" s="124" t="s">
        <v>8368</v>
      </c>
      <c r="I5889" s="127">
        <v>88.8</v>
      </c>
      <c r="J5889" s="127">
        <v>444</v>
      </c>
    </row>
    <row r="5890" spans="1:10" ht="11.1" hidden="1" customHeight="1" x14ac:dyDescent="0.25">
      <c r="A5890" s="124" t="s">
        <v>8379</v>
      </c>
      <c r="B5890" s="124" t="s">
        <v>11736</v>
      </c>
      <c r="C5890" s="132">
        <f t="shared" si="5"/>
        <v>3416.5</v>
      </c>
      <c r="D5890" s="125">
        <f t="shared" si="7"/>
        <v>0</v>
      </c>
      <c r="E5890" s="124" t="s">
        <v>8367</v>
      </c>
      <c r="F5890" s="126">
        <v>4</v>
      </c>
      <c r="G5890" s="128">
        <v>16399.2</v>
      </c>
      <c r="H5890" s="124" t="s">
        <v>8368</v>
      </c>
      <c r="I5890" s="127">
        <v>546</v>
      </c>
      <c r="J5890" s="128">
        <v>2730</v>
      </c>
    </row>
    <row r="5891" spans="1:10" ht="11.1" hidden="1" customHeight="1" x14ac:dyDescent="0.25">
      <c r="A5891" s="124" t="s">
        <v>8380</v>
      </c>
      <c r="B5891" s="124" t="s">
        <v>11736</v>
      </c>
      <c r="C5891" s="132">
        <f t="shared" si="5"/>
        <v>1921</v>
      </c>
      <c r="D5891" s="125">
        <f t="shared" si="7"/>
        <v>0</v>
      </c>
      <c r="E5891" s="124" t="s">
        <v>8367</v>
      </c>
      <c r="F5891" s="126">
        <v>1</v>
      </c>
      <c r="G5891" s="128">
        <v>2305.1999999999998</v>
      </c>
      <c r="H5891" s="124" t="s">
        <v>8368</v>
      </c>
      <c r="I5891" s="127">
        <v>54</v>
      </c>
      <c r="J5891" s="127">
        <v>270</v>
      </c>
    </row>
    <row r="5892" spans="1:10" ht="11.1" hidden="1" customHeight="1" x14ac:dyDescent="0.25">
      <c r="A5892" s="124" t="s">
        <v>8381</v>
      </c>
      <c r="B5892" s="124" t="s">
        <v>11736</v>
      </c>
      <c r="C5892" s="132">
        <f t="shared" si="5"/>
        <v>444</v>
      </c>
      <c r="D5892" s="125">
        <f t="shared" si="7"/>
        <v>0</v>
      </c>
      <c r="E5892" s="124" t="s">
        <v>8367</v>
      </c>
      <c r="F5892" s="126">
        <v>1</v>
      </c>
      <c r="G5892" s="127">
        <v>532.79999999999995</v>
      </c>
      <c r="H5892" s="124" t="s">
        <v>8368</v>
      </c>
      <c r="I5892" s="127">
        <v>16</v>
      </c>
      <c r="J5892" s="127">
        <v>80</v>
      </c>
    </row>
    <row r="5893" spans="1:10" ht="11.1" hidden="1" customHeight="1" x14ac:dyDescent="0.25">
      <c r="A5893" s="124" t="s">
        <v>8382</v>
      </c>
      <c r="B5893" s="124" t="s">
        <v>11736</v>
      </c>
      <c r="C5893" s="132">
        <f t="shared" si="5"/>
        <v>2730</v>
      </c>
      <c r="D5893" s="125">
        <f t="shared" si="7"/>
        <v>0</v>
      </c>
      <c r="E5893" s="124" t="s">
        <v>8367</v>
      </c>
      <c r="F5893" s="126">
        <v>1</v>
      </c>
      <c r="G5893" s="128">
        <v>3276</v>
      </c>
      <c r="H5893" s="124" t="s">
        <v>8368</v>
      </c>
      <c r="I5893" s="128">
        <v>9960</v>
      </c>
      <c r="J5893" s="128">
        <v>49800</v>
      </c>
    </row>
    <row r="5894" spans="1:10" ht="11.1" hidden="1" customHeight="1" x14ac:dyDescent="0.25">
      <c r="A5894" s="124" t="s">
        <v>8383</v>
      </c>
      <c r="B5894" s="124" t="s">
        <v>11736</v>
      </c>
      <c r="C5894" s="132">
        <f t="shared" si="5"/>
        <v>90</v>
      </c>
      <c r="D5894" s="125">
        <f t="shared" si="7"/>
        <v>0</v>
      </c>
      <c r="E5894" s="124" t="s">
        <v>8367</v>
      </c>
      <c r="F5894" s="126">
        <v>3</v>
      </c>
      <c r="G5894" s="127">
        <v>324</v>
      </c>
      <c r="H5894" s="124" t="s">
        <v>8368</v>
      </c>
      <c r="I5894" s="127">
        <v>770</v>
      </c>
      <c r="J5894" s="128">
        <v>3850</v>
      </c>
    </row>
    <row r="5895" spans="1:10" ht="11.1" hidden="1" customHeight="1" x14ac:dyDescent="0.25">
      <c r="A5895" s="124" t="s">
        <v>8384</v>
      </c>
      <c r="B5895" s="124" t="s">
        <v>11736</v>
      </c>
      <c r="C5895" s="132">
        <f t="shared" si="5"/>
        <v>80</v>
      </c>
      <c r="D5895" s="125">
        <f t="shared" si="7"/>
        <v>0</v>
      </c>
      <c r="E5895" s="124" t="s">
        <v>8367</v>
      </c>
      <c r="F5895" s="126">
        <v>1</v>
      </c>
      <c r="G5895" s="127">
        <v>96</v>
      </c>
      <c r="H5895" s="124" t="s">
        <v>8368</v>
      </c>
      <c r="I5895" s="128">
        <v>14948.68</v>
      </c>
      <c r="J5895" s="128">
        <v>74743.399999999994</v>
      </c>
    </row>
    <row r="5896" spans="1:10" ht="11.1" hidden="1" customHeight="1" x14ac:dyDescent="0.25">
      <c r="A5896" s="124" t="s">
        <v>8385</v>
      </c>
      <c r="B5896" s="124" t="s">
        <v>11736</v>
      </c>
      <c r="C5896" s="132">
        <f t="shared" si="5"/>
        <v>300</v>
      </c>
      <c r="D5896" s="125">
        <f t="shared" si="7"/>
        <v>0</v>
      </c>
      <c r="E5896" s="124" t="s">
        <v>8367</v>
      </c>
      <c r="F5896" s="126">
        <v>166</v>
      </c>
      <c r="G5896" s="128">
        <v>59760</v>
      </c>
      <c r="H5896" s="124" t="s">
        <v>8368</v>
      </c>
      <c r="I5896" s="128">
        <v>131555.29999999999</v>
      </c>
      <c r="J5896" s="128">
        <v>657776.52</v>
      </c>
    </row>
    <row r="5897" spans="1:10" ht="11.1" hidden="1" customHeight="1" x14ac:dyDescent="0.25">
      <c r="A5897" s="124" t="s">
        <v>8386</v>
      </c>
      <c r="B5897" s="124" t="s">
        <v>11736</v>
      </c>
      <c r="C5897" s="132">
        <f t="shared" si="5"/>
        <v>1283.3333333333333</v>
      </c>
      <c r="D5897" s="125">
        <f t="shared" si="7"/>
        <v>0</v>
      </c>
      <c r="E5897" s="124" t="s">
        <v>8367</v>
      </c>
      <c r="F5897" s="126">
        <v>3</v>
      </c>
      <c r="G5897" s="128">
        <v>4620</v>
      </c>
      <c r="H5897" s="124" t="s">
        <v>8368</v>
      </c>
      <c r="I5897" s="128">
        <v>2734</v>
      </c>
      <c r="J5897" s="128">
        <v>13670</v>
      </c>
    </row>
    <row r="5898" spans="1:10" ht="11.1" hidden="1" customHeight="1" x14ac:dyDescent="0.25">
      <c r="A5898" s="124" t="s">
        <v>8387</v>
      </c>
      <c r="B5898" s="124" t="s">
        <v>11736</v>
      </c>
      <c r="C5898" s="132">
        <f t="shared" si="5"/>
        <v>74743.399999999994</v>
      </c>
      <c r="D5898" s="125">
        <f t="shared" si="7"/>
        <v>0</v>
      </c>
      <c r="E5898" s="124" t="s">
        <v>8367</v>
      </c>
      <c r="F5898" s="126">
        <v>1</v>
      </c>
      <c r="G5898" s="128">
        <v>89692.08</v>
      </c>
      <c r="H5898" s="124" t="s">
        <v>8368</v>
      </c>
      <c r="I5898" s="128">
        <v>1730</v>
      </c>
      <c r="J5898" s="128">
        <v>8650</v>
      </c>
    </row>
    <row r="5899" spans="1:10" ht="11.1" hidden="1" customHeight="1" x14ac:dyDescent="0.25">
      <c r="A5899" s="124" t="s">
        <v>3</v>
      </c>
      <c r="B5899" s="124" t="s">
        <v>11736</v>
      </c>
      <c r="C5899" s="132">
        <f t="shared" si="5"/>
        <v>1096.2942</v>
      </c>
      <c r="D5899" s="125">
        <f t="shared" si="7"/>
        <v>0</v>
      </c>
      <c r="E5899" s="124" t="s">
        <v>8367</v>
      </c>
      <c r="F5899" s="126">
        <v>600</v>
      </c>
      <c r="G5899" s="128">
        <v>789331.82</v>
      </c>
      <c r="H5899" s="124" t="s">
        <v>8368</v>
      </c>
      <c r="I5899" s="128">
        <v>1790</v>
      </c>
      <c r="J5899" s="128">
        <v>8950</v>
      </c>
    </row>
    <row r="5900" spans="1:10" ht="11.1" hidden="1" customHeight="1" x14ac:dyDescent="0.25">
      <c r="A5900" s="124" t="s">
        <v>8388</v>
      </c>
      <c r="B5900" s="124" t="s">
        <v>11736</v>
      </c>
      <c r="C5900" s="132">
        <f t="shared" si="5"/>
        <v>1242.7272727272727</v>
      </c>
      <c r="D5900" s="125">
        <f t="shared" ref="D5900:D5902" si="8">COUNTIF(A26:A5899,A5900)</f>
        <v>0</v>
      </c>
      <c r="E5900" s="124" t="s">
        <v>8367</v>
      </c>
      <c r="F5900" s="126">
        <v>11</v>
      </c>
      <c r="G5900" s="128">
        <v>16404</v>
      </c>
      <c r="H5900" s="124" t="s">
        <v>8368</v>
      </c>
      <c r="I5900" s="128">
        <v>3180</v>
      </c>
      <c r="J5900" s="128">
        <v>15900</v>
      </c>
    </row>
    <row r="5901" spans="1:10" ht="11.1" hidden="1" customHeight="1" x14ac:dyDescent="0.25">
      <c r="A5901" s="124" t="s">
        <v>8389</v>
      </c>
      <c r="B5901" s="124" t="s">
        <v>11736</v>
      </c>
      <c r="C5901" s="132">
        <f t="shared" si="5"/>
        <v>1730</v>
      </c>
      <c r="D5901" s="125">
        <f t="shared" si="8"/>
        <v>0</v>
      </c>
      <c r="E5901" s="124" t="s">
        <v>8367</v>
      </c>
      <c r="F5901" s="126">
        <v>5</v>
      </c>
      <c r="G5901" s="128">
        <v>10380</v>
      </c>
      <c r="H5901" s="124" t="s">
        <v>8368</v>
      </c>
      <c r="I5901" s="128">
        <v>86392.89</v>
      </c>
      <c r="J5901" s="128">
        <v>431964.44</v>
      </c>
    </row>
    <row r="5902" spans="1:10" ht="11.1" hidden="1" customHeight="1" x14ac:dyDescent="0.25">
      <c r="A5902" s="124" t="s">
        <v>8390</v>
      </c>
      <c r="B5902" s="124" t="s">
        <v>11736</v>
      </c>
      <c r="C5902" s="132">
        <f t="shared" si="5"/>
        <v>639.28571428571433</v>
      </c>
      <c r="D5902" s="125">
        <f t="shared" si="8"/>
        <v>0</v>
      </c>
      <c r="E5902" s="124" t="s">
        <v>8367</v>
      </c>
      <c r="F5902" s="126">
        <v>14</v>
      </c>
      <c r="G5902" s="128">
        <v>10740</v>
      </c>
      <c r="H5902" s="124" t="s">
        <v>8368</v>
      </c>
      <c r="I5902" s="128">
        <v>5450</v>
      </c>
      <c r="J5902" s="128">
        <v>27250</v>
      </c>
    </row>
    <row r="5903" spans="1:10" ht="11.1" hidden="1" customHeight="1" x14ac:dyDescent="0.25">
      <c r="A5903" s="124" t="s">
        <v>8391</v>
      </c>
      <c r="B5903" s="124" t="s">
        <v>11736</v>
      </c>
      <c r="C5903" s="132">
        <f t="shared" si="5"/>
        <v>397.5</v>
      </c>
      <c r="D5903" s="125">
        <f>COUNTIF(A39:A5902,A5903)</f>
        <v>0</v>
      </c>
      <c r="E5903" s="124" t="s">
        <v>8367</v>
      </c>
      <c r="F5903" s="126">
        <v>40</v>
      </c>
      <c r="G5903" s="128">
        <v>19080</v>
      </c>
      <c r="H5903" s="124" t="s">
        <v>8368</v>
      </c>
      <c r="I5903" s="127">
        <v>655</v>
      </c>
      <c r="J5903" s="128">
        <v>3275</v>
      </c>
    </row>
    <row r="5904" spans="1:10" ht="11.1" hidden="1" customHeight="1" x14ac:dyDescent="0.25">
      <c r="A5904" s="124" t="s">
        <v>8392</v>
      </c>
      <c r="B5904" s="124" t="s">
        <v>11736</v>
      </c>
      <c r="C5904" s="132">
        <f t="shared" si="5"/>
        <v>4024.1135042480255</v>
      </c>
      <c r="D5904" s="125">
        <f>COUNTIF(A40:A5903,A5904)</f>
        <v>0</v>
      </c>
      <c r="E5904" s="124" t="s">
        <v>1</v>
      </c>
      <c r="F5904" s="126">
        <v>107.34399999999999</v>
      </c>
      <c r="G5904" s="128">
        <v>518357.33</v>
      </c>
      <c r="H5904" s="124" t="s">
        <v>8368</v>
      </c>
      <c r="I5904" s="128">
        <v>8278.4</v>
      </c>
      <c r="J5904" s="128">
        <v>41392</v>
      </c>
    </row>
    <row r="5905" spans="1:10" ht="11.1" hidden="1" customHeight="1" x14ac:dyDescent="0.25">
      <c r="A5905" s="124" t="s">
        <v>8393</v>
      </c>
      <c r="B5905" s="124" t="s">
        <v>11736</v>
      </c>
      <c r="C5905" s="132">
        <f t="shared" si="5"/>
        <v>27250</v>
      </c>
      <c r="D5905" s="125">
        <f t="shared" ref="D5905:D5917" si="9">COUNTIF(A42:A5904,A5905)</f>
        <v>0</v>
      </c>
      <c r="E5905" s="124" t="s">
        <v>8367</v>
      </c>
      <c r="F5905" s="126">
        <v>1</v>
      </c>
      <c r="G5905" s="128">
        <v>32700</v>
      </c>
      <c r="H5905" s="124" t="s">
        <v>8368</v>
      </c>
      <c r="I5905" s="128">
        <v>2833.2</v>
      </c>
      <c r="J5905" s="128">
        <v>14166</v>
      </c>
    </row>
    <row r="5906" spans="1:10" ht="11.1" hidden="1" customHeight="1" x14ac:dyDescent="0.25">
      <c r="A5906" s="124" t="s">
        <v>8394</v>
      </c>
      <c r="B5906" s="124" t="s">
        <v>11736</v>
      </c>
      <c r="C5906" s="132">
        <f t="shared" si="5"/>
        <v>3275</v>
      </c>
      <c r="D5906" s="125">
        <f t="shared" si="9"/>
        <v>0</v>
      </c>
      <c r="E5906" s="124" t="s">
        <v>8367</v>
      </c>
      <c r="F5906" s="126">
        <v>1</v>
      </c>
      <c r="G5906" s="128">
        <v>3930</v>
      </c>
      <c r="H5906" s="124" t="s">
        <v>8368</v>
      </c>
      <c r="I5906" s="128">
        <v>7771.6</v>
      </c>
      <c r="J5906" s="128">
        <v>38858</v>
      </c>
    </row>
    <row r="5907" spans="1:10" ht="11.1" hidden="1" customHeight="1" x14ac:dyDescent="0.25">
      <c r="A5907" s="124" t="s">
        <v>8395</v>
      </c>
      <c r="B5907" s="124" t="s">
        <v>11736</v>
      </c>
      <c r="C5907" s="132">
        <f t="shared" si="5"/>
        <v>13797.333333333334</v>
      </c>
      <c r="D5907" s="125">
        <f t="shared" si="9"/>
        <v>0</v>
      </c>
      <c r="E5907" s="124" t="s">
        <v>8367</v>
      </c>
      <c r="F5907" s="126">
        <v>3</v>
      </c>
      <c r="G5907" s="128">
        <v>49670.400000000001</v>
      </c>
      <c r="H5907" s="124" t="s">
        <v>8368</v>
      </c>
      <c r="I5907" s="128">
        <v>1860</v>
      </c>
      <c r="J5907" s="128">
        <v>9300</v>
      </c>
    </row>
    <row r="5908" spans="1:10" ht="11.1" hidden="1" customHeight="1" x14ac:dyDescent="0.25">
      <c r="A5908" s="124" t="s">
        <v>8396</v>
      </c>
      <c r="B5908" s="124" t="s">
        <v>11736</v>
      </c>
      <c r="C5908" s="132">
        <f t="shared" si="5"/>
        <v>14166</v>
      </c>
      <c r="D5908" s="125">
        <f t="shared" si="9"/>
        <v>0</v>
      </c>
      <c r="E5908" s="124" t="s">
        <v>8367</v>
      </c>
      <c r="F5908" s="126">
        <v>1</v>
      </c>
      <c r="G5908" s="128">
        <v>16999.2</v>
      </c>
      <c r="H5908" s="124" t="s">
        <v>8368</v>
      </c>
      <c r="I5908" s="128">
        <v>18327.78</v>
      </c>
      <c r="J5908" s="128">
        <v>91638.88</v>
      </c>
    </row>
    <row r="5909" spans="1:10" ht="11.1" hidden="1" customHeight="1" x14ac:dyDescent="0.25">
      <c r="A5909" s="124" t="s">
        <v>8397</v>
      </c>
      <c r="B5909" s="124" t="s">
        <v>11736</v>
      </c>
      <c r="C5909" s="132">
        <f t="shared" si="5"/>
        <v>38858</v>
      </c>
      <c r="D5909" s="125">
        <f t="shared" si="9"/>
        <v>0</v>
      </c>
      <c r="E5909" s="124" t="s">
        <v>8367</v>
      </c>
      <c r="F5909" s="126">
        <v>1</v>
      </c>
      <c r="G5909" s="128">
        <v>46629.599999999999</v>
      </c>
      <c r="H5909" s="124" t="s">
        <v>8368</v>
      </c>
      <c r="I5909" s="128">
        <v>19995</v>
      </c>
      <c r="J5909" s="128">
        <v>99975</v>
      </c>
    </row>
    <row r="5910" spans="1:10" ht="11.1" hidden="1" customHeight="1" x14ac:dyDescent="0.25">
      <c r="A5910" s="124" t="s">
        <v>8398</v>
      </c>
      <c r="B5910" s="124" t="s">
        <v>11736</v>
      </c>
      <c r="C5910" s="132">
        <f t="shared" si="5"/>
        <v>2325</v>
      </c>
      <c r="D5910" s="125">
        <f t="shared" si="9"/>
        <v>0</v>
      </c>
      <c r="E5910" s="124" t="s">
        <v>8367</v>
      </c>
      <c r="F5910" s="126">
        <v>4</v>
      </c>
      <c r="G5910" s="128">
        <v>11160</v>
      </c>
      <c r="H5910" s="124" t="s">
        <v>8368</v>
      </c>
      <c r="I5910" s="128">
        <v>7265</v>
      </c>
      <c r="J5910" s="128">
        <v>36325</v>
      </c>
    </row>
    <row r="5911" spans="1:10" ht="11.1" hidden="1" customHeight="1" x14ac:dyDescent="0.25">
      <c r="A5911" s="124" t="s">
        <v>8399</v>
      </c>
      <c r="B5911" s="124" t="s">
        <v>11736</v>
      </c>
      <c r="C5911" s="132">
        <f t="shared" si="5"/>
        <v>45819.44</v>
      </c>
      <c r="D5911" s="125">
        <f t="shared" si="9"/>
        <v>0</v>
      </c>
      <c r="E5911" s="124" t="s">
        <v>8367</v>
      </c>
      <c r="F5911" s="126">
        <v>2</v>
      </c>
      <c r="G5911" s="128">
        <v>109966.66</v>
      </c>
      <c r="H5911" s="124" t="s">
        <v>8368</v>
      </c>
      <c r="I5911" s="128">
        <v>13390</v>
      </c>
      <c r="J5911" s="128">
        <v>66950</v>
      </c>
    </row>
    <row r="5912" spans="1:10" ht="11.1" hidden="1" customHeight="1" x14ac:dyDescent="0.25">
      <c r="A5912" s="124" t="s">
        <v>8400</v>
      </c>
      <c r="B5912" s="124" t="s">
        <v>11736</v>
      </c>
      <c r="C5912" s="132">
        <f t="shared" si="5"/>
        <v>33325</v>
      </c>
      <c r="D5912" s="125">
        <f t="shared" si="9"/>
        <v>0</v>
      </c>
      <c r="E5912" s="124" t="s">
        <v>8367</v>
      </c>
      <c r="F5912" s="126">
        <v>3</v>
      </c>
      <c r="G5912" s="128">
        <v>119970</v>
      </c>
      <c r="H5912" s="124" t="s">
        <v>8368</v>
      </c>
      <c r="I5912" s="128">
        <v>1941.67</v>
      </c>
      <c r="J5912" s="128">
        <v>9708.33</v>
      </c>
    </row>
    <row r="5913" spans="1:10" ht="11.1" hidden="1" customHeight="1" x14ac:dyDescent="0.25">
      <c r="A5913" s="124" t="s">
        <v>8401</v>
      </c>
      <c r="B5913" s="124" t="s">
        <v>11736</v>
      </c>
      <c r="C5913" s="132">
        <f t="shared" si="5"/>
        <v>36325</v>
      </c>
      <c r="D5913" s="125">
        <f t="shared" si="9"/>
        <v>0</v>
      </c>
      <c r="E5913" s="124" t="s">
        <v>8367</v>
      </c>
      <c r="F5913" s="126">
        <v>1</v>
      </c>
      <c r="G5913" s="128">
        <v>43590</v>
      </c>
      <c r="H5913" s="124" t="s">
        <v>8368</v>
      </c>
      <c r="I5913" s="127">
        <v>639.20000000000005</v>
      </c>
      <c r="J5913" s="128">
        <v>3196</v>
      </c>
    </row>
    <row r="5914" spans="1:10" ht="11.1" hidden="1" customHeight="1" x14ac:dyDescent="0.25">
      <c r="A5914" s="124" t="s">
        <v>8402</v>
      </c>
      <c r="B5914" s="124" t="s">
        <v>11736</v>
      </c>
      <c r="C5914" s="132">
        <f t="shared" si="5"/>
        <v>22316.666666666668</v>
      </c>
      <c r="D5914" s="125">
        <f t="shared" si="9"/>
        <v>0</v>
      </c>
      <c r="E5914" s="124" t="s">
        <v>8367</v>
      </c>
      <c r="F5914" s="126">
        <v>3</v>
      </c>
      <c r="G5914" s="128">
        <v>80340</v>
      </c>
      <c r="H5914" s="124" t="s">
        <v>8368</v>
      </c>
      <c r="I5914" s="127">
        <v>134.6</v>
      </c>
      <c r="J5914" s="127">
        <v>673</v>
      </c>
    </row>
    <row r="5915" spans="1:10" ht="11.1" hidden="1" customHeight="1" x14ac:dyDescent="0.25">
      <c r="A5915" s="124" t="s">
        <v>8403</v>
      </c>
      <c r="B5915" s="124" t="s">
        <v>11736</v>
      </c>
      <c r="C5915" s="132">
        <f t="shared" si="5"/>
        <v>9708.33</v>
      </c>
      <c r="D5915" s="125">
        <f t="shared" si="9"/>
        <v>0</v>
      </c>
      <c r="E5915" s="124" t="s">
        <v>8367</v>
      </c>
      <c r="F5915" s="126">
        <v>1</v>
      </c>
      <c r="G5915" s="128">
        <v>11650</v>
      </c>
      <c r="H5915" s="124" t="s">
        <v>8368</v>
      </c>
      <c r="I5915" s="127">
        <v>134.6</v>
      </c>
      <c r="J5915" s="127">
        <v>673</v>
      </c>
    </row>
    <row r="5916" spans="1:10" ht="11.1" hidden="1" customHeight="1" x14ac:dyDescent="0.25">
      <c r="A5916" s="124" t="s">
        <v>8404</v>
      </c>
      <c r="B5916" s="124" t="s">
        <v>11736</v>
      </c>
      <c r="C5916" s="132">
        <f t="shared" si="5"/>
        <v>532.66666666666663</v>
      </c>
      <c r="D5916" s="125">
        <f t="shared" si="9"/>
        <v>0</v>
      </c>
      <c r="E5916" s="124" t="s">
        <v>8367</v>
      </c>
      <c r="F5916" s="126">
        <v>6</v>
      </c>
      <c r="G5916" s="128">
        <v>3835.2</v>
      </c>
      <c r="H5916" s="124" t="s">
        <v>8368</v>
      </c>
      <c r="I5916" s="127">
        <v>958.6</v>
      </c>
      <c r="J5916" s="128">
        <v>4793</v>
      </c>
    </row>
    <row r="5917" spans="1:10" ht="11.1" hidden="1" customHeight="1" x14ac:dyDescent="0.25">
      <c r="A5917" s="124" t="s">
        <v>8405</v>
      </c>
      <c r="B5917" s="124" t="s">
        <v>11736</v>
      </c>
      <c r="C5917" s="132">
        <f t="shared" si="5"/>
        <v>42.0625</v>
      </c>
      <c r="D5917" s="125">
        <f t="shared" si="9"/>
        <v>0</v>
      </c>
      <c r="E5917" s="124" t="s">
        <v>8367</v>
      </c>
      <c r="F5917" s="126">
        <v>16</v>
      </c>
      <c r="G5917" s="127">
        <v>807.6</v>
      </c>
      <c r="H5917" s="124" t="s">
        <v>8368</v>
      </c>
      <c r="I5917" s="128">
        <v>2444.3000000000002</v>
      </c>
      <c r="J5917" s="128">
        <v>12221.5</v>
      </c>
    </row>
    <row r="5918" spans="1:10" ht="11.1" hidden="1" customHeight="1" x14ac:dyDescent="0.25">
      <c r="A5918" s="124" t="s">
        <v>8406</v>
      </c>
      <c r="B5918" s="124" t="s">
        <v>11736</v>
      </c>
      <c r="C5918" s="132">
        <f t="shared" si="5"/>
        <v>56.083333333333336</v>
      </c>
      <c r="D5918" s="125">
        <f t="shared" ref="D5918:D5928" si="10">COUNTIF(A56:A5917,A5918)</f>
        <v>0</v>
      </c>
      <c r="E5918" s="124" t="s">
        <v>8367</v>
      </c>
      <c r="F5918" s="126">
        <v>12</v>
      </c>
      <c r="G5918" s="127">
        <v>807.6</v>
      </c>
      <c r="H5918" s="124" t="s">
        <v>8368</v>
      </c>
      <c r="I5918" s="128">
        <v>4793.2</v>
      </c>
      <c r="J5918" s="128">
        <v>23966</v>
      </c>
    </row>
    <row r="5919" spans="1:10" ht="11.1" hidden="1" customHeight="1" x14ac:dyDescent="0.25">
      <c r="A5919" s="124" t="s">
        <v>8407</v>
      </c>
      <c r="B5919" s="124" t="s">
        <v>11736</v>
      </c>
      <c r="C5919" s="132">
        <f t="shared" si="5"/>
        <v>63.065789473684212</v>
      </c>
      <c r="D5919" s="125">
        <f t="shared" si="10"/>
        <v>0</v>
      </c>
      <c r="E5919" s="124" t="s">
        <v>8367</v>
      </c>
      <c r="F5919" s="126">
        <v>76</v>
      </c>
      <c r="G5919" s="128">
        <v>5751.6</v>
      </c>
      <c r="H5919" s="124" t="s">
        <v>8368</v>
      </c>
      <c r="I5919" s="128">
        <v>2585.9</v>
      </c>
      <c r="J5919" s="128">
        <v>12929.5</v>
      </c>
    </row>
    <row r="5920" spans="1:10" ht="11.1" hidden="1" customHeight="1" x14ac:dyDescent="0.25">
      <c r="A5920" s="124" t="s">
        <v>8408</v>
      </c>
      <c r="B5920" s="124" t="s">
        <v>11736</v>
      </c>
      <c r="C5920" s="132">
        <f t="shared" si="5"/>
        <v>763.84375</v>
      </c>
      <c r="D5920" s="125">
        <f t="shared" si="10"/>
        <v>0</v>
      </c>
      <c r="E5920" s="124" t="s">
        <v>8367</v>
      </c>
      <c r="F5920" s="126">
        <v>16</v>
      </c>
      <c r="G5920" s="128">
        <v>14665.8</v>
      </c>
      <c r="H5920" s="124" t="s">
        <v>8368</v>
      </c>
      <c r="I5920" s="128">
        <v>22755.4</v>
      </c>
      <c r="J5920" s="128">
        <v>113777</v>
      </c>
    </row>
    <row r="5921" spans="1:10" ht="11.1" hidden="1" customHeight="1" x14ac:dyDescent="0.25">
      <c r="A5921" s="124" t="s">
        <v>8409</v>
      </c>
      <c r="B5921" s="124" t="s">
        <v>11736</v>
      </c>
      <c r="C5921" s="132">
        <f t="shared" si="5"/>
        <v>630.68421052631584</v>
      </c>
      <c r="D5921" s="125">
        <f t="shared" si="10"/>
        <v>0</v>
      </c>
      <c r="E5921" s="124" t="s">
        <v>8367</v>
      </c>
      <c r="F5921" s="126">
        <v>38</v>
      </c>
      <c r="G5921" s="128">
        <v>28759.200000000001</v>
      </c>
      <c r="H5921" s="124" t="s">
        <v>8368</v>
      </c>
      <c r="I5921" s="128">
        <v>2515.8000000000002</v>
      </c>
      <c r="J5921" s="128">
        <v>12579</v>
      </c>
    </row>
    <row r="5922" spans="1:10" ht="11.1" hidden="1" customHeight="1" x14ac:dyDescent="0.25">
      <c r="A5922" s="124" t="s">
        <v>8410</v>
      </c>
      <c r="B5922" s="124" t="s">
        <v>11736</v>
      </c>
      <c r="C5922" s="132">
        <f t="shared" si="5"/>
        <v>2585.9</v>
      </c>
      <c r="D5922" s="125">
        <f t="shared" si="10"/>
        <v>0</v>
      </c>
      <c r="E5922" s="124" t="s">
        <v>8367</v>
      </c>
      <c r="F5922" s="126">
        <v>5</v>
      </c>
      <c r="G5922" s="128">
        <v>15515.4</v>
      </c>
      <c r="H5922" s="124" t="s">
        <v>8368</v>
      </c>
      <c r="I5922" s="128">
        <v>3358</v>
      </c>
      <c r="J5922" s="128">
        <v>16790</v>
      </c>
    </row>
    <row r="5923" spans="1:10" ht="11.1" hidden="1" customHeight="1" x14ac:dyDescent="0.25">
      <c r="A5923" s="124" t="s">
        <v>8411</v>
      </c>
      <c r="B5923" s="124" t="s">
        <v>11736</v>
      </c>
      <c r="C5923" s="132">
        <f t="shared" si="5"/>
        <v>5171.681818181818</v>
      </c>
      <c r="D5923" s="125">
        <f t="shared" si="10"/>
        <v>0</v>
      </c>
      <c r="E5923" s="124" t="s">
        <v>8367</v>
      </c>
      <c r="F5923" s="126">
        <v>22</v>
      </c>
      <c r="G5923" s="128">
        <v>136532.4</v>
      </c>
      <c r="H5923" s="124" t="s">
        <v>8368</v>
      </c>
      <c r="I5923" s="128">
        <v>10498.8</v>
      </c>
      <c r="J5923" s="128">
        <v>52494</v>
      </c>
    </row>
    <row r="5924" spans="1:10" ht="11.1" hidden="1" customHeight="1" x14ac:dyDescent="0.25">
      <c r="A5924" s="124" t="s">
        <v>8412</v>
      </c>
      <c r="B5924" s="124" t="s">
        <v>11736</v>
      </c>
      <c r="C5924" s="132">
        <f t="shared" si="5"/>
        <v>2515.8000000000002</v>
      </c>
      <c r="D5924" s="125">
        <f t="shared" si="10"/>
        <v>0</v>
      </c>
      <c r="E5924" s="124" t="s">
        <v>8367</v>
      </c>
      <c r="F5924" s="126">
        <v>5</v>
      </c>
      <c r="G5924" s="128">
        <v>15094.8</v>
      </c>
      <c r="H5924" s="124" t="s">
        <v>8368</v>
      </c>
      <c r="I5924" s="128">
        <v>1174.8</v>
      </c>
      <c r="J5924" s="128">
        <v>5874</v>
      </c>
    </row>
    <row r="5925" spans="1:10" ht="11.1" hidden="1" customHeight="1" x14ac:dyDescent="0.25">
      <c r="A5925" s="124" t="s">
        <v>8413</v>
      </c>
      <c r="B5925" s="124" t="s">
        <v>11736</v>
      </c>
      <c r="C5925" s="132">
        <f t="shared" si="5"/>
        <v>4197.5</v>
      </c>
      <c r="D5925" s="125">
        <f t="shared" si="10"/>
        <v>0</v>
      </c>
      <c r="E5925" s="124" t="s">
        <v>8367</v>
      </c>
      <c r="F5925" s="126">
        <v>4</v>
      </c>
      <c r="G5925" s="128">
        <v>20148</v>
      </c>
      <c r="H5925" s="124" t="s">
        <v>8368</v>
      </c>
      <c r="I5925" s="128">
        <v>6980</v>
      </c>
      <c r="J5925" s="128">
        <v>34900</v>
      </c>
    </row>
    <row r="5926" spans="1:10" ht="11.1" hidden="1" customHeight="1" x14ac:dyDescent="0.25">
      <c r="A5926" s="124" t="s">
        <v>8414</v>
      </c>
      <c r="B5926" s="124" t="s">
        <v>11736</v>
      </c>
      <c r="C5926" s="132">
        <f t="shared" si="5"/>
        <v>13123.5</v>
      </c>
      <c r="D5926" s="125">
        <f t="shared" si="10"/>
        <v>0</v>
      </c>
      <c r="E5926" s="124" t="s">
        <v>8367</v>
      </c>
      <c r="F5926" s="126">
        <v>4</v>
      </c>
      <c r="G5926" s="128">
        <v>62992.800000000003</v>
      </c>
      <c r="H5926" s="124" t="s">
        <v>8368</v>
      </c>
      <c r="I5926" s="127">
        <v>335.04</v>
      </c>
      <c r="J5926" s="128">
        <v>1675.2</v>
      </c>
    </row>
    <row r="5927" spans="1:10" ht="11.1" hidden="1" customHeight="1" x14ac:dyDescent="0.25">
      <c r="A5927" s="124" t="s">
        <v>8415</v>
      </c>
      <c r="B5927" s="124" t="s">
        <v>11736</v>
      </c>
      <c r="C5927" s="132">
        <f t="shared" si="5"/>
        <v>367.125</v>
      </c>
      <c r="D5927" s="125">
        <f t="shared" si="10"/>
        <v>0</v>
      </c>
      <c r="E5927" s="124" t="s">
        <v>8367</v>
      </c>
      <c r="F5927" s="126">
        <v>16</v>
      </c>
      <c r="G5927" s="128">
        <v>7048.8</v>
      </c>
      <c r="H5927" s="124" t="s">
        <v>8368</v>
      </c>
      <c r="I5927" s="128">
        <v>1196.5999999999999</v>
      </c>
      <c r="J5927" s="128">
        <v>5983</v>
      </c>
    </row>
    <row r="5928" spans="1:10" ht="11.1" hidden="1" customHeight="1" x14ac:dyDescent="0.25">
      <c r="A5928" s="124" t="s">
        <v>8416</v>
      </c>
      <c r="B5928" s="124" t="s">
        <v>11736</v>
      </c>
      <c r="C5928" s="132">
        <f t="shared" si="5"/>
        <v>290.83333333333331</v>
      </c>
      <c r="D5928" s="125">
        <f t="shared" si="10"/>
        <v>0</v>
      </c>
      <c r="E5928" s="124" t="s">
        <v>8367</v>
      </c>
      <c r="F5928" s="126">
        <v>120</v>
      </c>
      <c r="G5928" s="128">
        <v>41880</v>
      </c>
      <c r="H5928" s="124" t="s">
        <v>8368</v>
      </c>
      <c r="I5928" s="128">
        <v>10230</v>
      </c>
      <c r="J5928" s="128">
        <v>51150</v>
      </c>
    </row>
    <row r="5929" spans="1:10" ht="11.1" hidden="1" customHeight="1" x14ac:dyDescent="0.25">
      <c r="A5929" s="124" t="s">
        <v>8417</v>
      </c>
      <c r="B5929" s="124" t="s">
        <v>11736</v>
      </c>
      <c r="C5929" s="132">
        <f t="shared" si="5"/>
        <v>27.92</v>
      </c>
      <c r="D5929" s="125">
        <f>COUNTIF(A68:A5928,A5929)</f>
        <v>0</v>
      </c>
      <c r="E5929" s="124" t="s">
        <v>8367</v>
      </c>
      <c r="F5929" s="126">
        <v>60</v>
      </c>
      <c r="G5929" s="128">
        <v>2010.24</v>
      </c>
      <c r="H5929" s="124" t="s">
        <v>8368</v>
      </c>
      <c r="I5929" s="128">
        <v>1061.5999999999999</v>
      </c>
      <c r="J5929" s="128">
        <v>5308</v>
      </c>
    </row>
    <row r="5930" spans="1:10" ht="11.1" hidden="1" customHeight="1" x14ac:dyDescent="0.25">
      <c r="A5930" s="124" t="s">
        <v>8418</v>
      </c>
      <c r="B5930" s="124" t="s">
        <v>11736</v>
      </c>
      <c r="C5930" s="132">
        <f t="shared" si="5"/>
        <v>598.29999999999995</v>
      </c>
      <c r="D5930" s="125">
        <f>COUNTIF(A69:A5929,A5930)</f>
        <v>0</v>
      </c>
      <c r="E5930" s="124" t="s">
        <v>8367</v>
      </c>
      <c r="F5930" s="126">
        <v>10</v>
      </c>
      <c r="G5930" s="128">
        <v>7179.6</v>
      </c>
      <c r="H5930" s="124" t="s">
        <v>8368</v>
      </c>
      <c r="I5930" s="128">
        <v>11376.4</v>
      </c>
      <c r="J5930" s="128">
        <v>56882</v>
      </c>
    </row>
    <row r="5931" spans="1:10" ht="11.1" hidden="1" customHeight="1" x14ac:dyDescent="0.25">
      <c r="A5931" s="124" t="s">
        <v>8419</v>
      </c>
      <c r="B5931" s="124" t="s">
        <v>11736</v>
      </c>
      <c r="C5931" s="132">
        <f t="shared" si="5"/>
        <v>852.5</v>
      </c>
      <c r="D5931" s="125">
        <f>COUNTIF(A71:A5930,A5931)</f>
        <v>0</v>
      </c>
      <c r="E5931" s="124" t="s">
        <v>8367</v>
      </c>
      <c r="F5931" s="126">
        <v>60</v>
      </c>
      <c r="G5931" s="128">
        <v>61380</v>
      </c>
      <c r="H5931" s="124" t="s">
        <v>8368</v>
      </c>
      <c r="I5931" s="127">
        <v>740.2</v>
      </c>
      <c r="J5931" s="128">
        <v>3701</v>
      </c>
    </row>
    <row r="5932" spans="1:10" ht="11.1" hidden="1" customHeight="1" x14ac:dyDescent="0.25">
      <c r="A5932" s="124" t="s">
        <v>8420</v>
      </c>
      <c r="B5932" s="124" t="s">
        <v>11736</v>
      </c>
      <c r="C5932" s="132">
        <f t="shared" si="5"/>
        <v>530.79999999999995</v>
      </c>
      <c r="D5932" s="125">
        <f>COUNTIF(A73:A5931,A5932)</f>
        <v>0</v>
      </c>
      <c r="E5932" s="124" t="s">
        <v>8367</v>
      </c>
      <c r="F5932" s="126">
        <v>10</v>
      </c>
      <c r="G5932" s="128">
        <v>6369.6</v>
      </c>
      <c r="H5932" s="124" t="s">
        <v>8368</v>
      </c>
      <c r="I5932" s="128">
        <v>2655</v>
      </c>
      <c r="J5932" s="128">
        <v>13275</v>
      </c>
    </row>
    <row r="5933" spans="1:10" ht="11.1" hidden="1" customHeight="1" x14ac:dyDescent="0.25">
      <c r="A5933" s="124" t="s">
        <v>8421</v>
      </c>
      <c r="B5933" s="124" t="s">
        <v>11736</v>
      </c>
      <c r="C5933" s="132">
        <f t="shared" si="5"/>
        <v>28441</v>
      </c>
      <c r="D5933" s="125">
        <f>COUNTIF(A75:A5932,A5933)</f>
        <v>0</v>
      </c>
      <c r="E5933" s="124" t="s">
        <v>8367</v>
      </c>
      <c r="F5933" s="126">
        <v>2</v>
      </c>
      <c r="G5933" s="128">
        <v>68258.399999999994</v>
      </c>
      <c r="H5933" s="124" t="s">
        <v>8368</v>
      </c>
      <c r="I5933" s="127">
        <v>175.6</v>
      </c>
      <c r="J5933" s="127">
        <v>878</v>
      </c>
    </row>
    <row r="5934" spans="1:10" ht="11.1" hidden="1" customHeight="1" x14ac:dyDescent="0.25">
      <c r="A5934" s="124" t="s">
        <v>8422</v>
      </c>
      <c r="B5934" s="124" t="s">
        <v>11736</v>
      </c>
      <c r="C5934" s="132">
        <f t="shared" si="5"/>
        <v>1850.5</v>
      </c>
      <c r="D5934" s="125">
        <f>COUNTIF(A77:A5933,A5934)</f>
        <v>0</v>
      </c>
      <c r="E5934" s="124" t="s">
        <v>8367</v>
      </c>
      <c r="F5934" s="126">
        <v>2</v>
      </c>
      <c r="G5934" s="128">
        <v>4441.2</v>
      </c>
      <c r="H5934" s="124" t="s">
        <v>8368</v>
      </c>
      <c r="I5934" s="127">
        <v>648</v>
      </c>
      <c r="J5934" s="128">
        <v>3240</v>
      </c>
    </row>
    <row r="5935" spans="1:10" ht="11.1" hidden="1" customHeight="1" x14ac:dyDescent="0.25">
      <c r="A5935" s="124" t="s">
        <v>8423</v>
      </c>
      <c r="B5935" s="124" t="s">
        <v>11736</v>
      </c>
      <c r="C5935" s="132">
        <f t="shared" si="5"/>
        <v>6637.5</v>
      </c>
      <c r="D5935" s="125">
        <f t="shared" ref="D5935:D5941" si="11">COUNTIF(A79:A5934,A5935)</f>
        <v>0</v>
      </c>
      <c r="E5935" s="124" t="s">
        <v>8367</v>
      </c>
      <c r="F5935" s="126">
        <v>2</v>
      </c>
      <c r="G5935" s="128">
        <v>15930</v>
      </c>
      <c r="H5935" s="124" t="s">
        <v>8368</v>
      </c>
      <c r="I5935" s="127">
        <v>108.4</v>
      </c>
      <c r="J5935" s="127">
        <v>542</v>
      </c>
    </row>
    <row r="5936" spans="1:10" ht="11.1" hidden="1" customHeight="1" x14ac:dyDescent="0.25">
      <c r="A5936" s="124" t="s">
        <v>8424</v>
      </c>
      <c r="B5936" s="124" t="s">
        <v>11736</v>
      </c>
      <c r="C5936" s="132">
        <f t="shared" si="5"/>
        <v>292.66666666666669</v>
      </c>
      <c r="D5936" s="125">
        <f t="shared" si="11"/>
        <v>0</v>
      </c>
      <c r="E5936" s="124" t="s">
        <v>8367</v>
      </c>
      <c r="F5936" s="126">
        <v>3</v>
      </c>
      <c r="G5936" s="128">
        <v>1053.5999999999999</v>
      </c>
      <c r="H5936" s="124" t="s">
        <v>8368</v>
      </c>
      <c r="I5936" s="127">
        <v>258.39999999999998</v>
      </c>
      <c r="J5936" s="128">
        <v>1292</v>
      </c>
    </row>
    <row r="5937" spans="1:10" ht="11.1" hidden="1" customHeight="1" x14ac:dyDescent="0.25">
      <c r="A5937" s="124" t="s">
        <v>8425</v>
      </c>
      <c r="B5937" s="124" t="s">
        <v>11736</v>
      </c>
      <c r="C5937" s="132">
        <f t="shared" si="5"/>
        <v>1080</v>
      </c>
      <c r="D5937" s="125">
        <f t="shared" si="11"/>
        <v>0</v>
      </c>
      <c r="E5937" s="124" t="s">
        <v>8367</v>
      </c>
      <c r="F5937" s="126">
        <v>3</v>
      </c>
      <c r="G5937" s="128">
        <v>3888</v>
      </c>
      <c r="H5937" s="124" t="s">
        <v>8368</v>
      </c>
      <c r="I5937" s="127">
        <v>564</v>
      </c>
      <c r="J5937" s="128">
        <v>2820</v>
      </c>
    </row>
    <row r="5938" spans="1:10" ht="11.1" hidden="1" customHeight="1" x14ac:dyDescent="0.25">
      <c r="A5938" s="124" t="s">
        <v>8426</v>
      </c>
      <c r="B5938" s="124" t="s">
        <v>11736</v>
      </c>
      <c r="C5938" s="132">
        <f t="shared" si="5"/>
        <v>10.84</v>
      </c>
      <c r="D5938" s="125">
        <f t="shared" si="11"/>
        <v>0</v>
      </c>
      <c r="E5938" s="124" t="s">
        <v>8367</v>
      </c>
      <c r="F5938" s="126">
        <v>50</v>
      </c>
      <c r="G5938" s="127">
        <v>650.4</v>
      </c>
      <c r="H5938" s="124" t="s">
        <v>8368</v>
      </c>
      <c r="I5938" s="128">
        <v>1220</v>
      </c>
      <c r="J5938" s="128">
        <v>6100</v>
      </c>
    </row>
    <row r="5939" spans="1:10" ht="11.1" hidden="1" customHeight="1" x14ac:dyDescent="0.25">
      <c r="A5939" s="124" t="s">
        <v>8427</v>
      </c>
      <c r="B5939" s="124" t="s">
        <v>11736</v>
      </c>
      <c r="C5939" s="132">
        <f t="shared" si="5"/>
        <v>6.46</v>
      </c>
      <c r="D5939" s="125">
        <f t="shared" si="11"/>
        <v>0</v>
      </c>
      <c r="E5939" s="124" t="s">
        <v>8367</v>
      </c>
      <c r="F5939" s="126">
        <v>200</v>
      </c>
      <c r="G5939" s="128">
        <v>1550.4</v>
      </c>
      <c r="H5939" s="124" t="s">
        <v>8368</v>
      </c>
      <c r="I5939" s="127">
        <v>61</v>
      </c>
      <c r="J5939" s="127">
        <v>305</v>
      </c>
    </row>
    <row r="5940" spans="1:10" ht="11.1" hidden="1" customHeight="1" x14ac:dyDescent="0.25">
      <c r="A5940" s="124" t="s">
        <v>8428</v>
      </c>
      <c r="B5940" s="124" t="s">
        <v>11736</v>
      </c>
      <c r="C5940" s="132">
        <f t="shared" si="5"/>
        <v>1410</v>
      </c>
      <c r="D5940" s="125">
        <f t="shared" si="11"/>
        <v>0</v>
      </c>
      <c r="E5940" s="124" t="s">
        <v>8367</v>
      </c>
      <c r="F5940" s="126">
        <v>2</v>
      </c>
      <c r="G5940" s="128">
        <v>3384</v>
      </c>
      <c r="H5940" s="124" t="s">
        <v>8368</v>
      </c>
      <c r="I5940" s="127">
        <v>270.67</v>
      </c>
      <c r="J5940" s="128">
        <v>1353.33</v>
      </c>
    </row>
    <row r="5941" spans="1:10" ht="11.1" hidden="1" customHeight="1" x14ac:dyDescent="0.25">
      <c r="A5941" s="124" t="s">
        <v>8429</v>
      </c>
      <c r="B5941" s="124" t="s">
        <v>11736</v>
      </c>
      <c r="C5941" s="132">
        <f t="shared" si="5"/>
        <v>305</v>
      </c>
      <c r="D5941" s="125">
        <f t="shared" si="11"/>
        <v>0</v>
      </c>
      <c r="E5941" s="124" t="s">
        <v>8367</v>
      </c>
      <c r="F5941" s="126">
        <v>20</v>
      </c>
      <c r="G5941" s="128">
        <v>7320</v>
      </c>
      <c r="H5941" s="124" t="s">
        <v>8368</v>
      </c>
      <c r="I5941" s="127">
        <v>137.6</v>
      </c>
      <c r="J5941" s="127">
        <v>688</v>
      </c>
    </row>
    <row r="5942" spans="1:10" ht="11.1" hidden="1" customHeight="1" x14ac:dyDescent="0.25">
      <c r="A5942" s="124" t="s">
        <v>6</v>
      </c>
      <c r="B5942" s="124" t="s">
        <v>11736</v>
      </c>
      <c r="C5942" s="132">
        <f t="shared" si="5"/>
        <v>305</v>
      </c>
      <c r="D5942" s="125">
        <f>COUNTIF(A88:A5941,A5942)</f>
        <v>0</v>
      </c>
      <c r="E5942" s="124" t="s">
        <v>8367</v>
      </c>
      <c r="F5942" s="126">
        <v>1</v>
      </c>
      <c r="G5942" s="127">
        <v>366</v>
      </c>
      <c r="H5942" s="124" t="s">
        <v>8368</v>
      </c>
      <c r="I5942" s="127">
        <v>670</v>
      </c>
      <c r="J5942" s="128">
        <v>3350</v>
      </c>
    </row>
    <row r="5943" spans="1:10" ht="11.1" hidden="1" customHeight="1" x14ac:dyDescent="0.25">
      <c r="A5943" s="124" t="s">
        <v>8430</v>
      </c>
      <c r="B5943" s="124" t="s">
        <v>11736</v>
      </c>
      <c r="C5943" s="132">
        <f t="shared" si="5"/>
        <v>1353.33</v>
      </c>
      <c r="D5943" s="125">
        <f>COUNTIF(A90:A5942,A5943)</f>
        <v>0</v>
      </c>
      <c r="E5943" s="124" t="s">
        <v>8367</v>
      </c>
      <c r="F5943" s="126">
        <v>1</v>
      </c>
      <c r="G5943" s="128">
        <v>1624</v>
      </c>
      <c r="H5943" s="124" t="s">
        <v>8368</v>
      </c>
      <c r="I5943" s="127">
        <v>54.83</v>
      </c>
      <c r="J5943" s="127">
        <v>274.17</v>
      </c>
    </row>
    <row r="5944" spans="1:10" ht="11.1" hidden="1" customHeight="1" x14ac:dyDescent="0.25">
      <c r="A5944" s="124" t="s">
        <v>8431</v>
      </c>
      <c r="B5944" s="124" t="s">
        <v>11736</v>
      </c>
      <c r="C5944" s="132">
        <f t="shared" ref="C5944:C6007" si="12">J5941/F5944</f>
        <v>229.33333333333334</v>
      </c>
      <c r="D5944" s="125">
        <f>COUNTIF(A92:A5943,A5944)</f>
        <v>0</v>
      </c>
      <c r="E5944" s="124" t="s">
        <v>8367</v>
      </c>
      <c r="F5944" s="126">
        <v>3</v>
      </c>
      <c r="G5944" s="127">
        <v>825.6</v>
      </c>
      <c r="H5944" s="124" t="s">
        <v>8368</v>
      </c>
      <c r="I5944" s="127">
        <v>27.6</v>
      </c>
      <c r="J5944" s="127">
        <v>138</v>
      </c>
    </row>
    <row r="5945" spans="1:10" ht="11.1" hidden="1" customHeight="1" x14ac:dyDescent="0.25">
      <c r="A5945" s="124" t="s">
        <v>8432</v>
      </c>
      <c r="B5945" s="124" t="s">
        <v>11736</v>
      </c>
      <c r="C5945" s="132">
        <f t="shared" si="12"/>
        <v>111.66666666666667</v>
      </c>
      <c r="D5945" s="125">
        <f>COUNTIF(A93:A5944,A5945)</f>
        <v>0</v>
      </c>
      <c r="E5945" s="124" t="s">
        <v>8367</v>
      </c>
      <c r="F5945" s="126">
        <v>30</v>
      </c>
      <c r="G5945" s="128">
        <v>4020</v>
      </c>
      <c r="H5945" s="124" t="s">
        <v>8368</v>
      </c>
      <c r="I5945" s="128">
        <v>17313.599999999999</v>
      </c>
      <c r="J5945" s="128">
        <v>86568</v>
      </c>
    </row>
    <row r="5946" spans="1:10" ht="11.1" hidden="1" customHeight="1" x14ac:dyDescent="0.25">
      <c r="A5946" s="124" t="s">
        <v>8433</v>
      </c>
      <c r="B5946" s="124" t="s">
        <v>11736</v>
      </c>
      <c r="C5946" s="132">
        <f t="shared" si="12"/>
        <v>274.17</v>
      </c>
      <c r="D5946" s="125">
        <f>COUNTIF(A94:A5945,A5946)</f>
        <v>0</v>
      </c>
      <c r="E5946" s="124" t="s">
        <v>8367</v>
      </c>
      <c r="F5946" s="126">
        <v>1</v>
      </c>
      <c r="G5946" s="127">
        <v>329</v>
      </c>
      <c r="H5946" s="124" t="s">
        <v>8368</v>
      </c>
      <c r="I5946" s="127">
        <v>213</v>
      </c>
      <c r="J5946" s="128">
        <v>1065</v>
      </c>
    </row>
    <row r="5947" spans="1:10" ht="11.1" hidden="1" customHeight="1" x14ac:dyDescent="0.25">
      <c r="A5947" s="124" t="s">
        <v>8434</v>
      </c>
      <c r="B5947" s="124" t="s">
        <v>11736</v>
      </c>
      <c r="C5947" s="132">
        <f t="shared" si="12"/>
        <v>138</v>
      </c>
      <c r="D5947" s="125">
        <f>COUNTIF(A96:A5946,A5947)</f>
        <v>0</v>
      </c>
      <c r="E5947" s="124" t="s">
        <v>8367</v>
      </c>
      <c r="F5947" s="126">
        <v>1</v>
      </c>
      <c r="G5947" s="127">
        <v>165.6</v>
      </c>
      <c r="H5947" s="124" t="s">
        <v>8368</v>
      </c>
      <c r="I5947" s="127">
        <v>294</v>
      </c>
      <c r="J5947" s="128">
        <v>1470</v>
      </c>
    </row>
    <row r="5948" spans="1:10" ht="11.1" hidden="1" customHeight="1" x14ac:dyDescent="0.25">
      <c r="A5948" s="124" t="s">
        <v>8435</v>
      </c>
      <c r="B5948" s="124" t="s">
        <v>11736</v>
      </c>
      <c r="C5948" s="132">
        <f t="shared" si="12"/>
        <v>2473.3714285714286</v>
      </c>
      <c r="D5948" s="125">
        <f>COUNTIF(A97:A5947,A5948)</f>
        <v>0</v>
      </c>
      <c r="E5948" s="124" t="s">
        <v>8367</v>
      </c>
      <c r="F5948" s="126">
        <v>35</v>
      </c>
      <c r="G5948" s="128">
        <v>103881.60000000001</v>
      </c>
      <c r="H5948" s="124" t="s">
        <v>8368</v>
      </c>
      <c r="I5948" s="127">
        <v>0.68</v>
      </c>
      <c r="J5948" s="127">
        <v>3.38</v>
      </c>
    </row>
    <row r="5949" spans="1:10" ht="11.1" hidden="1" customHeight="1" x14ac:dyDescent="0.25">
      <c r="A5949" s="124" t="s">
        <v>8436</v>
      </c>
      <c r="B5949" s="124" t="s">
        <v>11736</v>
      </c>
      <c r="C5949" s="132">
        <f t="shared" si="12"/>
        <v>532.5</v>
      </c>
      <c r="D5949" s="125">
        <f>COUNTIF(A98:A5948,A5949)</f>
        <v>0</v>
      </c>
      <c r="E5949" s="124" t="s">
        <v>8367</v>
      </c>
      <c r="F5949" s="126">
        <v>2</v>
      </c>
      <c r="G5949" s="128">
        <v>1278</v>
      </c>
      <c r="H5949" s="124" t="s">
        <v>8368</v>
      </c>
      <c r="I5949" s="127">
        <v>31</v>
      </c>
      <c r="J5949" s="127">
        <v>155</v>
      </c>
    </row>
    <row r="5950" spans="1:10" ht="11.1" hidden="1" customHeight="1" x14ac:dyDescent="0.25">
      <c r="A5950" s="124" t="s">
        <v>8437</v>
      </c>
      <c r="B5950" s="124" t="s">
        <v>11736</v>
      </c>
      <c r="C5950" s="132">
        <f t="shared" si="12"/>
        <v>122.5</v>
      </c>
      <c r="D5950" s="125">
        <f>COUNTIF(A99:A5949,A5950)</f>
        <v>0</v>
      </c>
      <c r="E5950" s="124" t="s">
        <v>8367</v>
      </c>
      <c r="F5950" s="126">
        <v>12</v>
      </c>
      <c r="G5950" s="128">
        <v>1764</v>
      </c>
      <c r="H5950" s="124" t="s">
        <v>8368</v>
      </c>
      <c r="I5950" s="128">
        <v>14680</v>
      </c>
      <c r="J5950" s="128">
        <v>73400</v>
      </c>
    </row>
    <row r="5951" spans="1:10" ht="11.1" hidden="1" customHeight="1" x14ac:dyDescent="0.25">
      <c r="A5951" s="124" t="s">
        <v>8438</v>
      </c>
      <c r="B5951" s="124" t="s">
        <v>11736</v>
      </c>
      <c r="C5951" s="132">
        <f t="shared" si="12"/>
        <v>3.38</v>
      </c>
      <c r="D5951" s="125">
        <f>COUNTIF(A100:A5950,A5951)</f>
        <v>0</v>
      </c>
      <c r="E5951" s="124" t="s">
        <v>8367</v>
      </c>
      <c r="F5951" s="126">
        <v>1</v>
      </c>
      <c r="G5951" s="127">
        <v>4.0599999999999996</v>
      </c>
      <c r="H5951" s="124" t="s">
        <v>8368</v>
      </c>
      <c r="I5951" s="127">
        <v>106.6</v>
      </c>
      <c r="J5951" s="127">
        <v>533</v>
      </c>
    </row>
    <row r="5952" spans="1:10" ht="11.1" hidden="1" customHeight="1" x14ac:dyDescent="0.25">
      <c r="A5952" s="124" t="s">
        <v>8439</v>
      </c>
      <c r="B5952" s="124" t="s">
        <v>11736</v>
      </c>
      <c r="C5952" s="132">
        <f t="shared" si="12"/>
        <v>51.666666666666664</v>
      </c>
      <c r="D5952" s="125">
        <f t="shared" ref="D5952:D5964" si="13">COUNTIF(A102:A5951,A5952)</f>
        <v>0</v>
      </c>
      <c r="E5952" s="124" t="s">
        <v>8367</v>
      </c>
      <c r="F5952" s="126">
        <v>3</v>
      </c>
      <c r="G5952" s="127">
        <v>186</v>
      </c>
      <c r="H5952" s="124" t="s">
        <v>8368</v>
      </c>
      <c r="I5952" s="127">
        <v>666.6</v>
      </c>
      <c r="J5952" s="128">
        <v>3333</v>
      </c>
    </row>
    <row r="5953" spans="1:10" ht="11.1" hidden="1" customHeight="1" x14ac:dyDescent="0.25">
      <c r="A5953" s="124" t="s">
        <v>8440</v>
      </c>
      <c r="B5953" s="124" t="s">
        <v>11736</v>
      </c>
      <c r="C5953" s="132">
        <f t="shared" si="12"/>
        <v>73400</v>
      </c>
      <c r="D5953" s="125">
        <f t="shared" si="13"/>
        <v>0</v>
      </c>
      <c r="E5953" s="124" t="s">
        <v>8367</v>
      </c>
      <c r="F5953" s="126">
        <v>1</v>
      </c>
      <c r="G5953" s="128">
        <v>88080</v>
      </c>
      <c r="H5953" s="124" t="s">
        <v>8368</v>
      </c>
      <c r="I5953" s="127">
        <v>293.39999999999998</v>
      </c>
      <c r="J5953" s="128">
        <v>1467</v>
      </c>
    </row>
    <row r="5954" spans="1:10" ht="11.1" hidden="1" customHeight="1" x14ac:dyDescent="0.25">
      <c r="A5954" s="124" t="s">
        <v>8441</v>
      </c>
      <c r="B5954" s="124" t="s">
        <v>11736</v>
      </c>
      <c r="C5954" s="132">
        <f t="shared" si="12"/>
        <v>177.66666666666666</v>
      </c>
      <c r="D5954" s="125">
        <f t="shared" si="13"/>
        <v>0</v>
      </c>
      <c r="E5954" s="124" t="s">
        <v>8367</v>
      </c>
      <c r="F5954" s="126">
        <v>3</v>
      </c>
      <c r="G5954" s="127">
        <v>639.6</v>
      </c>
      <c r="H5954" s="124" t="s">
        <v>8368</v>
      </c>
      <c r="I5954" s="127">
        <v>29.4</v>
      </c>
      <c r="J5954" s="127">
        <v>147</v>
      </c>
    </row>
    <row r="5955" spans="1:10" ht="11.1" hidden="1" customHeight="1" x14ac:dyDescent="0.25">
      <c r="A5955" s="124" t="s">
        <v>8442</v>
      </c>
      <c r="B5955" s="124" t="s">
        <v>11736</v>
      </c>
      <c r="C5955" s="132">
        <f t="shared" si="12"/>
        <v>3333</v>
      </c>
      <c r="D5955" s="125">
        <f t="shared" si="13"/>
        <v>0</v>
      </c>
      <c r="E5955" s="124" t="s">
        <v>8367</v>
      </c>
      <c r="F5955" s="126">
        <v>1</v>
      </c>
      <c r="G5955" s="128">
        <v>3999.6</v>
      </c>
      <c r="H5955" s="124" t="s">
        <v>8368</v>
      </c>
      <c r="I5955" s="127">
        <v>57.6</v>
      </c>
      <c r="J5955" s="127">
        <v>288</v>
      </c>
    </row>
    <row r="5956" spans="1:10" ht="11.1" hidden="1" customHeight="1" x14ac:dyDescent="0.25">
      <c r="A5956" s="124" t="s">
        <v>8443</v>
      </c>
      <c r="B5956" s="124" t="s">
        <v>11736</v>
      </c>
      <c r="C5956" s="132">
        <f t="shared" si="12"/>
        <v>733.5</v>
      </c>
      <c r="D5956" s="125">
        <f t="shared" si="13"/>
        <v>0</v>
      </c>
      <c r="E5956" s="124" t="s">
        <v>8367</v>
      </c>
      <c r="F5956" s="126">
        <v>2</v>
      </c>
      <c r="G5956" s="128">
        <v>1760.4</v>
      </c>
      <c r="H5956" s="124" t="s">
        <v>8368</v>
      </c>
      <c r="I5956" s="128">
        <v>7093.4</v>
      </c>
      <c r="J5956" s="128">
        <v>35467</v>
      </c>
    </row>
    <row r="5957" spans="1:10" ht="11.1" hidden="1" customHeight="1" x14ac:dyDescent="0.25">
      <c r="A5957" s="124" t="s">
        <v>8444</v>
      </c>
      <c r="B5957" s="124" t="s">
        <v>11736</v>
      </c>
      <c r="C5957" s="132">
        <f t="shared" si="12"/>
        <v>147</v>
      </c>
      <c r="D5957" s="125">
        <f t="shared" si="13"/>
        <v>0</v>
      </c>
      <c r="E5957" s="124" t="s">
        <v>8367</v>
      </c>
      <c r="F5957" s="126">
        <v>1</v>
      </c>
      <c r="G5957" s="127">
        <v>176.4</v>
      </c>
      <c r="H5957" s="124" t="s">
        <v>8368</v>
      </c>
      <c r="I5957" s="128">
        <v>1178.7</v>
      </c>
      <c r="J5957" s="128">
        <v>5893.5</v>
      </c>
    </row>
    <row r="5958" spans="1:10" ht="11.1" hidden="1" customHeight="1" x14ac:dyDescent="0.25">
      <c r="A5958" s="124" t="s">
        <v>8445</v>
      </c>
      <c r="B5958" s="124" t="s">
        <v>11736</v>
      </c>
      <c r="C5958" s="132">
        <f t="shared" si="12"/>
        <v>288</v>
      </c>
      <c r="D5958" s="125">
        <f t="shared" si="13"/>
        <v>0</v>
      </c>
      <c r="E5958" s="124" t="s">
        <v>8367</v>
      </c>
      <c r="F5958" s="126">
        <v>1</v>
      </c>
      <c r="G5958" s="127">
        <v>345.6</v>
      </c>
      <c r="H5958" s="124" t="s">
        <v>8368</v>
      </c>
      <c r="I5958" s="127">
        <v>877.6</v>
      </c>
      <c r="J5958" s="128">
        <v>4388</v>
      </c>
    </row>
    <row r="5959" spans="1:10" ht="11.1" hidden="1" customHeight="1" x14ac:dyDescent="0.25">
      <c r="A5959" s="124" t="s">
        <v>8446</v>
      </c>
      <c r="B5959" s="124" t="s">
        <v>11736</v>
      </c>
      <c r="C5959" s="132">
        <f t="shared" si="12"/>
        <v>35467</v>
      </c>
      <c r="D5959" s="125">
        <f t="shared" si="13"/>
        <v>0</v>
      </c>
      <c r="E5959" s="124" t="s">
        <v>8367</v>
      </c>
      <c r="F5959" s="126">
        <v>1</v>
      </c>
      <c r="G5959" s="128">
        <v>42560.4</v>
      </c>
      <c r="H5959" s="124" t="s">
        <v>8368</v>
      </c>
      <c r="I5959" s="127">
        <v>125.4</v>
      </c>
      <c r="J5959" s="127">
        <v>627</v>
      </c>
    </row>
    <row r="5960" spans="1:10" ht="11.1" hidden="1" customHeight="1" x14ac:dyDescent="0.25">
      <c r="A5960" s="124" t="s">
        <v>8447</v>
      </c>
      <c r="B5960" s="124" t="s">
        <v>11736</v>
      </c>
      <c r="C5960" s="132">
        <f t="shared" si="12"/>
        <v>267.88636363636363</v>
      </c>
      <c r="D5960" s="125">
        <f t="shared" si="13"/>
        <v>0</v>
      </c>
      <c r="E5960" s="124" t="s">
        <v>8367</v>
      </c>
      <c r="F5960" s="126">
        <v>22</v>
      </c>
      <c r="G5960" s="128">
        <v>7072.2</v>
      </c>
      <c r="H5960" s="124" t="s">
        <v>8368</v>
      </c>
      <c r="I5960" s="127">
        <v>579.20000000000005</v>
      </c>
      <c r="J5960" s="128">
        <v>2896</v>
      </c>
    </row>
    <row r="5961" spans="1:10" ht="11.1" hidden="1" customHeight="1" x14ac:dyDescent="0.25">
      <c r="A5961" s="124" t="s">
        <v>8448</v>
      </c>
      <c r="B5961" s="124" t="s">
        <v>11736</v>
      </c>
      <c r="C5961" s="132">
        <f t="shared" si="12"/>
        <v>1462.6666666666667</v>
      </c>
      <c r="D5961" s="125">
        <f t="shared" si="13"/>
        <v>0</v>
      </c>
      <c r="E5961" s="124" t="s">
        <v>8367</v>
      </c>
      <c r="F5961" s="126">
        <v>3</v>
      </c>
      <c r="G5961" s="128">
        <v>5265.6</v>
      </c>
      <c r="H5961" s="124" t="s">
        <v>8368</v>
      </c>
      <c r="I5961" s="127">
        <v>585</v>
      </c>
      <c r="J5961" s="128">
        <v>2925</v>
      </c>
    </row>
    <row r="5962" spans="1:10" ht="11.1" hidden="1" customHeight="1" x14ac:dyDescent="0.25">
      <c r="A5962" s="124" t="s">
        <v>8449</v>
      </c>
      <c r="B5962" s="124" t="s">
        <v>11736</v>
      </c>
      <c r="C5962" s="132">
        <f t="shared" si="12"/>
        <v>69.666666666666671</v>
      </c>
      <c r="D5962" s="125">
        <f t="shared" si="13"/>
        <v>0</v>
      </c>
      <c r="E5962" s="124" t="s">
        <v>8367</v>
      </c>
      <c r="F5962" s="126">
        <v>9</v>
      </c>
      <c r="G5962" s="127">
        <v>752.4</v>
      </c>
      <c r="H5962" s="124" t="s">
        <v>8368</v>
      </c>
      <c r="I5962" s="127">
        <v>596</v>
      </c>
      <c r="J5962" s="128">
        <v>2980</v>
      </c>
    </row>
    <row r="5963" spans="1:10" ht="11.1" hidden="1" customHeight="1" x14ac:dyDescent="0.25">
      <c r="A5963" s="124" t="s">
        <v>8450</v>
      </c>
      <c r="B5963" s="124" t="s">
        <v>11736</v>
      </c>
      <c r="C5963" s="132">
        <f t="shared" si="12"/>
        <v>579.20000000000005</v>
      </c>
      <c r="D5963" s="125">
        <f t="shared" si="13"/>
        <v>0</v>
      </c>
      <c r="E5963" s="124" t="s">
        <v>8451</v>
      </c>
      <c r="F5963" s="126">
        <v>5</v>
      </c>
      <c r="G5963" s="128">
        <v>3475.2</v>
      </c>
      <c r="H5963" s="124" t="s">
        <v>8368</v>
      </c>
      <c r="I5963" s="127">
        <v>84.47</v>
      </c>
      <c r="J5963" s="127">
        <v>422.33</v>
      </c>
    </row>
    <row r="5964" spans="1:10" ht="11.1" hidden="1" customHeight="1" x14ac:dyDescent="0.25">
      <c r="A5964" s="124" t="s">
        <v>8452</v>
      </c>
      <c r="B5964" s="124" t="s">
        <v>11736</v>
      </c>
      <c r="C5964" s="132">
        <f t="shared" si="12"/>
        <v>292.5</v>
      </c>
      <c r="D5964" s="125">
        <f t="shared" si="13"/>
        <v>0</v>
      </c>
      <c r="E5964" s="124" t="s">
        <v>8367</v>
      </c>
      <c r="F5964" s="126">
        <v>10</v>
      </c>
      <c r="G5964" s="128">
        <v>3510</v>
      </c>
      <c r="H5964" s="124" t="s">
        <v>8368</v>
      </c>
      <c r="I5964" s="127">
        <v>950</v>
      </c>
      <c r="J5964" s="128">
        <v>4750</v>
      </c>
    </row>
    <row r="5965" spans="1:10" ht="11.1" hidden="1" customHeight="1" x14ac:dyDescent="0.25">
      <c r="A5965" s="124" t="s">
        <v>8453</v>
      </c>
      <c r="B5965" s="124" t="s">
        <v>11736</v>
      </c>
      <c r="C5965" s="132">
        <f t="shared" si="12"/>
        <v>229.23076923076923</v>
      </c>
      <c r="D5965" s="125">
        <f>COUNTIF(A116:A5964,A5965)</f>
        <v>0</v>
      </c>
      <c r="E5965" s="124" t="s">
        <v>8367</v>
      </c>
      <c r="F5965" s="126">
        <v>13</v>
      </c>
      <c r="G5965" s="128">
        <v>3576</v>
      </c>
      <c r="H5965" s="124" t="s">
        <v>8368</v>
      </c>
      <c r="I5965" s="127">
        <v>14.2</v>
      </c>
      <c r="J5965" s="127">
        <v>71</v>
      </c>
    </row>
    <row r="5966" spans="1:10" ht="11.1" hidden="1" customHeight="1" x14ac:dyDescent="0.25">
      <c r="A5966" s="124" t="s">
        <v>8454</v>
      </c>
      <c r="B5966" s="124" t="s">
        <v>11736</v>
      </c>
      <c r="C5966" s="132">
        <f t="shared" si="12"/>
        <v>60.332857142857144</v>
      </c>
      <c r="D5966" s="125">
        <f>COUNTIF(A117:A5965,A5966)</f>
        <v>0</v>
      </c>
      <c r="E5966" s="124" t="s">
        <v>8451</v>
      </c>
      <c r="F5966" s="126">
        <v>7</v>
      </c>
      <c r="G5966" s="127">
        <v>506.8</v>
      </c>
      <c r="H5966" s="124" t="s">
        <v>8368</v>
      </c>
      <c r="I5966" s="128">
        <v>3555</v>
      </c>
      <c r="J5966" s="128">
        <v>17775</v>
      </c>
    </row>
    <row r="5967" spans="1:10" ht="11.1" hidden="1" customHeight="1" x14ac:dyDescent="0.25">
      <c r="A5967" s="124" t="s">
        <v>8455</v>
      </c>
      <c r="B5967" s="124" t="s">
        <v>11736</v>
      </c>
      <c r="C5967" s="132">
        <f t="shared" si="12"/>
        <v>190</v>
      </c>
      <c r="D5967" s="125">
        <f>COUNTIF(A119:A5966,A5967)</f>
        <v>0</v>
      </c>
      <c r="E5967" s="124" t="s">
        <v>8367</v>
      </c>
      <c r="F5967" s="126">
        <v>25</v>
      </c>
      <c r="G5967" s="128">
        <v>5700</v>
      </c>
      <c r="H5967" s="124" t="s">
        <v>8368</v>
      </c>
      <c r="I5967" s="128">
        <v>11270</v>
      </c>
      <c r="J5967" s="128">
        <v>56350</v>
      </c>
    </row>
    <row r="5968" spans="1:10" ht="11.1" hidden="1" customHeight="1" x14ac:dyDescent="0.25">
      <c r="A5968" s="124" t="s">
        <v>8456</v>
      </c>
      <c r="B5968" s="124" t="s">
        <v>11736</v>
      </c>
      <c r="C5968" s="132">
        <f t="shared" si="12"/>
        <v>71</v>
      </c>
      <c r="D5968" s="125">
        <f>COUNTIF(A121:A5967,A5968)</f>
        <v>0</v>
      </c>
      <c r="E5968" s="124" t="s">
        <v>8457</v>
      </c>
      <c r="F5968" s="126">
        <v>1</v>
      </c>
      <c r="G5968" s="127">
        <v>85.2</v>
      </c>
      <c r="H5968" s="124" t="s">
        <v>8368</v>
      </c>
      <c r="I5968" s="127">
        <v>790.6</v>
      </c>
      <c r="J5968" s="128">
        <v>3953</v>
      </c>
    </row>
    <row r="5969" spans="1:10" ht="11.1" hidden="1" customHeight="1" x14ac:dyDescent="0.25">
      <c r="A5969" s="124" t="s">
        <v>8458</v>
      </c>
      <c r="B5969" s="124" t="s">
        <v>11736</v>
      </c>
      <c r="C5969" s="132">
        <f t="shared" si="12"/>
        <v>592.5</v>
      </c>
      <c r="D5969" s="125">
        <f>COUNTIF(A122:A5968,A5969)</f>
        <v>0</v>
      </c>
      <c r="E5969" s="124" t="s">
        <v>8451</v>
      </c>
      <c r="F5969" s="126">
        <v>30</v>
      </c>
      <c r="G5969" s="128">
        <v>21330</v>
      </c>
      <c r="H5969" s="124" t="s">
        <v>8368</v>
      </c>
      <c r="I5969" s="127">
        <v>69.599999999999994</v>
      </c>
      <c r="J5969" s="127">
        <v>348</v>
      </c>
    </row>
    <row r="5970" spans="1:10" ht="11.1" hidden="1" customHeight="1" x14ac:dyDescent="0.25">
      <c r="A5970" s="124" t="s">
        <v>8459</v>
      </c>
      <c r="B5970" s="124" t="s">
        <v>11736</v>
      </c>
      <c r="C5970" s="132">
        <f t="shared" si="12"/>
        <v>1878.3333333333333</v>
      </c>
      <c r="D5970" s="125">
        <f>COUNTIF(A124:A5969,A5970)</f>
        <v>0</v>
      </c>
      <c r="E5970" s="124" t="s">
        <v>8451</v>
      </c>
      <c r="F5970" s="126">
        <v>30</v>
      </c>
      <c r="G5970" s="128">
        <v>67620</v>
      </c>
      <c r="H5970" s="124" t="s">
        <v>8368</v>
      </c>
      <c r="I5970" s="127">
        <v>88</v>
      </c>
      <c r="J5970" s="127">
        <v>440</v>
      </c>
    </row>
    <row r="5971" spans="1:10" ht="11.1" hidden="1" customHeight="1" x14ac:dyDescent="0.25">
      <c r="A5971" s="124" t="s">
        <v>8460</v>
      </c>
      <c r="B5971" s="124" t="s">
        <v>11736</v>
      </c>
      <c r="C5971" s="132">
        <f t="shared" si="12"/>
        <v>232.52941176470588</v>
      </c>
      <c r="D5971" s="125">
        <f>COUNTIF(A126:A5970,A5971)</f>
        <v>0</v>
      </c>
      <c r="E5971" s="124" t="s">
        <v>8451</v>
      </c>
      <c r="F5971" s="126">
        <v>17</v>
      </c>
      <c r="G5971" s="128">
        <v>4743.6000000000004</v>
      </c>
      <c r="H5971" s="124" t="s">
        <v>8368</v>
      </c>
      <c r="I5971" s="128">
        <v>1020</v>
      </c>
      <c r="J5971" s="128">
        <v>5100</v>
      </c>
    </row>
    <row r="5972" spans="1:10" ht="11.1" hidden="1" customHeight="1" x14ac:dyDescent="0.25">
      <c r="A5972" s="124" t="s">
        <v>8461</v>
      </c>
      <c r="B5972" s="124" t="s">
        <v>11736</v>
      </c>
      <c r="C5972" s="132">
        <f t="shared" si="12"/>
        <v>174</v>
      </c>
      <c r="D5972" s="125">
        <f t="shared" ref="D5972:D5977" si="14">COUNTIF(A141:A5971,A5972)</f>
        <v>0</v>
      </c>
      <c r="E5972" s="124" t="s">
        <v>8367</v>
      </c>
      <c r="F5972" s="126">
        <v>2</v>
      </c>
      <c r="G5972" s="127">
        <v>417.6</v>
      </c>
      <c r="H5972" s="124" t="s">
        <v>8368</v>
      </c>
      <c r="I5972" s="128">
        <v>1761.16</v>
      </c>
      <c r="J5972" s="128">
        <v>8805.7900000000009</v>
      </c>
    </row>
    <row r="5973" spans="1:10" ht="11.1" hidden="1" customHeight="1" x14ac:dyDescent="0.25">
      <c r="A5973" s="124" t="s">
        <v>8462</v>
      </c>
      <c r="B5973" s="124" t="s">
        <v>11736</v>
      </c>
      <c r="C5973" s="132">
        <f t="shared" si="12"/>
        <v>146.66666666666666</v>
      </c>
      <c r="D5973" s="125">
        <f t="shared" si="14"/>
        <v>0</v>
      </c>
      <c r="E5973" s="124" t="s">
        <v>8367</v>
      </c>
      <c r="F5973" s="126">
        <v>3</v>
      </c>
      <c r="G5973" s="127">
        <v>528</v>
      </c>
      <c r="H5973" s="124" t="s">
        <v>8368</v>
      </c>
      <c r="I5973" s="128">
        <v>49140</v>
      </c>
      <c r="J5973" s="128">
        <v>245700</v>
      </c>
    </row>
    <row r="5974" spans="1:10" ht="11.1" hidden="1" customHeight="1" x14ac:dyDescent="0.25">
      <c r="A5974" s="124" t="s">
        <v>8463</v>
      </c>
      <c r="B5974" s="124" t="s">
        <v>11736</v>
      </c>
      <c r="C5974" s="132">
        <f t="shared" si="12"/>
        <v>255</v>
      </c>
      <c r="D5974" s="125">
        <f t="shared" si="14"/>
        <v>0</v>
      </c>
      <c r="E5974" s="124" t="s">
        <v>8367</v>
      </c>
      <c r="F5974" s="126">
        <v>20</v>
      </c>
      <c r="G5974" s="128">
        <v>6120</v>
      </c>
      <c r="H5974" s="124" t="s">
        <v>8368</v>
      </c>
      <c r="I5974" s="127">
        <v>824.7</v>
      </c>
      <c r="J5974" s="128">
        <v>4123.5</v>
      </c>
    </row>
    <row r="5975" spans="1:10" ht="11.1" hidden="1" customHeight="1" x14ac:dyDescent="0.25">
      <c r="A5975" s="124" t="s">
        <v>8464</v>
      </c>
      <c r="B5975" s="124" t="s">
        <v>11736</v>
      </c>
      <c r="C5975" s="132">
        <f t="shared" si="12"/>
        <v>489.21055555555563</v>
      </c>
      <c r="D5975" s="125">
        <f t="shared" si="14"/>
        <v>0</v>
      </c>
      <c r="E5975" s="124" t="s">
        <v>8367</v>
      </c>
      <c r="F5975" s="126">
        <v>18</v>
      </c>
      <c r="G5975" s="128">
        <v>10566.95</v>
      </c>
      <c r="H5975" s="124" t="s">
        <v>8368</v>
      </c>
      <c r="I5975" s="128">
        <v>4347.2</v>
      </c>
      <c r="J5975" s="128">
        <v>21736</v>
      </c>
    </row>
    <row r="5976" spans="1:10" ht="11.1" hidden="1" customHeight="1" x14ac:dyDescent="0.25">
      <c r="A5976" s="124" t="s">
        <v>8465</v>
      </c>
      <c r="B5976" s="124" t="s">
        <v>11736</v>
      </c>
      <c r="C5976" s="132">
        <f t="shared" si="12"/>
        <v>61425</v>
      </c>
      <c r="D5976" s="125">
        <f t="shared" si="14"/>
        <v>0</v>
      </c>
      <c r="E5976" s="124" t="s">
        <v>8367</v>
      </c>
      <c r="F5976" s="126">
        <v>4</v>
      </c>
      <c r="G5976" s="128">
        <v>294840</v>
      </c>
      <c r="H5976" s="124" t="s">
        <v>8368</v>
      </c>
      <c r="I5976" s="127">
        <v>183.8</v>
      </c>
      <c r="J5976" s="127">
        <v>919</v>
      </c>
    </row>
    <row r="5977" spans="1:10" ht="11.1" hidden="1" customHeight="1" x14ac:dyDescent="0.25">
      <c r="A5977" s="124" t="s">
        <v>8466</v>
      </c>
      <c r="B5977" s="124" t="s">
        <v>11736</v>
      </c>
      <c r="C5977" s="132">
        <f t="shared" si="12"/>
        <v>4123.5</v>
      </c>
      <c r="D5977" s="125">
        <f t="shared" si="14"/>
        <v>0</v>
      </c>
      <c r="E5977" s="124" t="s">
        <v>8367</v>
      </c>
      <c r="F5977" s="126">
        <v>1</v>
      </c>
      <c r="G5977" s="128">
        <v>4948.2</v>
      </c>
      <c r="H5977" s="124" t="s">
        <v>8368</v>
      </c>
      <c r="I5977" s="127">
        <v>330.6</v>
      </c>
      <c r="J5977" s="128">
        <v>1653</v>
      </c>
    </row>
    <row r="5978" spans="1:10" ht="11.1" hidden="1" customHeight="1" x14ac:dyDescent="0.25">
      <c r="A5978" s="124" t="s">
        <v>8467</v>
      </c>
      <c r="B5978" s="124" t="s">
        <v>11736</v>
      </c>
      <c r="C5978" s="132">
        <f t="shared" si="12"/>
        <v>10868</v>
      </c>
      <c r="D5978" s="125">
        <f>COUNTIF(A149:A5977,A5978)</f>
        <v>0</v>
      </c>
      <c r="E5978" s="124" t="s">
        <v>8367</v>
      </c>
      <c r="F5978" s="126">
        <v>2</v>
      </c>
      <c r="G5978" s="128">
        <v>26083.200000000001</v>
      </c>
      <c r="H5978" s="124" t="s">
        <v>8368</v>
      </c>
      <c r="I5978" s="128">
        <v>7522.8</v>
      </c>
      <c r="J5978" s="128">
        <v>37614</v>
      </c>
    </row>
    <row r="5979" spans="1:10" ht="23.1" hidden="1" customHeight="1" x14ac:dyDescent="0.25">
      <c r="A5979" s="124" t="s">
        <v>8468</v>
      </c>
      <c r="B5979" s="124" t="s">
        <v>11736</v>
      </c>
      <c r="C5979" s="132">
        <f t="shared" si="12"/>
        <v>919</v>
      </c>
      <c r="D5979" s="125">
        <f>COUNTIF(A150:A5978,A5979)</f>
        <v>0</v>
      </c>
      <c r="E5979" s="124" t="s">
        <v>8367</v>
      </c>
      <c r="F5979" s="126">
        <v>1</v>
      </c>
      <c r="G5979" s="128">
        <v>1102.8</v>
      </c>
      <c r="H5979" s="124" t="s">
        <v>8368</v>
      </c>
      <c r="I5979" s="128">
        <v>1070.2</v>
      </c>
      <c r="J5979" s="128">
        <v>5351</v>
      </c>
    </row>
    <row r="5980" spans="1:10" ht="23.1" hidden="1" customHeight="1" x14ac:dyDescent="0.25">
      <c r="A5980" s="124" t="s">
        <v>8469</v>
      </c>
      <c r="B5980" s="124" t="s">
        <v>11736</v>
      </c>
      <c r="C5980" s="132">
        <f t="shared" si="12"/>
        <v>826.5</v>
      </c>
      <c r="D5980" s="125">
        <f>COUNTIF(A151:A5979,A5980)</f>
        <v>0</v>
      </c>
      <c r="E5980" s="124" t="s">
        <v>8367</v>
      </c>
      <c r="F5980" s="126">
        <v>2</v>
      </c>
      <c r="G5980" s="128">
        <v>1983.6</v>
      </c>
      <c r="H5980" s="124" t="s">
        <v>8368</v>
      </c>
      <c r="I5980" s="127">
        <v>53.2</v>
      </c>
      <c r="J5980" s="127">
        <v>266</v>
      </c>
    </row>
    <row r="5981" spans="1:10" ht="23.1" hidden="1" customHeight="1" x14ac:dyDescent="0.25">
      <c r="A5981" s="124" t="s">
        <v>8470</v>
      </c>
      <c r="B5981" s="124" t="s">
        <v>11736</v>
      </c>
      <c r="C5981" s="132">
        <f t="shared" si="12"/>
        <v>37614</v>
      </c>
      <c r="D5981" s="125">
        <f>COUNTIF(A154:A5980,A5981)</f>
        <v>0</v>
      </c>
      <c r="E5981" s="124" t="s">
        <v>8367</v>
      </c>
      <c r="F5981" s="126">
        <v>1</v>
      </c>
      <c r="G5981" s="128">
        <v>45136.800000000003</v>
      </c>
      <c r="H5981" s="124" t="s">
        <v>8368</v>
      </c>
      <c r="I5981" s="128">
        <v>1199</v>
      </c>
      <c r="J5981" s="128">
        <v>5995</v>
      </c>
    </row>
    <row r="5982" spans="1:10" ht="11.1" hidden="1" customHeight="1" x14ac:dyDescent="0.25">
      <c r="A5982" s="124" t="s">
        <v>8471</v>
      </c>
      <c r="B5982" s="124" t="s">
        <v>11736</v>
      </c>
      <c r="C5982" s="132">
        <f t="shared" si="12"/>
        <v>5351</v>
      </c>
      <c r="D5982" s="125">
        <f>COUNTIF(A155:A5981,A5982)</f>
        <v>0</v>
      </c>
      <c r="E5982" s="124" t="s">
        <v>8367</v>
      </c>
      <c r="F5982" s="126">
        <v>1</v>
      </c>
      <c r="G5982" s="128">
        <v>6421.2</v>
      </c>
      <c r="H5982" s="124" t="s">
        <v>8368</v>
      </c>
      <c r="I5982" s="127">
        <v>180</v>
      </c>
      <c r="J5982" s="127">
        <v>900</v>
      </c>
    </row>
    <row r="5983" spans="1:10" ht="23.1" hidden="1" customHeight="1" x14ac:dyDescent="0.25">
      <c r="A5983" s="124" t="s">
        <v>8472</v>
      </c>
      <c r="B5983" s="124" t="s">
        <v>11736</v>
      </c>
      <c r="C5983" s="132">
        <f t="shared" si="12"/>
        <v>24.181818181818183</v>
      </c>
      <c r="D5983" s="125">
        <f>COUNTIF(A156:A5982,A5983)</f>
        <v>0</v>
      </c>
      <c r="E5983" s="124" t="s">
        <v>8451</v>
      </c>
      <c r="F5983" s="126">
        <v>11</v>
      </c>
      <c r="G5983" s="127">
        <v>319.2</v>
      </c>
      <c r="H5983" s="124" t="s">
        <v>8368</v>
      </c>
      <c r="I5983" s="127">
        <v>11</v>
      </c>
      <c r="J5983" s="127">
        <v>55</v>
      </c>
    </row>
    <row r="5984" spans="1:10" ht="11.1" hidden="1" customHeight="1" x14ac:dyDescent="0.25">
      <c r="A5984" s="124" t="s">
        <v>8473</v>
      </c>
      <c r="B5984" s="124" t="s">
        <v>11736</v>
      </c>
      <c r="C5984" s="132">
        <f t="shared" si="12"/>
        <v>999.16666666666663</v>
      </c>
      <c r="D5984" s="125">
        <f>COUNTIF(A157:A5983,A5984)</f>
        <v>0</v>
      </c>
      <c r="E5984" s="124" t="s">
        <v>8367</v>
      </c>
      <c r="F5984" s="126">
        <v>6</v>
      </c>
      <c r="G5984" s="128">
        <v>7194</v>
      </c>
      <c r="H5984" s="124" t="s">
        <v>8368</v>
      </c>
      <c r="I5984" s="127">
        <v>544.6</v>
      </c>
      <c r="J5984" s="128">
        <v>2723</v>
      </c>
    </row>
    <row r="5985" spans="1:10" ht="11.1" hidden="1" customHeight="1" x14ac:dyDescent="0.25">
      <c r="A5985" s="124" t="s">
        <v>8474</v>
      </c>
      <c r="B5985" s="124" t="s">
        <v>11736</v>
      </c>
      <c r="C5985" s="132">
        <f t="shared" si="12"/>
        <v>300</v>
      </c>
      <c r="D5985" s="125">
        <f t="shared" ref="D5985:D5992" si="15">COUNTIF(A160:A5984,A5985)</f>
        <v>0</v>
      </c>
      <c r="E5985" s="124" t="s">
        <v>8367</v>
      </c>
      <c r="F5985" s="126">
        <v>3</v>
      </c>
      <c r="G5985" s="128">
        <v>1080</v>
      </c>
      <c r="H5985" s="124" t="s">
        <v>8368</v>
      </c>
      <c r="I5985" s="127">
        <v>900.4</v>
      </c>
      <c r="J5985" s="128">
        <v>4502</v>
      </c>
    </row>
    <row r="5986" spans="1:10" ht="11.1" hidden="1" customHeight="1" x14ac:dyDescent="0.25">
      <c r="A5986" s="124" t="s">
        <v>8475</v>
      </c>
      <c r="B5986" s="124" t="s">
        <v>11736</v>
      </c>
      <c r="C5986" s="132">
        <f t="shared" si="12"/>
        <v>55</v>
      </c>
      <c r="D5986" s="125">
        <f t="shared" si="15"/>
        <v>0</v>
      </c>
      <c r="E5986" s="124" t="s">
        <v>8451</v>
      </c>
      <c r="F5986" s="126">
        <v>1</v>
      </c>
      <c r="G5986" s="127">
        <v>66</v>
      </c>
      <c r="H5986" s="124" t="s">
        <v>8368</v>
      </c>
      <c r="I5986" s="127">
        <v>143</v>
      </c>
      <c r="J5986" s="127">
        <v>715</v>
      </c>
    </row>
    <row r="5987" spans="1:10" ht="11.1" hidden="1" customHeight="1" x14ac:dyDescent="0.25">
      <c r="A5987" s="124" t="s">
        <v>8476</v>
      </c>
      <c r="B5987" s="124" t="s">
        <v>11736</v>
      </c>
      <c r="C5987" s="132">
        <f t="shared" si="12"/>
        <v>272.3</v>
      </c>
      <c r="D5987" s="125">
        <f t="shared" si="15"/>
        <v>0</v>
      </c>
      <c r="E5987" s="124" t="s">
        <v>8451</v>
      </c>
      <c r="F5987" s="126">
        <v>10</v>
      </c>
      <c r="G5987" s="128">
        <v>3267.6</v>
      </c>
      <c r="H5987" s="124" t="s">
        <v>8368</v>
      </c>
      <c r="I5987" s="128">
        <v>1390.8</v>
      </c>
      <c r="J5987" s="128">
        <v>6954</v>
      </c>
    </row>
    <row r="5988" spans="1:10" ht="11.1" hidden="1" customHeight="1" x14ac:dyDescent="0.25">
      <c r="A5988" s="124" t="s">
        <v>8477</v>
      </c>
      <c r="B5988" s="124" t="s">
        <v>11736</v>
      </c>
      <c r="C5988" s="132">
        <f t="shared" si="12"/>
        <v>450.2</v>
      </c>
      <c r="D5988" s="125">
        <f t="shared" si="15"/>
        <v>0</v>
      </c>
      <c r="E5988" s="124" t="s">
        <v>8367</v>
      </c>
      <c r="F5988" s="126">
        <v>10</v>
      </c>
      <c r="G5988" s="128">
        <v>5402.4</v>
      </c>
      <c r="H5988" s="124" t="s">
        <v>8368</v>
      </c>
      <c r="I5988" s="128">
        <v>43140</v>
      </c>
      <c r="J5988" s="128">
        <v>215700</v>
      </c>
    </row>
    <row r="5989" spans="1:10" ht="11.1" hidden="1" customHeight="1" x14ac:dyDescent="0.25">
      <c r="A5989" s="124" t="s">
        <v>8478</v>
      </c>
      <c r="B5989" s="124" t="s">
        <v>11736</v>
      </c>
      <c r="C5989" s="132">
        <f t="shared" si="12"/>
        <v>715</v>
      </c>
      <c r="D5989" s="125">
        <f t="shared" si="15"/>
        <v>0</v>
      </c>
      <c r="E5989" s="124" t="s">
        <v>8367</v>
      </c>
      <c r="F5989" s="126">
        <v>1</v>
      </c>
      <c r="G5989" s="127">
        <v>858</v>
      </c>
      <c r="H5989" s="124" t="s">
        <v>8368</v>
      </c>
      <c r="I5989" s="127">
        <v>237</v>
      </c>
      <c r="J5989" s="128">
        <v>1185</v>
      </c>
    </row>
    <row r="5990" spans="1:10" ht="11.1" hidden="1" customHeight="1" x14ac:dyDescent="0.25">
      <c r="A5990" s="124" t="s">
        <v>8479</v>
      </c>
      <c r="B5990" s="124" t="s">
        <v>11736</v>
      </c>
      <c r="C5990" s="132">
        <f t="shared" si="12"/>
        <v>6954</v>
      </c>
      <c r="D5990" s="125">
        <f t="shared" si="15"/>
        <v>0</v>
      </c>
      <c r="E5990" s="124" t="s">
        <v>8367</v>
      </c>
      <c r="F5990" s="126">
        <v>1</v>
      </c>
      <c r="G5990" s="128">
        <v>8344.7999999999993</v>
      </c>
      <c r="H5990" s="124" t="s">
        <v>8368</v>
      </c>
      <c r="I5990" s="127">
        <v>548.20000000000005</v>
      </c>
      <c r="J5990" s="128">
        <v>2741</v>
      </c>
    </row>
    <row r="5991" spans="1:10" ht="11.1" hidden="1" customHeight="1" x14ac:dyDescent="0.25">
      <c r="A5991" s="124" t="s">
        <v>8480</v>
      </c>
      <c r="B5991" s="124" t="s">
        <v>11736</v>
      </c>
      <c r="C5991" s="132">
        <f t="shared" si="12"/>
        <v>3595</v>
      </c>
      <c r="D5991" s="125">
        <f t="shared" si="15"/>
        <v>0</v>
      </c>
      <c r="E5991" s="124" t="s">
        <v>8367</v>
      </c>
      <c r="F5991" s="126">
        <v>60</v>
      </c>
      <c r="G5991" s="128">
        <v>258840</v>
      </c>
      <c r="H5991" s="124" t="s">
        <v>8368</v>
      </c>
      <c r="I5991" s="128">
        <v>1020</v>
      </c>
      <c r="J5991" s="128">
        <v>5100</v>
      </c>
    </row>
    <row r="5992" spans="1:10" ht="11.1" hidden="1" customHeight="1" x14ac:dyDescent="0.25">
      <c r="A5992" s="124" t="s">
        <v>8481</v>
      </c>
      <c r="B5992" s="124" t="s">
        <v>11736</v>
      </c>
      <c r="C5992" s="132">
        <f t="shared" si="12"/>
        <v>197.5</v>
      </c>
      <c r="D5992" s="125">
        <f t="shared" si="15"/>
        <v>0</v>
      </c>
      <c r="E5992" s="124" t="s">
        <v>8451</v>
      </c>
      <c r="F5992" s="126">
        <v>6</v>
      </c>
      <c r="G5992" s="128">
        <v>1422</v>
      </c>
      <c r="H5992" s="124" t="s">
        <v>8368</v>
      </c>
      <c r="I5992" s="127">
        <v>329.6</v>
      </c>
      <c r="J5992" s="128">
        <v>1648</v>
      </c>
    </row>
    <row r="5993" spans="1:10" ht="11.1" hidden="1" customHeight="1" x14ac:dyDescent="0.25">
      <c r="A5993" s="124" t="s">
        <v>8482</v>
      </c>
      <c r="B5993" s="124" t="s">
        <v>11736</v>
      </c>
      <c r="C5993" s="132">
        <f t="shared" si="12"/>
        <v>2741</v>
      </c>
      <c r="D5993" s="125">
        <f>COUNTIF(A169:A5992,A5993)</f>
        <v>0</v>
      </c>
      <c r="E5993" s="124" t="s">
        <v>8367</v>
      </c>
      <c r="F5993" s="126">
        <v>1</v>
      </c>
      <c r="G5993" s="128">
        <v>3289.2</v>
      </c>
      <c r="H5993" s="124" t="s">
        <v>8368</v>
      </c>
      <c r="I5993" s="127">
        <v>589</v>
      </c>
      <c r="J5993" s="128">
        <v>2945</v>
      </c>
    </row>
    <row r="5994" spans="1:10" ht="11.1" hidden="1" customHeight="1" x14ac:dyDescent="0.25">
      <c r="A5994" s="124" t="s">
        <v>8483</v>
      </c>
      <c r="B5994" s="124" t="s">
        <v>11736</v>
      </c>
      <c r="C5994" s="132">
        <f t="shared" si="12"/>
        <v>425</v>
      </c>
      <c r="D5994" s="125">
        <f>COUNTIF(A170:A5993,A5994)</f>
        <v>0</v>
      </c>
      <c r="E5994" s="124" t="s">
        <v>8367</v>
      </c>
      <c r="F5994" s="126">
        <v>12</v>
      </c>
      <c r="G5994" s="128">
        <v>6120</v>
      </c>
      <c r="H5994" s="124" t="s">
        <v>8368</v>
      </c>
      <c r="I5994" s="127">
        <v>392.6</v>
      </c>
      <c r="J5994" s="128">
        <v>1963</v>
      </c>
    </row>
    <row r="5995" spans="1:10" ht="11.1" hidden="1" customHeight="1" x14ac:dyDescent="0.25">
      <c r="A5995" s="124" t="s">
        <v>8484</v>
      </c>
      <c r="B5995" s="124" t="s">
        <v>11736</v>
      </c>
      <c r="C5995" s="132">
        <f t="shared" si="12"/>
        <v>1648</v>
      </c>
      <c r="D5995" s="125">
        <f>COUNTIF(A172:A5994,A5995)</f>
        <v>0</v>
      </c>
      <c r="E5995" s="124" t="s">
        <v>8367</v>
      </c>
      <c r="F5995" s="126">
        <v>1</v>
      </c>
      <c r="G5995" s="128">
        <v>1977.6</v>
      </c>
      <c r="H5995" s="124" t="s">
        <v>8368</v>
      </c>
      <c r="I5995" s="127">
        <v>906.6</v>
      </c>
      <c r="J5995" s="128">
        <v>4533</v>
      </c>
    </row>
    <row r="5996" spans="1:10" ht="11.1" hidden="1" customHeight="1" x14ac:dyDescent="0.25">
      <c r="A5996" s="124" t="s">
        <v>8485</v>
      </c>
      <c r="B5996" s="124" t="s">
        <v>11736</v>
      </c>
      <c r="C5996" s="132">
        <f t="shared" si="12"/>
        <v>981.66666666666663</v>
      </c>
      <c r="D5996" s="125">
        <f>COUNTIF(A173:A5995,A5996)</f>
        <v>0</v>
      </c>
      <c r="E5996" s="124" t="s">
        <v>8367</v>
      </c>
      <c r="F5996" s="126">
        <v>3</v>
      </c>
      <c r="G5996" s="128">
        <v>3534</v>
      </c>
      <c r="H5996" s="124" t="s">
        <v>8368</v>
      </c>
      <c r="I5996" s="128">
        <v>24058.400000000001</v>
      </c>
      <c r="J5996" s="128">
        <v>120292</v>
      </c>
    </row>
    <row r="5997" spans="1:10" ht="11.1" hidden="1" customHeight="1" x14ac:dyDescent="0.25">
      <c r="A5997" s="124" t="s">
        <v>8486</v>
      </c>
      <c r="B5997" s="124" t="s">
        <v>11736</v>
      </c>
      <c r="C5997" s="132">
        <f t="shared" si="12"/>
        <v>981.5</v>
      </c>
      <c r="D5997" s="125">
        <f>COUNTIF(A174:A5996,A5997)</f>
        <v>0</v>
      </c>
      <c r="E5997" s="124" t="s">
        <v>8367</v>
      </c>
      <c r="F5997" s="126">
        <v>2</v>
      </c>
      <c r="G5997" s="128">
        <v>2355.6</v>
      </c>
      <c r="H5997" s="124" t="s">
        <v>8368</v>
      </c>
      <c r="I5997" s="128">
        <v>41241.599999999999</v>
      </c>
      <c r="J5997" s="128">
        <v>206208</v>
      </c>
    </row>
    <row r="5998" spans="1:10" ht="11.1" hidden="1" customHeight="1" x14ac:dyDescent="0.25">
      <c r="A5998" s="124" t="s">
        <v>8487</v>
      </c>
      <c r="B5998" s="124" t="s">
        <v>11736</v>
      </c>
      <c r="C5998" s="132">
        <f t="shared" si="12"/>
        <v>226.65</v>
      </c>
      <c r="D5998" s="125">
        <f>COUNTIF(A175:A5997,A5998)</f>
        <v>0</v>
      </c>
      <c r="E5998" s="124" t="s">
        <v>8367</v>
      </c>
      <c r="F5998" s="126">
        <v>20</v>
      </c>
      <c r="G5998" s="128">
        <v>5439.6</v>
      </c>
      <c r="H5998" s="124" t="s">
        <v>8368</v>
      </c>
      <c r="I5998" s="128">
        <v>1332.6</v>
      </c>
      <c r="J5998" s="128">
        <v>6663</v>
      </c>
    </row>
    <row r="5999" spans="1:10" ht="11.1" hidden="1" customHeight="1" x14ac:dyDescent="0.25">
      <c r="A5999" s="124" t="s">
        <v>8488</v>
      </c>
      <c r="B5999" s="124" t="s">
        <v>11736</v>
      </c>
      <c r="C5999" s="132">
        <f t="shared" si="12"/>
        <v>30073</v>
      </c>
      <c r="D5999" s="125">
        <f>COUNTIF(A176:A5998,A5999)</f>
        <v>0</v>
      </c>
      <c r="E5999" s="124" t="s">
        <v>8367</v>
      </c>
      <c r="F5999" s="126">
        <v>4</v>
      </c>
      <c r="G5999" s="128">
        <v>144350.39999999999</v>
      </c>
      <c r="H5999" s="124" t="s">
        <v>8368</v>
      </c>
      <c r="I5999" s="127">
        <v>450</v>
      </c>
      <c r="J5999" s="128">
        <v>2250</v>
      </c>
    </row>
    <row r="6000" spans="1:10" ht="11.1" hidden="1" customHeight="1" x14ac:dyDescent="0.25">
      <c r="A6000" s="124" t="s">
        <v>8489</v>
      </c>
      <c r="B6000" s="124" t="s">
        <v>11736</v>
      </c>
      <c r="C6000" s="132">
        <f t="shared" si="12"/>
        <v>4124.16</v>
      </c>
      <c r="D6000" s="125">
        <f>COUNTIF(A181:A5999,A6000)</f>
        <v>0</v>
      </c>
      <c r="E6000" s="124" t="s">
        <v>8367</v>
      </c>
      <c r="F6000" s="126">
        <v>50</v>
      </c>
      <c r="G6000" s="128">
        <v>247449.60000000001</v>
      </c>
      <c r="H6000" s="124" t="s">
        <v>8368</v>
      </c>
      <c r="I6000" s="128">
        <v>6850</v>
      </c>
      <c r="J6000" s="128">
        <v>34250</v>
      </c>
    </row>
    <row r="6001" spans="1:10" hidden="1" x14ac:dyDescent="0.25">
      <c r="A6001" s="124" t="s">
        <v>8490</v>
      </c>
      <c r="B6001" s="124" t="s">
        <v>11736</v>
      </c>
      <c r="C6001" s="132">
        <f t="shared" si="12"/>
        <v>1332.6</v>
      </c>
      <c r="D6001" s="125">
        <f>COUNTIF(A182:A6000,A6001)</f>
        <v>0</v>
      </c>
      <c r="E6001" s="124" t="s">
        <v>8367</v>
      </c>
      <c r="F6001" s="126">
        <v>5</v>
      </c>
      <c r="G6001" s="128">
        <v>7995.6</v>
      </c>
      <c r="H6001" s="124" t="s">
        <v>8368</v>
      </c>
      <c r="I6001" s="128">
        <v>9070</v>
      </c>
      <c r="J6001" s="128">
        <v>45350</v>
      </c>
    </row>
    <row r="6002" spans="1:10" hidden="1" x14ac:dyDescent="0.25">
      <c r="A6002" s="124" t="s">
        <v>8491</v>
      </c>
      <c r="B6002" s="124" t="s">
        <v>11736</v>
      </c>
      <c r="C6002" s="132">
        <f t="shared" si="12"/>
        <v>75</v>
      </c>
      <c r="D6002" s="125">
        <f>COUNTIF(A184:A6001,A6002)</f>
        <v>0</v>
      </c>
      <c r="E6002" s="124" t="s">
        <v>8367</v>
      </c>
      <c r="F6002" s="126">
        <v>30</v>
      </c>
      <c r="G6002" s="128">
        <v>2700</v>
      </c>
      <c r="H6002" s="124" t="s">
        <v>8368</v>
      </c>
      <c r="I6002" s="127">
        <v>96.96</v>
      </c>
      <c r="J6002" s="127">
        <v>484.8</v>
      </c>
    </row>
    <row r="6003" spans="1:10" hidden="1" x14ac:dyDescent="0.25">
      <c r="A6003" s="124" t="s">
        <v>8492</v>
      </c>
      <c r="B6003" s="124" t="s">
        <v>11736</v>
      </c>
      <c r="C6003" s="132">
        <f t="shared" si="12"/>
        <v>34250</v>
      </c>
      <c r="D6003" s="125">
        <f>COUNTIF(A185:A6002,A6003)</f>
        <v>0</v>
      </c>
      <c r="E6003" s="124" t="s">
        <v>8367</v>
      </c>
      <c r="F6003" s="126">
        <v>1</v>
      </c>
      <c r="G6003" s="128">
        <v>41100</v>
      </c>
      <c r="H6003" s="124" t="s">
        <v>8368</v>
      </c>
      <c r="I6003" s="127">
        <v>690.8</v>
      </c>
      <c r="J6003" s="128">
        <v>3454</v>
      </c>
    </row>
    <row r="6004" spans="1:10" hidden="1" x14ac:dyDescent="0.25">
      <c r="A6004" s="124" t="s">
        <v>8493</v>
      </c>
      <c r="B6004" s="124" t="s">
        <v>11736</v>
      </c>
      <c r="C6004" s="132">
        <f t="shared" si="12"/>
        <v>7558.333333333333</v>
      </c>
      <c r="D6004" s="125">
        <f>COUNTIF(A186:A6003,A6004)</f>
        <v>0</v>
      </c>
      <c r="E6004" s="124" t="s">
        <v>8367</v>
      </c>
      <c r="F6004" s="126">
        <v>6</v>
      </c>
      <c r="G6004" s="128">
        <v>54420</v>
      </c>
      <c r="H6004" s="124" t="s">
        <v>8368</v>
      </c>
      <c r="I6004" s="127">
        <v>641</v>
      </c>
      <c r="J6004" s="128">
        <v>3205</v>
      </c>
    </row>
    <row r="6005" spans="1:10" hidden="1" x14ac:dyDescent="0.25">
      <c r="A6005" s="124" t="s">
        <v>8494</v>
      </c>
      <c r="B6005" s="124" t="s">
        <v>11736</v>
      </c>
      <c r="C6005" s="132">
        <f t="shared" si="12"/>
        <v>48.480000000000004</v>
      </c>
      <c r="D6005" s="125">
        <f>COUNTIF(A187:A6004,A6005)</f>
        <v>0</v>
      </c>
      <c r="E6005" s="124" t="s">
        <v>8367</v>
      </c>
      <c r="F6005" s="126">
        <v>10</v>
      </c>
      <c r="G6005" s="127">
        <v>581.76</v>
      </c>
      <c r="H6005" s="124" t="s">
        <v>8368</v>
      </c>
      <c r="I6005" s="128">
        <v>1265.5999999999999</v>
      </c>
      <c r="J6005" s="128">
        <v>6328</v>
      </c>
    </row>
    <row r="6006" spans="1:10" hidden="1" x14ac:dyDescent="0.25">
      <c r="A6006" s="124" t="s">
        <v>8495</v>
      </c>
      <c r="B6006" s="124" t="s">
        <v>11736</v>
      </c>
      <c r="C6006" s="132">
        <f t="shared" si="12"/>
        <v>1151.3333333333333</v>
      </c>
      <c r="D6006" s="125">
        <f t="shared" ref="D6006:D6012" si="16">COUNTIF(A189:A6005,A6006)</f>
        <v>0</v>
      </c>
      <c r="E6006" s="124" t="s">
        <v>8367</v>
      </c>
      <c r="F6006" s="126">
        <v>3</v>
      </c>
      <c r="G6006" s="128">
        <v>4144.8</v>
      </c>
      <c r="H6006" s="124" t="s">
        <v>8368</v>
      </c>
      <c r="I6006" s="127">
        <v>296.60000000000002</v>
      </c>
      <c r="J6006" s="128">
        <v>1483</v>
      </c>
    </row>
    <row r="6007" spans="1:10" hidden="1" x14ac:dyDescent="0.25">
      <c r="A6007" s="124" t="s">
        <v>8496</v>
      </c>
      <c r="B6007" s="124" t="s">
        <v>11736</v>
      </c>
      <c r="C6007" s="132">
        <f t="shared" si="12"/>
        <v>1068.3333333333333</v>
      </c>
      <c r="D6007" s="125">
        <f t="shared" si="16"/>
        <v>0</v>
      </c>
      <c r="E6007" s="124" t="s">
        <v>8367</v>
      </c>
      <c r="F6007" s="126">
        <v>3</v>
      </c>
      <c r="G6007" s="128">
        <v>3846</v>
      </c>
      <c r="H6007" s="124" t="s">
        <v>8368</v>
      </c>
      <c r="I6007" s="128">
        <v>1596.06</v>
      </c>
      <c r="J6007" s="128">
        <v>7980.27</v>
      </c>
    </row>
    <row r="6008" spans="1:10" hidden="1" x14ac:dyDescent="0.25">
      <c r="A6008" s="124" t="s">
        <v>8497</v>
      </c>
      <c r="B6008" s="124" t="s">
        <v>11736</v>
      </c>
      <c r="C6008" s="132">
        <f t="shared" ref="C6008:C6071" si="17">J6005/F6008</f>
        <v>2109.3333333333335</v>
      </c>
      <c r="D6008" s="125">
        <f t="shared" si="16"/>
        <v>0</v>
      </c>
      <c r="E6008" s="124" t="s">
        <v>8367</v>
      </c>
      <c r="F6008" s="126">
        <v>3</v>
      </c>
      <c r="G6008" s="128">
        <v>7593.6</v>
      </c>
      <c r="H6008" s="124" t="s">
        <v>8368</v>
      </c>
      <c r="I6008" s="128">
        <v>5371.6</v>
      </c>
      <c r="J6008" s="128">
        <v>26858</v>
      </c>
    </row>
    <row r="6009" spans="1:10" hidden="1" x14ac:dyDescent="0.25">
      <c r="A6009" s="124" t="s">
        <v>8498</v>
      </c>
      <c r="B6009" s="124" t="s">
        <v>11736</v>
      </c>
      <c r="C6009" s="132">
        <f t="shared" si="17"/>
        <v>148.30000000000001</v>
      </c>
      <c r="D6009" s="125">
        <f t="shared" si="16"/>
        <v>0</v>
      </c>
      <c r="E6009" s="124" t="s">
        <v>8367</v>
      </c>
      <c r="F6009" s="126">
        <v>10</v>
      </c>
      <c r="G6009" s="128">
        <v>1779.6</v>
      </c>
      <c r="H6009" s="124" t="s">
        <v>8368</v>
      </c>
      <c r="I6009" s="128">
        <v>5546.56</v>
      </c>
      <c r="J6009" s="128">
        <v>27732.799999999999</v>
      </c>
    </row>
    <row r="6010" spans="1:10" hidden="1" x14ac:dyDescent="0.25">
      <c r="A6010" s="124" t="s">
        <v>8499</v>
      </c>
      <c r="B6010" s="124" t="s">
        <v>11736</v>
      </c>
      <c r="C6010" s="132">
        <f t="shared" si="17"/>
        <v>798.02700000000004</v>
      </c>
      <c r="D6010" s="125">
        <f t="shared" si="16"/>
        <v>0</v>
      </c>
      <c r="E6010" s="124" t="s">
        <v>8367</v>
      </c>
      <c r="F6010" s="126">
        <v>10</v>
      </c>
      <c r="G6010" s="128">
        <v>9576.33</v>
      </c>
      <c r="H6010" s="124" t="s">
        <v>8368</v>
      </c>
      <c r="I6010" s="128">
        <v>1023.2</v>
      </c>
      <c r="J6010" s="128">
        <v>5116</v>
      </c>
    </row>
    <row r="6011" spans="1:10" hidden="1" x14ac:dyDescent="0.25">
      <c r="A6011" s="124" t="s">
        <v>8500</v>
      </c>
      <c r="B6011" s="124" t="s">
        <v>11736</v>
      </c>
      <c r="C6011" s="132">
        <f t="shared" si="17"/>
        <v>1492.1111111111111</v>
      </c>
      <c r="D6011" s="125">
        <f t="shared" si="16"/>
        <v>0</v>
      </c>
      <c r="E6011" s="124" t="s">
        <v>8367</v>
      </c>
      <c r="F6011" s="126">
        <v>18</v>
      </c>
      <c r="G6011" s="128">
        <v>32229.599999999999</v>
      </c>
      <c r="H6011" s="124" t="s">
        <v>8368</v>
      </c>
      <c r="I6011" s="128">
        <v>1074.2</v>
      </c>
      <c r="J6011" s="128">
        <v>5371</v>
      </c>
    </row>
    <row r="6012" spans="1:10" hidden="1" x14ac:dyDescent="0.25">
      <c r="A6012" s="124" t="s">
        <v>8501</v>
      </c>
      <c r="B6012" s="124" t="s">
        <v>11736</v>
      </c>
      <c r="C6012" s="132">
        <f t="shared" si="17"/>
        <v>3466.6</v>
      </c>
      <c r="D6012" s="125">
        <f t="shared" si="16"/>
        <v>0</v>
      </c>
      <c r="E6012" s="124" t="s">
        <v>8367</v>
      </c>
      <c r="F6012" s="126">
        <v>8</v>
      </c>
      <c r="G6012" s="128">
        <v>33279.360000000001</v>
      </c>
      <c r="H6012" s="124" t="s">
        <v>8368</v>
      </c>
      <c r="I6012" s="128">
        <v>3615</v>
      </c>
      <c r="J6012" s="128">
        <v>18075</v>
      </c>
    </row>
    <row r="6013" spans="1:10" hidden="1" x14ac:dyDescent="0.25">
      <c r="A6013" s="124" t="s">
        <v>8502</v>
      </c>
      <c r="B6013" s="124" t="s">
        <v>11736</v>
      </c>
      <c r="C6013" s="132">
        <f t="shared" si="17"/>
        <v>5116</v>
      </c>
      <c r="D6013" s="125">
        <f>COUNTIF(A198:A6012,A6013)</f>
        <v>0</v>
      </c>
      <c r="E6013" s="124" t="s">
        <v>8367</v>
      </c>
      <c r="F6013" s="126">
        <v>1</v>
      </c>
      <c r="G6013" s="128">
        <v>6139.2</v>
      </c>
      <c r="H6013" s="124" t="s">
        <v>8368</v>
      </c>
      <c r="I6013" s="128">
        <v>2161</v>
      </c>
      <c r="J6013" s="128">
        <v>10805</v>
      </c>
    </row>
    <row r="6014" spans="1:10" hidden="1" x14ac:dyDescent="0.25">
      <c r="A6014" s="124" t="s">
        <v>8503</v>
      </c>
      <c r="B6014" s="124" t="s">
        <v>11736</v>
      </c>
      <c r="C6014" s="132">
        <f t="shared" si="17"/>
        <v>1074.2</v>
      </c>
      <c r="D6014" s="125">
        <f>COUNTIF(A199:A6013,A6014)</f>
        <v>0</v>
      </c>
      <c r="E6014" s="124" t="s">
        <v>8367</v>
      </c>
      <c r="F6014" s="126">
        <v>5</v>
      </c>
      <c r="G6014" s="128">
        <v>6445.2</v>
      </c>
      <c r="H6014" s="124" t="s">
        <v>8368</v>
      </c>
      <c r="I6014" s="128">
        <v>1708</v>
      </c>
      <c r="J6014" s="128">
        <v>8540</v>
      </c>
    </row>
    <row r="6015" spans="1:10" hidden="1" x14ac:dyDescent="0.25">
      <c r="A6015" s="124" t="s">
        <v>8504</v>
      </c>
      <c r="B6015" s="124" t="s">
        <v>11736</v>
      </c>
      <c r="C6015" s="132">
        <f t="shared" si="17"/>
        <v>1807.5</v>
      </c>
      <c r="D6015" s="125">
        <f>COUNTIF(A200:A6014,A6015)</f>
        <v>0</v>
      </c>
      <c r="E6015" s="124" t="s">
        <v>8367</v>
      </c>
      <c r="F6015" s="126">
        <v>10</v>
      </c>
      <c r="G6015" s="128">
        <v>21690</v>
      </c>
      <c r="H6015" s="124" t="s">
        <v>8368</v>
      </c>
      <c r="I6015" s="128">
        <v>1347.4</v>
      </c>
      <c r="J6015" s="128">
        <v>6737</v>
      </c>
    </row>
    <row r="6016" spans="1:10" hidden="1" x14ac:dyDescent="0.25">
      <c r="A6016" s="124" t="s">
        <v>8505</v>
      </c>
      <c r="B6016" s="124" t="s">
        <v>11736</v>
      </c>
      <c r="C6016" s="132">
        <f t="shared" si="17"/>
        <v>2161</v>
      </c>
      <c r="D6016" s="125">
        <f>COUNTIF(A204:A6015,A6016)</f>
        <v>0</v>
      </c>
      <c r="E6016" s="124" t="s">
        <v>8367</v>
      </c>
      <c r="F6016" s="126">
        <v>5</v>
      </c>
      <c r="G6016" s="128">
        <v>12966</v>
      </c>
      <c r="H6016" s="124" t="s">
        <v>8368</v>
      </c>
      <c r="I6016" s="128">
        <v>15826.6</v>
      </c>
      <c r="J6016" s="128">
        <v>79133</v>
      </c>
    </row>
    <row r="6017" spans="1:10" hidden="1" x14ac:dyDescent="0.25">
      <c r="A6017" s="124" t="s">
        <v>8506</v>
      </c>
      <c r="B6017" s="124" t="s">
        <v>11736</v>
      </c>
      <c r="C6017" s="132">
        <f t="shared" si="17"/>
        <v>1423.3333333333333</v>
      </c>
      <c r="D6017" s="125">
        <f>COUNTIF(A215:A6016,A6017)</f>
        <v>0</v>
      </c>
      <c r="E6017" s="124" t="s">
        <v>8367</v>
      </c>
      <c r="F6017" s="126">
        <v>6</v>
      </c>
      <c r="G6017" s="128">
        <v>10248</v>
      </c>
      <c r="H6017" s="124" t="s">
        <v>8368</v>
      </c>
      <c r="I6017" s="128">
        <v>1200</v>
      </c>
      <c r="J6017" s="128">
        <v>6000</v>
      </c>
    </row>
    <row r="6018" spans="1:10" hidden="1" x14ac:dyDescent="0.25">
      <c r="A6018" s="124" t="s">
        <v>8507</v>
      </c>
      <c r="B6018" s="124" t="s">
        <v>11736</v>
      </c>
      <c r="C6018" s="132">
        <f t="shared" si="17"/>
        <v>449.13333333333333</v>
      </c>
      <c r="D6018" s="125">
        <f>COUNTIF(A217:A6017,A6018)</f>
        <v>0</v>
      </c>
      <c r="E6018" s="124" t="s">
        <v>8367</v>
      </c>
      <c r="F6018" s="126">
        <v>15</v>
      </c>
      <c r="G6018" s="128">
        <v>8084.4</v>
      </c>
      <c r="H6018" s="124" t="s">
        <v>8368</v>
      </c>
      <c r="I6018" s="128">
        <v>2264.1</v>
      </c>
      <c r="J6018" s="128">
        <v>11320.5</v>
      </c>
    </row>
    <row r="6019" spans="1:10" hidden="1" x14ac:dyDescent="0.25">
      <c r="A6019" s="124" t="s">
        <v>8508</v>
      </c>
      <c r="B6019" s="124" t="s">
        <v>11736</v>
      </c>
      <c r="C6019" s="132">
        <f t="shared" si="17"/>
        <v>79133</v>
      </c>
      <c r="D6019" s="125">
        <f t="shared" ref="D6019:D6026" si="18">COUNTIF(A220:A6018,A6019)</f>
        <v>0</v>
      </c>
      <c r="E6019" s="124" t="s">
        <v>8367</v>
      </c>
      <c r="F6019" s="126">
        <v>1</v>
      </c>
      <c r="G6019" s="128">
        <v>94959.6</v>
      </c>
      <c r="H6019" s="124" t="s">
        <v>8368</v>
      </c>
      <c r="I6019" s="128">
        <v>10668.6</v>
      </c>
      <c r="J6019" s="128">
        <v>53343</v>
      </c>
    </row>
    <row r="6020" spans="1:10" hidden="1" x14ac:dyDescent="0.25">
      <c r="A6020" s="124" t="s">
        <v>8509</v>
      </c>
      <c r="B6020" s="124" t="s">
        <v>11736</v>
      </c>
      <c r="C6020" s="132">
        <f t="shared" si="17"/>
        <v>6000</v>
      </c>
      <c r="D6020" s="125">
        <f t="shared" si="18"/>
        <v>0</v>
      </c>
      <c r="E6020" s="124" t="s">
        <v>8367</v>
      </c>
      <c r="F6020" s="126">
        <v>1</v>
      </c>
      <c r="G6020" s="128">
        <v>7200</v>
      </c>
      <c r="H6020" s="124" t="s">
        <v>8368</v>
      </c>
      <c r="I6020" s="128">
        <v>1219.2</v>
      </c>
      <c r="J6020" s="128">
        <v>6096</v>
      </c>
    </row>
    <row r="6021" spans="1:10" hidden="1" x14ac:dyDescent="0.25">
      <c r="A6021" s="124" t="s">
        <v>8510</v>
      </c>
      <c r="B6021" s="124" t="s">
        <v>11736</v>
      </c>
      <c r="C6021" s="132">
        <f t="shared" si="17"/>
        <v>2830.125</v>
      </c>
      <c r="D6021" s="125">
        <f t="shared" si="18"/>
        <v>0</v>
      </c>
      <c r="E6021" s="124" t="s">
        <v>8367</v>
      </c>
      <c r="F6021" s="126">
        <v>4</v>
      </c>
      <c r="G6021" s="128">
        <v>13584.6</v>
      </c>
      <c r="H6021" s="124" t="s">
        <v>8368</v>
      </c>
      <c r="I6021" s="128">
        <v>11430.8</v>
      </c>
      <c r="J6021" s="128">
        <v>57154</v>
      </c>
    </row>
    <row r="6022" spans="1:10" hidden="1" x14ac:dyDescent="0.25">
      <c r="A6022" s="124" t="s">
        <v>8511</v>
      </c>
      <c r="B6022" s="124" t="s">
        <v>11736</v>
      </c>
      <c r="C6022" s="132">
        <f t="shared" si="17"/>
        <v>10668.6</v>
      </c>
      <c r="D6022" s="125">
        <f t="shared" si="18"/>
        <v>0</v>
      </c>
      <c r="E6022" s="124" t="s">
        <v>8367</v>
      </c>
      <c r="F6022" s="126">
        <v>5</v>
      </c>
      <c r="G6022" s="128">
        <v>64011.6</v>
      </c>
      <c r="H6022" s="124" t="s">
        <v>8368</v>
      </c>
      <c r="I6022" s="128">
        <v>1981.4</v>
      </c>
      <c r="J6022" s="128">
        <v>9907</v>
      </c>
    </row>
    <row r="6023" spans="1:10" hidden="1" x14ac:dyDescent="0.25">
      <c r="A6023" s="124" t="s">
        <v>8512</v>
      </c>
      <c r="B6023" s="124" t="s">
        <v>11736</v>
      </c>
      <c r="C6023" s="132">
        <f t="shared" si="17"/>
        <v>1219.2</v>
      </c>
      <c r="D6023" s="125">
        <f t="shared" si="18"/>
        <v>0</v>
      </c>
      <c r="E6023" s="124" t="s">
        <v>8367</v>
      </c>
      <c r="F6023" s="126">
        <v>5</v>
      </c>
      <c r="G6023" s="128">
        <v>7315.2</v>
      </c>
      <c r="H6023" s="124" t="s">
        <v>8368</v>
      </c>
      <c r="I6023" s="128">
        <v>1666.69</v>
      </c>
      <c r="J6023" s="128">
        <v>8333.44</v>
      </c>
    </row>
    <row r="6024" spans="1:10" hidden="1" x14ac:dyDescent="0.25">
      <c r="A6024" s="124" t="s">
        <v>8513</v>
      </c>
      <c r="B6024" s="124" t="s">
        <v>11736</v>
      </c>
      <c r="C6024" s="132">
        <f t="shared" si="17"/>
        <v>11430.8</v>
      </c>
      <c r="D6024" s="125">
        <f t="shared" si="18"/>
        <v>0</v>
      </c>
      <c r="E6024" s="124" t="s">
        <v>8367</v>
      </c>
      <c r="F6024" s="126">
        <v>5</v>
      </c>
      <c r="G6024" s="128">
        <v>68584.800000000003</v>
      </c>
      <c r="H6024" s="124" t="s">
        <v>8368</v>
      </c>
      <c r="I6024" s="128">
        <v>7503.6</v>
      </c>
      <c r="J6024" s="128">
        <v>37518</v>
      </c>
    </row>
    <row r="6025" spans="1:10" hidden="1" x14ac:dyDescent="0.25">
      <c r="A6025" s="124" t="s">
        <v>8514</v>
      </c>
      <c r="B6025" s="124" t="s">
        <v>11736</v>
      </c>
      <c r="C6025" s="132">
        <f t="shared" si="17"/>
        <v>1981.4</v>
      </c>
      <c r="D6025" s="125">
        <f t="shared" si="18"/>
        <v>0</v>
      </c>
      <c r="E6025" s="124" t="s">
        <v>8367</v>
      </c>
      <c r="F6025" s="126">
        <v>5</v>
      </c>
      <c r="G6025" s="128">
        <v>11888.4</v>
      </c>
      <c r="H6025" s="124" t="s">
        <v>8368</v>
      </c>
      <c r="I6025" s="127">
        <v>802</v>
      </c>
      <c r="J6025" s="128">
        <v>4010</v>
      </c>
    </row>
    <row r="6026" spans="1:10" hidden="1" x14ac:dyDescent="0.25">
      <c r="A6026" s="124" t="s">
        <v>8515</v>
      </c>
      <c r="B6026" s="124" t="s">
        <v>11736</v>
      </c>
      <c r="C6026" s="132">
        <f t="shared" si="17"/>
        <v>166.6688</v>
      </c>
      <c r="D6026" s="125">
        <f t="shared" si="18"/>
        <v>0</v>
      </c>
      <c r="E6026" s="124" t="s">
        <v>1</v>
      </c>
      <c r="F6026" s="126">
        <v>50</v>
      </c>
      <c r="G6026" s="128">
        <v>10000.129999999999</v>
      </c>
      <c r="H6026" s="124" t="s">
        <v>8368</v>
      </c>
      <c r="I6026" s="128">
        <v>8012.2</v>
      </c>
      <c r="J6026" s="128">
        <v>40061</v>
      </c>
    </row>
    <row r="6027" spans="1:10" hidden="1" x14ac:dyDescent="0.25">
      <c r="A6027" s="124" t="s">
        <v>8516</v>
      </c>
      <c r="B6027" s="124" t="s">
        <v>11736</v>
      </c>
      <c r="C6027" s="132">
        <f t="shared" si="17"/>
        <v>18759</v>
      </c>
      <c r="D6027" s="125">
        <f>COUNTIF(A229:A6026,A6027)</f>
        <v>0</v>
      </c>
      <c r="E6027" s="124" t="s">
        <v>8367</v>
      </c>
      <c r="F6027" s="126">
        <v>2</v>
      </c>
      <c r="G6027" s="128">
        <v>45021.599999999999</v>
      </c>
      <c r="H6027" s="124" t="s">
        <v>8368</v>
      </c>
      <c r="I6027" s="128">
        <v>9319.9500000000007</v>
      </c>
      <c r="J6027" s="128">
        <v>46599.75</v>
      </c>
    </row>
    <row r="6028" spans="1:10" hidden="1" x14ac:dyDescent="0.25">
      <c r="A6028" s="124" t="s">
        <v>8517</v>
      </c>
      <c r="B6028" s="124" t="s">
        <v>11736</v>
      </c>
      <c r="C6028" s="132">
        <f t="shared" si="17"/>
        <v>2005</v>
      </c>
      <c r="D6028" s="125">
        <f>COUNTIF(A230:A6027,A6028)</f>
        <v>0</v>
      </c>
      <c r="E6028" s="124" t="s">
        <v>8367</v>
      </c>
      <c r="F6028" s="126">
        <v>2</v>
      </c>
      <c r="G6028" s="128">
        <v>4812</v>
      </c>
      <c r="H6028" s="124" t="s">
        <v>8368</v>
      </c>
      <c r="I6028" s="128">
        <v>13527.6</v>
      </c>
      <c r="J6028" s="128">
        <v>67638</v>
      </c>
    </row>
    <row r="6029" spans="1:10" hidden="1" x14ac:dyDescent="0.25">
      <c r="A6029" s="124" t="s">
        <v>8518</v>
      </c>
      <c r="B6029" s="124" t="s">
        <v>11736</v>
      </c>
      <c r="C6029" s="132">
        <f t="shared" si="17"/>
        <v>40061</v>
      </c>
      <c r="D6029" s="125">
        <f>COUNTIF(A232:A6028,A6029)</f>
        <v>0</v>
      </c>
      <c r="E6029" s="124" t="s">
        <v>8367</v>
      </c>
      <c r="F6029" s="126">
        <v>1</v>
      </c>
      <c r="G6029" s="128">
        <v>48073.2</v>
      </c>
      <c r="H6029" s="124" t="s">
        <v>8368</v>
      </c>
      <c r="I6029" s="127">
        <v>39.340000000000003</v>
      </c>
      <c r="J6029" s="127">
        <v>196.67</v>
      </c>
    </row>
    <row r="6030" spans="1:10" hidden="1" x14ac:dyDescent="0.25">
      <c r="A6030" s="124" t="s">
        <v>8519</v>
      </c>
      <c r="B6030" s="124" t="s">
        <v>11736</v>
      </c>
      <c r="C6030" s="132">
        <f t="shared" si="17"/>
        <v>7766.625</v>
      </c>
      <c r="D6030" s="125">
        <f>COUNTIF(A233:A6029,A6030)</f>
        <v>0</v>
      </c>
      <c r="E6030" s="124" t="s">
        <v>8367</v>
      </c>
      <c r="F6030" s="126">
        <v>6</v>
      </c>
      <c r="G6030" s="128">
        <v>55919.7</v>
      </c>
      <c r="H6030" s="124" t="s">
        <v>8368</v>
      </c>
      <c r="I6030" s="127">
        <v>561.6</v>
      </c>
      <c r="J6030" s="128">
        <v>2808</v>
      </c>
    </row>
    <row r="6031" spans="1:10" hidden="1" x14ac:dyDescent="0.25">
      <c r="A6031" s="124" t="s">
        <v>8520</v>
      </c>
      <c r="B6031" s="124" t="s">
        <v>11736</v>
      </c>
      <c r="C6031" s="132">
        <f t="shared" si="17"/>
        <v>22546</v>
      </c>
      <c r="D6031" s="125">
        <f>COUNTIF(A235:A6030,A6031)</f>
        <v>0</v>
      </c>
      <c r="E6031" s="124" t="s">
        <v>8367</v>
      </c>
      <c r="F6031" s="126">
        <v>3</v>
      </c>
      <c r="G6031" s="128">
        <v>81165.600000000006</v>
      </c>
      <c r="H6031" s="124" t="s">
        <v>8368</v>
      </c>
      <c r="I6031" s="128">
        <v>5514.4</v>
      </c>
      <c r="J6031" s="128">
        <v>27572</v>
      </c>
    </row>
    <row r="6032" spans="1:10" hidden="1" x14ac:dyDescent="0.25">
      <c r="A6032" s="124" t="s">
        <v>8521</v>
      </c>
      <c r="B6032" s="124" t="s">
        <v>11736</v>
      </c>
      <c r="C6032" s="132">
        <f t="shared" si="17"/>
        <v>196.67</v>
      </c>
      <c r="D6032" s="125">
        <f>COUNTIF(A236:A6031,A6032)</f>
        <v>0</v>
      </c>
      <c r="E6032" s="124" t="s">
        <v>8451</v>
      </c>
      <c r="F6032" s="126">
        <v>1</v>
      </c>
      <c r="G6032" s="127">
        <v>236.01</v>
      </c>
      <c r="H6032" s="124" t="s">
        <v>8368</v>
      </c>
      <c r="I6032" s="128">
        <v>6779.6</v>
      </c>
      <c r="J6032" s="128">
        <v>33898</v>
      </c>
    </row>
    <row r="6033" spans="1:10" hidden="1" x14ac:dyDescent="0.25">
      <c r="A6033" s="124" t="s">
        <v>8522</v>
      </c>
      <c r="B6033" s="124" t="s">
        <v>11736</v>
      </c>
      <c r="C6033" s="132">
        <f t="shared" si="17"/>
        <v>280.8</v>
      </c>
      <c r="D6033" s="125">
        <f>COUNTIF(A238:A6032,A6033)</f>
        <v>0</v>
      </c>
      <c r="E6033" s="124" t="s">
        <v>8367</v>
      </c>
      <c r="F6033" s="126">
        <v>10</v>
      </c>
      <c r="G6033" s="128">
        <v>3369.6</v>
      </c>
      <c r="H6033" s="124" t="s">
        <v>8368</v>
      </c>
      <c r="I6033" s="128">
        <v>1308.4000000000001</v>
      </c>
      <c r="J6033" s="128">
        <v>6542</v>
      </c>
    </row>
    <row r="6034" spans="1:10" hidden="1" x14ac:dyDescent="0.25">
      <c r="A6034" s="124" t="s">
        <v>8523</v>
      </c>
      <c r="B6034" s="124" t="s">
        <v>11736</v>
      </c>
      <c r="C6034" s="132">
        <f t="shared" si="17"/>
        <v>13786</v>
      </c>
      <c r="D6034" s="125">
        <f>COUNTIF(A239:A6033,A6034)</f>
        <v>0</v>
      </c>
      <c r="E6034" s="124" t="s">
        <v>8367</v>
      </c>
      <c r="F6034" s="126">
        <v>2</v>
      </c>
      <c r="G6034" s="128">
        <v>33086.400000000001</v>
      </c>
      <c r="H6034" s="124" t="s">
        <v>8368</v>
      </c>
      <c r="I6034" s="127">
        <v>362.4</v>
      </c>
      <c r="J6034" s="128">
        <v>1812</v>
      </c>
    </row>
    <row r="6035" spans="1:10" hidden="1" x14ac:dyDescent="0.25">
      <c r="A6035" s="124" t="s">
        <v>8524</v>
      </c>
      <c r="B6035" s="124" t="s">
        <v>11736</v>
      </c>
      <c r="C6035" s="132">
        <f t="shared" si="17"/>
        <v>33898</v>
      </c>
      <c r="D6035" s="125">
        <f>COUNTIF(A240:A6034,A6035)</f>
        <v>0</v>
      </c>
      <c r="E6035" s="124" t="s">
        <v>8367</v>
      </c>
      <c r="F6035" s="126">
        <v>1</v>
      </c>
      <c r="G6035" s="128">
        <v>40677.599999999999</v>
      </c>
      <c r="H6035" s="124" t="s">
        <v>8368</v>
      </c>
      <c r="I6035" s="127">
        <v>85</v>
      </c>
      <c r="J6035" s="127">
        <v>425</v>
      </c>
    </row>
    <row r="6036" spans="1:10" hidden="1" x14ac:dyDescent="0.25">
      <c r="A6036" s="124" t="s">
        <v>8525</v>
      </c>
      <c r="B6036" s="124" t="s">
        <v>11736</v>
      </c>
      <c r="C6036" s="132">
        <f t="shared" si="17"/>
        <v>3271</v>
      </c>
      <c r="D6036" s="125">
        <f>COUNTIF(A241:A6035,A6036)</f>
        <v>0</v>
      </c>
      <c r="E6036" s="124" t="s">
        <v>8367</v>
      </c>
      <c r="F6036" s="126">
        <v>2</v>
      </c>
      <c r="G6036" s="128">
        <v>7850.4</v>
      </c>
      <c r="H6036" s="124" t="s">
        <v>8368</v>
      </c>
      <c r="I6036" s="128">
        <v>4020</v>
      </c>
      <c r="J6036" s="128">
        <v>20100</v>
      </c>
    </row>
    <row r="6037" spans="1:10" hidden="1" x14ac:dyDescent="0.25">
      <c r="A6037" s="124" t="s">
        <v>8526</v>
      </c>
      <c r="B6037" s="124" t="s">
        <v>11736</v>
      </c>
      <c r="C6037" s="132">
        <f t="shared" si="17"/>
        <v>120.8</v>
      </c>
      <c r="D6037" s="125">
        <f>COUNTIF(A242:A6036,A6037)</f>
        <v>0</v>
      </c>
      <c r="E6037" s="124" t="s">
        <v>8367</v>
      </c>
      <c r="F6037" s="126">
        <v>15</v>
      </c>
      <c r="G6037" s="128">
        <v>2174.4</v>
      </c>
      <c r="H6037" s="124" t="s">
        <v>8368</v>
      </c>
      <c r="I6037" s="127">
        <v>681.4</v>
      </c>
      <c r="J6037" s="128">
        <v>3407</v>
      </c>
    </row>
    <row r="6038" spans="1:10" hidden="1" x14ac:dyDescent="0.25">
      <c r="A6038" s="124" t="s">
        <v>8527</v>
      </c>
      <c r="B6038" s="124" t="s">
        <v>11736</v>
      </c>
      <c r="C6038" s="132">
        <f t="shared" si="17"/>
        <v>42.5</v>
      </c>
      <c r="D6038" s="125">
        <f>COUNTIF(A244:A6037,A6038)</f>
        <v>0</v>
      </c>
      <c r="E6038" s="124" t="s">
        <v>8367</v>
      </c>
      <c r="F6038" s="126">
        <v>10</v>
      </c>
      <c r="G6038" s="127">
        <v>510</v>
      </c>
      <c r="H6038" s="124" t="s">
        <v>8368</v>
      </c>
      <c r="I6038" s="128">
        <v>2125.8000000000002</v>
      </c>
      <c r="J6038" s="128">
        <v>10629</v>
      </c>
    </row>
    <row r="6039" spans="1:10" hidden="1" x14ac:dyDescent="0.25">
      <c r="A6039" s="124" t="s">
        <v>8528</v>
      </c>
      <c r="B6039" s="124" t="s">
        <v>11736</v>
      </c>
      <c r="C6039" s="132">
        <f t="shared" si="17"/>
        <v>5025</v>
      </c>
      <c r="D6039" s="125">
        <f>COUNTIF(A245:A6038,A6039)</f>
        <v>0</v>
      </c>
      <c r="E6039" s="124" t="s">
        <v>8367</v>
      </c>
      <c r="F6039" s="126">
        <v>4</v>
      </c>
      <c r="G6039" s="128">
        <v>24120</v>
      </c>
      <c r="H6039" s="124" t="s">
        <v>8368</v>
      </c>
      <c r="I6039" s="127">
        <v>225</v>
      </c>
      <c r="J6039" s="128">
        <v>1125</v>
      </c>
    </row>
    <row r="6040" spans="1:10" hidden="1" x14ac:dyDescent="0.25">
      <c r="A6040" s="124" t="s">
        <v>8529</v>
      </c>
      <c r="B6040" s="124" t="s">
        <v>11736</v>
      </c>
      <c r="C6040" s="132">
        <f t="shared" si="17"/>
        <v>851.75</v>
      </c>
      <c r="D6040" s="125">
        <f>COUNTIF(A246:A6039,A6040)</f>
        <v>0</v>
      </c>
      <c r="E6040" s="124" t="s">
        <v>8367</v>
      </c>
      <c r="F6040" s="126">
        <v>4</v>
      </c>
      <c r="G6040" s="128">
        <v>4088.4</v>
      </c>
      <c r="H6040" s="124" t="s">
        <v>8368</v>
      </c>
      <c r="I6040" s="128">
        <v>7114.16</v>
      </c>
      <c r="J6040" s="128">
        <v>35570.800000000003</v>
      </c>
    </row>
    <row r="6041" spans="1:10" hidden="1" x14ac:dyDescent="0.25">
      <c r="A6041" s="124" t="s">
        <v>8530</v>
      </c>
      <c r="B6041" s="124" t="s">
        <v>11736</v>
      </c>
      <c r="C6041" s="132">
        <f t="shared" si="17"/>
        <v>1771.5</v>
      </c>
      <c r="D6041" s="125">
        <f>COUNTIF(A247:A6040,A6041)</f>
        <v>0</v>
      </c>
      <c r="E6041" s="124" t="s">
        <v>8531</v>
      </c>
      <c r="F6041" s="126">
        <v>6</v>
      </c>
      <c r="G6041" s="128">
        <v>12754.8</v>
      </c>
      <c r="H6041" s="124" t="s">
        <v>8368</v>
      </c>
      <c r="I6041" s="127">
        <v>739.2</v>
      </c>
      <c r="J6041" s="128">
        <v>3696</v>
      </c>
    </row>
    <row r="6042" spans="1:10" hidden="1" x14ac:dyDescent="0.25">
      <c r="A6042" s="124" t="s">
        <v>8532</v>
      </c>
      <c r="B6042" s="124" t="s">
        <v>11736</v>
      </c>
      <c r="C6042" s="132">
        <f t="shared" si="17"/>
        <v>112.5</v>
      </c>
      <c r="D6042" s="125">
        <f>COUNTIF(A259:A6041,A6042)</f>
        <v>0</v>
      </c>
      <c r="E6042" s="124" t="s">
        <v>8367</v>
      </c>
      <c r="F6042" s="126">
        <v>10</v>
      </c>
      <c r="G6042" s="128">
        <v>1350</v>
      </c>
      <c r="H6042" s="124" t="s">
        <v>8368</v>
      </c>
      <c r="I6042" s="127">
        <v>186.45</v>
      </c>
      <c r="J6042" s="127">
        <v>932.22</v>
      </c>
    </row>
    <row r="6043" spans="1:10" hidden="1" x14ac:dyDescent="0.25">
      <c r="A6043" s="124" t="s">
        <v>8533</v>
      </c>
      <c r="B6043" s="124" t="s">
        <v>11736</v>
      </c>
      <c r="C6043" s="132">
        <f t="shared" si="17"/>
        <v>1482.1166666666668</v>
      </c>
      <c r="D6043" s="125">
        <f>COUNTIF(A260:A6042,A6043)</f>
        <v>0</v>
      </c>
      <c r="E6043" s="124" t="s">
        <v>8367</v>
      </c>
      <c r="F6043" s="126">
        <v>24</v>
      </c>
      <c r="G6043" s="128">
        <v>42684.959999999999</v>
      </c>
      <c r="H6043" s="124" t="s">
        <v>8368</v>
      </c>
      <c r="I6043" s="127">
        <v>591.62</v>
      </c>
      <c r="J6043" s="128">
        <v>2958.12</v>
      </c>
    </row>
    <row r="6044" spans="1:10" hidden="1" x14ac:dyDescent="0.25">
      <c r="A6044" s="124" t="s">
        <v>8534</v>
      </c>
      <c r="B6044" s="124" t="s">
        <v>11736</v>
      </c>
      <c r="C6044" s="132">
        <f t="shared" si="17"/>
        <v>284.30769230769232</v>
      </c>
      <c r="D6044" s="125">
        <f>COUNTIF(A262:A6043,A6044)</f>
        <v>0</v>
      </c>
      <c r="E6044" s="124" t="s">
        <v>8367</v>
      </c>
      <c r="F6044" s="126">
        <v>13</v>
      </c>
      <c r="G6044" s="128">
        <v>4435.2</v>
      </c>
      <c r="H6044" s="124" t="s">
        <v>8368</v>
      </c>
      <c r="I6044" s="127">
        <v>810.67</v>
      </c>
      <c r="J6044" s="128">
        <v>4053.33</v>
      </c>
    </row>
    <row r="6045" spans="1:10" hidden="1" x14ac:dyDescent="0.25">
      <c r="A6045" s="124" t="s">
        <v>8535</v>
      </c>
      <c r="B6045" s="124" t="s">
        <v>11736</v>
      </c>
      <c r="C6045" s="132">
        <f t="shared" si="17"/>
        <v>466.11</v>
      </c>
      <c r="D6045" s="125">
        <f>COUNTIF(A263:A6044,A6045)</f>
        <v>0</v>
      </c>
      <c r="E6045" s="124" t="s">
        <v>8367</v>
      </c>
      <c r="F6045" s="126">
        <v>2</v>
      </c>
      <c r="G6045" s="128">
        <v>1118.67</v>
      </c>
      <c r="H6045" s="124" t="s">
        <v>8368</v>
      </c>
      <c r="I6045" s="127">
        <v>44.83</v>
      </c>
      <c r="J6045" s="127">
        <v>224.17</v>
      </c>
    </row>
    <row r="6046" spans="1:10" hidden="1" x14ac:dyDescent="0.25">
      <c r="A6046" s="124" t="s">
        <v>8536</v>
      </c>
      <c r="B6046" s="124" t="s">
        <v>11736</v>
      </c>
      <c r="C6046" s="132">
        <f t="shared" si="17"/>
        <v>118.3248</v>
      </c>
      <c r="D6046" s="125">
        <f>COUNTIF(A272:A6045,A6046)</f>
        <v>0</v>
      </c>
      <c r="E6046" s="124" t="s">
        <v>8367</v>
      </c>
      <c r="F6046" s="126">
        <v>25</v>
      </c>
      <c r="G6046" s="128">
        <v>3549.74</v>
      </c>
      <c r="H6046" s="124" t="s">
        <v>8368</v>
      </c>
      <c r="I6046" s="127">
        <v>25.18</v>
      </c>
      <c r="J6046" s="127">
        <v>125.91</v>
      </c>
    </row>
    <row r="6047" spans="1:10" hidden="1" x14ac:dyDescent="0.25">
      <c r="A6047" s="124" t="s">
        <v>8537</v>
      </c>
      <c r="B6047" s="124" t="s">
        <v>11736</v>
      </c>
      <c r="C6047" s="132">
        <f t="shared" si="17"/>
        <v>405.33299999999997</v>
      </c>
      <c r="D6047" s="125">
        <f>COUNTIF(A273:A6046,A6047)</f>
        <v>0</v>
      </c>
      <c r="E6047" s="124" t="s">
        <v>8367</v>
      </c>
      <c r="F6047" s="126">
        <v>10</v>
      </c>
      <c r="G6047" s="128">
        <v>4864</v>
      </c>
      <c r="H6047" s="124" t="s">
        <v>8368</v>
      </c>
      <c r="I6047" s="127">
        <v>596.5</v>
      </c>
      <c r="J6047" s="128">
        <v>2982.5</v>
      </c>
    </row>
    <row r="6048" spans="1:10" hidden="1" x14ac:dyDescent="0.25">
      <c r="A6048" s="124" t="s">
        <v>8538</v>
      </c>
      <c r="B6048" s="124" t="s">
        <v>11736</v>
      </c>
      <c r="C6048" s="132">
        <f t="shared" si="17"/>
        <v>224.17</v>
      </c>
      <c r="D6048" s="125">
        <f>COUNTIF(A274:A6047,A6048)</f>
        <v>0</v>
      </c>
      <c r="E6048" s="124" t="s">
        <v>8367</v>
      </c>
      <c r="F6048" s="126">
        <v>1</v>
      </c>
      <c r="G6048" s="127">
        <v>269</v>
      </c>
      <c r="H6048" s="124" t="s">
        <v>8368</v>
      </c>
      <c r="I6048" s="128">
        <v>1500</v>
      </c>
      <c r="J6048" s="128">
        <v>7500</v>
      </c>
    </row>
    <row r="6049" spans="1:10" hidden="1" x14ac:dyDescent="0.25">
      <c r="A6049" s="124" t="s">
        <v>8539</v>
      </c>
      <c r="B6049" s="124" t="s">
        <v>11736</v>
      </c>
      <c r="C6049" s="132">
        <f t="shared" si="17"/>
        <v>125.91</v>
      </c>
      <c r="D6049" s="125">
        <f>COUNTIF(A276:A6048,A6049)</f>
        <v>0</v>
      </c>
      <c r="E6049" s="124" t="s">
        <v>8367</v>
      </c>
      <c r="F6049" s="126">
        <v>1</v>
      </c>
      <c r="G6049" s="127">
        <v>151.09</v>
      </c>
      <c r="H6049" s="124" t="s">
        <v>8368</v>
      </c>
      <c r="I6049" s="127">
        <v>70.2</v>
      </c>
      <c r="J6049" s="127">
        <v>351</v>
      </c>
    </row>
    <row r="6050" spans="1:10" hidden="1" x14ac:dyDescent="0.25">
      <c r="A6050" s="124" t="s">
        <v>8540</v>
      </c>
      <c r="B6050" s="124" t="s">
        <v>11736</v>
      </c>
      <c r="C6050" s="132">
        <f t="shared" si="17"/>
        <v>149.125</v>
      </c>
      <c r="D6050" s="125">
        <f>COUNTIF(A277:A6049,A6050)</f>
        <v>0</v>
      </c>
      <c r="E6050" s="124" t="s">
        <v>8367</v>
      </c>
      <c r="F6050" s="126">
        <v>20</v>
      </c>
      <c r="G6050" s="128">
        <v>3579</v>
      </c>
      <c r="H6050" s="124" t="s">
        <v>8368</v>
      </c>
      <c r="I6050" s="128">
        <v>3391.6</v>
      </c>
      <c r="J6050" s="128">
        <v>16958</v>
      </c>
    </row>
    <row r="6051" spans="1:10" hidden="1" x14ac:dyDescent="0.25">
      <c r="A6051" s="124" t="s">
        <v>8541</v>
      </c>
      <c r="B6051" s="124" t="s">
        <v>11736</v>
      </c>
      <c r="C6051" s="132">
        <f t="shared" si="17"/>
        <v>750</v>
      </c>
      <c r="D6051" s="125">
        <f>COUNTIF(A278:A6050,A6051)</f>
        <v>0</v>
      </c>
      <c r="E6051" s="124" t="s">
        <v>8367</v>
      </c>
      <c r="F6051" s="126">
        <v>10</v>
      </c>
      <c r="G6051" s="128">
        <v>9000</v>
      </c>
      <c r="H6051" s="124" t="s">
        <v>8368</v>
      </c>
      <c r="I6051" s="128">
        <v>12720</v>
      </c>
      <c r="J6051" s="128">
        <v>63600</v>
      </c>
    </row>
    <row r="6052" spans="1:10" hidden="1" x14ac:dyDescent="0.25">
      <c r="A6052" s="124" t="s">
        <v>8542</v>
      </c>
      <c r="B6052" s="124" t="s">
        <v>11736</v>
      </c>
      <c r="C6052" s="132">
        <f t="shared" si="17"/>
        <v>87.75</v>
      </c>
      <c r="D6052" s="125">
        <f>COUNTIF(A281:A6051,A6052)</f>
        <v>0</v>
      </c>
      <c r="E6052" s="124" t="s">
        <v>8367</v>
      </c>
      <c r="F6052" s="126">
        <v>4</v>
      </c>
      <c r="G6052" s="127">
        <v>421.2</v>
      </c>
      <c r="H6052" s="124" t="s">
        <v>8368</v>
      </c>
      <c r="I6052" s="127">
        <v>500</v>
      </c>
      <c r="J6052" s="128">
        <v>2500</v>
      </c>
    </row>
    <row r="6053" spans="1:10" hidden="1" x14ac:dyDescent="0.25">
      <c r="A6053" s="124" t="s">
        <v>8543</v>
      </c>
      <c r="B6053" s="124" t="s">
        <v>11736</v>
      </c>
      <c r="C6053" s="132">
        <f t="shared" si="17"/>
        <v>16958</v>
      </c>
      <c r="D6053" s="125">
        <f>COUNTIF(A282:A6052,A6053)</f>
        <v>0</v>
      </c>
      <c r="E6053" s="124" t="s">
        <v>8367</v>
      </c>
      <c r="F6053" s="126">
        <v>1</v>
      </c>
      <c r="G6053" s="128">
        <v>20349.599999999999</v>
      </c>
      <c r="H6053" s="124" t="s">
        <v>8368</v>
      </c>
      <c r="I6053" s="128">
        <v>4084.4</v>
      </c>
      <c r="J6053" s="128">
        <v>20422</v>
      </c>
    </row>
    <row r="6054" spans="1:10" hidden="1" x14ac:dyDescent="0.25">
      <c r="A6054" s="124" t="s">
        <v>8544</v>
      </c>
      <c r="B6054" s="124" t="s">
        <v>11736</v>
      </c>
      <c r="C6054" s="132">
        <f t="shared" si="17"/>
        <v>21200</v>
      </c>
      <c r="D6054" s="125">
        <f>COUNTIF(A283:A6053,A6054)</f>
        <v>0</v>
      </c>
      <c r="E6054" s="124" t="s">
        <v>8367</v>
      </c>
      <c r="F6054" s="126">
        <v>3</v>
      </c>
      <c r="G6054" s="128">
        <v>76320</v>
      </c>
      <c r="H6054" s="124" t="s">
        <v>8368</v>
      </c>
      <c r="I6054" s="128">
        <v>2981.8</v>
      </c>
      <c r="J6054" s="128">
        <v>14909</v>
      </c>
    </row>
    <row r="6055" spans="1:10" hidden="1" x14ac:dyDescent="0.25">
      <c r="A6055" s="124" t="s">
        <v>8545</v>
      </c>
      <c r="B6055" s="124" t="s">
        <v>11736</v>
      </c>
      <c r="C6055" s="132">
        <f t="shared" si="17"/>
        <v>3333.3333333333335</v>
      </c>
      <c r="D6055" s="125">
        <f t="shared" ref="D6055:D6063" si="19">COUNTIF(A286:A6054,A6055)</f>
        <v>0</v>
      </c>
      <c r="E6055" s="124" t="s">
        <v>1</v>
      </c>
      <c r="F6055" s="126">
        <v>0.75</v>
      </c>
      <c r="G6055" s="128">
        <v>3000</v>
      </c>
      <c r="H6055" s="124" t="s">
        <v>8368</v>
      </c>
      <c r="I6055" s="128">
        <v>1771.4</v>
      </c>
      <c r="J6055" s="128">
        <v>8857</v>
      </c>
    </row>
    <row r="6056" spans="1:10" hidden="1" x14ac:dyDescent="0.25">
      <c r="A6056" s="124" t="s">
        <v>8546</v>
      </c>
      <c r="B6056" s="124" t="s">
        <v>11736</v>
      </c>
      <c r="C6056" s="132">
        <f t="shared" si="17"/>
        <v>10211</v>
      </c>
      <c r="D6056" s="125">
        <f t="shared" si="19"/>
        <v>0</v>
      </c>
      <c r="E6056" s="124" t="s">
        <v>8367</v>
      </c>
      <c r="F6056" s="126">
        <v>2</v>
      </c>
      <c r="G6056" s="128">
        <v>24506.400000000001</v>
      </c>
      <c r="H6056" s="124" t="s">
        <v>8368</v>
      </c>
      <c r="I6056" s="128">
        <v>2018.4</v>
      </c>
      <c r="J6056" s="128">
        <v>10092</v>
      </c>
    </row>
    <row r="6057" spans="1:10" hidden="1" x14ac:dyDescent="0.25">
      <c r="A6057" s="124" t="s">
        <v>8547</v>
      </c>
      <c r="B6057" s="124" t="s">
        <v>11736</v>
      </c>
      <c r="C6057" s="132">
        <f t="shared" si="17"/>
        <v>14909</v>
      </c>
      <c r="D6057" s="125">
        <f t="shared" si="19"/>
        <v>0</v>
      </c>
      <c r="E6057" s="124" t="s">
        <v>8367</v>
      </c>
      <c r="F6057" s="126">
        <v>1</v>
      </c>
      <c r="G6057" s="128">
        <v>17890.8</v>
      </c>
      <c r="H6057" s="124" t="s">
        <v>8368</v>
      </c>
      <c r="I6057" s="127">
        <v>658.2</v>
      </c>
      <c r="J6057" s="128">
        <v>3291</v>
      </c>
    </row>
    <row r="6058" spans="1:10" hidden="1" x14ac:dyDescent="0.25">
      <c r="A6058" s="124" t="s">
        <v>8548</v>
      </c>
      <c r="B6058" s="124" t="s">
        <v>11736</v>
      </c>
      <c r="C6058" s="132">
        <f t="shared" si="17"/>
        <v>8857</v>
      </c>
      <c r="D6058" s="125">
        <f t="shared" si="19"/>
        <v>0</v>
      </c>
      <c r="E6058" s="124" t="s">
        <v>8367</v>
      </c>
      <c r="F6058" s="126">
        <v>1</v>
      </c>
      <c r="G6058" s="128">
        <v>10628.4</v>
      </c>
      <c r="H6058" s="124" t="s">
        <v>8368</v>
      </c>
      <c r="I6058" s="127">
        <v>658.2</v>
      </c>
      <c r="J6058" s="128">
        <v>3291</v>
      </c>
    </row>
    <row r="6059" spans="1:10" hidden="1" x14ac:dyDescent="0.25">
      <c r="A6059" s="124" t="s">
        <v>8549</v>
      </c>
      <c r="B6059" s="124" t="s">
        <v>11736</v>
      </c>
      <c r="C6059" s="132">
        <f t="shared" si="17"/>
        <v>10092</v>
      </c>
      <c r="D6059" s="125">
        <f t="shared" si="19"/>
        <v>0</v>
      </c>
      <c r="E6059" s="124" t="s">
        <v>8367</v>
      </c>
      <c r="F6059" s="126">
        <v>1</v>
      </c>
      <c r="G6059" s="128">
        <v>12110.4</v>
      </c>
      <c r="H6059" s="124" t="s">
        <v>8368</v>
      </c>
      <c r="I6059" s="128">
        <v>4183.3999999999996</v>
      </c>
      <c r="J6059" s="128">
        <v>20917</v>
      </c>
    </row>
    <row r="6060" spans="1:10" hidden="1" x14ac:dyDescent="0.25">
      <c r="A6060" s="124" t="s">
        <v>8550</v>
      </c>
      <c r="B6060" s="124" t="s">
        <v>11736</v>
      </c>
      <c r="C6060" s="132">
        <f t="shared" si="17"/>
        <v>3291</v>
      </c>
      <c r="D6060" s="125">
        <f t="shared" si="19"/>
        <v>0</v>
      </c>
      <c r="E6060" s="124" t="s">
        <v>8367</v>
      </c>
      <c r="F6060" s="126">
        <v>1</v>
      </c>
      <c r="G6060" s="128">
        <v>3949.2</v>
      </c>
      <c r="H6060" s="124" t="s">
        <v>8368</v>
      </c>
      <c r="I6060" s="128">
        <v>1490.6</v>
      </c>
      <c r="J6060" s="128">
        <v>7453</v>
      </c>
    </row>
    <row r="6061" spans="1:10" hidden="1" x14ac:dyDescent="0.25">
      <c r="A6061" s="124" t="s">
        <v>8551</v>
      </c>
      <c r="B6061" s="124" t="s">
        <v>11736</v>
      </c>
      <c r="C6061" s="132">
        <f t="shared" si="17"/>
        <v>3291</v>
      </c>
      <c r="D6061" s="125">
        <f t="shared" si="19"/>
        <v>0</v>
      </c>
      <c r="E6061" s="124" t="s">
        <v>8367</v>
      </c>
      <c r="F6061" s="126">
        <v>1</v>
      </c>
      <c r="G6061" s="128">
        <v>3949.2</v>
      </c>
      <c r="H6061" s="124" t="s">
        <v>8368</v>
      </c>
      <c r="I6061" s="128">
        <v>2815.6</v>
      </c>
      <c r="J6061" s="128">
        <v>14078</v>
      </c>
    </row>
    <row r="6062" spans="1:10" hidden="1" x14ac:dyDescent="0.25">
      <c r="A6062" s="124" t="s">
        <v>8552</v>
      </c>
      <c r="B6062" s="124" t="s">
        <v>11736</v>
      </c>
      <c r="C6062" s="132">
        <f t="shared" si="17"/>
        <v>20917</v>
      </c>
      <c r="D6062" s="125">
        <f t="shared" si="19"/>
        <v>0</v>
      </c>
      <c r="E6062" s="124" t="s">
        <v>8367</v>
      </c>
      <c r="F6062" s="126">
        <v>1</v>
      </c>
      <c r="G6062" s="128">
        <v>25100.400000000001</v>
      </c>
      <c r="H6062" s="124" t="s">
        <v>8368</v>
      </c>
      <c r="I6062" s="128">
        <v>1580.2</v>
      </c>
      <c r="J6062" s="128">
        <v>7901</v>
      </c>
    </row>
    <row r="6063" spans="1:10" hidden="1" x14ac:dyDescent="0.25">
      <c r="A6063" s="124" t="s">
        <v>8553</v>
      </c>
      <c r="B6063" s="124" t="s">
        <v>11736</v>
      </c>
      <c r="C6063" s="132">
        <f t="shared" si="17"/>
        <v>3726.5</v>
      </c>
      <c r="D6063" s="125">
        <f t="shared" si="19"/>
        <v>0</v>
      </c>
      <c r="E6063" s="124" t="s">
        <v>8367</v>
      </c>
      <c r="F6063" s="126">
        <v>2</v>
      </c>
      <c r="G6063" s="128">
        <v>8943.6</v>
      </c>
      <c r="H6063" s="124" t="s">
        <v>8368</v>
      </c>
      <c r="I6063" s="127">
        <v>352.2</v>
      </c>
      <c r="J6063" s="128">
        <v>1761</v>
      </c>
    </row>
    <row r="6064" spans="1:10" hidden="1" x14ac:dyDescent="0.25">
      <c r="A6064" s="124" t="s">
        <v>8554</v>
      </c>
      <c r="B6064" s="124" t="s">
        <v>11736</v>
      </c>
      <c r="C6064" s="132">
        <f t="shared" si="17"/>
        <v>14078</v>
      </c>
      <c r="D6064" s="125">
        <f t="shared" ref="D6064:D6072" si="20">COUNTIF(A296:A6063,A6064)</f>
        <v>0</v>
      </c>
      <c r="E6064" s="124" t="s">
        <v>8367</v>
      </c>
      <c r="F6064" s="126">
        <v>1</v>
      </c>
      <c r="G6064" s="128">
        <v>16893.599999999999</v>
      </c>
      <c r="H6064" s="124" t="s">
        <v>8368</v>
      </c>
      <c r="I6064" s="128">
        <v>2652.6</v>
      </c>
      <c r="J6064" s="128">
        <v>13263</v>
      </c>
    </row>
    <row r="6065" spans="1:10" hidden="1" x14ac:dyDescent="0.25">
      <c r="A6065" s="124" t="s">
        <v>8555</v>
      </c>
      <c r="B6065" s="124" t="s">
        <v>11736</v>
      </c>
      <c r="C6065" s="132">
        <f t="shared" si="17"/>
        <v>7901</v>
      </c>
      <c r="D6065" s="125">
        <f t="shared" si="20"/>
        <v>0</v>
      </c>
      <c r="E6065" s="124" t="s">
        <v>8367</v>
      </c>
      <c r="F6065" s="126">
        <v>1</v>
      </c>
      <c r="G6065" s="128">
        <v>9481.2000000000007</v>
      </c>
      <c r="H6065" s="124" t="s">
        <v>8368</v>
      </c>
      <c r="I6065" s="127">
        <v>980.8</v>
      </c>
      <c r="J6065" s="128">
        <v>4904</v>
      </c>
    </row>
    <row r="6066" spans="1:10" hidden="1" x14ac:dyDescent="0.25">
      <c r="A6066" s="124" t="s">
        <v>8556</v>
      </c>
      <c r="B6066" s="124" t="s">
        <v>11736</v>
      </c>
      <c r="C6066" s="132">
        <f t="shared" si="17"/>
        <v>1761</v>
      </c>
      <c r="D6066" s="125">
        <f t="shared" si="20"/>
        <v>0</v>
      </c>
      <c r="E6066" s="124" t="s">
        <v>8367</v>
      </c>
      <c r="F6066" s="126">
        <v>1</v>
      </c>
      <c r="G6066" s="128">
        <v>2113.1999999999998</v>
      </c>
      <c r="H6066" s="124" t="s">
        <v>8368</v>
      </c>
      <c r="I6066" s="128">
        <v>131826.6</v>
      </c>
      <c r="J6066" s="128">
        <v>659133</v>
      </c>
    </row>
    <row r="6067" spans="1:10" hidden="1" x14ac:dyDescent="0.25">
      <c r="A6067" s="124" t="s">
        <v>8557</v>
      </c>
      <c r="B6067" s="124" t="s">
        <v>11736</v>
      </c>
      <c r="C6067" s="132">
        <f t="shared" si="17"/>
        <v>6631.5</v>
      </c>
      <c r="D6067" s="125">
        <f t="shared" si="20"/>
        <v>0</v>
      </c>
      <c r="E6067" s="124" t="s">
        <v>8367</v>
      </c>
      <c r="F6067" s="126">
        <v>2</v>
      </c>
      <c r="G6067" s="128">
        <v>15915.6</v>
      </c>
      <c r="H6067" s="124" t="s">
        <v>8368</v>
      </c>
      <c r="I6067" s="128">
        <v>42960</v>
      </c>
      <c r="J6067" s="128">
        <v>214800</v>
      </c>
    </row>
    <row r="6068" spans="1:10" hidden="1" x14ac:dyDescent="0.25">
      <c r="A6068" s="124" t="s">
        <v>8558</v>
      </c>
      <c r="B6068" s="124" t="s">
        <v>11736</v>
      </c>
      <c r="C6068" s="132">
        <f t="shared" si="17"/>
        <v>4904</v>
      </c>
      <c r="D6068" s="125">
        <f t="shared" si="20"/>
        <v>0</v>
      </c>
      <c r="E6068" s="124" t="s">
        <v>8367</v>
      </c>
      <c r="F6068" s="126">
        <v>1</v>
      </c>
      <c r="G6068" s="128">
        <v>5884.8</v>
      </c>
      <c r="H6068" s="124" t="s">
        <v>8368</v>
      </c>
      <c r="I6068" s="128">
        <v>8708</v>
      </c>
      <c r="J6068" s="128">
        <v>43540</v>
      </c>
    </row>
    <row r="6069" spans="1:10" hidden="1" x14ac:dyDescent="0.25">
      <c r="A6069" s="124" t="s">
        <v>8559</v>
      </c>
      <c r="B6069" s="124" t="s">
        <v>11736</v>
      </c>
      <c r="C6069" s="132">
        <f t="shared" si="17"/>
        <v>41195.8125</v>
      </c>
      <c r="D6069" s="125">
        <f t="shared" si="20"/>
        <v>0</v>
      </c>
      <c r="E6069" s="124" t="s">
        <v>8367</v>
      </c>
      <c r="F6069" s="126">
        <v>16</v>
      </c>
      <c r="G6069" s="128">
        <v>790959.6</v>
      </c>
      <c r="H6069" s="124" t="s">
        <v>8368</v>
      </c>
      <c r="I6069" s="128">
        <v>1299.95</v>
      </c>
      <c r="J6069" s="128">
        <v>6499.74</v>
      </c>
    </row>
    <row r="6070" spans="1:10" hidden="1" x14ac:dyDescent="0.25">
      <c r="A6070" s="124" t="s">
        <v>8560</v>
      </c>
      <c r="B6070" s="124" t="s">
        <v>11736</v>
      </c>
      <c r="C6070" s="132">
        <f t="shared" si="17"/>
        <v>26850</v>
      </c>
      <c r="D6070" s="125">
        <f t="shared" si="20"/>
        <v>0</v>
      </c>
      <c r="E6070" s="124" t="s">
        <v>8367</v>
      </c>
      <c r="F6070" s="126">
        <v>8</v>
      </c>
      <c r="G6070" s="128">
        <v>257760</v>
      </c>
      <c r="H6070" s="124" t="s">
        <v>8368</v>
      </c>
      <c r="I6070" s="128">
        <v>6114</v>
      </c>
      <c r="J6070" s="128">
        <v>30570</v>
      </c>
    </row>
    <row r="6071" spans="1:10" hidden="1" x14ac:dyDescent="0.25">
      <c r="A6071" s="124" t="s">
        <v>8561</v>
      </c>
      <c r="B6071" s="124" t="s">
        <v>11736</v>
      </c>
      <c r="C6071" s="132">
        <f t="shared" si="17"/>
        <v>6220</v>
      </c>
      <c r="D6071" s="125">
        <f t="shared" si="20"/>
        <v>0</v>
      </c>
      <c r="E6071" s="124" t="s">
        <v>8367</v>
      </c>
      <c r="F6071" s="126">
        <v>7</v>
      </c>
      <c r="G6071" s="128">
        <v>52248</v>
      </c>
      <c r="H6071" s="124" t="s">
        <v>8368</v>
      </c>
      <c r="I6071" s="128">
        <v>2360.6</v>
      </c>
      <c r="J6071" s="128">
        <v>11803</v>
      </c>
    </row>
    <row r="6072" spans="1:10" hidden="1" x14ac:dyDescent="0.25">
      <c r="A6072" s="124" t="s">
        <v>8562</v>
      </c>
      <c r="B6072" s="124" t="s">
        <v>11736</v>
      </c>
      <c r="C6072" s="132">
        <f t="shared" ref="C6072:C6135" si="21">J6069/F6072</f>
        <v>1666.6</v>
      </c>
      <c r="D6072" s="125">
        <f t="shared" si="20"/>
        <v>0</v>
      </c>
      <c r="E6072" s="124" t="s">
        <v>8367</v>
      </c>
      <c r="F6072" s="126">
        <v>3.9</v>
      </c>
      <c r="G6072" s="128">
        <v>7799.69</v>
      </c>
      <c r="H6072" s="124" t="s">
        <v>8368</v>
      </c>
      <c r="I6072" s="128">
        <v>3666.6</v>
      </c>
      <c r="J6072" s="128">
        <v>18333</v>
      </c>
    </row>
    <row r="6073" spans="1:10" hidden="1" x14ac:dyDescent="0.25">
      <c r="A6073" s="124" t="s">
        <v>8563</v>
      </c>
      <c r="B6073" s="124" t="s">
        <v>11736</v>
      </c>
      <c r="C6073" s="132">
        <f t="shared" si="21"/>
        <v>5095</v>
      </c>
      <c r="D6073" s="125">
        <f>COUNTIF(A308:A6072,A6073)</f>
        <v>0</v>
      </c>
      <c r="E6073" s="124" t="s">
        <v>8367</v>
      </c>
      <c r="F6073" s="126">
        <v>6</v>
      </c>
      <c r="G6073" s="128">
        <v>36684</v>
      </c>
      <c r="H6073" s="124" t="s">
        <v>8368</v>
      </c>
      <c r="I6073" s="128">
        <v>16166.6</v>
      </c>
      <c r="J6073" s="128">
        <v>80833</v>
      </c>
    </row>
    <row r="6074" spans="1:10" hidden="1" x14ac:dyDescent="0.25">
      <c r="A6074" s="124" t="s">
        <v>8564</v>
      </c>
      <c r="B6074" s="124" t="s">
        <v>11736</v>
      </c>
      <c r="C6074" s="132">
        <f t="shared" si="21"/>
        <v>11803</v>
      </c>
      <c r="D6074" s="125">
        <f t="shared" ref="D6074:D6082" si="22">COUNTIF(A310:A6073,A6074)</f>
        <v>0</v>
      </c>
      <c r="E6074" s="124" t="s">
        <v>8367</v>
      </c>
      <c r="F6074" s="126">
        <v>1</v>
      </c>
      <c r="G6074" s="128">
        <v>14163.6</v>
      </c>
      <c r="H6074" s="124" t="s">
        <v>8368</v>
      </c>
      <c r="I6074" s="127">
        <v>325.60000000000002</v>
      </c>
      <c r="J6074" s="128">
        <v>1628</v>
      </c>
    </row>
    <row r="6075" spans="1:10" hidden="1" x14ac:dyDescent="0.25">
      <c r="A6075" s="124" t="s">
        <v>8565</v>
      </c>
      <c r="B6075" s="124" t="s">
        <v>11736</v>
      </c>
      <c r="C6075" s="132">
        <f t="shared" si="21"/>
        <v>18333</v>
      </c>
      <c r="D6075" s="125">
        <f t="shared" si="22"/>
        <v>0</v>
      </c>
      <c r="E6075" s="124" t="s">
        <v>8367</v>
      </c>
      <c r="F6075" s="126">
        <v>1</v>
      </c>
      <c r="G6075" s="128">
        <v>21999.599999999999</v>
      </c>
      <c r="H6075" s="124" t="s">
        <v>8368</v>
      </c>
      <c r="I6075" s="127">
        <v>829.6</v>
      </c>
      <c r="J6075" s="128">
        <v>4148</v>
      </c>
    </row>
    <row r="6076" spans="1:10" hidden="1" x14ac:dyDescent="0.25">
      <c r="A6076" s="124" t="s">
        <v>8566</v>
      </c>
      <c r="B6076" s="124" t="s">
        <v>11736</v>
      </c>
      <c r="C6076" s="132">
        <f t="shared" si="21"/>
        <v>40416.5</v>
      </c>
      <c r="D6076" s="125">
        <f t="shared" si="22"/>
        <v>0</v>
      </c>
      <c r="E6076" s="124" t="s">
        <v>8367</v>
      </c>
      <c r="F6076" s="126">
        <v>2</v>
      </c>
      <c r="G6076" s="128">
        <v>96999.6</v>
      </c>
      <c r="H6076" s="124" t="s">
        <v>8368</v>
      </c>
      <c r="I6076" s="128">
        <v>2691.4</v>
      </c>
      <c r="J6076" s="128">
        <v>13457</v>
      </c>
    </row>
    <row r="6077" spans="1:10" hidden="1" x14ac:dyDescent="0.25">
      <c r="A6077" s="124" t="s">
        <v>8567</v>
      </c>
      <c r="B6077" s="124" t="s">
        <v>11736</v>
      </c>
      <c r="C6077" s="132">
        <f t="shared" si="21"/>
        <v>814</v>
      </c>
      <c r="D6077" s="125">
        <f t="shared" si="22"/>
        <v>0</v>
      </c>
      <c r="E6077" s="124" t="s">
        <v>8367</v>
      </c>
      <c r="F6077" s="126">
        <v>2</v>
      </c>
      <c r="G6077" s="128">
        <v>1953.6</v>
      </c>
      <c r="H6077" s="124" t="s">
        <v>8368</v>
      </c>
      <c r="I6077" s="127">
        <v>952</v>
      </c>
      <c r="J6077" s="128">
        <v>4760</v>
      </c>
    </row>
    <row r="6078" spans="1:10" hidden="1" x14ac:dyDescent="0.25">
      <c r="A6078" s="124" t="s">
        <v>8568</v>
      </c>
      <c r="B6078" s="124" t="s">
        <v>11736</v>
      </c>
      <c r="C6078" s="132">
        <f t="shared" si="21"/>
        <v>1037</v>
      </c>
      <c r="D6078" s="125">
        <f t="shared" si="22"/>
        <v>0</v>
      </c>
      <c r="E6078" s="124" t="s">
        <v>8367</v>
      </c>
      <c r="F6078" s="126">
        <v>4</v>
      </c>
      <c r="G6078" s="128">
        <v>4977.6000000000004</v>
      </c>
      <c r="H6078" s="124" t="s">
        <v>8368</v>
      </c>
      <c r="I6078" s="128">
        <v>2516</v>
      </c>
      <c r="J6078" s="128">
        <v>12580</v>
      </c>
    </row>
    <row r="6079" spans="1:10" hidden="1" x14ac:dyDescent="0.25">
      <c r="A6079" s="124" t="s">
        <v>8569</v>
      </c>
      <c r="B6079" s="124" t="s">
        <v>11736</v>
      </c>
      <c r="C6079" s="132">
        <f t="shared" si="21"/>
        <v>6728.5</v>
      </c>
      <c r="D6079" s="125">
        <f t="shared" si="22"/>
        <v>0</v>
      </c>
      <c r="E6079" s="124" t="s">
        <v>8367</v>
      </c>
      <c r="F6079" s="126">
        <v>2</v>
      </c>
      <c r="G6079" s="128">
        <v>16148.4</v>
      </c>
      <c r="H6079" s="124" t="s">
        <v>8368</v>
      </c>
      <c r="I6079" s="127">
        <v>240</v>
      </c>
      <c r="J6079" s="128">
        <v>1200</v>
      </c>
    </row>
    <row r="6080" spans="1:10" hidden="1" x14ac:dyDescent="0.25">
      <c r="A6080" s="124" t="s">
        <v>8570</v>
      </c>
      <c r="B6080" s="124" t="s">
        <v>11736</v>
      </c>
      <c r="C6080" s="132">
        <f t="shared" si="21"/>
        <v>2380</v>
      </c>
      <c r="D6080" s="125">
        <f t="shared" si="22"/>
        <v>0</v>
      </c>
      <c r="E6080" s="124" t="s">
        <v>8367</v>
      </c>
      <c r="F6080" s="126">
        <v>2</v>
      </c>
      <c r="G6080" s="128">
        <v>5712</v>
      </c>
      <c r="H6080" s="124" t="s">
        <v>8368</v>
      </c>
      <c r="I6080" s="128">
        <v>228731.62</v>
      </c>
      <c r="J6080" s="128">
        <v>1143658.1100000001</v>
      </c>
    </row>
    <row r="6081" spans="1:10" hidden="1" x14ac:dyDescent="0.25">
      <c r="A6081" s="124" t="s">
        <v>8571</v>
      </c>
      <c r="B6081" s="124" t="s">
        <v>11736</v>
      </c>
      <c r="C6081" s="132">
        <f t="shared" si="21"/>
        <v>3145</v>
      </c>
      <c r="D6081" s="125">
        <f t="shared" si="22"/>
        <v>0</v>
      </c>
      <c r="E6081" s="124" t="s">
        <v>8367</v>
      </c>
      <c r="F6081" s="126">
        <v>4</v>
      </c>
      <c r="G6081" s="128">
        <v>15096</v>
      </c>
      <c r="H6081" s="124" t="s">
        <v>8368</v>
      </c>
      <c r="I6081" s="128">
        <v>1519.6</v>
      </c>
      <c r="J6081" s="128">
        <v>7598</v>
      </c>
    </row>
    <row r="6082" spans="1:10" hidden="1" x14ac:dyDescent="0.25">
      <c r="A6082" s="124" t="s">
        <v>8572</v>
      </c>
      <c r="B6082" s="124" t="s">
        <v>11736</v>
      </c>
      <c r="C6082" s="132">
        <f t="shared" si="21"/>
        <v>600</v>
      </c>
      <c r="D6082" s="125">
        <f t="shared" si="22"/>
        <v>0</v>
      </c>
      <c r="E6082" s="124" t="s">
        <v>8367</v>
      </c>
      <c r="F6082" s="126">
        <v>2</v>
      </c>
      <c r="G6082" s="128">
        <v>1440</v>
      </c>
      <c r="H6082" s="124" t="s">
        <v>8368</v>
      </c>
      <c r="I6082" s="128">
        <v>52849.4</v>
      </c>
      <c r="J6082" s="128">
        <v>264247</v>
      </c>
    </row>
    <row r="6083" spans="1:10" hidden="1" x14ac:dyDescent="0.25">
      <c r="A6083" s="124" t="s">
        <v>8573</v>
      </c>
      <c r="B6083" s="124" t="s">
        <v>11736</v>
      </c>
      <c r="C6083" s="132">
        <f t="shared" si="21"/>
        <v>571829.05500000005</v>
      </c>
      <c r="D6083" s="125">
        <f>COUNTIF(A328:A6082,A6083)</f>
        <v>0</v>
      </c>
      <c r="E6083" s="124" t="s">
        <v>8367</v>
      </c>
      <c r="F6083" s="126">
        <v>2</v>
      </c>
      <c r="G6083" s="128">
        <v>1372389.73</v>
      </c>
      <c r="H6083" s="124" t="s">
        <v>8368</v>
      </c>
      <c r="I6083" s="128">
        <v>8416.4</v>
      </c>
      <c r="J6083" s="128">
        <v>42082</v>
      </c>
    </row>
    <row r="6084" spans="1:10" hidden="1" x14ac:dyDescent="0.25">
      <c r="A6084" s="124" t="s">
        <v>8574</v>
      </c>
      <c r="B6084" s="124" t="s">
        <v>11736</v>
      </c>
      <c r="C6084" s="132">
        <f t="shared" si="21"/>
        <v>7598</v>
      </c>
      <c r="D6084" s="125">
        <f>COUNTIF(A329:A6083,A6084)</f>
        <v>0</v>
      </c>
      <c r="E6084" s="124" t="s">
        <v>8367</v>
      </c>
      <c r="F6084" s="126">
        <v>1</v>
      </c>
      <c r="G6084" s="128">
        <v>9117.6</v>
      </c>
      <c r="H6084" s="124" t="s">
        <v>8368</v>
      </c>
      <c r="I6084" s="128">
        <v>10492.6</v>
      </c>
      <c r="J6084" s="128">
        <v>52463</v>
      </c>
    </row>
    <row r="6085" spans="1:10" hidden="1" x14ac:dyDescent="0.25">
      <c r="A6085" s="124" t="s">
        <v>8575</v>
      </c>
      <c r="B6085" s="124" t="s">
        <v>11736</v>
      </c>
      <c r="C6085" s="132">
        <f t="shared" si="21"/>
        <v>33030.875</v>
      </c>
      <c r="D6085" s="125">
        <f>COUNTIF(A354:A6084,A6085)</f>
        <v>0</v>
      </c>
      <c r="E6085" s="124" t="s">
        <v>8367</v>
      </c>
      <c r="F6085" s="126">
        <v>8</v>
      </c>
      <c r="G6085" s="128">
        <v>317096.40000000002</v>
      </c>
      <c r="H6085" s="124" t="s">
        <v>8368</v>
      </c>
      <c r="I6085" s="127">
        <v>350</v>
      </c>
      <c r="J6085" s="128">
        <v>1750</v>
      </c>
    </row>
    <row r="6086" spans="1:10" hidden="1" x14ac:dyDescent="0.25">
      <c r="A6086" s="124" t="s">
        <v>8576</v>
      </c>
      <c r="B6086" s="124" t="s">
        <v>11736</v>
      </c>
      <c r="C6086" s="132">
        <f t="shared" si="21"/>
        <v>21041</v>
      </c>
      <c r="D6086" s="125">
        <f>COUNTIF(A355:A6085,A6086)</f>
        <v>0</v>
      </c>
      <c r="E6086" s="124" t="s">
        <v>8367</v>
      </c>
      <c r="F6086" s="126">
        <v>2</v>
      </c>
      <c r="G6086" s="128">
        <v>50498.400000000001</v>
      </c>
      <c r="H6086" s="124" t="s">
        <v>8368</v>
      </c>
      <c r="I6086" s="128">
        <v>6274.4</v>
      </c>
      <c r="J6086" s="128">
        <v>31372</v>
      </c>
    </row>
    <row r="6087" spans="1:10" hidden="1" x14ac:dyDescent="0.25">
      <c r="A6087" s="124" t="s">
        <v>8577</v>
      </c>
      <c r="B6087" s="124" t="s">
        <v>11736</v>
      </c>
      <c r="C6087" s="132">
        <f t="shared" si="21"/>
        <v>4769.363636363636</v>
      </c>
      <c r="D6087" s="125">
        <f>COUNTIF(A356:A6086,A6087)</f>
        <v>0</v>
      </c>
      <c r="E6087" s="124" t="s">
        <v>8367</v>
      </c>
      <c r="F6087" s="126">
        <v>11</v>
      </c>
      <c r="G6087" s="128">
        <v>62955.6</v>
      </c>
      <c r="H6087" s="124" t="s">
        <v>8368</v>
      </c>
      <c r="I6087" s="127">
        <v>37.33</v>
      </c>
      <c r="J6087" s="127">
        <v>186.67</v>
      </c>
    </row>
    <row r="6088" spans="1:10" hidden="1" x14ac:dyDescent="0.25">
      <c r="A6088" s="124" t="s">
        <v>8578</v>
      </c>
      <c r="B6088" s="124" t="s">
        <v>11736</v>
      </c>
      <c r="C6088" s="132">
        <f t="shared" si="21"/>
        <v>17.5</v>
      </c>
      <c r="D6088" s="125">
        <f>COUNTIF(A357:A6087,A6088)</f>
        <v>0</v>
      </c>
      <c r="E6088" s="124" t="s">
        <v>8579</v>
      </c>
      <c r="F6088" s="126">
        <v>100</v>
      </c>
      <c r="G6088" s="128">
        <v>2100</v>
      </c>
      <c r="H6088" s="124" t="s">
        <v>8368</v>
      </c>
      <c r="I6088" s="128">
        <v>1686.6</v>
      </c>
      <c r="J6088" s="128">
        <v>8433</v>
      </c>
    </row>
    <row r="6089" spans="1:10" hidden="1" x14ac:dyDescent="0.25">
      <c r="A6089" s="124" t="s">
        <v>8580</v>
      </c>
      <c r="B6089" s="124" t="s">
        <v>11736</v>
      </c>
      <c r="C6089" s="132">
        <f t="shared" si="21"/>
        <v>31372</v>
      </c>
      <c r="D6089" s="125">
        <f>COUNTIF(A360:A6088,A6089)</f>
        <v>0</v>
      </c>
      <c r="E6089" s="124" t="s">
        <v>8367</v>
      </c>
      <c r="F6089" s="126">
        <v>1</v>
      </c>
      <c r="G6089" s="128">
        <v>37646.400000000001</v>
      </c>
      <c r="H6089" s="124" t="s">
        <v>8368</v>
      </c>
      <c r="I6089" s="128">
        <v>2759.47</v>
      </c>
      <c r="J6089" s="128">
        <v>13797.33</v>
      </c>
    </row>
    <row r="6090" spans="1:10" hidden="1" x14ac:dyDescent="0.25">
      <c r="A6090" s="124" t="s">
        <v>8581</v>
      </c>
      <c r="B6090" s="124" t="s">
        <v>11736</v>
      </c>
      <c r="C6090" s="132">
        <f t="shared" si="21"/>
        <v>186.67</v>
      </c>
      <c r="D6090" s="125">
        <f>COUNTIF(A364:A6089,A6090)</f>
        <v>0</v>
      </c>
      <c r="E6090" s="124" t="s">
        <v>8367</v>
      </c>
      <c r="F6090" s="126">
        <v>1</v>
      </c>
      <c r="G6090" s="127">
        <v>224</v>
      </c>
      <c r="H6090" s="124" t="s">
        <v>8368</v>
      </c>
      <c r="I6090" s="128">
        <v>5722.4</v>
      </c>
      <c r="J6090" s="128">
        <v>28612</v>
      </c>
    </row>
    <row r="6091" spans="1:10" hidden="1" x14ac:dyDescent="0.25">
      <c r="A6091" s="124" t="s">
        <v>8582</v>
      </c>
      <c r="B6091" s="124" t="s">
        <v>11736</v>
      </c>
      <c r="C6091" s="132">
        <f t="shared" si="21"/>
        <v>210.82499999999999</v>
      </c>
      <c r="D6091" s="125">
        <f>COUNTIF(A373:A6090,A6091)</f>
        <v>0</v>
      </c>
      <c r="E6091" s="124" t="s">
        <v>8367</v>
      </c>
      <c r="F6091" s="126">
        <v>40</v>
      </c>
      <c r="G6091" s="128">
        <v>10119.6</v>
      </c>
      <c r="H6091" s="124" t="s">
        <v>8368</v>
      </c>
      <c r="I6091" s="128">
        <v>2557.11</v>
      </c>
      <c r="J6091" s="128">
        <v>12785.57</v>
      </c>
    </row>
    <row r="6092" spans="1:10" hidden="1" x14ac:dyDescent="0.25">
      <c r="A6092" s="124" t="s">
        <v>8583</v>
      </c>
      <c r="B6092" s="124" t="s">
        <v>11736</v>
      </c>
      <c r="C6092" s="132">
        <f t="shared" si="21"/>
        <v>2299.5549999999998</v>
      </c>
      <c r="D6092" s="125">
        <f>COUNTIF(A374:A6091,A6092)</f>
        <v>0</v>
      </c>
      <c r="E6092" s="124" t="s">
        <v>8367</v>
      </c>
      <c r="F6092" s="126">
        <v>6</v>
      </c>
      <c r="G6092" s="128">
        <v>16556.8</v>
      </c>
      <c r="H6092" s="124" t="s">
        <v>8368</v>
      </c>
      <c r="I6092" s="128">
        <v>3096.6</v>
      </c>
      <c r="J6092" s="128">
        <v>15483</v>
      </c>
    </row>
    <row r="6093" spans="1:10" hidden="1" x14ac:dyDescent="0.25">
      <c r="A6093" s="124" t="s">
        <v>8584</v>
      </c>
      <c r="B6093" s="124" t="s">
        <v>11736</v>
      </c>
      <c r="C6093" s="132">
        <f t="shared" si="21"/>
        <v>14306</v>
      </c>
      <c r="D6093" s="125">
        <f>COUNTIF(A375:A6092,A6093)</f>
        <v>0</v>
      </c>
      <c r="E6093" s="124" t="s">
        <v>8367</v>
      </c>
      <c r="F6093" s="126">
        <v>2</v>
      </c>
      <c r="G6093" s="128">
        <v>34334.400000000001</v>
      </c>
      <c r="H6093" s="124" t="s">
        <v>8368</v>
      </c>
      <c r="I6093" s="128">
        <v>7379340</v>
      </c>
      <c r="J6093" s="128">
        <v>36896700</v>
      </c>
    </row>
    <row r="6094" spans="1:10" hidden="1" x14ac:dyDescent="0.25">
      <c r="A6094" s="124" t="s">
        <v>8585</v>
      </c>
      <c r="B6094" s="124" t="s">
        <v>11736</v>
      </c>
      <c r="C6094" s="132">
        <f t="shared" si="21"/>
        <v>2130.9283333333333</v>
      </c>
      <c r="D6094" s="125">
        <f>COUNTIF(A376:A6093,A6094)</f>
        <v>0</v>
      </c>
      <c r="E6094" s="124" t="s">
        <v>8367</v>
      </c>
      <c r="F6094" s="126">
        <v>6</v>
      </c>
      <c r="G6094" s="128">
        <v>15342.68</v>
      </c>
      <c r="H6094" s="124" t="s">
        <v>8368</v>
      </c>
      <c r="I6094" s="128">
        <v>16874.68</v>
      </c>
      <c r="J6094" s="128">
        <v>84373.42</v>
      </c>
    </row>
    <row r="6095" spans="1:10" hidden="1" x14ac:dyDescent="0.25">
      <c r="A6095" s="124" t="s">
        <v>8586</v>
      </c>
      <c r="B6095" s="124" t="s">
        <v>11736</v>
      </c>
      <c r="C6095" s="132">
        <f t="shared" si="21"/>
        <v>774.15</v>
      </c>
      <c r="D6095" s="125">
        <f>COUNTIF(A378:A6094,A6095)</f>
        <v>0</v>
      </c>
      <c r="E6095" s="124" t="s">
        <v>8367</v>
      </c>
      <c r="F6095" s="126">
        <v>20</v>
      </c>
      <c r="G6095" s="128">
        <v>18579.599999999999</v>
      </c>
      <c r="H6095" s="124" t="s">
        <v>8368</v>
      </c>
      <c r="I6095" s="128">
        <v>16969.5</v>
      </c>
      <c r="J6095" s="128">
        <v>84847.5</v>
      </c>
    </row>
    <row r="6096" spans="1:10" hidden="1" x14ac:dyDescent="0.25">
      <c r="A6096" s="124" t="s">
        <v>8587</v>
      </c>
      <c r="B6096" s="124" t="s">
        <v>11736</v>
      </c>
      <c r="C6096" s="132">
        <f t="shared" si="21"/>
        <v>8700</v>
      </c>
      <c r="D6096" s="125">
        <f>COUNTIF(A379:A6095,A6096)</f>
        <v>0</v>
      </c>
      <c r="E6096" s="124" t="s">
        <v>8367</v>
      </c>
      <c r="F6096" s="129">
        <v>4241</v>
      </c>
      <c r="G6096" s="128">
        <v>44276040</v>
      </c>
      <c r="H6096" s="124" t="s">
        <v>8368</v>
      </c>
      <c r="I6096" s="128">
        <v>2250</v>
      </c>
      <c r="J6096" s="128">
        <v>11250</v>
      </c>
    </row>
    <row r="6097" spans="1:10" hidden="1" x14ac:dyDescent="0.25">
      <c r="A6097" s="124" t="s">
        <v>8588</v>
      </c>
      <c r="B6097" s="124" t="s">
        <v>11736</v>
      </c>
      <c r="C6097" s="132">
        <f t="shared" si="21"/>
        <v>4388.9627548897206</v>
      </c>
      <c r="D6097" s="125">
        <f>COUNTIF(A381:A6096,A6097)</f>
        <v>0</v>
      </c>
      <c r="E6097" s="124" t="s">
        <v>1</v>
      </c>
      <c r="F6097" s="126">
        <v>19.224</v>
      </c>
      <c r="G6097" s="128">
        <v>101248.1</v>
      </c>
      <c r="H6097" s="124" t="s">
        <v>8368</v>
      </c>
      <c r="I6097" s="128">
        <v>4823.33</v>
      </c>
      <c r="J6097" s="128">
        <v>24116.67</v>
      </c>
    </row>
    <row r="6098" spans="1:10" hidden="1" x14ac:dyDescent="0.25">
      <c r="A6098" s="124" t="s">
        <v>8589</v>
      </c>
      <c r="B6098" s="124" t="s">
        <v>11736</v>
      </c>
      <c r="C6098" s="132">
        <f t="shared" si="21"/>
        <v>5656.5</v>
      </c>
      <c r="D6098" s="125">
        <f>COUNTIF(A382:A6097,A6098)</f>
        <v>0</v>
      </c>
      <c r="E6098" s="124" t="s">
        <v>1</v>
      </c>
      <c r="F6098" s="126">
        <v>15</v>
      </c>
      <c r="G6098" s="128">
        <v>101817</v>
      </c>
      <c r="H6098" s="124" t="s">
        <v>8368</v>
      </c>
      <c r="I6098" s="128">
        <v>4150</v>
      </c>
      <c r="J6098" s="128">
        <v>20750</v>
      </c>
    </row>
    <row r="6099" spans="1:10" hidden="1" x14ac:dyDescent="0.25">
      <c r="A6099" s="124" t="s">
        <v>8590</v>
      </c>
      <c r="B6099" s="124" t="s">
        <v>11736</v>
      </c>
      <c r="C6099" s="132">
        <f t="shared" si="21"/>
        <v>1500</v>
      </c>
      <c r="D6099" s="125">
        <f>COUNTIF(A383:A6098,A6099)</f>
        <v>0</v>
      </c>
      <c r="E6099" s="124" t="s">
        <v>8591</v>
      </c>
      <c r="F6099" s="126">
        <v>7.5</v>
      </c>
      <c r="G6099" s="128">
        <v>13500</v>
      </c>
      <c r="H6099" s="124" t="s">
        <v>8368</v>
      </c>
      <c r="I6099" s="128">
        <v>8630</v>
      </c>
      <c r="J6099" s="128">
        <v>43150</v>
      </c>
    </row>
    <row r="6100" spans="1:10" hidden="1" x14ac:dyDescent="0.25">
      <c r="A6100" s="124" t="s">
        <v>8592</v>
      </c>
      <c r="B6100" s="124" t="s">
        <v>11736</v>
      </c>
      <c r="C6100" s="132">
        <f t="shared" si="21"/>
        <v>1301.8445344129555</v>
      </c>
      <c r="D6100" s="125">
        <f>COUNTIF(A384:A6099,A6100)</f>
        <v>0</v>
      </c>
      <c r="E6100" s="124" t="s">
        <v>8367</v>
      </c>
      <c r="F6100" s="126">
        <v>18.524999999999999</v>
      </c>
      <c r="G6100" s="128">
        <v>28940</v>
      </c>
      <c r="H6100" s="124" t="s">
        <v>8368</v>
      </c>
      <c r="I6100" s="128">
        <v>1066.5999999999999</v>
      </c>
      <c r="J6100" s="128">
        <v>5333</v>
      </c>
    </row>
    <row r="6101" spans="1:10" hidden="1" x14ac:dyDescent="0.25">
      <c r="A6101" s="124" t="s">
        <v>8593</v>
      </c>
      <c r="B6101" s="124" t="s">
        <v>11736</v>
      </c>
      <c r="C6101" s="132">
        <f t="shared" si="21"/>
        <v>6916.666666666667</v>
      </c>
      <c r="D6101" s="125">
        <f t="shared" ref="D6101:D6107" si="23">COUNTIF(A388:A6100,A6101)</f>
        <v>0</v>
      </c>
      <c r="E6101" s="124" t="s">
        <v>8367</v>
      </c>
      <c r="F6101" s="126">
        <v>3</v>
      </c>
      <c r="G6101" s="128">
        <v>24900</v>
      </c>
      <c r="H6101" s="124" t="s">
        <v>8368</v>
      </c>
      <c r="I6101" s="128">
        <v>4700</v>
      </c>
      <c r="J6101" s="128">
        <v>23500</v>
      </c>
    </row>
    <row r="6102" spans="1:10" hidden="1" x14ac:dyDescent="0.25">
      <c r="A6102" s="124" t="s">
        <v>8594</v>
      </c>
      <c r="B6102" s="124" t="s">
        <v>11736</v>
      </c>
      <c r="C6102" s="132">
        <f t="shared" si="21"/>
        <v>21575</v>
      </c>
      <c r="D6102" s="125">
        <f t="shared" si="23"/>
        <v>0</v>
      </c>
      <c r="E6102" s="124" t="s">
        <v>8367</v>
      </c>
      <c r="F6102" s="126">
        <v>2</v>
      </c>
      <c r="G6102" s="128">
        <v>51780</v>
      </c>
      <c r="H6102" s="124" t="s">
        <v>8368</v>
      </c>
      <c r="I6102" s="127">
        <v>875</v>
      </c>
      <c r="J6102" s="128">
        <v>4375</v>
      </c>
    </row>
    <row r="6103" spans="1:10" hidden="1" x14ac:dyDescent="0.25">
      <c r="A6103" s="124" t="s">
        <v>8595</v>
      </c>
      <c r="B6103" s="124" t="s">
        <v>11736</v>
      </c>
      <c r="C6103" s="132">
        <f t="shared" si="21"/>
        <v>666.625</v>
      </c>
      <c r="D6103" s="125">
        <f t="shared" si="23"/>
        <v>0</v>
      </c>
      <c r="E6103" s="124" t="s">
        <v>8367</v>
      </c>
      <c r="F6103" s="126">
        <v>8</v>
      </c>
      <c r="G6103" s="128">
        <v>6399.6</v>
      </c>
      <c r="H6103" s="124" t="s">
        <v>8368</v>
      </c>
      <c r="I6103" s="128">
        <v>1827.4</v>
      </c>
      <c r="J6103" s="128">
        <v>9137</v>
      </c>
    </row>
    <row r="6104" spans="1:10" hidden="1" x14ac:dyDescent="0.25">
      <c r="A6104" s="124" t="s">
        <v>8596</v>
      </c>
      <c r="B6104" s="124" t="s">
        <v>11736</v>
      </c>
      <c r="C6104" s="132">
        <f t="shared" si="21"/>
        <v>4700</v>
      </c>
      <c r="D6104" s="125">
        <f t="shared" si="23"/>
        <v>0</v>
      </c>
      <c r="E6104" s="124" t="s">
        <v>8367</v>
      </c>
      <c r="F6104" s="126">
        <v>5</v>
      </c>
      <c r="G6104" s="128">
        <v>28200</v>
      </c>
      <c r="H6104" s="124" t="s">
        <v>8368</v>
      </c>
      <c r="I6104" s="127">
        <v>699</v>
      </c>
      <c r="J6104" s="128">
        <v>3495</v>
      </c>
    </row>
    <row r="6105" spans="1:10" hidden="1" x14ac:dyDescent="0.25">
      <c r="A6105" s="124" t="s">
        <v>8597</v>
      </c>
      <c r="B6105" s="124" t="s">
        <v>11736</v>
      </c>
      <c r="C6105" s="132">
        <f t="shared" si="21"/>
        <v>291.66666666666669</v>
      </c>
      <c r="D6105" s="125">
        <f t="shared" si="23"/>
        <v>0</v>
      </c>
      <c r="E6105" s="124" t="s">
        <v>8367</v>
      </c>
      <c r="F6105" s="126">
        <v>15</v>
      </c>
      <c r="G6105" s="128">
        <v>5250</v>
      </c>
      <c r="H6105" s="124" t="s">
        <v>8368</v>
      </c>
      <c r="I6105" s="127">
        <v>344.2</v>
      </c>
      <c r="J6105" s="128">
        <v>1721</v>
      </c>
    </row>
    <row r="6106" spans="1:10" hidden="1" x14ac:dyDescent="0.25">
      <c r="A6106" s="124" t="s">
        <v>8598</v>
      </c>
      <c r="B6106" s="124" t="s">
        <v>11736</v>
      </c>
      <c r="C6106" s="132">
        <f t="shared" si="21"/>
        <v>4568.5</v>
      </c>
      <c r="D6106" s="125">
        <f t="shared" si="23"/>
        <v>0</v>
      </c>
      <c r="E6106" s="124" t="s">
        <v>8367</v>
      </c>
      <c r="F6106" s="126">
        <v>2</v>
      </c>
      <c r="G6106" s="128">
        <v>10964.4</v>
      </c>
      <c r="H6106" s="124" t="s">
        <v>8368</v>
      </c>
      <c r="I6106" s="127">
        <v>756.6</v>
      </c>
      <c r="J6106" s="128">
        <v>3783</v>
      </c>
    </row>
    <row r="6107" spans="1:10" hidden="1" x14ac:dyDescent="0.25">
      <c r="A6107" s="124" t="s">
        <v>8599</v>
      </c>
      <c r="B6107" s="124" t="s">
        <v>11736</v>
      </c>
      <c r="C6107" s="132">
        <f t="shared" si="21"/>
        <v>582.5</v>
      </c>
      <c r="D6107" s="125">
        <f t="shared" si="23"/>
        <v>0</v>
      </c>
      <c r="E6107" s="124" t="s">
        <v>8367</v>
      </c>
      <c r="F6107" s="126">
        <v>6</v>
      </c>
      <c r="G6107" s="128">
        <v>4194</v>
      </c>
      <c r="H6107" s="124" t="s">
        <v>8368</v>
      </c>
      <c r="I6107" s="127">
        <v>383.4</v>
      </c>
      <c r="J6107" s="128">
        <v>1917</v>
      </c>
    </row>
    <row r="6108" spans="1:10" hidden="1" x14ac:dyDescent="0.25">
      <c r="A6108" s="124" t="s">
        <v>8600</v>
      </c>
      <c r="B6108" s="124" t="s">
        <v>11736</v>
      </c>
      <c r="C6108" s="132">
        <f t="shared" si="21"/>
        <v>86.05</v>
      </c>
      <c r="D6108" s="125">
        <f>COUNTIF(A396:A6107,A6108)</f>
        <v>0</v>
      </c>
      <c r="E6108" s="124" t="s">
        <v>8367</v>
      </c>
      <c r="F6108" s="126">
        <v>20</v>
      </c>
      <c r="G6108" s="128">
        <v>2065.1999999999998</v>
      </c>
      <c r="H6108" s="124" t="s">
        <v>8368</v>
      </c>
      <c r="I6108" s="127">
        <v>24.2</v>
      </c>
      <c r="J6108" s="127">
        <v>121</v>
      </c>
    </row>
    <row r="6109" spans="1:10" hidden="1" x14ac:dyDescent="0.25">
      <c r="A6109" s="124" t="s">
        <v>8601</v>
      </c>
      <c r="B6109" s="124" t="s">
        <v>11736</v>
      </c>
      <c r="C6109" s="132">
        <f t="shared" si="21"/>
        <v>756.6</v>
      </c>
      <c r="D6109" s="125">
        <f>COUNTIF(A397:A6108,A6109)</f>
        <v>0</v>
      </c>
      <c r="E6109" s="124" t="s">
        <v>8367</v>
      </c>
      <c r="F6109" s="126">
        <v>5</v>
      </c>
      <c r="G6109" s="128">
        <v>4539.6000000000004</v>
      </c>
      <c r="H6109" s="124" t="s">
        <v>8368</v>
      </c>
      <c r="I6109" s="128">
        <v>1510</v>
      </c>
      <c r="J6109" s="128">
        <v>7550</v>
      </c>
    </row>
    <row r="6110" spans="1:10" hidden="1" x14ac:dyDescent="0.25">
      <c r="A6110" s="124" t="s">
        <v>8602</v>
      </c>
      <c r="B6110" s="124" t="s">
        <v>11736</v>
      </c>
      <c r="C6110" s="132">
        <f t="shared" si="21"/>
        <v>191.7</v>
      </c>
      <c r="D6110" s="125">
        <f>COUNTIF(A398:A6109,A6110)</f>
        <v>0</v>
      </c>
      <c r="E6110" s="124" t="s">
        <v>8367</v>
      </c>
      <c r="F6110" s="126">
        <v>10</v>
      </c>
      <c r="G6110" s="128">
        <v>2300.4</v>
      </c>
      <c r="H6110" s="124" t="s">
        <v>8368</v>
      </c>
      <c r="I6110" s="128">
        <v>6916.6</v>
      </c>
      <c r="J6110" s="128">
        <v>34583</v>
      </c>
    </row>
    <row r="6111" spans="1:10" hidden="1" x14ac:dyDescent="0.25">
      <c r="A6111" s="124" t="s">
        <v>8603</v>
      </c>
      <c r="B6111" s="124" t="s">
        <v>11736</v>
      </c>
      <c r="C6111" s="132">
        <f t="shared" si="21"/>
        <v>30.25</v>
      </c>
      <c r="D6111" s="125">
        <f>COUNTIF(A399:A6110,A6111)</f>
        <v>0</v>
      </c>
      <c r="E6111" s="124" t="s">
        <v>8367</v>
      </c>
      <c r="F6111" s="126">
        <v>4</v>
      </c>
      <c r="G6111" s="127">
        <v>145.19999999999999</v>
      </c>
      <c r="H6111" s="124" t="s">
        <v>8368</v>
      </c>
      <c r="I6111" s="128">
        <v>1035</v>
      </c>
      <c r="J6111" s="128">
        <v>5175</v>
      </c>
    </row>
    <row r="6112" spans="1:10" hidden="1" x14ac:dyDescent="0.25">
      <c r="A6112" s="124" t="s">
        <v>8604</v>
      </c>
      <c r="B6112" s="124" t="s">
        <v>11736</v>
      </c>
      <c r="C6112" s="132">
        <f t="shared" si="21"/>
        <v>251.66666666666666</v>
      </c>
      <c r="D6112" s="125">
        <f>COUNTIF(A400:A6111,A6112)</f>
        <v>0</v>
      </c>
      <c r="E6112" s="124" t="s">
        <v>8367</v>
      </c>
      <c r="F6112" s="126">
        <v>30</v>
      </c>
      <c r="G6112" s="128">
        <v>9060</v>
      </c>
      <c r="H6112" s="124" t="s">
        <v>8368</v>
      </c>
      <c r="I6112" s="127">
        <v>419.2</v>
      </c>
      <c r="J6112" s="128">
        <v>2096</v>
      </c>
    </row>
    <row r="6113" spans="1:10" hidden="1" x14ac:dyDescent="0.25">
      <c r="A6113" s="124" t="s">
        <v>8605</v>
      </c>
      <c r="B6113" s="124" t="s">
        <v>11736</v>
      </c>
      <c r="C6113" s="132">
        <f t="shared" si="21"/>
        <v>345.83</v>
      </c>
      <c r="D6113" s="125">
        <f>COUNTIF(A404:A6112,A6113)</f>
        <v>0</v>
      </c>
      <c r="E6113" s="124" t="s">
        <v>8367</v>
      </c>
      <c r="F6113" s="126">
        <v>100</v>
      </c>
      <c r="G6113" s="128">
        <v>41499.599999999999</v>
      </c>
      <c r="H6113" s="124" t="s">
        <v>8368</v>
      </c>
      <c r="I6113" s="128">
        <v>1212.5999999999999</v>
      </c>
      <c r="J6113" s="128">
        <v>6063</v>
      </c>
    </row>
    <row r="6114" spans="1:10" hidden="1" x14ac:dyDescent="0.25">
      <c r="A6114" s="124" t="s">
        <v>8606</v>
      </c>
      <c r="B6114" s="124" t="s">
        <v>11736</v>
      </c>
      <c r="C6114" s="132">
        <f t="shared" si="21"/>
        <v>345</v>
      </c>
      <c r="D6114" s="125">
        <f>COUNTIF(A405:A6113,A6114)</f>
        <v>0</v>
      </c>
      <c r="E6114" s="124" t="s">
        <v>8367</v>
      </c>
      <c r="F6114" s="126">
        <v>15</v>
      </c>
      <c r="G6114" s="128">
        <v>6210</v>
      </c>
      <c r="H6114" s="124" t="s">
        <v>8368</v>
      </c>
      <c r="I6114" s="127">
        <v>28.8</v>
      </c>
      <c r="J6114" s="127">
        <v>144</v>
      </c>
    </row>
    <row r="6115" spans="1:10" hidden="1" x14ac:dyDescent="0.25">
      <c r="A6115" s="124" t="s">
        <v>8607</v>
      </c>
      <c r="B6115" s="124" t="s">
        <v>11736</v>
      </c>
      <c r="C6115" s="132">
        <f t="shared" si="21"/>
        <v>2096</v>
      </c>
      <c r="D6115" s="125">
        <f>COUNTIF(A407:A6114,A6115)</f>
        <v>0</v>
      </c>
      <c r="E6115" s="124" t="s">
        <v>8367</v>
      </c>
      <c r="F6115" s="126">
        <v>1</v>
      </c>
      <c r="G6115" s="128">
        <v>2515.1999999999998</v>
      </c>
      <c r="H6115" s="124" t="s">
        <v>8368</v>
      </c>
      <c r="I6115" s="127">
        <v>182</v>
      </c>
      <c r="J6115" s="127">
        <v>910</v>
      </c>
    </row>
    <row r="6116" spans="1:10" hidden="1" x14ac:dyDescent="0.25">
      <c r="A6116" s="124" t="s">
        <v>8608</v>
      </c>
      <c r="B6116" s="124" t="s">
        <v>11736</v>
      </c>
      <c r="C6116" s="132">
        <f t="shared" si="21"/>
        <v>404.2</v>
      </c>
      <c r="D6116" s="125">
        <f t="shared" ref="D6116:D6122" si="24">COUNTIF(A409:A6115,A6116)</f>
        <v>0</v>
      </c>
      <c r="E6116" s="124" t="s">
        <v>8367</v>
      </c>
      <c r="F6116" s="126">
        <v>15</v>
      </c>
      <c r="G6116" s="128">
        <v>7275.6</v>
      </c>
      <c r="H6116" s="124" t="s">
        <v>8368</v>
      </c>
      <c r="I6116" s="127">
        <v>84.6</v>
      </c>
      <c r="J6116" s="127">
        <v>423</v>
      </c>
    </row>
    <row r="6117" spans="1:10" hidden="1" x14ac:dyDescent="0.25">
      <c r="A6117" s="124" t="s">
        <v>8609</v>
      </c>
      <c r="B6117" s="124" t="s">
        <v>11736</v>
      </c>
      <c r="C6117" s="132">
        <f t="shared" si="21"/>
        <v>144</v>
      </c>
      <c r="D6117" s="125">
        <f t="shared" si="24"/>
        <v>0</v>
      </c>
      <c r="E6117" s="124" t="s">
        <v>8367</v>
      </c>
      <c r="F6117" s="126">
        <v>1</v>
      </c>
      <c r="G6117" s="127">
        <v>172.8</v>
      </c>
      <c r="H6117" s="124" t="s">
        <v>8368</v>
      </c>
      <c r="I6117" s="127">
        <v>26</v>
      </c>
      <c r="J6117" s="127">
        <v>130</v>
      </c>
    </row>
    <row r="6118" spans="1:10" hidden="1" x14ac:dyDescent="0.25">
      <c r="A6118" s="124" t="s">
        <v>8610</v>
      </c>
      <c r="B6118" s="124" t="s">
        <v>11736</v>
      </c>
      <c r="C6118" s="132">
        <f t="shared" si="21"/>
        <v>227.5</v>
      </c>
      <c r="D6118" s="125">
        <f t="shared" si="24"/>
        <v>0</v>
      </c>
      <c r="E6118" s="124" t="s">
        <v>8367</v>
      </c>
      <c r="F6118" s="126">
        <v>4</v>
      </c>
      <c r="G6118" s="128">
        <v>1092</v>
      </c>
      <c r="H6118" s="124" t="s">
        <v>8368</v>
      </c>
      <c r="I6118" s="127">
        <v>56.6</v>
      </c>
      <c r="J6118" s="127">
        <v>283</v>
      </c>
    </row>
    <row r="6119" spans="1:10" hidden="1" x14ac:dyDescent="0.25">
      <c r="A6119" s="124" t="s">
        <v>8611</v>
      </c>
      <c r="B6119" s="124" t="s">
        <v>11736</v>
      </c>
      <c r="C6119" s="132">
        <f t="shared" si="21"/>
        <v>423</v>
      </c>
      <c r="D6119" s="125">
        <f t="shared" si="24"/>
        <v>0</v>
      </c>
      <c r="E6119" s="124" t="s">
        <v>8367</v>
      </c>
      <c r="F6119" s="126">
        <v>1</v>
      </c>
      <c r="G6119" s="127">
        <v>507.6</v>
      </c>
      <c r="H6119" s="124" t="s">
        <v>8368</v>
      </c>
      <c r="I6119" s="127">
        <v>913</v>
      </c>
      <c r="J6119" s="128">
        <v>4565</v>
      </c>
    </row>
    <row r="6120" spans="1:10" hidden="1" x14ac:dyDescent="0.25">
      <c r="A6120" s="124" t="s">
        <v>8612</v>
      </c>
      <c r="B6120" s="124" t="s">
        <v>11736</v>
      </c>
      <c r="C6120" s="132">
        <f t="shared" si="21"/>
        <v>65</v>
      </c>
      <c r="D6120" s="125">
        <f t="shared" si="24"/>
        <v>0</v>
      </c>
      <c r="E6120" s="124" t="s">
        <v>8367</v>
      </c>
      <c r="F6120" s="126">
        <v>2</v>
      </c>
      <c r="G6120" s="127">
        <v>156</v>
      </c>
      <c r="H6120" s="124" t="s">
        <v>8368</v>
      </c>
      <c r="I6120" s="127">
        <v>287.64999999999998</v>
      </c>
      <c r="J6120" s="128">
        <v>1438.26</v>
      </c>
    </row>
    <row r="6121" spans="1:10" hidden="1" x14ac:dyDescent="0.25">
      <c r="A6121" s="124" t="s">
        <v>8613</v>
      </c>
      <c r="B6121" s="124" t="s">
        <v>11736</v>
      </c>
      <c r="C6121" s="132">
        <f t="shared" si="21"/>
        <v>94.333333333333329</v>
      </c>
      <c r="D6121" s="125">
        <f t="shared" si="24"/>
        <v>0</v>
      </c>
      <c r="E6121" s="124" t="s">
        <v>8367</v>
      </c>
      <c r="F6121" s="126">
        <v>3</v>
      </c>
      <c r="G6121" s="127">
        <v>339.6</v>
      </c>
      <c r="H6121" s="124" t="s">
        <v>8368</v>
      </c>
      <c r="I6121" s="128">
        <v>3011.51</v>
      </c>
      <c r="J6121" s="128">
        <v>15057.54</v>
      </c>
    </row>
    <row r="6122" spans="1:10" hidden="1" x14ac:dyDescent="0.25">
      <c r="A6122" s="124" t="s">
        <v>8614</v>
      </c>
      <c r="B6122" s="124" t="s">
        <v>11736</v>
      </c>
      <c r="C6122" s="132">
        <f t="shared" si="21"/>
        <v>2282.5</v>
      </c>
      <c r="D6122" s="125">
        <f t="shared" si="24"/>
        <v>0</v>
      </c>
      <c r="E6122" s="124" t="s">
        <v>8367</v>
      </c>
      <c r="F6122" s="126">
        <v>2</v>
      </c>
      <c r="G6122" s="128">
        <v>5478</v>
      </c>
      <c r="H6122" s="124" t="s">
        <v>8368</v>
      </c>
      <c r="I6122" s="127">
        <v>998.9</v>
      </c>
      <c r="J6122" s="128">
        <v>4994.5</v>
      </c>
    </row>
    <row r="6123" spans="1:10" hidden="1" x14ac:dyDescent="0.25">
      <c r="A6123" s="124" t="s">
        <v>8615</v>
      </c>
      <c r="B6123" s="124" t="s">
        <v>11736</v>
      </c>
      <c r="C6123" s="132">
        <f t="shared" si="21"/>
        <v>719.13</v>
      </c>
      <c r="D6123" s="125">
        <f>COUNTIF(A418:A6122,A6123)</f>
        <v>0</v>
      </c>
      <c r="E6123" s="124" t="s">
        <v>8367</v>
      </c>
      <c r="F6123" s="126">
        <v>2</v>
      </c>
      <c r="G6123" s="128">
        <v>1725.91</v>
      </c>
      <c r="H6123" s="124" t="s">
        <v>8368</v>
      </c>
      <c r="I6123" s="127">
        <v>143.99</v>
      </c>
      <c r="J6123" s="127">
        <v>719.92</v>
      </c>
    </row>
    <row r="6124" spans="1:10" hidden="1" x14ac:dyDescent="0.25">
      <c r="A6124" s="124" t="s">
        <v>8616</v>
      </c>
      <c r="B6124" s="124" t="s">
        <v>11736</v>
      </c>
      <c r="C6124" s="132">
        <f t="shared" si="21"/>
        <v>717.02571428571434</v>
      </c>
      <c r="D6124" s="125">
        <f>COUNTIF(A420:A6123,A6124)</f>
        <v>0</v>
      </c>
      <c r="E6124" s="124" t="s">
        <v>8367</v>
      </c>
      <c r="F6124" s="126">
        <v>21</v>
      </c>
      <c r="G6124" s="128">
        <v>18069.05</v>
      </c>
      <c r="H6124" s="124" t="s">
        <v>8368</v>
      </c>
      <c r="I6124" s="128">
        <v>6000</v>
      </c>
      <c r="J6124" s="128">
        <v>30000</v>
      </c>
    </row>
    <row r="6125" spans="1:10" hidden="1" x14ac:dyDescent="0.25">
      <c r="A6125" s="124" t="s">
        <v>8617</v>
      </c>
      <c r="B6125" s="124" t="s">
        <v>11736</v>
      </c>
      <c r="C6125" s="132">
        <f t="shared" si="21"/>
        <v>713.5</v>
      </c>
      <c r="D6125" s="125">
        <f>COUNTIF(A421:A6124,A6125)</f>
        <v>0</v>
      </c>
      <c r="E6125" s="124" t="s">
        <v>8367</v>
      </c>
      <c r="F6125" s="126">
        <v>7</v>
      </c>
      <c r="G6125" s="128">
        <v>5993.4</v>
      </c>
      <c r="H6125" s="124" t="s">
        <v>8368</v>
      </c>
      <c r="I6125" s="128">
        <v>1600</v>
      </c>
      <c r="J6125" s="128">
        <v>8000</v>
      </c>
    </row>
    <row r="6126" spans="1:10" hidden="1" x14ac:dyDescent="0.25">
      <c r="A6126" s="124" t="s">
        <v>8618</v>
      </c>
      <c r="B6126" s="124" t="s">
        <v>11736</v>
      </c>
      <c r="C6126" s="132">
        <f t="shared" si="21"/>
        <v>719.92</v>
      </c>
      <c r="D6126" s="125">
        <f>COUNTIF(A422:A6125,A6126)</f>
        <v>0</v>
      </c>
      <c r="E6126" s="124" t="s">
        <v>8367</v>
      </c>
      <c r="F6126" s="126">
        <v>1</v>
      </c>
      <c r="G6126" s="127">
        <v>863.91</v>
      </c>
      <c r="H6126" s="124" t="s">
        <v>8368</v>
      </c>
      <c r="I6126" s="128">
        <v>1500</v>
      </c>
      <c r="J6126" s="128">
        <v>7500</v>
      </c>
    </row>
    <row r="6127" spans="1:10" hidden="1" x14ac:dyDescent="0.25">
      <c r="A6127" s="124" t="s">
        <v>8619</v>
      </c>
      <c r="B6127" s="124" t="s">
        <v>11736</v>
      </c>
      <c r="C6127" s="132">
        <f t="shared" si="21"/>
        <v>2000</v>
      </c>
      <c r="D6127" s="125">
        <f>COUNTIF(A424:A6126,A6127)</f>
        <v>0</v>
      </c>
      <c r="E6127" s="124" t="s">
        <v>8367</v>
      </c>
      <c r="F6127" s="126">
        <v>15</v>
      </c>
      <c r="G6127" s="128">
        <v>36000</v>
      </c>
      <c r="H6127" s="124" t="s">
        <v>8368</v>
      </c>
      <c r="I6127" s="127">
        <v>825</v>
      </c>
      <c r="J6127" s="128">
        <v>4125</v>
      </c>
    </row>
    <row r="6128" spans="1:10" hidden="1" x14ac:dyDescent="0.25">
      <c r="A6128" s="124" t="s">
        <v>8620</v>
      </c>
      <c r="B6128" s="124" t="s">
        <v>11736</v>
      </c>
      <c r="C6128" s="132">
        <f t="shared" si="21"/>
        <v>800</v>
      </c>
      <c r="D6128" s="125">
        <f>COUNTIF(A425:A6127,A6128)</f>
        <v>0</v>
      </c>
      <c r="E6128" s="124" t="s">
        <v>8367</v>
      </c>
      <c r="F6128" s="126">
        <v>10</v>
      </c>
      <c r="G6128" s="128">
        <v>9600</v>
      </c>
      <c r="H6128" s="124" t="s">
        <v>8368</v>
      </c>
      <c r="I6128" s="127">
        <v>550</v>
      </c>
      <c r="J6128" s="128">
        <v>2750</v>
      </c>
    </row>
    <row r="6129" spans="1:10" hidden="1" x14ac:dyDescent="0.25">
      <c r="A6129" s="124" t="s">
        <v>8621</v>
      </c>
      <c r="B6129" s="124" t="s">
        <v>11736</v>
      </c>
      <c r="C6129" s="132">
        <f t="shared" si="21"/>
        <v>250</v>
      </c>
      <c r="D6129" s="125">
        <f>COUNTIF(A426:A6128,A6129)</f>
        <v>0</v>
      </c>
      <c r="E6129" s="124" t="s">
        <v>8367</v>
      </c>
      <c r="F6129" s="126">
        <v>30</v>
      </c>
      <c r="G6129" s="128">
        <v>9000</v>
      </c>
      <c r="H6129" s="124" t="s">
        <v>8368</v>
      </c>
      <c r="I6129" s="127">
        <v>550</v>
      </c>
      <c r="J6129" s="128">
        <v>2750</v>
      </c>
    </row>
    <row r="6130" spans="1:10" hidden="1" x14ac:dyDescent="0.25">
      <c r="A6130" s="124" t="s">
        <v>8622</v>
      </c>
      <c r="B6130" s="124" t="s">
        <v>11736</v>
      </c>
      <c r="C6130" s="132">
        <f t="shared" si="21"/>
        <v>275</v>
      </c>
      <c r="D6130" s="125">
        <f>COUNTIF(A427:A6129,A6130)</f>
        <v>0</v>
      </c>
      <c r="E6130" s="124" t="s">
        <v>8367</v>
      </c>
      <c r="F6130" s="126">
        <v>15</v>
      </c>
      <c r="G6130" s="128">
        <v>4950</v>
      </c>
      <c r="H6130" s="124" t="s">
        <v>8368</v>
      </c>
      <c r="I6130" s="128">
        <v>8400</v>
      </c>
      <c r="J6130" s="128">
        <v>42000</v>
      </c>
    </row>
    <row r="6131" spans="1:10" hidden="1" x14ac:dyDescent="0.25">
      <c r="A6131" s="124" t="s">
        <v>8623</v>
      </c>
      <c r="B6131" s="124" t="s">
        <v>11736</v>
      </c>
      <c r="C6131" s="132">
        <f t="shared" si="21"/>
        <v>275</v>
      </c>
      <c r="D6131" s="125">
        <f>COUNTIF(A429:A6130,A6131)</f>
        <v>0</v>
      </c>
      <c r="E6131" s="124" t="s">
        <v>8367</v>
      </c>
      <c r="F6131" s="126">
        <v>10</v>
      </c>
      <c r="G6131" s="128">
        <v>3300</v>
      </c>
      <c r="H6131" s="124" t="s">
        <v>8368</v>
      </c>
      <c r="I6131" s="128">
        <v>9600</v>
      </c>
      <c r="J6131" s="128">
        <v>48000</v>
      </c>
    </row>
    <row r="6132" spans="1:10" hidden="1" x14ac:dyDescent="0.25">
      <c r="A6132" s="124" t="s">
        <v>8624</v>
      </c>
      <c r="B6132" s="124" t="s">
        <v>11736</v>
      </c>
      <c r="C6132" s="132">
        <f t="shared" si="21"/>
        <v>275</v>
      </c>
      <c r="D6132" s="125">
        <f>COUNTIF(A430:A6131,A6132)</f>
        <v>0</v>
      </c>
      <c r="E6132" s="124" t="s">
        <v>8367</v>
      </c>
      <c r="F6132" s="126">
        <v>10</v>
      </c>
      <c r="G6132" s="128">
        <v>3300</v>
      </c>
      <c r="H6132" s="124" t="s">
        <v>8368</v>
      </c>
      <c r="I6132" s="127">
        <v>251.2</v>
      </c>
      <c r="J6132" s="128">
        <v>1256</v>
      </c>
    </row>
    <row r="6133" spans="1:10" hidden="1" x14ac:dyDescent="0.25">
      <c r="A6133" s="124" t="s">
        <v>8625</v>
      </c>
      <c r="B6133" s="124" t="s">
        <v>11736</v>
      </c>
      <c r="C6133" s="132">
        <f t="shared" si="21"/>
        <v>6000</v>
      </c>
      <c r="D6133" s="125">
        <f>COUNTIF(A431:A6132,A6133)</f>
        <v>0</v>
      </c>
      <c r="E6133" s="124" t="s">
        <v>8367</v>
      </c>
      <c r="F6133" s="126">
        <v>7</v>
      </c>
      <c r="G6133" s="128">
        <v>50400</v>
      </c>
      <c r="H6133" s="124" t="s">
        <v>8368</v>
      </c>
      <c r="I6133" s="128">
        <v>43026</v>
      </c>
      <c r="J6133" s="128">
        <v>215130</v>
      </c>
    </row>
    <row r="6134" spans="1:10" hidden="1" x14ac:dyDescent="0.25">
      <c r="A6134" s="124" t="s">
        <v>8626</v>
      </c>
      <c r="B6134" s="124" t="s">
        <v>11736</v>
      </c>
      <c r="C6134" s="132">
        <f t="shared" si="21"/>
        <v>6000</v>
      </c>
      <c r="D6134" s="125">
        <f>COUNTIF(A432:A6133,A6134)</f>
        <v>0</v>
      </c>
      <c r="E6134" s="124" t="s">
        <v>8367</v>
      </c>
      <c r="F6134" s="126">
        <v>8</v>
      </c>
      <c r="G6134" s="128">
        <v>57600</v>
      </c>
      <c r="H6134" s="124" t="s">
        <v>8368</v>
      </c>
      <c r="I6134" s="127">
        <v>240</v>
      </c>
      <c r="J6134" s="128">
        <v>1200</v>
      </c>
    </row>
    <row r="6135" spans="1:10" hidden="1" x14ac:dyDescent="0.25">
      <c r="A6135" s="124" t="s">
        <v>8628</v>
      </c>
      <c r="B6135" s="124" t="s">
        <v>11736</v>
      </c>
      <c r="C6135" s="132">
        <f t="shared" si="21"/>
        <v>628</v>
      </c>
      <c r="D6135" s="125">
        <f>COUNTIF(A434:A6134,A6135)</f>
        <v>0</v>
      </c>
      <c r="E6135" s="124" t="s">
        <v>8367</v>
      </c>
      <c r="F6135" s="126">
        <v>2</v>
      </c>
      <c r="G6135" s="128">
        <v>1507.2</v>
      </c>
      <c r="H6135" s="124" t="s">
        <v>8368</v>
      </c>
      <c r="I6135" s="128">
        <v>13854.21</v>
      </c>
      <c r="J6135" s="128">
        <v>69271.070000000007</v>
      </c>
    </row>
    <row r="6136" spans="1:10" hidden="1" x14ac:dyDescent="0.25">
      <c r="A6136" s="124" t="s">
        <v>8629</v>
      </c>
      <c r="B6136" s="124" t="s">
        <v>11736</v>
      </c>
      <c r="C6136" s="132">
        <f t="shared" ref="C6136:C6199" si="25">J6133/F6136</f>
        <v>10756.5</v>
      </c>
      <c r="D6136" s="125">
        <f>COUNTIF(A437:A6135,A6136)</f>
        <v>0</v>
      </c>
      <c r="E6136" s="124" t="s">
        <v>1</v>
      </c>
      <c r="F6136" s="126">
        <v>20</v>
      </c>
      <c r="G6136" s="128">
        <v>258156</v>
      </c>
      <c r="H6136" s="124" t="s">
        <v>8368</v>
      </c>
      <c r="I6136" s="128">
        <v>4750</v>
      </c>
      <c r="J6136" s="128">
        <v>23750</v>
      </c>
    </row>
    <row r="6137" spans="1:10" hidden="1" x14ac:dyDescent="0.25">
      <c r="A6137" s="124" t="s">
        <v>8630</v>
      </c>
      <c r="B6137" s="124" t="s">
        <v>11736</v>
      </c>
      <c r="C6137" s="132">
        <f t="shared" si="25"/>
        <v>1200</v>
      </c>
      <c r="D6137" s="125">
        <f>COUNTIF(A439:A6136,A6137)</f>
        <v>0</v>
      </c>
      <c r="E6137" s="124" t="s">
        <v>8367</v>
      </c>
      <c r="F6137" s="126">
        <v>1</v>
      </c>
      <c r="G6137" s="128">
        <v>1440</v>
      </c>
      <c r="H6137" s="124" t="s">
        <v>8368</v>
      </c>
      <c r="I6137" s="127">
        <v>666.6</v>
      </c>
      <c r="J6137" s="128">
        <v>3333</v>
      </c>
    </row>
    <row r="6138" spans="1:10" hidden="1" x14ac:dyDescent="0.25">
      <c r="A6138" s="124" t="s">
        <v>8631</v>
      </c>
      <c r="B6138" s="124" t="s">
        <v>11736</v>
      </c>
      <c r="C6138" s="132">
        <f t="shared" si="25"/>
        <v>9895.8671428571433</v>
      </c>
      <c r="D6138" s="125">
        <f>COUNTIF(A441:A6137,A6138)</f>
        <v>0</v>
      </c>
      <c r="E6138" s="124" t="s">
        <v>8632</v>
      </c>
      <c r="F6138" s="126">
        <v>7</v>
      </c>
      <c r="G6138" s="128">
        <v>83125.279999999999</v>
      </c>
      <c r="H6138" s="124" t="s">
        <v>8368</v>
      </c>
      <c r="I6138" s="128">
        <v>4018100</v>
      </c>
      <c r="J6138" s="128">
        <v>20090500</v>
      </c>
    </row>
    <row r="6139" spans="1:10" hidden="1" x14ac:dyDescent="0.25">
      <c r="A6139" s="124" t="s">
        <v>8633</v>
      </c>
      <c r="B6139" s="124" t="s">
        <v>11736</v>
      </c>
      <c r="C6139" s="132">
        <f t="shared" si="25"/>
        <v>47.5</v>
      </c>
      <c r="D6139" s="125">
        <f>COUNTIF(A447:A6138,A6139)</f>
        <v>0</v>
      </c>
      <c r="E6139" s="124" t="s">
        <v>8367</v>
      </c>
      <c r="F6139" s="126">
        <v>500</v>
      </c>
      <c r="G6139" s="128">
        <v>28500</v>
      </c>
      <c r="H6139" s="124" t="s">
        <v>8368</v>
      </c>
      <c r="I6139" s="128">
        <v>1767.6</v>
      </c>
      <c r="J6139" s="128">
        <v>8838</v>
      </c>
    </row>
    <row r="6140" spans="1:10" hidden="1" x14ac:dyDescent="0.25">
      <c r="A6140" s="124" t="s">
        <v>8634</v>
      </c>
      <c r="B6140" s="124" t="s">
        <v>11736</v>
      </c>
      <c r="C6140" s="132">
        <f t="shared" si="25"/>
        <v>6.6660000000000004</v>
      </c>
      <c r="D6140" s="125">
        <f>COUNTIF(A448:A6139,A6140)</f>
        <v>0</v>
      </c>
      <c r="E6140" s="124" t="s">
        <v>8367</v>
      </c>
      <c r="F6140" s="126">
        <v>500</v>
      </c>
      <c r="G6140" s="128">
        <v>3999.6</v>
      </c>
      <c r="H6140" s="124" t="s">
        <v>8368</v>
      </c>
      <c r="I6140" s="128">
        <v>1767.6</v>
      </c>
      <c r="J6140" s="128">
        <v>8838</v>
      </c>
    </row>
    <row r="6141" spans="1:10" hidden="1" x14ac:dyDescent="0.25">
      <c r="A6141" s="124" t="s">
        <v>8635</v>
      </c>
      <c r="B6141" s="124" t="s">
        <v>11736</v>
      </c>
      <c r="C6141" s="132">
        <f t="shared" si="25"/>
        <v>436750</v>
      </c>
      <c r="D6141" s="125">
        <f>COUNTIF(A449:A6140,A6141)</f>
        <v>0</v>
      </c>
      <c r="E6141" s="124" t="s">
        <v>8367</v>
      </c>
      <c r="F6141" s="126">
        <v>46</v>
      </c>
      <c r="G6141" s="128">
        <v>24108600</v>
      </c>
      <c r="H6141" s="124" t="s">
        <v>8368</v>
      </c>
      <c r="I6141" s="128">
        <v>1548</v>
      </c>
      <c r="J6141" s="128">
        <v>7740</v>
      </c>
    </row>
    <row r="6142" spans="1:10" hidden="1" x14ac:dyDescent="0.25">
      <c r="A6142" s="124" t="s">
        <v>8636</v>
      </c>
      <c r="B6142" s="124" t="s">
        <v>11736</v>
      </c>
      <c r="C6142" s="132">
        <f t="shared" si="25"/>
        <v>55.237499999999997</v>
      </c>
      <c r="D6142" s="125">
        <f>COUNTIF(A453:A6141,A6142)</f>
        <v>0</v>
      </c>
      <c r="E6142" s="124" t="s">
        <v>8367</v>
      </c>
      <c r="F6142" s="126">
        <v>160</v>
      </c>
      <c r="G6142" s="128">
        <v>10605.6</v>
      </c>
      <c r="H6142" s="124" t="s">
        <v>8368</v>
      </c>
      <c r="I6142" s="128">
        <v>2268</v>
      </c>
      <c r="J6142" s="128">
        <v>11340</v>
      </c>
    </row>
    <row r="6143" spans="1:10" hidden="1" x14ac:dyDescent="0.25">
      <c r="A6143" s="124" t="s">
        <v>8637</v>
      </c>
      <c r="B6143" s="124" t="s">
        <v>11736</v>
      </c>
      <c r="C6143" s="132">
        <f t="shared" si="25"/>
        <v>55.237499999999997</v>
      </c>
      <c r="D6143" s="125">
        <f>COUNTIF(A454:A6142,A6143)</f>
        <v>0</v>
      </c>
      <c r="E6143" s="124" t="s">
        <v>8367</v>
      </c>
      <c r="F6143" s="126">
        <v>160</v>
      </c>
      <c r="G6143" s="128">
        <v>10605.6</v>
      </c>
      <c r="H6143" s="124" t="s">
        <v>8368</v>
      </c>
      <c r="I6143" s="128">
        <v>8666.67</v>
      </c>
      <c r="J6143" s="128">
        <v>43333.33</v>
      </c>
    </row>
    <row r="6144" spans="1:10" hidden="1" x14ac:dyDescent="0.25">
      <c r="A6144" s="124" t="s">
        <v>8638</v>
      </c>
      <c r="B6144" s="124" t="s">
        <v>11736</v>
      </c>
      <c r="C6144" s="132">
        <f t="shared" si="25"/>
        <v>430</v>
      </c>
      <c r="D6144" s="125">
        <f>COUNTIF(A455:A6143,A6144)</f>
        <v>0</v>
      </c>
      <c r="E6144" s="124" t="s">
        <v>8367</v>
      </c>
      <c r="F6144" s="126">
        <v>18</v>
      </c>
      <c r="G6144" s="128">
        <v>9288</v>
      </c>
      <c r="H6144" s="124" t="s">
        <v>8368</v>
      </c>
      <c r="I6144" s="128">
        <v>11207.2</v>
      </c>
      <c r="J6144" s="128">
        <v>56036</v>
      </c>
    </row>
    <row r="6145" spans="1:10" hidden="1" x14ac:dyDescent="0.25">
      <c r="A6145" s="124" t="s">
        <v>8639</v>
      </c>
      <c r="B6145" s="124" t="s">
        <v>11736</v>
      </c>
      <c r="C6145" s="132">
        <f t="shared" si="25"/>
        <v>1260</v>
      </c>
      <c r="D6145" s="125">
        <f>COUNTIF(A456:A6144,A6145)</f>
        <v>0</v>
      </c>
      <c r="E6145" s="124" t="s">
        <v>8367</v>
      </c>
      <c r="F6145" s="126">
        <v>9</v>
      </c>
      <c r="G6145" s="128">
        <v>13608</v>
      </c>
      <c r="H6145" s="124" t="s">
        <v>8368</v>
      </c>
      <c r="I6145" s="128">
        <v>3426.6</v>
      </c>
      <c r="J6145" s="128">
        <v>17133</v>
      </c>
    </row>
    <row r="6146" spans="1:10" hidden="1" x14ac:dyDescent="0.25">
      <c r="A6146" s="124" t="s">
        <v>8640</v>
      </c>
      <c r="B6146" s="124" t="s">
        <v>11736</v>
      </c>
      <c r="C6146" s="132">
        <f t="shared" si="25"/>
        <v>21666.665000000001</v>
      </c>
      <c r="D6146" s="125">
        <f>COUNTIF(A457:A6145,A6146)</f>
        <v>0</v>
      </c>
      <c r="E6146" s="124" t="s">
        <v>8367</v>
      </c>
      <c r="F6146" s="126">
        <v>2</v>
      </c>
      <c r="G6146" s="128">
        <v>52000</v>
      </c>
      <c r="H6146" s="124" t="s">
        <v>8368</v>
      </c>
      <c r="I6146" s="128">
        <v>3010.4</v>
      </c>
      <c r="J6146" s="128">
        <v>15052</v>
      </c>
    </row>
    <row r="6147" spans="1:10" hidden="1" x14ac:dyDescent="0.25">
      <c r="A6147" s="124" t="s">
        <v>8641</v>
      </c>
      <c r="B6147" s="124" t="s">
        <v>11736</v>
      </c>
      <c r="C6147" s="132">
        <f t="shared" si="25"/>
        <v>56036</v>
      </c>
      <c r="D6147" s="125">
        <f t="shared" ref="D6147:D6170" si="26">COUNTIF(A469:A6146,A6147)</f>
        <v>0</v>
      </c>
      <c r="E6147" s="124" t="s">
        <v>8367</v>
      </c>
      <c r="F6147" s="126">
        <v>1</v>
      </c>
      <c r="G6147" s="128">
        <v>67243.199999999997</v>
      </c>
      <c r="H6147" s="124" t="s">
        <v>8368</v>
      </c>
      <c r="I6147" s="128">
        <v>6776</v>
      </c>
      <c r="J6147" s="128">
        <v>33880</v>
      </c>
    </row>
    <row r="6148" spans="1:10" hidden="1" x14ac:dyDescent="0.25">
      <c r="A6148" s="124" t="s">
        <v>8642</v>
      </c>
      <c r="B6148" s="124" t="s">
        <v>11736</v>
      </c>
      <c r="C6148" s="132">
        <f t="shared" si="25"/>
        <v>17133</v>
      </c>
      <c r="D6148" s="125">
        <f t="shared" si="26"/>
        <v>0</v>
      </c>
      <c r="E6148" s="124" t="s">
        <v>8367</v>
      </c>
      <c r="F6148" s="126">
        <v>1</v>
      </c>
      <c r="G6148" s="128">
        <v>20559.599999999999</v>
      </c>
      <c r="H6148" s="124" t="s">
        <v>8368</v>
      </c>
      <c r="I6148" s="128">
        <v>7333.4</v>
      </c>
      <c r="J6148" s="128">
        <v>36667</v>
      </c>
    </row>
    <row r="6149" spans="1:10" hidden="1" x14ac:dyDescent="0.25">
      <c r="A6149" s="124" t="s">
        <v>8643</v>
      </c>
      <c r="B6149" s="124" t="s">
        <v>11736</v>
      </c>
      <c r="C6149" s="132">
        <f t="shared" si="25"/>
        <v>15052</v>
      </c>
      <c r="D6149" s="125">
        <f t="shared" si="26"/>
        <v>0</v>
      </c>
      <c r="E6149" s="124" t="s">
        <v>8367</v>
      </c>
      <c r="F6149" s="126">
        <v>1</v>
      </c>
      <c r="G6149" s="128">
        <v>18062.400000000001</v>
      </c>
      <c r="H6149" s="124" t="s">
        <v>8368</v>
      </c>
      <c r="I6149" s="128">
        <v>8800</v>
      </c>
      <c r="J6149" s="128">
        <v>44000</v>
      </c>
    </row>
    <row r="6150" spans="1:10" hidden="1" x14ac:dyDescent="0.25">
      <c r="A6150" s="124" t="s">
        <v>8644</v>
      </c>
      <c r="B6150" s="124" t="s">
        <v>11736</v>
      </c>
      <c r="C6150" s="132">
        <f t="shared" si="25"/>
        <v>33880</v>
      </c>
      <c r="D6150" s="125">
        <f t="shared" si="26"/>
        <v>0</v>
      </c>
      <c r="E6150" s="124" t="s">
        <v>8367</v>
      </c>
      <c r="F6150" s="126">
        <v>1</v>
      </c>
      <c r="G6150" s="128">
        <v>40656</v>
      </c>
      <c r="H6150" s="124" t="s">
        <v>8368</v>
      </c>
      <c r="I6150" s="128">
        <v>6600</v>
      </c>
      <c r="J6150" s="128">
        <v>33000</v>
      </c>
    </row>
    <row r="6151" spans="1:10" hidden="1" x14ac:dyDescent="0.25">
      <c r="A6151" s="124" t="s">
        <v>8645</v>
      </c>
      <c r="B6151" s="124" t="s">
        <v>11736</v>
      </c>
      <c r="C6151" s="132">
        <f t="shared" si="25"/>
        <v>36667</v>
      </c>
      <c r="D6151" s="125">
        <f t="shared" si="26"/>
        <v>0</v>
      </c>
      <c r="E6151" s="124" t="s">
        <v>8367</v>
      </c>
      <c r="F6151" s="126">
        <v>1</v>
      </c>
      <c r="G6151" s="128">
        <v>44000.4</v>
      </c>
      <c r="H6151" s="124" t="s">
        <v>8368</v>
      </c>
      <c r="I6151" s="128">
        <v>5932.4</v>
      </c>
      <c r="J6151" s="128">
        <v>29662</v>
      </c>
    </row>
    <row r="6152" spans="1:10" hidden="1" x14ac:dyDescent="0.25">
      <c r="A6152" s="124" t="s">
        <v>8646</v>
      </c>
      <c r="B6152" s="124" t="s">
        <v>11736</v>
      </c>
      <c r="C6152" s="132">
        <f t="shared" si="25"/>
        <v>22000</v>
      </c>
      <c r="D6152" s="125">
        <f t="shared" si="26"/>
        <v>0</v>
      </c>
      <c r="E6152" s="124" t="s">
        <v>8367</v>
      </c>
      <c r="F6152" s="126">
        <v>2</v>
      </c>
      <c r="G6152" s="128">
        <v>52800</v>
      </c>
      <c r="H6152" s="124" t="s">
        <v>8368</v>
      </c>
      <c r="I6152" s="128">
        <v>2800</v>
      </c>
      <c r="J6152" s="128">
        <v>14000</v>
      </c>
    </row>
    <row r="6153" spans="1:10" hidden="1" x14ac:dyDescent="0.25">
      <c r="A6153" s="124" t="s">
        <v>8647</v>
      </c>
      <c r="B6153" s="124" t="s">
        <v>11736</v>
      </c>
      <c r="C6153" s="132">
        <f t="shared" si="25"/>
        <v>16500</v>
      </c>
      <c r="D6153" s="125">
        <f t="shared" si="26"/>
        <v>0</v>
      </c>
      <c r="E6153" s="124" t="s">
        <v>8367</v>
      </c>
      <c r="F6153" s="126">
        <v>2</v>
      </c>
      <c r="G6153" s="128">
        <v>39600</v>
      </c>
      <c r="H6153" s="124" t="s">
        <v>8368</v>
      </c>
      <c r="I6153" s="128">
        <v>1166.5999999999999</v>
      </c>
      <c r="J6153" s="128">
        <v>5833</v>
      </c>
    </row>
    <row r="6154" spans="1:10" hidden="1" x14ac:dyDescent="0.25">
      <c r="A6154" s="124" t="s">
        <v>8648</v>
      </c>
      <c r="B6154" s="124" t="s">
        <v>11736</v>
      </c>
      <c r="C6154" s="132">
        <f t="shared" si="25"/>
        <v>14831</v>
      </c>
      <c r="D6154" s="125">
        <f t="shared" si="26"/>
        <v>0</v>
      </c>
      <c r="E6154" s="124" t="s">
        <v>8367</v>
      </c>
      <c r="F6154" s="126">
        <v>2</v>
      </c>
      <c r="G6154" s="128">
        <v>35594.400000000001</v>
      </c>
      <c r="H6154" s="124" t="s">
        <v>8368</v>
      </c>
      <c r="I6154" s="128">
        <v>6688</v>
      </c>
      <c r="J6154" s="128">
        <v>33440</v>
      </c>
    </row>
    <row r="6155" spans="1:10" hidden="1" x14ac:dyDescent="0.25">
      <c r="A6155" s="124" t="s">
        <v>8649</v>
      </c>
      <c r="B6155" s="124" t="s">
        <v>11736</v>
      </c>
      <c r="C6155" s="132">
        <f t="shared" si="25"/>
        <v>7000</v>
      </c>
      <c r="D6155" s="125">
        <f t="shared" si="26"/>
        <v>0</v>
      </c>
      <c r="E6155" s="124" t="s">
        <v>8367</v>
      </c>
      <c r="F6155" s="126">
        <v>2</v>
      </c>
      <c r="G6155" s="128">
        <v>16800</v>
      </c>
      <c r="H6155" s="124" t="s">
        <v>8368</v>
      </c>
      <c r="I6155" s="128">
        <v>13926</v>
      </c>
      <c r="J6155" s="128">
        <v>69630</v>
      </c>
    </row>
    <row r="6156" spans="1:10" hidden="1" x14ac:dyDescent="0.25">
      <c r="A6156" s="124" t="s">
        <v>8650</v>
      </c>
      <c r="B6156" s="124" t="s">
        <v>11736</v>
      </c>
      <c r="C6156" s="132">
        <f t="shared" si="25"/>
        <v>5833</v>
      </c>
      <c r="D6156" s="125">
        <f t="shared" si="26"/>
        <v>0</v>
      </c>
      <c r="E6156" s="124" t="s">
        <v>8367</v>
      </c>
      <c r="F6156" s="126">
        <v>1</v>
      </c>
      <c r="G6156" s="128">
        <v>6999.6</v>
      </c>
      <c r="H6156" s="124" t="s">
        <v>8368</v>
      </c>
      <c r="I6156" s="128">
        <v>32120</v>
      </c>
      <c r="J6156" s="128">
        <v>160600</v>
      </c>
    </row>
    <row r="6157" spans="1:10" hidden="1" x14ac:dyDescent="0.25">
      <c r="A6157" s="124" t="s">
        <v>8651</v>
      </c>
      <c r="B6157" s="124" t="s">
        <v>11736</v>
      </c>
      <c r="C6157" s="132">
        <f t="shared" si="25"/>
        <v>8360</v>
      </c>
      <c r="D6157" s="125">
        <f t="shared" si="26"/>
        <v>0</v>
      </c>
      <c r="E6157" s="124" t="s">
        <v>8367</v>
      </c>
      <c r="F6157" s="126">
        <v>4</v>
      </c>
      <c r="G6157" s="128">
        <v>40128</v>
      </c>
      <c r="H6157" s="124" t="s">
        <v>8368</v>
      </c>
      <c r="I6157" s="128">
        <v>16500</v>
      </c>
      <c r="J6157" s="128">
        <v>82500</v>
      </c>
    </row>
    <row r="6158" spans="1:10" hidden="1" x14ac:dyDescent="0.25">
      <c r="A6158" s="124" t="s">
        <v>8652</v>
      </c>
      <c r="B6158" s="124" t="s">
        <v>11736</v>
      </c>
      <c r="C6158" s="132">
        <f t="shared" si="25"/>
        <v>17407.5</v>
      </c>
      <c r="D6158" s="125">
        <f t="shared" si="26"/>
        <v>0</v>
      </c>
      <c r="E6158" s="124" t="s">
        <v>8367</v>
      </c>
      <c r="F6158" s="126">
        <v>4</v>
      </c>
      <c r="G6158" s="128">
        <v>83556</v>
      </c>
      <c r="H6158" s="124" t="s">
        <v>8368</v>
      </c>
      <c r="I6158" s="127">
        <v>163.4</v>
      </c>
      <c r="J6158" s="127">
        <v>817</v>
      </c>
    </row>
    <row r="6159" spans="1:10" hidden="1" x14ac:dyDescent="0.25">
      <c r="A6159" s="124" t="s">
        <v>8653</v>
      </c>
      <c r="B6159" s="124" t="s">
        <v>11736</v>
      </c>
      <c r="C6159" s="132">
        <f t="shared" si="25"/>
        <v>20075</v>
      </c>
      <c r="D6159" s="125">
        <f t="shared" si="26"/>
        <v>0</v>
      </c>
      <c r="E6159" s="124" t="s">
        <v>8367</v>
      </c>
      <c r="F6159" s="126">
        <v>8</v>
      </c>
      <c r="G6159" s="128">
        <v>192720</v>
      </c>
      <c r="H6159" s="124" t="s">
        <v>8368</v>
      </c>
      <c r="I6159" s="127">
        <v>196.8</v>
      </c>
      <c r="J6159" s="127">
        <v>984</v>
      </c>
    </row>
    <row r="6160" spans="1:10" hidden="1" x14ac:dyDescent="0.25">
      <c r="A6160" s="124" t="s">
        <v>8654</v>
      </c>
      <c r="B6160" s="124" t="s">
        <v>11736</v>
      </c>
      <c r="C6160" s="132">
        <f t="shared" si="25"/>
        <v>27500</v>
      </c>
      <c r="D6160" s="125">
        <f t="shared" si="26"/>
        <v>0</v>
      </c>
      <c r="E6160" s="124" t="s">
        <v>8367</v>
      </c>
      <c r="F6160" s="126">
        <v>3</v>
      </c>
      <c r="G6160" s="128">
        <v>99000</v>
      </c>
      <c r="H6160" s="124" t="s">
        <v>8368</v>
      </c>
      <c r="I6160" s="127">
        <v>221</v>
      </c>
      <c r="J6160" s="128">
        <v>1105</v>
      </c>
    </row>
    <row r="6161" spans="1:10" hidden="1" x14ac:dyDescent="0.25">
      <c r="A6161" s="124" t="s">
        <v>8655</v>
      </c>
      <c r="B6161" s="124" t="s">
        <v>11736</v>
      </c>
      <c r="C6161" s="132">
        <f t="shared" si="25"/>
        <v>68.083333333333329</v>
      </c>
      <c r="D6161" s="125">
        <f t="shared" si="26"/>
        <v>0</v>
      </c>
      <c r="E6161" s="124" t="s">
        <v>8579</v>
      </c>
      <c r="F6161" s="126">
        <v>12</v>
      </c>
      <c r="G6161" s="127">
        <v>980.4</v>
      </c>
      <c r="H6161" s="124" t="s">
        <v>8368</v>
      </c>
      <c r="I6161" s="127">
        <v>532.79999999999995</v>
      </c>
      <c r="J6161" s="128">
        <v>2664</v>
      </c>
    </row>
    <row r="6162" spans="1:10" hidden="1" x14ac:dyDescent="0.25">
      <c r="A6162" s="124" t="s">
        <v>8656</v>
      </c>
      <c r="B6162" s="124" t="s">
        <v>11736</v>
      </c>
      <c r="C6162" s="132">
        <f t="shared" si="25"/>
        <v>82</v>
      </c>
      <c r="D6162" s="125">
        <f t="shared" si="26"/>
        <v>0</v>
      </c>
      <c r="E6162" s="124" t="s">
        <v>8579</v>
      </c>
      <c r="F6162" s="126">
        <v>12</v>
      </c>
      <c r="G6162" s="128">
        <v>1180.8</v>
      </c>
      <c r="H6162" s="124" t="s">
        <v>8368</v>
      </c>
      <c r="I6162" s="127">
        <v>405.6</v>
      </c>
      <c r="J6162" s="128">
        <v>2028</v>
      </c>
    </row>
    <row r="6163" spans="1:10" hidden="1" x14ac:dyDescent="0.25">
      <c r="A6163" s="124" t="s">
        <v>8657</v>
      </c>
      <c r="B6163" s="124" t="s">
        <v>11736</v>
      </c>
      <c r="C6163" s="132">
        <f t="shared" si="25"/>
        <v>92.083333333333329</v>
      </c>
      <c r="D6163" s="125">
        <f t="shared" si="26"/>
        <v>0</v>
      </c>
      <c r="E6163" s="124" t="s">
        <v>8367</v>
      </c>
      <c r="F6163" s="126">
        <v>12</v>
      </c>
      <c r="G6163" s="128">
        <v>1326</v>
      </c>
      <c r="H6163" s="124" t="s">
        <v>8368</v>
      </c>
      <c r="I6163" s="127">
        <v>445</v>
      </c>
      <c r="J6163" s="128">
        <v>2225</v>
      </c>
    </row>
    <row r="6164" spans="1:10" hidden="1" x14ac:dyDescent="0.25">
      <c r="A6164" s="124" t="s">
        <v>8658</v>
      </c>
      <c r="B6164" s="124" t="s">
        <v>11736</v>
      </c>
      <c r="C6164" s="132">
        <f t="shared" si="25"/>
        <v>111</v>
      </c>
      <c r="D6164" s="125">
        <f t="shared" si="26"/>
        <v>0</v>
      </c>
      <c r="E6164" s="124" t="s">
        <v>8367</v>
      </c>
      <c r="F6164" s="126">
        <v>24</v>
      </c>
      <c r="G6164" s="128">
        <v>3196.8</v>
      </c>
      <c r="H6164" s="124" t="s">
        <v>8368</v>
      </c>
      <c r="I6164" s="127">
        <v>611.4</v>
      </c>
      <c r="J6164" s="128">
        <v>3057</v>
      </c>
    </row>
    <row r="6165" spans="1:10" hidden="1" x14ac:dyDescent="0.25">
      <c r="A6165" s="124" t="s">
        <v>8659</v>
      </c>
      <c r="B6165" s="124" t="s">
        <v>11736</v>
      </c>
      <c r="C6165" s="132">
        <f t="shared" si="25"/>
        <v>169</v>
      </c>
      <c r="D6165" s="125">
        <f t="shared" si="26"/>
        <v>0</v>
      </c>
      <c r="E6165" s="124" t="s">
        <v>8367</v>
      </c>
      <c r="F6165" s="126">
        <v>12</v>
      </c>
      <c r="G6165" s="128">
        <v>2433.6</v>
      </c>
      <c r="H6165" s="124" t="s">
        <v>8368</v>
      </c>
      <c r="I6165" s="127">
        <v>995</v>
      </c>
      <c r="J6165" s="128">
        <v>4975</v>
      </c>
    </row>
    <row r="6166" spans="1:10" hidden="1" x14ac:dyDescent="0.25">
      <c r="A6166" s="124" t="s">
        <v>8660</v>
      </c>
      <c r="B6166" s="124" t="s">
        <v>11736</v>
      </c>
      <c r="C6166" s="132">
        <f t="shared" si="25"/>
        <v>185.41666666666666</v>
      </c>
      <c r="D6166" s="125">
        <f t="shared" si="26"/>
        <v>0</v>
      </c>
      <c r="E6166" s="124" t="s">
        <v>8367</v>
      </c>
      <c r="F6166" s="126">
        <v>12</v>
      </c>
      <c r="G6166" s="128">
        <v>2670</v>
      </c>
      <c r="H6166" s="124" t="s">
        <v>8368</v>
      </c>
      <c r="I6166" s="128">
        <v>2786</v>
      </c>
      <c r="J6166" s="128">
        <v>13930</v>
      </c>
    </row>
    <row r="6167" spans="1:10" hidden="1" x14ac:dyDescent="0.25">
      <c r="A6167" s="124" t="s">
        <v>8661</v>
      </c>
      <c r="B6167" s="124" t="s">
        <v>11736</v>
      </c>
      <c r="C6167" s="132">
        <f t="shared" si="25"/>
        <v>1528.5</v>
      </c>
      <c r="D6167" s="125">
        <f t="shared" si="26"/>
        <v>0</v>
      </c>
      <c r="E6167" s="124" t="s">
        <v>8367</v>
      </c>
      <c r="F6167" s="126">
        <v>2</v>
      </c>
      <c r="G6167" s="128">
        <v>3668.4</v>
      </c>
      <c r="H6167" s="124" t="s">
        <v>8368</v>
      </c>
      <c r="I6167" s="128">
        <v>2393</v>
      </c>
      <c r="J6167" s="128">
        <v>11965</v>
      </c>
    </row>
    <row r="6168" spans="1:10" hidden="1" x14ac:dyDescent="0.25">
      <c r="A6168" s="124" t="s">
        <v>8662</v>
      </c>
      <c r="B6168" s="124" t="s">
        <v>11736</v>
      </c>
      <c r="C6168" s="132">
        <f t="shared" si="25"/>
        <v>2487.5</v>
      </c>
      <c r="D6168" s="125">
        <f t="shared" si="26"/>
        <v>0</v>
      </c>
      <c r="E6168" s="124" t="s">
        <v>8367</v>
      </c>
      <c r="F6168" s="126">
        <v>2</v>
      </c>
      <c r="G6168" s="128">
        <v>5970</v>
      </c>
      <c r="H6168" s="124" t="s">
        <v>8368</v>
      </c>
      <c r="I6168" s="128">
        <v>3203.8</v>
      </c>
      <c r="J6168" s="128">
        <v>16019</v>
      </c>
    </row>
    <row r="6169" spans="1:10" hidden="1" x14ac:dyDescent="0.25">
      <c r="A6169" s="124" t="s">
        <v>8663</v>
      </c>
      <c r="B6169" s="124" t="s">
        <v>11736</v>
      </c>
      <c r="C6169" s="132">
        <f t="shared" si="25"/>
        <v>13930</v>
      </c>
      <c r="D6169" s="125">
        <f t="shared" si="26"/>
        <v>0</v>
      </c>
      <c r="E6169" s="124" t="s">
        <v>8367</v>
      </c>
      <c r="F6169" s="126">
        <v>1</v>
      </c>
      <c r="G6169" s="128">
        <v>16716</v>
      </c>
      <c r="H6169" s="124" t="s">
        <v>8368</v>
      </c>
      <c r="I6169" s="127">
        <v>770</v>
      </c>
      <c r="J6169" s="128">
        <v>3850</v>
      </c>
    </row>
    <row r="6170" spans="1:10" hidden="1" x14ac:dyDescent="0.25">
      <c r="A6170" s="124" t="s">
        <v>8664</v>
      </c>
      <c r="B6170" s="124" t="s">
        <v>11736</v>
      </c>
      <c r="C6170" s="132">
        <f t="shared" si="25"/>
        <v>1196.5</v>
      </c>
      <c r="D6170" s="125">
        <f t="shared" si="26"/>
        <v>0</v>
      </c>
      <c r="E6170" s="124" t="s">
        <v>8367</v>
      </c>
      <c r="F6170" s="126">
        <v>10</v>
      </c>
      <c r="G6170" s="128">
        <v>14358</v>
      </c>
      <c r="H6170" s="124" t="s">
        <v>8368</v>
      </c>
      <c r="I6170" s="128">
        <v>31330.2</v>
      </c>
      <c r="J6170" s="128">
        <v>156651</v>
      </c>
    </row>
    <row r="6171" spans="1:10" hidden="1" x14ac:dyDescent="0.25">
      <c r="A6171" s="124" t="s">
        <v>8665</v>
      </c>
      <c r="B6171" s="124" t="s">
        <v>11736</v>
      </c>
      <c r="C6171" s="132">
        <f t="shared" si="25"/>
        <v>16019</v>
      </c>
      <c r="D6171" s="125">
        <f t="shared" ref="D6171:D6181" si="27">COUNTIF(A494:A6170,A6171)</f>
        <v>0</v>
      </c>
      <c r="E6171" s="124" t="s">
        <v>8367</v>
      </c>
      <c r="F6171" s="126">
        <v>1</v>
      </c>
      <c r="G6171" s="128">
        <v>19222.8</v>
      </c>
      <c r="H6171" s="124" t="s">
        <v>8368</v>
      </c>
      <c r="I6171" s="127">
        <v>30</v>
      </c>
      <c r="J6171" s="127">
        <v>150</v>
      </c>
    </row>
    <row r="6172" spans="1:10" hidden="1" x14ac:dyDescent="0.25">
      <c r="A6172" s="124" t="s">
        <v>8666</v>
      </c>
      <c r="B6172" s="124" t="s">
        <v>11736</v>
      </c>
      <c r="C6172" s="132">
        <f t="shared" si="25"/>
        <v>1925</v>
      </c>
      <c r="D6172" s="125">
        <f t="shared" si="27"/>
        <v>0</v>
      </c>
      <c r="E6172" s="124" t="s">
        <v>8367</v>
      </c>
      <c r="F6172" s="126">
        <v>2</v>
      </c>
      <c r="G6172" s="128">
        <v>4620</v>
      </c>
      <c r="H6172" s="124" t="s">
        <v>8368</v>
      </c>
      <c r="I6172" s="127">
        <v>53</v>
      </c>
      <c r="J6172" s="127">
        <v>265</v>
      </c>
    </row>
    <row r="6173" spans="1:10" hidden="1" x14ac:dyDescent="0.25">
      <c r="A6173" s="124" t="s">
        <v>8667</v>
      </c>
      <c r="B6173" s="124" t="s">
        <v>11736</v>
      </c>
      <c r="C6173" s="132">
        <f t="shared" si="25"/>
        <v>78325.5</v>
      </c>
      <c r="D6173" s="125">
        <f t="shared" si="27"/>
        <v>0</v>
      </c>
      <c r="E6173" s="124" t="s">
        <v>8367</v>
      </c>
      <c r="F6173" s="126">
        <v>2</v>
      </c>
      <c r="G6173" s="128">
        <v>187981.2</v>
      </c>
      <c r="H6173" s="124" t="s">
        <v>8368</v>
      </c>
      <c r="I6173" s="128">
        <v>1427.6</v>
      </c>
      <c r="J6173" s="128">
        <v>7138</v>
      </c>
    </row>
    <row r="6174" spans="1:10" hidden="1" x14ac:dyDescent="0.25">
      <c r="A6174" s="124" t="s">
        <v>8668</v>
      </c>
      <c r="B6174" s="124" t="s">
        <v>11736</v>
      </c>
      <c r="C6174" s="132">
        <f t="shared" si="25"/>
        <v>150</v>
      </c>
      <c r="D6174" s="125">
        <f t="shared" si="27"/>
        <v>0</v>
      </c>
      <c r="E6174" s="124" t="s">
        <v>8367</v>
      </c>
      <c r="F6174" s="126">
        <v>1</v>
      </c>
      <c r="G6174" s="127">
        <v>180</v>
      </c>
      <c r="H6174" s="124" t="s">
        <v>8368</v>
      </c>
      <c r="I6174" s="127">
        <v>809.2</v>
      </c>
      <c r="J6174" s="128">
        <v>4046</v>
      </c>
    </row>
    <row r="6175" spans="1:10" hidden="1" x14ac:dyDescent="0.25">
      <c r="A6175" s="124" t="s">
        <v>8669</v>
      </c>
      <c r="B6175" s="124" t="s">
        <v>11736</v>
      </c>
      <c r="C6175" s="132">
        <f t="shared" si="25"/>
        <v>265</v>
      </c>
      <c r="D6175" s="125">
        <f t="shared" si="27"/>
        <v>0</v>
      </c>
      <c r="E6175" s="124" t="s">
        <v>8367</v>
      </c>
      <c r="F6175" s="126">
        <v>1</v>
      </c>
      <c r="G6175" s="127">
        <v>318</v>
      </c>
      <c r="H6175" s="124" t="s">
        <v>8368</v>
      </c>
      <c r="I6175" s="127">
        <v>36</v>
      </c>
      <c r="J6175" s="127">
        <v>180</v>
      </c>
    </row>
    <row r="6176" spans="1:10" hidden="1" x14ac:dyDescent="0.25">
      <c r="A6176" s="124" t="s">
        <v>8670</v>
      </c>
      <c r="B6176" s="124" t="s">
        <v>11736</v>
      </c>
      <c r="C6176" s="132">
        <f t="shared" si="25"/>
        <v>7138</v>
      </c>
      <c r="D6176" s="125">
        <f t="shared" si="27"/>
        <v>0</v>
      </c>
      <c r="E6176" s="124" t="s">
        <v>8367</v>
      </c>
      <c r="F6176" s="126">
        <v>1</v>
      </c>
      <c r="G6176" s="128">
        <v>8565.6</v>
      </c>
      <c r="H6176" s="124" t="s">
        <v>8368</v>
      </c>
      <c r="I6176" s="127">
        <v>78</v>
      </c>
      <c r="J6176" s="127">
        <v>390</v>
      </c>
    </row>
    <row r="6177" spans="1:10" hidden="1" x14ac:dyDescent="0.25">
      <c r="A6177" s="124" t="s">
        <v>8671</v>
      </c>
      <c r="B6177" s="124" t="s">
        <v>11736</v>
      </c>
      <c r="C6177" s="132">
        <f t="shared" si="25"/>
        <v>4046</v>
      </c>
      <c r="D6177" s="125">
        <f t="shared" si="27"/>
        <v>0</v>
      </c>
      <c r="E6177" s="124" t="s">
        <v>8367</v>
      </c>
      <c r="F6177" s="126">
        <v>1</v>
      </c>
      <c r="G6177" s="128">
        <v>4855.2</v>
      </c>
      <c r="H6177" s="124" t="s">
        <v>8368</v>
      </c>
      <c r="I6177" s="128">
        <v>5373</v>
      </c>
      <c r="J6177" s="128">
        <v>26865</v>
      </c>
    </row>
    <row r="6178" spans="1:10" hidden="1" x14ac:dyDescent="0.25">
      <c r="A6178" s="124" t="s">
        <v>8672</v>
      </c>
      <c r="B6178" s="124" t="s">
        <v>11736</v>
      </c>
      <c r="C6178" s="132">
        <f t="shared" si="25"/>
        <v>90</v>
      </c>
      <c r="D6178" s="125">
        <f t="shared" si="27"/>
        <v>0</v>
      </c>
      <c r="E6178" s="124" t="s">
        <v>8367</v>
      </c>
      <c r="F6178" s="126">
        <v>2</v>
      </c>
      <c r="G6178" s="127">
        <v>216</v>
      </c>
      <c r="H6178" s="124" t="s">
        <v>8368</v>
      </c>
      <c r="I6178" s="127">
        <v>430.8</v>
      </c>
      <c r="J6178" s="128">
        <v>2154</v>
      </c>
    </row>
    <row r="6179" spans="1:10" hidden="1" x14ac:dyDescent="0.25">
      <c r="A6179" s="124" t="s">
        <v>8673</v>
      </c>
      <c r="B6179" s="124" t="s">
        <v>11736</v>
      </c>
      <c r="C6179" s="132">
        <f t="shared" si="25"/>
        <v>195</v>
      </c>
      <c r="D6179" s="125">
        <f t="shared" si="27"/>
        <v>0</v>
      </c>
      <c r="E6179" s="124" t="s">
        <v>8367</v>
      </c>
      <c r="F6179" s="126">
        <v>2</v>
      </c>
      <c r="G6179" s="127">
        <v>468</v>
      </c>
      <c r="H6179" s="124" t="s">
        <v>8368</v>
      </c>
      <c r="I6179" s="127">
        <v>524.14</v>
      </c>
      <c r="J6179" s="128">
        <v>2620.7199999999998</v>
      </c>
    </row>
    <row r="6180" spans="1:10" hidden="1" x14ac:dyDescent="0.25">
      <c r="A6180" s="124" t="s">
        <v>8674</v>
      </c>
      <c r="B6180" s="124" t="s">
        <v>11736</v>
      </c>
      <c r="C6180" s="132">
        <f t="shared" si="25"/>
        <v>13432.5</v>
      </c>
      <c r="D6180" s="125">
        <f t="shared" si="27"/>
        <v>0</v>
      </c>
      <c r="E6180" s="124" t="s">
        <v>8367</v>
      </c>
      <c r="F6180" s="126">
        <v>2</v>
      </c>
      <c r="G6180" s="128">
        <v>32238</v>
      </c>
      <c r="H6180" s="124" t="s">
        <v>8368</v>
      </c>
      <c r="I6180" s="127">
        <v>116.6</v>
      </c>
      <c r="J6180" s="127">
        <v>583</v>
      </c>
    </row>
    <row r="6181" spans="1:10" hidden="1" x14ac:dyDescent="0.25">
      <c r="A6181" s="124" t="s">
        <v>8675</v>
      </c>
      <c r="B6181" s="124" t="s">
        <v>11736</v>
      </c>
      <c r="C6181" s="132">
        <f t="shared" si="25"/>
        <v>2154</v>
      </c>
      <c r="D6181" s="125">
        <f t="shared" si="27"/>
        <v>0</v>
      </c>
      <c r="E6181" s="124" t="s">
        <v>8367</v>
      </c>
      <c r="F6181" s="126">
        <v>1</v>
      </c>
      <c r="G6181" s="128">
        <v>2584.8000000000002</v>
      </c>
      <c r="H6181" s="124" t="s">
        <v>8368</v>
      </c>
      <c r="I6181" s="127">
        <v>336.8</v>
      </c>
      <c r="J6181" s="128">
        <v>1684</v>
      </c>
    </row>
    <row r="6182" spans="1:10" hidden="1" x14ac:dyDescent="0.25">
      <c r="A6182" s="124" t="s">
        <v>8676</v>
      </c>
      <c r="B6182" s="124" t="s">
        <v>11736</v>
      </c>
      <c r="C6182" s="132">
        <f t="shared" si="25"/>
        <v>87.35733333333333</v>
      </c>
      <c r="D6182" s="125">
        <f>COUNTIF(A506:A6181,A6182)</f>
        <v>0</v>
      </c>
      <c r="E6182" s="124" t="s">
        <v>8367</v>
      </c>
      <c r="F6182" s="126">
        <v>30</v>
      </c>
      <c r="G6182" s="128">
        <v>3144.86</v>
      </c>
      <c r="H6182" s="124" t="s">
        <v>8368</v>
      </c>
      <c r="I6182" s="128">
        <v>1224</v>
      </c>
      <c r="J6182" s="128">
        <v>6120</v>
      </c>
    </row>
    <row r="6183" spans="1:10" hidden="1" x14ac:dyDescent="0.25">
      <c r="A6183" s="124" t="s">
        <v>8677</v>
      </c>
      <c r="B6183" s="124" t="s">
        <v>11736</v>
      </c>
      <c r="C6183" s="132">
        <f t="shared" si="25"/>
        <v>145.75</v>
      </c>
      <c r="D6183" s="125">
        <f t="shared" ref="D6183:D6198" si="28">COUNTIF(A509:A6182,A6183)</f>
        <v>0</v>
      </c>
      <c r="E6183" s="124" t="s">
        <v>8367</v>
      </c>
      <c r="F6183" s="126">
        <v>4</v>
      </c>
      <c r="G6183" s="127">
        <v>699.6</v>
      </c>
      <c r="H6183" s="124" t="s">
        <v>8368</v>
      </c>
      <c r="I6183" s="128">
        <v>4221.2</v>
      </c>
      <c r="J6183" s="128">
        <v>21106</v>
      </c>
    </row>
    <row r="6184" spans="1:10" hidden="1" x14ac:dyDescent="0.25">
      <c r="A6184" s="124" t="s">
        <v>8678</v>
      </c>
      <c r="B6184" s="124" t="s">
        <v>11736</v>
      </c>
      <c r="C6184" s="132">
        <f t="shared" si="25"/>
        <v>168.4</v>
      </c>
      <c r="D6184" s="125">
        <f t="shared" si="28"/>
        <v>0</v>
      </c>
      <c r="E6184" s="124" t="s">
        <v>8367</v>
      </c>
      <c r="F6184" s="126">
        <v>10</v>
      </c>
      <c r="G6184" s="128">
        <v>2020.8</v>
      </c>
      <c r="H6184" s="124" t="s">
        <v>8368</v>
      </c>
      <c r="I6184" s="127">
        <v>318</v>
      </c>
      <c r="J6184" s="128">
        <v>1590</v>
      </c>
    </row>
    <row r="6185" spans="1:10" hidden="1" x14ac:dyDescent="0.25">
      <c r="A6185" s="124" t="s">
        <v>8679</v>
      </c>
      <c r="B6185" s="124" t="s">
        <v>11736</v>
      </c>
      <c r="C6185" s="132">
        <f t="shared" si="25"/>
        <v>6120</v>
      </c>
      <c r="D6185" s="125">
        <f t="shared" si="28"/>
        <v>0</v>
      </c>
      <c r="E6185" s="124" t="s">
        <v>8367</v>
      </c>
      <c r="F6185" s="126">
        <v>1</v>
      </c>
      <c r="G6185" s="128">
        <v>7344</v>
      </c>
      <c r="H6185" s="124" t="s">
        <v>8368</v>
      </c>
      <c r="I6185" s="127">
        <v>108.4</v>
      </c>
      <c r="J6185" s="127">
        <v>542</v>
      </c>
    </row>
    <row r="6186" spans="1:10" hidden="1" x14ac:dyDescent="0.25">
      <c r="A6186" s="124" t="s">
        <v>8680</v>
      </c>
      <c r="B6186" s="124" t="s">
        <v>11736</v>
      </c>
      <c r="C6186" s="132">
        <f t="shared" si="25"/>
        <v>7035.333333333333</v>
      </c>
      <c r="D6186" s="125">
        <f t="shared" si="28"/>
        <v>0</v>
      </c>
      <c r="E6186" s="124" t="s">
        <v>8367</v>
      </c>
      <c r="F6186" s="126">
        <v>3</v>
      </c>
      <c r="G6186" s="128">
        <v>25327.200000000001</v>
      </c>
      <c r="H6186" s="124" t="s">
        <v>8368</v>
      </c>
      <c r="I6186" s="127">
        <v>528.20000000000005</v>
      </c>
      <c r="J6186" s="128">
        <v>2641</v>
      </c>
    </row>
    <row r="6187" spans="1:10" hidden="1" x14ac:dyDescent="0.25">
      <c r="A6187" s="124" t="s">
        <v>8681</v>
      </c>
      <c r="B6187" s="124" t="s">
        <v>11736</v>
      </c>
      <c r="C6187" s="132">
        <f t="shared" si="25"/>
        <v>397.5</v>
      </c>
      <c r="D6187" s="125">
        <f t="shared" si="28"/>
        <v>0</v>
      </c>
      <c r="E6187" s="124" t="s">
        <v>8367</v>
      </c>
      <c r="F6187" s="126">
        <v>4</v>
      </c>
      <c r="G6187" s="128">
        <v>1908</v>
      </c>
      <c r="H6187" s="124" t="s">
        <v>8368</v>
      </c>
      <c r="I6187" s="127">
        <v>191.6</v>
      </c>
      <c r="J6187" s="127">
        <v>958</v>
      </c>
    </row>
    <row r="6188" spans="1:10" hidden="1" x14ac:dyDescent="0.25">
      <c r="A6188" s="124" t="s">
        <v>8682</v>
      </c>
      <c r="B6188" s="124" t="s">
        <v>11736</v>
      </c>
      <c r="C6188" s="132">
        <f t="shared" si="25"/>
        <v>135.5</v>
      </c>
      <c r="D6188" s="125">
        <f t="shared" si="28"/>
        <v>0</v>
      </c>
      <c r="E6188" s="124" t="s">
        <v>8367</v>
      </c>
      <c r="F6188" s="126">
        <v>4</v>
      </c>
      <c r="G6188" s="127">
        <v>650.4</v>
      </c>
      <c r="H6188" s="124" t="s">
        <v>8368</v>
      </c>
      <c r="I6188" s="127">
        <v>233.3</v>
      </c>
      <c r="J6188" s="128">
        <v>1166.5</v>
      </c>
    </row>
    <row r="6189" spans="1:10" hidden="1" x14ac:dyDescent="0.25">
      <c r="A6189" s="124" t="s">
        <v>8683</v>
      </c>
      <c r="B6189" s="124" t="s">
        <v>11736</v>
      </c>
      <c r="C6189" s="132">
        <f t="shared" si="25"/>
        <v>440.16666666666669</v>
      </c>
      <c r="D6189" s="125">
        <f t="shared" si="28"/>
        <v>0</v>
      </c>
      <c r="E6189" s="124" t="s">
        <v>8367</v>
      </c>
      <c r="F6189" s="126">
        <v>6</v>
      </c>
      <c r="G6189" s="128">
        <v>3169.2</v>
      </c>
      <c r="H6189" s="124" t="s">
        <v>8368</v>
      </c>
      <c r="I6189" s="127">
        <v>34.6</v>
      </c>
      <c r="J6189" s="127">
        <v>173</v>
      </c>
    </row>
    <row r="6190" spans="1:10" hidden="1" x14ac:dyDescent="0.25">
      <c r="A6190" s="124" t="s">
        <v>8684</v>
      </c>
      <c r="B6190" s="124" t="s">
        <v>11736</v>
      </c>
      <c r="C6190" s="132">
        <f t="shared" si="25"/>
        <v>159.66666666666666</v>
      </c>
      <c r="D6190" s="125">
        <f t="shared" si="28"/>
        <v>0</v>
      </c>
      <c r="E6190" s="124" t="s">
        <v>8367</v>
      </c>
      <c r="F6190" s="126">
        <v>6</v>
      </c>
      <c r="G6190" s="128">
        <v>1149.5999999999999</v>
      </c>
      <c r="H6190" s="124" t="s">
        <v>8368</v>
      </c>
      <c r="I6190" s="127">
        <v>75.2</v>
      </c>
      <c r="J6190" s="127">
        <v>376</v>
      </c>
    </row>
    <row r="6191" spans="1:10" hidden="1" x14ac:dyDescent="0.25">
      <c r="A6191" s="124" t="s">
        <v>8685</v>
      </c>
      <c r="B6191" s="124" t="s">
        <v>11736</v>
      </c>
      <c r="C6191" s="132">
        <f t="shared" si="25"/>
        <v>145.8125</v>
      </c>
      <c r="D6191" s="125">
        <f t="shared" si="28"/>
        <v>0</v>
      </c>
      <c r="E6191" s="124" t="s">
        <v>8367</v>
      </c>
      <c r="F6191" s="126">
        <v>8</v>
      </c>
      <c r="G6191" s="128">
        <v>1399.8</v>
      </c>
      <c r="H6191" s="124" t="s">
        <v>8368</v>
      </c>
      <c r="I6191" s="127">
        <v>41</v>
      </c>
      <c r="J6191" s="127">
        <v>205</v>
      </c>
    </row>
    <row r="6192" spans="1:10" hidden="1" x14ac:dyDescent="0.25">
      <c r="A6192" s="124" t="s">
        <v>8686</v>
      </c>
      <c r="B6192" s="124" t="s">
        <v>11736</v>
      </c>
      <c r="C6192" s="132">
        <f t="shared" si="25"/>
        <v>86.5</v>
      </c>
      <c r="D6192" s="125">
        <f t="shared" si="28"/>
        <v>0</v>
      </c>
      <c r="E6192" s="124" t="s">
        <v>8367</v>
      </c>
      <c r="F6192" s="126">
        <v>2</v>
      </c>
      <c r="G6192" s="127">
        <v>207.6</v>
      </c>
      <c r="H6192" s="124" t="s">
        <v>8368</v>
      </c>
      <c r="I6192" s="127">
        <v>97</v>
      </c>
      <c r="J6192" s="127">
        <v>485</v>
      </c>
    </row>
    <row r="6193" spans="1:10" hidden="1" x14ac:dyDescent="0.25">
      <c r="A6193" s="124" t="s">
        <v>8687</v>
      </c>
      <c r="B6193" s="124" t="s">
        <v>11736</v>
      </c>
      <c r="C6193" s="132">
        <f t="shared" si="25"/>
        <v>94</v>
      </c>
      <c r="D6193" s="125">
        <f t="shared" si="28"/>
        <v>0</v>
      </c>
      <c r="E6193" s="124" t="s">
        <v>8367</v>
      </c>
      <c r="F6193" s="126">
        <v>4</v>
      </c>
      <c r="G6193" s="127">
        <v>451.2</v>
      </c>
      <c r="H6193" s="124" t="s">
        <v>8368</v>
      </c>
      <c r="I6193" s="127">
        <v>78.2</v>
      </c>
      <c r="J6193" s="127">
        <v>391</v>
      </c>
    </row>
    <row r="6194" spans="1:10" hidden="1" x14ac:dyDescent="0.25">
      <c r="A6194" s="124" t="s">
        <v>8688</v>
      </c>
      <c r="B6194" s="124" t="s">
        <v>11736</v>
      </c>
      <c r="C6194" s="132">
        <f t="shared" si="25"/>
        <v>205</v>
      </c>
      <c r="D6194" s="125">
        <f t="shared" si="28"/>
        <v>0</v>
      </c>
      <c r="E6194" s="124" t="s">
        <v>8367</v>
      </c>
      <c r="F6194" s="126">
        <v>1</v>
      </c>
      <c r="G6194" s="127">
        <v>246</v>
      </c>
      <c r="H6194" s="124" t="s">
        <v>8368</v>
      </c>
      <c r="I6194" s="127">
        <v>50.6</v>
      </c>
      <c r="J6194" s="127">
        <v>253</v>
      </c>
    </row>
    <row r="6195" spans="1:10" hidden="1" x14ac:dyDescent="0.25">
      <c r="A6195" s="124" t="s">
        <v>8689</v>
      </c>
      <c r="B6195" s="124" t="s">
        <v>11736</v>
      </c>
      <c r="C6195" s="132">
        <f t="shared" si="25"/>
        <v>161.66666666666666</v>
      </c>
      <c r="D6195" s="125">
        <f t="shared" si="28"/>
        <v>0</v>
      </c>
      <c r="E6195" s="124" t="s">
        <v>8367</v>
      </c>
      <c r="F6195" s="126">
        <v>3</v>
      </c>
      <c r="G6195" s="127">
        <v>582</v>
      </c>
      <c r="H6195" s="124" t="s">
        <v>8368</v>
      </c>
      <c r="I6195" s="127">
        <v>179.4</v>
      </c>
      <c r="J6195" s="127">
        <v>897</v>
      </c>
    </row>
    <row r="6196" spans="1:10" hidden="1" x14ac:dyDescent="0.25">
      <c r="A6196" s="124" t="s">
        <v>8690</v>
      </c>
      <c r="B6196" s="124" t="s">
        <v>11736</v>
      </c>
      <c r="C6196" s="132">
        <f t="shared" si="25"/>
        <v>130.33333333333334</v>
      </c>
      <c r="D6196" s="125">
        <f t="shared" si="28"/>
        <v>0</v>
      </c>
      <c r="E6196" s="124" t="s">
        <v>8367</v>
      </c>
      <c r="F6196" s="126">
        <v>3</v>
      </c>
      <c r="G6196" s="127">
        <v>469.2</v>
      </c>
      <c r="H6196" s="124" t="s">
        <v>8368</v>
      </c>
      <c r="I6196" s="127">
        <v>31.8</v>
      </c>
      <c r="J6196" s="127">
        <v>159</v>
      </c>
    </row>
    <row r="6197" spans="1:10" hidden="1" x14ac:dyDescent="0.25">
      <c r="A6197" s="124" t="s">
        <v>8691</v>
      </c>
      <c r="B6197" s="124" t="s">
        <v>11736</v>
      </c>
      <c r="C6197" s="132">
        <f t="shared" si="25"/>
        <v>50.6</v>
      </c>
      <c r="D6197" s="125">
        <f t="shared" si="28"/>
        <v>0</v>
      </c>
      <c r="E6197" s="124" t="s">
        <v>8367</v>
      </c>
      <c r="F6197" s="126">
        <v>5</v>
      </c>
      <c r="G6197" s="127">
        <v>303.60000000000002</v>
      </c>
      <c r="H6197" s="124" t="s">
        <v>8368</v>
      </c>
      <c r="I6197" s="127">
        <v>28.8</v>
      </c>
      <c r="J6197" s="127">
        <v>144</v>
      </c>
    </row>
    <row r="6198" spans="1:10" hidden="1" x14ac:dyDescent="0.25">
      <c r="A6198" s="124" t="s">
        <v>8692</v>
      </c>
      <c r="B6198" s="124" t="s">
        <v>11736</v>
      </c>
      <c r="C6198" s="132">
        <f t="shared" si="25"/>
        <v>448.5</v>
      </c>
      <c r="D6198" s="125">
        <f t="shared" si="28"/>
        <v>0</v>
      </c>
      <c r="E6198" s="124" t="s">
        <v>8367</v>
      </c>
      <c r="F6198" s="126">
        <v>2</v>
      </c>
      <c r="G6198" s="128">
        <v>1076.4000000000001</v>
      </c>
      <c r="H6198" s="124" t="s">
        <v>8368</v>
      </c>
      <c r="I6198" s="127">
        <v>28.8</v>
      </c>
      <c r="J6198" s="127">
        <v>144</v>
      </c>
    </row>
    <row r="6199" spans="1:10" hidden="1" x14ac:dyDescent="0.25">
      <c r="A6199" s="124" t="s">
        <v>8693</v>
      </c>
      <c r="B6199" s="124" t="s">
        <v>11736</v>
      </c>
      <c r="C6199" s="132">
        <f t="shared" si="25"/>
        <v>39.75</v>
      </c>
      <c r="D6199" s="125">
        <f>COUNTIF(A526:A6198,A6199)</f>
        <v>0</v>
      </c>
      <c r="E6199" s="124" t="s">
        <v>8367</v>
      </c>
      <c r="F6199" s="126">
        <v>4</v>
      </c>
      <c r="G6199" s="127">
        <v>190.8</v>
      </c>
      <c r="H6199" s="124" t="s">
        <v>8368</v>
      </c>
      <c r="I6199" s="127">
        <v>28.8</v>
      </c>
      <c r="J6199" s="127">
        <v>144</v>
      </c>
    </row>
    <row r="6200" spans="1:10" hidden="1" x14ac:dyDescent="0.25">
      <c r="A6200" s="124" t="s">
        <v>8694</v>
      </c>
      <c r="B6200" s="124" t="s">
        <v>11736</v>
      </c>
      <c r="C6200" s="132">
        <f t="shared" ref="C6200:C6263" si="29">J6197/F6200</f>
        <v>14.4</v>
      </c>
      <c r="D6200" s="125">
        <f>COUNTIF(A527:A6199,A6200)</f>
        <v>0</v>
      </c>
      <c r="E6200" s="124" t="s">
        <v>8367</v>
      </c>
      <c r="F6200" s="126">
        <v>10</v>
      </c>
      <c r="G6200" s="127">
        <v>172.8</v>
      </c>
      <c r="H6200" s="124" t="s">
        <v>8368</v>
      </c>
      <c r="I6200" s="127">
        <v>286.11</v>
      </c>
      <c r="J6200" s="128">
        <v>1430.57</v>
      </c>
    </row>
    <row r="6201" spans="1:10" hidden="1" x14ac:dyDescent="0.25">
      <c r="A6201" s="124" t="s">
        <v>8695</v>
      </c>
      <c r="B6201" s="124" t="s">
        <v>11736</v>
      </c>
      <c r="C6201" s="132">
        <f t="shared" si="29"/>
        <v>14.4</v>
      </c>
      <c r="D6201" s="125">
        <f>COUNTIF(A528:A6200,A6201)</f>
        <v>0</v>
      </c>
      <c r="E6201" s="124" t="s">
        <v>8367</v>
      </c>
      <c r="F6201" s="126">
        <v>10</v>
      </c>
      <c r="G6201" s="127">
        <v>172.8</v>
      </c>
      <c r="H6201" s="124" t="s">
        <v>8368</v>
      </c>
      <c r="I6201" s="127">
        <v>204.4</v>
      </c>
      <c r="J6201" s="128">
        <v>1022</v>
      </c>
    </row>
    <row r="6202" spans="1:10" hidden="1" x14ac:dyDescent="0.25">
      <c r="A6202" s="124" t="s">
        <v>8696</v>
      </c>
      <c r="B6202" s="124" t="s">
        <v>11736</v>
      </c>
      <c r="C6202" s="132">
        <f t="shared" si="29"/>
        <v>14.4</v>
      </c>
      <c r="D6202" s="125">
        <f>COUNTIF(A529:A6201,A6202)</f>
        <v>0</v>
      </c>
      <c r="E6202" s="124" t="s">
        <v>8367</v>
      </c>
      <c r="F6202" s="126">
        <v>10</v>
      </c>
      <c r="G6202" s="127">
        <v>172.8</v>
      </c>
      <c r="H6202" s="124" t="s">
        <v>8368</v>
      </c>
      <c r="I6202" s="128">
        <v>13852.6</v>
      </c>
      <c r="J6202" s="128">
        <v>69263</v>
      </c>
    </row>
    <row r="6203" spans="1:10" hidden="1" x14ac:dyDescent="0.25">
      <c r="A6203" s="124" t="s">
        <v>8697</v>
      </c>
      <c r="B6203" s="124" t="s">
        <v>11736</v>
      </c>
      <c r="C6203" s="132">
        <f t="shared" si="29"/>
        <v>476.85666666666663</v>
      </c>
      <c r="D6203" s="125">
        <f>COUNTIF(A530:A6202,A6203)</f>
        <v>0</v>
      </c>
      <c r="E6203" s="124" t="s">
        <v>8367</v>
      </c>
      <c r="F6203" s="126">
        <v>3</v>
      </c>
      <c r="G6203" s="128">
        <v>1716.68</v>
      </c>
      <c r="H6203" s="124" t="s">
        <v>8368</v>
      </c>
      <c r="I6203" s="128">
        <v>13236.6</v>
      </c>
      <c r="J6203" s="128">
        <v>66183</v>
      </c>
    </row>
    <row r="6204" spans="1:10" hidden="1" x14ac:dyDescent="0.25">
      <c r="A6204" s="124" t="s">
        <v>8698</v>
      </c>
      <c r="B6204" s="124" t="s">
        <v>11736</v>
      </c>
      <c r="C6204" s="132">
        <f t="shared" si="29"/>
        <v>340.66666666666669</v>
      </c>
      <c r="D6204" s="125">
        <f t="shared" ref="D6204:D6217" si="30">COUNTIF(A532:A6203,A6204)</f>
        <v>0</v>
      </c>
      <c r="E6204" s="124" t="s">
        <v>8367</v>
      </c>
      <c r="F6204" s="126">
        <v>3</v>
      </c>
      <c r="G6204" s="128">
        <v>1226.4000000000001</v>
      </c>
      <c r="H6204" s="124" t="s">
        <v>8368</v>
      </c>
      <c r="I6204" s="128">
        <v>1697</v>
      </c>
      <c r="J6204" s="128">
        <v>8485</v>
      </c>
    </row>
    <row r="6205" spans="1:10" hidden="1" x14ac:dyDescent="0.25">
      <c r="A6205" s="124" t="s">
        <v>8699</v>
      </c>
      <c r="B6205" s="124" t="s">
        <v>11736</v>
      </c>
      <c r="C6205" s="132">
        <f t="shared" si="29"/>
        <v>1539.1777777777777</v>
      </c>
      <c r="D6205" s="125">
        <f t="shared" si="30"/>
        <v>0</v>
      </c>
      <c r="E6205" s="124" t="s">
        <v>8367</v>
      </c>
      <c r="F6205" s="126">
        <v>45</v>
      </c>
      <c r="G6205" s="128">
        <v>83115.600000000006</v>
      </c>
      <c r="H6205" s="124" t="s">
        <v>8368</v>
      </c>
      <c r="I6205" s="128">
        <v>12371.6</v>
      </c>
      <c r="J6205" s="128">
        <v>61858</v>
      </c>
    </row>
    <row r="6206" spans="1:10" hidden="1" x14ac:dyDescent="0.25">
      <c r="A6206" s="124" t="s">
        <v>8700</v>
      </c>
      <c r="B6206" s="124" t="s">
        <v>11736</v>
      </c>
      <c r="C6206" s="132">
        <f t="shared" si="29"/>
        <v>1654.575</v>
      </c>
      <c r="D6206" s="125">
        <f t="shared" si="30"/>
        <v>0</v>
      </c>
      <c r="E6206" s="124" t="s">
        <v>8367</v>
      </c>
      <c r="F6206" s="126">
        <v>40</v>
      </c>
      <c r="G6206" s="128">
        <v>79419.600000000006</v>
      </c>
      <c r="H6206" s="124" t="s">
        <v>8368</v>
      </c>
      <c r="I6206" s="128">
        <v>7127.4</v>
      </c>
      <c r="J6206" s="128">
        <v>35637</v>
      </c>
    </row>
    <row r="6207" spans="1:10" hidden="1" x14ac:dyDescent="0.25">
      <c r="A6207" s="124" t="s">
        <v>8701</v>
      </c>
      <c r="B6207" s="124" t="s">
        <v>11736</v>
      </c>
      <c r="C6207" s="132">
        <f t="shared" si="29"/>
        <v>42.424999999999997</v>
      </c>
      <c r="D6207" s="125">
        <f t="shared" si="30"/>
        <v>0</v>
      </c>
      <c r="E6207" s="124" t="s">
        <v>8367</v>
      </c>
      <c r="F6207" s="126">
        <v>200</v>
      </c>
      <c r="G6207" s="128">
        <v>10182</v>
      </c>
      <c r="H6207" s="124" t="s">
        <v>8368</v>
      </c>
      <c r="I6207" s="127">
        <v>271.5</v>
      </c>
      <c r="J6207" s="128">
        <v>1357.5</v>
      </c>
    </row>
    <row r="6208" spans="1:10" hidden="1" x14ac:dyDescent="0.25">
      <c r="A6208" s="124" t="s">
        <v>8702</v>
      </c>
      <c r="B6208" s="124" t="s">
        <v>11736</v>
      </c>
      <c r="C6208" s="132">
        <f t="shared" si="29"/>
        <v>2945.6190476190477</v>
      </c>
      <c r="D6208" s="125">
        <f t="shared" si="30"/>
        <v>0</v>
      </c>
      <c r="E6208" s="124" t="s">
        <v>8367</v>
      </c>
      <c r="F6208" s="126">
        <v>21</v>
      </c>
      <c r="G6208" s="128">
        <v>74229.600000000006</v>
      </c>
      <c r="H6208" s="124" t="s">
        <v>8368</v>
      </c>
      <c r="I6208" s="128">
        <v>3248.6</v>
      </c>
      <c r="J6208" s="128">
        <v>16243</v>
      </c>
    </row>
    <row r="6209" spans="1:10" hidden="1" x14ac:dyDescent="0.25">
      <c r="A6209" s="124" t="s">
        <v>8703</v>
      </c>
      <c r="B6209" s="124" t="s">
        <v>11736</v>
      </c>
      <c r="C6209" s="132">
        <f t="shared" si="29"/>
        <v>11879</v>
      </c>
      <c r="D6209" s="125">
        <f t="shared" si="30"/>
        <v>0</v>
      </c>
      <c r="E6209" s="124" t="s">
        <v>8367</v>
      </c>
      <c r="F6209" s="126">
        <v>3</v>
      </c>
      <c r="G6209" s="128">
        <v>42764.4</v>
      </c>
      <c r="H6209" s="124" t="s">
        <v>8368</v>
      </c>
      <c r="I6209" s="128">
        <v>130112.6</v>
      </c>
      <c r="J6209" s="128">
        <v>650563</v>
      </c>
    </row>
    <row r="6210" spans="1:10" hidden="1" x14ac:dyDescent="0.25">
      <c r="A6210" s="124" t="s">
        <v>8704</v>
      </c>
      <c r="B6210" s="124" t="s">
        <v>11736</v>
      </c>
      <c r="C6210" s="132">
        <f t="shared" si="29"/>
        <v>33.9375</v>
      </c>
      <c r="D6210" s="125">
        <f t="shared" si="30"/>
        <v>0</v>
      </c>
      <c r="E6210" s="124" t="s">
        <v>8367</v>
      </c>
      <c r="F6210" s="126">
        <v>40</v>
      </c>
      <c r="G6210" s="128">
        <v>1629</v>
      </c>
      <c r="H6210" s="124" t="s">
        <v>8368</v>
      </c>
      <c r="I6210" s="128">
        <v>3615.6</v>
      </c>
      <c r="J6210" s="128">
        <v>18078</v>
      </c>
    </row>
    <row r="6211" spans="1:10" hidden="1" x14ac:dyDescent="0.25">
      <c r="A6211" s="124" t="s">
        <v>8705</v>
      </c>
      <c r="B6211" s="124" t="s">
        <v>11736</v>
      </c>
      <c r="C6211" s="132">
        <f t="shared" si="29"/>
        <v>2707.1666666666665</v>
      </c>
      <c r="D6211" s="125">
        <f t="shared" si="30"/>
        <v>0</v>
      </c>
      <c r="E6211" s="124" t="s">
        <v>8367</v>
      </c>
      <c r="F6211" s="126">
        <v>6</v>
      </c>
      <c r="G6211" s="128">
        <v>19491.599999999999</v>
      </c>
      <c r="H6211" s="124" t="s">
        <v>8368</v>
      </c>
      <c r="I6211" s="128">
        <v>2995.8</v>
      </c>
      <c r="J6211" s="128">
        <v>14979</v>
      </c>
    </row>
    <row r="6212" spans="1:10" hidden="1" x14ac:dyDescent="0.25">
      <c r="A6212" s="124" t="s">
        <v>8706</v>
      </c>
      <c r="B6212" s="124" t="s">
        <v>11736</v>
      </c>
      <c r="C6212" s="132">
        <f t="shared" si="29"/>
        <v>130112.6</v>
      </c>
      <c r="D6212" s="125">
        <f t="shared" si="30"/>
        <v>0</v>
      </c>
      <c r="E6212" s="124" t="s">
        <v>8367</v>
      </c>
      <c r="F6212" s="126">
        <v>5</v>
      </c>
      <c r="G6212" s="128">
        <v>780675.6</v>
      </c>
      <c r="H6212" s="124" t="s">
        <v>8368</v>
      </c>
      <c r="I6212" s="127">
        <v>671.4</v>
      </c>
      <c r="J6212" s="128">
        <v>3357</v>
      </c>
    </row>
    <row r="6213" spans="1:10" hidden="1" x14ac:dyDescent="0.25">
      <c r="A6213" s="124" t="s">
        <v>8707</v>
      </c>
      <c r="B6213" s="124" t="s">
        <v>11736</v>
      </c>
      <c r="C6213" s="132">
        <f t="shared" si="29"/>
        <v>9039</v>
      </c>
      <c r="D6213" s="125">
        <f t="shared" si="30"/>
        <v>0</v>
      </c>
      <c r="E6213" s="124" t="s">
        <v>8367</v>
      </c>
      <c r="F6213" s="126">
        <v>2</v>
      </c>
      <c r="G6213" s="128">
        <v>21693.599999999999</v>
      </c>
      <c r="H6213" s="124" t="s">
        <v>8368</v>
      </c>
      <c r="I6213" s="127">
        <v>537.20000000000005</v>
      </c>
      <c r="J6213" s="128">
        <v>2686</v>
      </c>
    </row>
    <row r="6214" spans="1:10" hidden="1" x14ac:dyDescent="0.25">
      <c r="A6214" s="124" t="s">
        <v>8708</v>
      </c>
      <c r="B6214" s="124" t="s">
        <v>11736</v>
      </c>
      <c r="C6214" s="132">
        <f t="shared" si="29"/>
        <v>7489.5</v>
      </c>
      <c r="D6214" s="125">
        <f t="shared" si="30"/>
        <v>0</v>
      </c>
      <c r="E6214" s="124" t="s">
        <v>8367</v>
      </c>
      <c r="F6214" s="126">
        <v>2</v>
      </c>
      <c r="G6214" s="128">
        <v>17974.8</v>
      </c>
      <c r="H6214" s="124" t="s">
        <v>8368</v>
      </c>
      <c r="I6214" s="128">
        <v>32479.759999999998</v>
      </c>
      <c r="J6214" s="128">
        <v>162398.79999999999</v>
      </c>
    </row>
    <row r="6215" spans="1:10" hidden="1" x14ac:dyDescent="0.25">
      <c r="A6215" s="124" t="s">
        <v>8709</v>
      </c>
      <c r="B6215" s="124" t="s">
        <v>11736</v>
      </c>
      <c r="C6215" s="132">
        <f t="shared" si="29"/>
        <v>1678.5</v>
      </c>
      <c r="D6215" s="125">
        <f t="shared" si="30"/>
        <v>0</v>
      </c>
      <c r="E6215" s="124" t="s">
        <v>8367</v>
      </c>
      <c r="F6215" s="126">
        <v>2</v>
      </c>
      <c r="G6215" s="128">
        <v>4028.4</v>
      </c>
      <c r="H6215" s="124" t="s">
        <v>8368</v>
      </c>
      <c r="I6215" s="128">
        <v>8084</v>
      </c>
      <c r="J6215" s="128">
        <v>40420</v>
      </c>
    </row>
    <row r="6216" spans="1:10" hidden="1" x14ac:dyDescent="0.25">
      <c r="A6216" s="124" t="s">
        <v>8710</v>
      </c>
      <c r="B6216" s="124" t="s">
        <v>11736</v>
      </c>
      <c r="C6216" s="132">
        <f t="shared" si="29"/>
        <v>1343</v>
      </c>
      <c r="D6216" s="125">
        <f t="shared" si="30"/>
        <v>0</v>
      </c>
      <c r="E6216" s="124" t="s">
        <v>8367</v>
      </c>
      <c r="F6216" s="126">
        <v>2</v>
      </c>
      <c r="G6216" s="128">
        <v>3223.2</v>
      </c>
      <c r="H6216" s="124" t="s">
        <v>8368</v>
      </c>
      <c r="I6216" s="128">
        <v>35000</v>
      </c>
      <c r="J6216" s="128">
        <v>175000</v>
      </c>
    </row>
    <row r="6217" spans="1:10" hidden="1" x14ac:dyDescent="0.25">
      <c r="A6217" s="124" t="s">
        <v>8711</v>
      </c>
      <c r="B6217" s="124" t="s">
        <v>11736</v>
      </c>
      <c r="C6217" s="132">
        <f t="shared" si="29"/>
        <v>64.959519999999998</v>
      </c>
      <c r="D6217" s="125">
        <f t="shared" si="30"/>
        <v>0</v>
      </c>
      <c r="E6217" s="124" t="s">
        <v>8367</v>
      </c>
      <c r="F6217" s="129">
        <v>2500</v>
      </c>
      <c r="G6217" s="128">
        <v>194878.56</v>
      </c>
      <c r="H6217" s="124" t="s">
        <v>8368</v>
      </c>
      <c r="I6217" s="128">
        <v>137500</v>
      </c>
      <c r="J6217" s="128">
        <v>687500</v>
      </c>
    </row>
    <row r="6218" spans="1:10" hidden="1" x14ac:dyDescent="0.25">
      <c r="A6218" s="124" t="s">
        <v>8712</v>
      </c>
      <c r="B6218" s="124" t="s">
        <v>11736</v>
      </c>
      <c r="C6218" s="132">
        <f t="shared" si="29"/>
        <v>470</v>
      </c>
      <c r="D6218" s="125">
        <f>COUNTIF(A554:A6217,A6218)</f>
        <v>0</v>
      </c>
      <c r="E6218" s="124" t="s">
        <v>1</v>
      </c>
      <c r="F6218" s="126">
        <v>86</v>
      </c>
      <c r="G6218" s="128">
        <v>48504</v>
      </c>
      <c r="H6218" s="124" t="s">
        <v>8368</v>
      </c>
      <c r="I6218" s="128">
        <v>62500</v>
      </c>
      <c r="J6218" s="128">
        <v>312500</v>
      </c>
    </row>
    <row r="6219" spans="1:10" hidden="1" x14ac:dyDescent="0.25">
      <c r="A6219" s="124" t="s">
        <v>8713</v>
      </c>
      <c r="B6219" s="124" t="s">
        <v>11736</v>
      </c>
      <c r="C6219" s="132">
        <f t="shared" si="29"/>
        <v>140</v>
      </c>
      <c r="D6219" s="125">
        <f>COUNTIF(A555:A6218,A6219)</f>
        <v>0</v>
      </c>
      <c r="E6219" s="124" t="s">
        <v>8367</v>
      </c>
      <c r="F6219" s="129">
        <v>1250</v>
      </c>
      <c r="G6219" s="128">
        <v>210000</v>
      </c>
      <c r="H6219" s="124" t="s">
        <v>8368</v>
      </c>
      <c r="I6219" s="128">
        <v>72500</v>
      </c>
      <c r="J6219" s="128">
        <v>362500</v>
      </c>
    </row>
    <row r="6220" spans="1:10" hidden="1" x14ac:dyDescent="0.25">
      <c r="A6220" s="124" t="s">
        <v>8714</v>
      </c>
      <c r="B6220" s="124" t="s">
        <v>11736</v>
      </c>
      <c r="C6220" s="132">
        <f t="shared" si="29"/>
        <v>550</v>
      </c>
      <c r="D6220" s="125">
        <f>COUNTIF(A556:A6219,A6220)</f>
        <v>0</v>
      </c>
      <c r="E6220" s="124" t="s">
        <v>8367</v>
      </c>
      <c r="F6220" s="129">
        <v>1250</v>
      </c>
      <c r="G6220" s="128">
        <v>825000</v>
      </c>
      <c r="H6220" s="124" t="s">
        <v>8368</v>
      </c>
      <c r="I6220" s="128">
        <v>165941.32999999999</v>
      </c>
      <c r="J6220" s="128">
        <v>829706.67</v>
      </c>
    </row>
    <row r="6221" spans="1:10" hidden="1" x14ac:dyDescent="0.25">
      <c r="A6221" s="124" t="s">
        <v>8715</v>
      </c>
      <c r="B6221" s="124" t="s">
        <v>11736</v>
      </c>
      <c r="C6221" s="132">
        <f t="shared" si="29"/>
        <v>250</v>
      </c>
      <c r="D6221" s="125">
        <f>COUNTIF(A557:A6220,A6221)</f>
        <v>0</v>
      </c>
      <c r="E6221" s="124" t="s">
        <v>8367</v>
      </c>
      <c r="F6221" s="129">
        <v>1250</v>
      </c>
      <c r="G6221" s="128">
        <v>375000</v>
      </c>
      <c r="H6221" s="124" t="s">
        <v>8368</v>
      </c>
      <c r="I6221" s="128">
        <v>4333.33</v>
      </c>
      <c r="J6221" s="128">
        <v>21666.67</v>
      </c>
    </row>
    <row r="6222" spans="1:10" hidden="1" x14ac:dyDescent="0.25">
      <c r="A6222" s="124" t="s">
        <v>8716</v>
      </c>
      <c r="B6222" s="124" t="s">
        <v>11736</v>
      </c>
      <c r="C6222" s="132">
        <f t="shared" si="29"/>
        <v>290</v>
      </c>
      <c r="D6222" s="125">
        <f>COUNTIF(A558:A6221,A6222)</f>
        <v>0</v>
      </c>
      <c r="E6222" s="124" t="s">
        <v>8367</v>
      </c>
      <c r="F6222" s="129">
        <v>1250</v>
      </c>
      <c r="G6222" s="128">
        <v>435000</v>
      </c>
      <c r="H6222" s="124" t="s">
        <v>8368</v>
      </c>
      <c r="I6222" s="127">
        <v>754.6</v>
      </c>
      <c r="J6222" s="128">
        <v>3773</v>
      </c>
    </row>
    <row r="6223" spans="1:10" hidden="1" x14ac:dyDescent="0.25">
      <c r="A6223" s="124" t="s">
        <v>809</v>
      </c>
      <c r="B6223" s="124" t="s">
        <v>11736</v>
      </c>
      <c r="C6223" s="132">
        <f t="shared" si="29"/>
        <v>8826.6667021276608</v>
      </c>
      <c r="D6223" s="125">
        <f>COUNTIF(A592:A6222,A6223)</f>
        <v>0</v>
      </c>
      <c r="E6223" s="124" t="s">
        <v>8367</v>
      </c>
      <c r="F6223" s="126">
        <v>94</v>
      </c>
      <c r="G6223" s="128">
        <v>995648</v>
      </c>
      <c r="H6223" s="124" t="s">
        <v>8368</v>
      </c>
      <c r="I6223" s="128">
        <v>1116764.83</v>
      </c>
      <c r="J6223" s="128">
        <v>5583824.1699999999</v>
      </c>
    </row>
    <row r="6224" spans="1:10" hidden="1" x14ac:dyDescent="0.25">
      <c r="A6224" s="124" t="s">
        <v>8717</v>
      </c>
      <c r="B6224" s="124" t="s">
        <v>11736</v>
      </c>
      <c r="C6224" s="132">
        <f t="shared" si="29"/>
        <v>21666.67</v>
      </c>
      <c r="D6224" s="125">
        <f>COUNTIF(A602:A6223,A6224)</f>
        <v>0</v>
      </c>
      <c r="E6224" s="124" t="s">
        <v>8367</v>
      </c>
      <c r="F6224" s="126">
        <v>1</v>
      </c>
      <c r="G6224" s="128">
        <v>26000</v>
      </c>
      <c r="H6224" s="124" t="s">
        <v>8368</v>
      </c>
      <c r="I6224" s="128">
        <v>1007</v>
      </c>
      <c r="J6224" s="128">
        <v>5035</v>
      </c>
    </row>
    <row r="6225" spans="1:10" hidden="1" x14ac:dyDescent="0.25">
      <c r="A6225" s="124" t="s">
        <v>8718</v>
      </c>
      <c r="B6225" s="124" t="s">
        <v>11736</v>
      </c>
      <c r="C6225" s="132">
        <f t="shared" si="29"/>
        <v>1257.6666666666667</v>
      </c>
      <c r="D6225" s="125">
        <f>COUNTIF(A604:A6224,A6225)</f>
        <v>0</v>
      </c>
      <c r="E6225" s="124" t="s">
        <v>8367</v>
      </c>
      <c r="F6225" s="126">
        <v>3</v>
      </c>
      <c r="G6225" s="128">
        <v>4527.6000000000004</v>
      </c>
      <c r="H6225" s="124" t="s">
        <v>8368</v>
      </c>
      <c r="I6225" s="127">
        <v>214.6</v>
      </c>
      <c r="J6225" s="128">
        <v>1073</v>
      </c>
    </row>
    <row r="6226" spans="1:10" hidden="1" x14ac:dyDescent="0.25">
      <c r="A6226" s="124" t="s">
        <v>8719</v>
      </c>
      <c r="B6226" s="124" t="s">
        <v>11736</v>
      </c>
      <c r="C6226" s="132">
        <f t="shared" si="29"/>
        <v>1621.3194454123113</v>
      </c>
      <c r="D6226" s="125">
        <f>COUNTIF(A605:A6225,A6226)</f>
        <v>0</v>
      </c>
      <c r="E6226" s="124" t="s">
        <v>8367</v>
      </c>
      <c r="F6226" s="129">
        <v>3444</v>
      </c>
      <c r="G6226" s="128">
        <v>6700589</v>
      </c>
      <c r="H6226" s="124" t="s">
        <v>8368</v>
      </c>
      <c r="I6226" s="127">
        <v>348.2</v>
      </c>
      <c r="J6226" s="128">
        <v>1741</v>
      </c>
    </row>
    <row r="6227" spans="1:10" hidden="1" x14ac:dyDescent="0.25">
      <c r="A6227" s="124" t="s">
        <v>8720</v>
      </c>
      <c r="B6227" s="124" t="s">
        <v>11736</v>
      </c>
      <c r="C6227" s="132">
        <f t="shared" si="29"/>
        <v>1258.75</v>
      </c>
      <c r="D6227" s="125">
        <f t="shared" ref="D6227:D6232" si="31">COUNTIF(A609:A6226,A6227)</f>
        <v>0</v>
      </c>
      <c r="E6227" s="124" t="s">
        <v>8367</v>
      </c>
      <c r="F6227" s="126">
        <v>4</v>
      </c>
      <c r="G6227" s="128">
        <v>6042</v>
      </c>
      <c r="H6227" s="124" t="s">
        <v>8368</v>
      </c>
      <c r="I6227" s="127">
        <v>465.6</v>
      </c>
      <c r="J6227" s="128">
        <v>2328</v>
      </c>
    </row>
    <row r="6228" spans="1:10" hidden="1" x14ac:dyDescent="0.25">
      <c r="A6228" s="124" t="s">
        <v>8721</v>
      </c>
      <c r="B6228" s="124" t="s">
        <v>11736</v>
      </c>
      <c r="C6228" s="132">
        <f t="shared" si="29"/>
        <v>1073</v>
      </c>
      <c r="D6228" s="125">
        <f t="shared" si="31"/>
        <v>0</v>
      </c>
      <c r="E6228" s="124" t="s">
        <v>8367</v>
      </c>
      <c r="F6228" s="126">
        <v>1</v>
      </c>
      <c r="G6228" s="128">
        <v>1287.5999999999999</v>
      </c>
      <c r="H6228" s="124" t="s">
        <v>8368</v>
      </c>
      <c r="I6228" s="127">
        <v>740.6</v>
      </c>
      <c r="J6228" s="128">
        <v>3703</v>
      </c>
    </row>
    <row r="6229" spans="1:10" hidden="1" x14ac:dyDescent="0.25">
      <c r="A6229" s="124" t="s">
        <v>8722</v>
      </c>
      <c r="B6229" s="124" t="s">
        <v>11736</v>
      </c>
      <c r="C6229" s="132">
        <f t="shared" si="29"/>
        <v>1741</v>
      </c>
      <c r="D6229" s="125">
        <f t="shared" si="31"/>
        <v>0</v>
      </c>
      <c r="E6229" s="124" t="s">
        <v>8367</v>
      </c>
      <c r="F6229" s="126">
        <v>1</v>
      </c>
      <c r="G6229" s="128">
        <v>2089.1999999999998</v>
      </c>
      <c r="H6229" s="124" t="s">
        <v>8368</v>
      </c>
      <c r="I6229" s="128">
        <v>8890</v>
      </c>
      <c r="J6229" s="128">
        <v>44450</v>
      </c>
    </row>
    <row r="6230" spans="1:10" hidden="1" x14ac:dyDescent="0.25">
      <c r="A6230" s="124" t="s">
        <v>8723</v>
      </c>
      <c r="B6230" s="124" t="s">
        <v>11736</v>
      </c>
      <c r="C6230" s="132">
        <f t="shared" si="29"/>
        <v>2328</v>
      </c>
      <c r="D6230" s="125">
        <f t="shared" si="31"/>
        <v>0</v>
      </c>
      <c r="E6230" s="124" t="s">
        <v>8367</v>
      </c>
      <c r="F6230" s="126">
        <v>1</v>
      </c>
      <c r="G6230" s="128">
        <v>2793.6</v>
      </c>
      <c r="H6230" s="124" t="s">
        <v>8368</v>
      </c>
      <c r="I6230" s="127">
        <v>38.6</v>
      </c>
      <c r="J6230" s="127">
        <v>193</v>
      </c>
    </row>
    <row r="6231" spans="1:10" hidden="1" x14ac:dyDescent="0.25">
      <c r="A6231" s="124" t="s">
        <v>8724</v>
      </c>
      <c r="B6231" s="124" t="s">
        <v>11736</v>
      </c>
      <c r="C6231" s="132">
        <f t="shared" si="29"/>
        <v>3703</v>
      </c>
      <c r="D6231" s="125">
        <f t="shared" si="31"/>
        <v>0</v>
      </c>
      <c r="E6231" s="124" t="s">
        <v>8367</v>
      </c>
      <c r="F6231" s="126">
        <v>1</v>
      </c>
      <c r="G6231" s="128">
        <v>4443.6000000000004</v>
      </c>
      <c r="H6231" s="124" t="s">
        <v>8368</v>
      </c>
      <c r="I6231" s="127">
        <v>263</v>
      </c>
      <c r="J6231" s="128">
        <v>1315</v>
      </c>
    </row>
    <row r="6232" spans="1:10" hidden="1" x14ac:dyDescent="0.25">
      <c r="A6232" s="124" t="s">
        <v>8725</v>
      </c>
      <c r="B6232" s="124" t="s">
        <v>11736</v>
      </c>
      <c r="C6232" s="132">
        <f t="shared" si="29"/>
        <v>4040.909090909091</v>
      </c>
      <c r="D6232" s="125">
        <f t="shared" si="31"/>
        <v>0</v>
      </c>
      <c r="E6232" s="124" t="s">
        <v>8367</v>
      </c>
      <c r="F6232" s="126">
        <v>11</v>
      </c>
      <c r="G6232" s="128">
        <v>53340</v>
      </c>
      <c r="H6232" s="124" t="s">
        <v>8368</v>
      </c>
      <c r="I6232" s="128">
        <v>1073.4000000000001</v>
      </c>
      <c r="J6232" s="128">
        <v>5367</v>
      </c>
    </row>
    <row r="6233" spans="1:10" hidden="1" x14ac:dyDescent="0.25">
      <c r="A6233" s="124" t="s">
        <v>8726</v>
      </c>
      <c r="B6233" s="124" t="s">
        <v>11736</v>
      </c>
      <c r="C6233" s="132">
        <f t="shared" si="29"/>
        <v>193</v>
      </c>
      <c r="D6233" s="125">
        <f t="shared" ref="D6233:D6238" si="32">COUNTIF(A617:A6232,A6233)</f>
        <v>0</v>
      </c>
      <c r="E6233" s="124" t="s">
        <v>8367</v>
      </c>
      <c r="F6233" s="126">
        <v>1</v>
      </c>
      <c r="G6233" s="127">
        <v>231.6</v>
      </c>
      <c r="H6233" s="124" t="s">
        <v>8368</v>
      </c>
      <c r="I6233" s="128">
        <v>6740</v>
      </c>
      <c r="J6233" s="128">
        <v>33700</v>
      </c>
    </row>
    <row r="6234" spans="1:10" hidden="1" x14ac:dyDescent="0.25">
      <c r="A6234" s="124" t="s">
        <v>8727</v>
      </c>
      <c r="B6234" s="124" t="s">
        <v>11736</v>
      </c>
      <c r="C6234" s="132">
        <f t="shared" si="29"/>
        <v>219.16666666666666</v>
      </c>
      <c r="D6234" s="125">
        <f t="shared" si="32"/>
        <v>0</v>
      </c>
      <c r="E6234" s="124" t="s">
        <v>8367</v>
      </c>
      <c r="F6234" s="126">
        <v>6</v>
      </c>
      <c r="G6234" s="128">
        <v>1578</v>
      </c>
      <c r="H6234" s="124" t="s">
        <v>8368</v>
      </c>
      <c r="I6234" s="127">
        <v>32</v>
      </c>
      <c r="J6234" s="127">
        <v>160</v>
      </c>
    </row>
    <row r="6235" spans="1:10" hidden="1" x14ac:dyDescent="0.25">
      <c r="A6235" s="124" t="s">
        <v>8728</v>
      </c>
      <c r="B6235" s="124" t="s">
        <v>11736</v>
      </c>
      <c r="C6235" s="132">
        <f t="shared" si="29"/>
        <v>5367</v>
      </c>
      <c r="D6235" s="125">
        <f t="shared" si="32"/>
        <v>0</v>
      </c>
      <c r="E6235" s="124" t="s">
        <v>8632</v>
      </c>
      <c r="F6235" s="126">
        <v>1</v>
      </c>
      <c r="G6235" s="128">
        <v>6440.4</v>
      </c>
      <c r="H6235" s="124" t="s">
        <v>8368</v>
      </c>
      <c r="I6235" s="127">
        <v>30.4</v>
      </c>
      <c r="J6235" s="127">
        <v>152</v>
      </c>
    </row>
    <row r="6236" spans="1:10" hidden="1" x14ac:dyDescent="0.25">
      <c r="A6236" s="124" t="s">
        <v>8729</v>
      </c>
      <c r="B6236" s="124" t="s">
        <v>11736</v>
      </c>
      <c r="C6236" s="132">
        <f t="shared" si="29"/>
        <v>4493.333333333333</v>
      </c>
      <c r="D6236" s="125">
        <f t="shared" si="32"/>
        <v>0</v>
      </c>
      <c r="E6236" s="124" t="s">
        <v>1</v>
      </c>
      <c r="F6236" s="126">
        <v>7.5</v>
      </c>
      <c r="G6236" s="128">
        <v>40440</v>
      </c>
      <c r="H6236" s="124" t="s">
        <v>8368</v>
      </c>
      <c r="I6236" s="128">
        <v>1637.6</v>
      </c>
      <c r="J6236" s="128">
        <v>8188</v>
      </c>
    </row>
    <row r="6237" spans="1:10" hidden="1" x14ac:dyDescent="0.25">
      <c r="A6237" s="124" t="s">
        <v>8730</v>
      </c>
      <c r="B6237" s="124" t="s">
        <v>11736</v>
      </c>
      <c r="C6237" s="132">
        <f t="shared" si="29"/>
        <v>80</v>
      </c>
      <c r="D6237" s="125">
        <f t="shared" si="32"/>
        <v>0</v>
      </c>
      <c r="E6237" s="124" t="s">
        <v>8367</v>
      </c>
      <c r="F6237" s="126">
        <v>2</v>
      </c>
      <c r="G6237" s="127">
        <v>192</v>
      </c>
      <c r="H6237" s="124" t="s">
        <v>8368</v>
      </c>
      <c r="I6237" s="127">
        <v>680</v>
      </c>
      <c r="J6237" s="128">
        <v>3400</v>
      </c>
    </row>
    <row r="6238" spans="1:10" hidden="1" x14ac:dyDescent="0.25">
      <c r="A6238" s="124" t="s">
        <v>8731</v>
      </c>
      <c r="B6238" s="124" t="s">
        <v>11736</v>
      </c>
      <c r="C6238" s="132">
        <f t="shared" si="29"/>
        <v>76</v>
      </c>
      <c r="D6238" s="125">
        <f t="shared" si="32"/>
        <v>0</v>
      </c>
      <c r="E6238" s="124" t="s">
        <v>8367</v>
      </c>
      <c r="F6238" s="126">
        <v>2</v>
      </c>
      <c r="G6238" s="127">
        <v>182.4</v>
      </c>
      <c r="H6238" s="124" t="s">
        <v>8368</v>
      </c>
      <c r="I6238" s="128">
        <v>1019.2</v>
      </c>
      <c r="J6238" s="128">
        <v>5096</v>
      </c>
    </row>
    <row r="6239" spans="1:10" hidden="1" x14ac:dyDescent="0.25">
      <c r="A6239" s="124" t="s">
        <v>8732</v>
      </c>
      <c r="B6239" s="124" t="s">
        <v>11736</v>
      </c>
      <c r="C6239" s="132">
        <f t="shared" si="29"/>
        <v>8188</v>
      </c>
      <c r="D6239" s="125">
        <f>COUNTIF(A630:A6238,A6239)</f>
        <v>0</v>
      </c>
      <c r="E6239" s="124" t="s">
        <v>8367</v>
      </c>
      <c r="F6239" s="126">
        <v>1</v>
      </c>
      <c r="G6239" s="128">
        <v>9825.6</v>
      </c>
      <c r="H6239" s="124" t="s">
        <v>8368</v>
      </c>
      <c r="I6239" s="127">
        <v>177.32</v>
      </c>
      <c r="J6239" s="127">
        <v>886.6</v>
      </c>
    </row>
    <row r="6240" spans="1:10" hidden="1" x14ac:dyDescent="0.25">
      <c r="A6240" s="124" t="s">
        <v>8733</v>
      </c>
      <c r="B6240" s="124" t="s">
        <v>11736</v>
      </c>
      <c r="C6240" s="132">
        <f t="shared" si="29"/>
        <v>850</v>
      </c>
      <c r="D6240" s="125">
        <f>COUNTIF(A631:A6239,A6240)</f>
        <v>0</v>
      </c>
      <c r="E6240" s="124" t="s">
        <v>8367</v>
      </c>
      <c r="F6240" s="126">
        <v>4</v>
      </c>
      <c r="G6240" s="128">
        <v>4080</v>
      </c>
      <c r="H6240" s="124" t="s">
        <v>8368</v>
      </c>
      <c r="I6240" s="127">
        <v>80</v>
      </c>
      <c r="J6240" s="127">
        <v>400</v>
      </c>
    </row>
    <row r="6241" spans="1:10" hidden="1" x14ac:dyDescent="0.25">
      <c r="A6241" s="124" t="s">
        <v>8734</v>
      </c>
      <c r="B6241" s="124" t="s">
        <v>11736</v>
      </c>
      <c r="C6241" s="132">
        <f t="shared" si="29"/>
        <v>5096</v>
      </c>
      <c r="D6241" s="125">
        <f>COUNTIF(A633:A6240,A6241)</f>
        <v>0</v>
      </c>
      <c r="E6241" s="124" t="s">
        <v>8367</v>
      </c>
      <c r="F6241" s="126">
        <v>1</v>
      </c>
      <c r="G6241" s="128">
        <v>6115.2</v>
      </c>
      <c r="H6241" s="124" t="s">
        <v>8368</v>
      </c>
      <c r="I6241" s="127">
        <v>306.45999999999998</v>
      </c>
      <c r="J6241" s="128">
        <v>1532.29</v>
      </c>
    </row>
    <row r="6242" spans="1:10" hidden="1" x14ac:dyDescent="0.25">
      <c r="A6242" s="124" t="s">
        <v>8735</v>
      </c>
      <c r="B6242" s="124" t="s">
        <v>11736</v>
      </c>
      <c r="C6242" s="132">
        <f t="shared" si="29"/>
        <v>443.3</v>
      </c>
      <c r="D6242" s="125">
        <f>COUNTIF(A634:A6241,A6242)</f>
        <v>0</v>
      </c>
      <c r="E6242" s="124" t="s">
        <v>8367</v>
      </c>
      <c r="F6242" s="126">
        <v>2</v>
      </c>
      <c r="G6242" s="128">
        <v>1063.92</v>
      </c>
      <c r="H6242" s="124" t="s">
        <v>8368</v>
      </c>
      <c r="I6242" s="127">
        <v>348.33</v>
      </c>
      <c r="J6242" s="128">
        <v>1741.67</v>
      </c>
    </row>
    <row r="6243" spans="1:10" hidden="1" x14ac:dyDescent="0.25">
      <c r="A6243" s="124" t="s">
        <v>8736</v>
      </c>
      <c r="B6243" s="124" t="s">
        <v>11736</v>
      </c>
      <c r="C6243" s="132">
        <f t="shared" si="29"/>
        <v>20</v>
      </c>
      <c r="D6243" s="125">
        <f>COUNTIF(A637:A6242,A6243)</f>
        <v>0</v>
      </c>
      <c r="E6243" s="124" t="s">
        <v>8367</v>
      </c>
      <c r="F6243" s="126">
        <v>20</v>
      </c>
      <c r="G6243" s="127">
        <v>480</v>
      </c>
      <c r="H6243" s="124" t="s">
        <v>8368</v>
      </c>
      <c r="I6243" s="128">
        <v>1122.5999999999999</v>
      </c>
      <c r="J6243" s="128">
        <v>5613</v>
      </c>
    </row>
    <row r="6244" spans="1:10" hidden="1" x14ac:dyDescent="0.25">
      <c r="A6244" s="124" t="s">
        <v>8737</v>
      </c>
      <c r="B6244" s="124" t="s">
        <v>11736</v>
      </c>
      <c r="C6244" s="132">
        <f t="shared" si="29"/>
        <v>0.46418963950318082</v>
      </c>
      <c r="D6244" s="125">
        <f>COUNTIF(A639:A6243,A6244)</f>
        <v>0</v>
      </c>
      <c r="E6244" s="124" t="s">
        <v>8367</v>
      </c>
      <c r="F6244" s="129">
        <v>3301</v>
      </c>
      <c r="G6244" s="128">
        <v>1838.75</v>
      </c>
      <c r="H6244" s="124" t="s">
        <v>8368</v>
      </c>
      <c r="I6244" s="127">
        <v>189.35</v>
      </c>
      <c r="J6244" s="127">
        <v>946.75</v>
      </c>
    </row>
    <row r="6245" spans="1:10" hidden="1" x14ac:dyDescent="0.25">
      <c r="A6245" s="124" t="s">
        <v>8738</v>
      </c>
      <c r="B6245" s="124" t="s">
        <v>11736</v>
      </c>
      <c r="C6245" s="132">
        <f t="shared" si="29"/>
        <v>348.334</v>
      </c>
      <c r="D6245" s="125">
        <f>COUNTIF(A656:A6244,A6245)</f>
        <v>0</v>
      </c>
      <c r="E6245" s="124" t="s">
        <v>8367</v>
      </c>
      <c r="F6245" s="126">
        <v>5</v>
      </c>
      <c r="G6245" s="128">
        <v>2090</v>
      </c>
      <c r="H6245" s="124" t="s">
        <v>8368</v>
      </c>
      <c r="I6245" s="127">
        <v>105.3</v>
      </c>
      <c r="J6245" s="127">
        <v>526.5</v>
      </c>
    </row>
    <row r="6246" spans="1:10" hidden="1" x14ac:dyDescent="0.25">
      <c r="A6246" s="124" t="s">
        <v>8739</v>
      </c>
      <c r="B6246" s="124" t="s">
        <v>11736</v>
      </c>
      <c r="C6246" s="132">
        <f t="shared" si="29"/>
        <v>701.625</v>
      </c>
      <c r="D6246" s="125">
        <f>COUNTIF(A658:A6245,A6246)</f>
        <v>0</v>
      </c>
      <c r="E6246" s="124" t="s">
        <v>8367</v>
      </c>
      <c r="F6246" s="126">
        <v>8</v>
      </c>
      <c r="G6246" s="128">
        <v>6735.6</v>
      </c>
      <c r="H6246" s="124" t="s">
        <v>8368</v>
      </c>
      <c r="I6246" s="128">
        <v>1667</v>
      </c>
      <c r="J6246" s="128">
        <v>8335</v>
      </c>
    </row>
    <row r="6247" spans="1:10" hidden="1" x14ac:dyDescent="0.25">
      <c r="A6247" s="124" t="s">
        <v>8740</v>
      </c>
      <c r="B6247" s="124" t="s">
        <v>11736</v>
      </c>
      <c r="C6247" s="132">
        <f t="shared" si="29"/>
        <v>946.75</v>
      </c>
      <c r="D6247" s="125">
        <f>COUNTIF(A659:A6246,A6247)</f>
        <v>0</v>
      </c>
      <c r="E6247" s="124" t="s">
        <v>8367</v>
      </c>
      <c r="F6247" s="126">
        <v>1</v>
      </c>
      <c r="G6247" s="128">
        <v>1136.0999999999999</v>
      </c>
      <c r="H6247" s="124" t="s">
        <v>8368</v>
      </c>
      <c r="I6247" s="127">
        <v>285.39999999999998</v>
      </c>
      <c r="J6247" s="128">
        <v>1427</v>
      </c>
    </row>
    <row r="6248" spans="1:10" hidden="1" x14ac:dyDescent="0.25">
      <c r="A6248" s="124" t="s">
        <v>8741</v>
      </c>
      <c r="B6248" s="124" t="s">
        <v>11736</v>
      </c>
      <c r="C6248" s="132">
        <f t="shared" si="29"/>
        <v>526.5</v>
      </c>
      <c r="D6248" s="125">
        <f>COUNTIF(A661:A6247,A6248)</f>
        <v>0</v>
      </c>
      <c r="E6248" s="124" t="s">
        <v>8367</v>
      </c>
      <c r="F6248" s="126">
        <v>1</v>
      </c>
      <c r="G6248" s="127">
        <v>631.79999999999995</v>
      </c>
      <c r="H6248" s="124" t="s">
        <v>8368</v>
      </c>
      <c r="I6248" s="128">
        <v>17381.57</v>
      </c>
      <c r="J6248" s="128">
        <v>86907.86</v>
      </c>
    </row>
    <row r="6249" spans="1:10" hidden="1" x14ac:dyDescent="0.25">
      <c r="A6249" s="124" t="s">
        <v>8742</v>
      </c>
      <c r="B6249" s="124" t="s">
        <v>11736</v>
      </c>
      <c r="C6249" s="132">
        <f t="shared" si="29"/>
        <v>1389.1666666666667</v>
      </c>
      <c r="D6249" s="125">
        <f>COUNTIF(A663:A6248,A6249)</f>
        <v>0</v>
      </c>
      <c r="E6249" s="124" t="s">
        <v>8367</v>
      </c>
      <c r="F6249" s="126">
        <v>6</v>
      </c>
      <c r="G6249" s="128">
        <v>10002</v>
      </c>
      <c r="H6249" s="124" t="s">
        <v>8368</v>
      </c>
      <c r="I6249" s="127">
        <v>169</v>
      </c>
      <c r="J6249" s="127">
        <v>845</v>
      </c>
    </row>
    <row r="6250" spans="1:10" hidden="1" x14ac:dyDescent="0.25">
      <c r="A6250" s="124" t="s">
        <v>8743</v>
      </c>
      <c r="B6250" s="124" t="s">
        <v>11736</v>
      </c>
      <c r="C6250" s="132">
        <f t="shared" si="29"/>
        <v>713.5</v>
      </c>
      <c r="D6250" s="125">
        <f>COUNTIF(A664:A6249,A6250)</f>
        <v>0</v>
      </c>
      <c r="E6250" s="124" t="s">
        <v>8367</v>
      </c>
      <c r="F6250" s="126">
        <v>2</v>
      </c>
      <c r="G6250" s="128">
        <v>1712.4</v>
      </c>
      <c r="H6250" s="124" t="s">
        <v>8368</v>
      </c>
      <c r="I6250" s="127">
        <v>35.799999999999997</v>
      </c>
      <c r="J6250" s="127">
        <v>179</v>
      </c>
    </row>
    <row r="6251" spans="1:10" hidden="1" x14ac:dyDescent="0.25">
      <c r="A6251" s="124" t="s">
        <v>8744</v>
      </c>
      <c r="B6251" s="124" t="s">
        <v>11736</v>
      </c>
      <c r="C6251" s="132">
        <f t="shared" si="29"/>
        <v>9656.4288888888896</v>
      </c>
      <c r="D6251" s="125">
        <f>COUNTIF(A665:A6250,A6251)</f>
        <v>0</v>
      </c>
      <c r="E6251" s="124" t="s">
        <v>8367</v>
      </c>
      <c r="F6251" s="126">
        <v>9</v>
      </c>
      <c r="G6251" s="128">
        <v>104289.43</v>
      </c>
      <c r="H6251" s="124" t="s">
        <v>8368</v>
      </c>
      <c r="I6251" s="127">
        <v>412</v>
      </c>
      <c r="J6251" s="128">
        <v>2060</v>
      </c>
    </row>
    <row r="6252" spans="1:10" hidden="1" x14ac:dyDescent="0.25">
      <c r="A6252" s="124" t="s">
        <v>8745</v>
      </c>
      <c r="B6252" s="124" t="s">
        <v>11736</v>
      </c>
      <c r="C6252" s="132">
        <f t="shared" si="29"/>
        <v>422.5</v>
      </c>
      <c r="D6252" s="125">
        <f>COUNTIF(A666:A6251,A6252)</f>
        <v>0</v>
      </c>
      <c r="E6252" s="124" t="s">
        <v>8367</v>
      </c>
      <c r="F6252" s="126">
        <v>2</v>
      </c>
      <c r="G6252" s="128">
        <v>1014</v>
      </c>
      <c r="H6252" s="124" t="s">
        <v>8368</v>
      </c>
      <c r="I6252" s="127">
        <v>388.6</v>
      </c>
      <c r="J6252" s="128">
        <v>1943</v>
      </c>
    </row>
    <row r="6253" spans="1:10" hidden="1" x14ac:dyDescent="0.25">
      <c r="A6253" s="124" t="s">
        <v>8746</v>
      </c>
      <c r="B6253" s="124" t="s">
        <v>11736</v>
      </c>
      <c r="C6253" s="132">
        <f t="shared" si="29"/>
        <v>0.59666666666666668</v>
      </c>
      <c r="D6253" s="125">
        <f>COUNTIF(A668:A6252,A6253)</f>
        <v>0</v>
      </c>
      <c r="E6253" s="124" t="s">
        <v>8367</v>
      </c>
      <c r="F6253" s="126">
        <v>300</v>
      </c>
      <c r="G6253" s="127">
        <v>214.8</v>
      </c>
      <c r="H6253" s="124" t="s">
        <v>8368</v>
      </c>
      <c r="I6253" s="127">
        <v>371.4</v>
      </c>
      <c r="J6253" s="128">
        <v>1857</v>
      </c>
    </row>
    <row r="6254" spans="1:10" hidden="1" x14ac:dyDescent="0.25">
      <c r="A6254" s="124" t="s">
        <v>8747</v>
      </c>
      <c r="B6254" s="124" t="s">
        <v>11736</v>
      </c>
      <c r="C6254" s="132">
        <f t="shared" si="29"/>
        <v>257.5</v>
      </c>
      <c r="D6254" s="125">
        <f>COUNTIF(A669:A6253,A6254)</f>
        <v>0</v>
      </c>
      <c r="E6254" s="124" t="s">
        <v>8367</v>
      </c>
      <c r="F6254" s="126">
        <v>8</v>
      </c>
      <c r="G6254" s="128">
        <v>2472</v>
      </c>
      <c r="H6254" s="124" t="s">
        <v>8368</v>
      </c>
      <c r="I6254" s="127">
        <v>339.4</v>
      </c>
      <c r="J6254" s="128">
        <v>1697</v>
      </c>
    </row>
    <row r="6255" spans="1:10" hidden="1" x14ac:dyDescent="0.25">
      <c r="A6255" s="124" t="s">
        <v>8748</v>
      </c>
      <c r="B6255" s="124" t="s">
        <v>11736</v>
      </c>
      <c r="C6255" s="132">
        <f t="shared" si="29"/>
        <v>1943</v>
      </c>
      <c r="D6255" s="125">
        <f t="shared" ref="D6255:D6260" si="33">COUNTIF(A671:A6254,A6255)</f>
        <v>0</v>
      </c>
      <c r="E6255" s="124" t="s">
        <v>8367</v>
      </c>
      <c r="F6255" s="126">
        <v>1</v>
      </c>
      <c r="G6255" s="128">
        <v>2331.6</v>
      </c>
      <c r="H6255" s="124" t="s">
        <v>8368</v>
      </c>
      <c r="I6255" s="127">
        <v>197.4</v>
      </c>
      <c r="J6255" s="127">
        <v>987</v>
      </c>
    </row>
    <row r="6256" spans="1:10" hidden="1" x14ac:dyDescent="0.25">
      <c r="A6256" s="124" t="s">
        <v>8749</v>
      </c>
      <c r="B6256" s="124" t="s">
        <v>11736</v>
      </c>
      <c r="C6256" s="132">
        <f t="shared" si="29"/>
        <v>464.25</v>
      </c>
      <c r="D6256" s="125">
        <f t="shared" si="33"/>
        <v>0</v>
      </c>
      <c r="E6256" s="124" t="s">
        <v>8367</v>
      </c>
      <c r="F6256" s="126">
        <v>4</v>
      </c>
      <c r="G6256" s="128">
        <v>2228.4</v>
      </c>
      <c r="H6256" s="124" t="s">
        <v>8368</v>
      </c>
      <c r="I6256" s="127">
        <v>92.4</v>
      </c>
      <c r="J6256" s="127">
        <v>462</v>
      </c>
    </row>
    <row r="6257" spans="1:10" hidden="1" x14ac:dyDescent="0.25">
      <c r="A6257" s="124" t="s">
        <v>8750</v>
      </c>
      <c r="B6257" s="124" t="s">
        <v>11736</v>
      </c>
      <c r="C6257" s="132">
        <f t="shared" si="29"/>
        <v>424.25</v>
      </c>
      <c r="D6257" s="125">
        <f t="shared" si="33"/>
        <v>0</v>
      </c>
      <c r="E6257" s="124" t="s">
        <v>8367</v>
      </c>
      <c r="F6257" s="126">
        <v>4</v>
      </c>
      <c r="G6257" s="128">
        <v>2036.4</v>
      </c>
      <c r="H6257" s="124" t="s">
        <v>8368</v>
      </c>
      <c r="I6257" s="127">
        <v>14.32</v>
      </c>
      <c r="J6257" s="127">
        <v>71.599999999999994</v>
      </c>
    </row>
    <row r="6258" spans="1:10" hidden="1" x14ac:dyDescent="0.25">
      <c r="A6258" s="124" t="s">
        <v>8751</v>
      </c>
      <c r="B6258" s="124" t="s">
        <v>11736</v>
      </c>
      <c r="C6258" s="132">
        <f t="shared" si="29"/>
        <v>246.75</v>
      </c>
      <c r="D6258" s="125">
        <f t="shared" si="33"/>
        <v>0</v>
      </c>
      <c r="E6258" s="124" t="s">
        <v>8367</v>
      </c>
      <c r="F6258" s="126">
        <v>4</v>
      </c>
      <c r="G6258" s="128">
        <v>1184.4000000000001</v>
      </c>
      <c r="H6258" s="124" t="s">
        <v>8368</v>
      </c>
      <c r="I6258" s="128">
        <v>1848.4</v>
      </c>
      <c r="J6258" s="128">
        <v>9242</v>
      </c>
    </row>
    <row r="6259" spans="1:10" hidden="1" x14ac:dyDescent="0.25">
      <c r="A6259" s="124" t="s">
        <v>8752</v>
      </c>
      <c r="B6259" s="124" t="s">
        <v>11736</v>
      </c>
      <c r="C6259" s="132">
        <f t="shared" si="29"/>
        <v>0.46200000000000002</v>
      </c>
      <c r="D6259" s="125">
        <f t="shared" si="33"/>
        <v>0</v>
      </c>
      <c r="E6259" s="124" t="s">
        <v>8367</v>
      </c>
      <c r="F6259" s="129">
        <v>1000</v>
      </c>
      <c r="G6259" s="127">
        <v>554.4</v>
      </c>
      <c r="H6259" s="124" t="s">
        <v>8368</v>
      </c>
      <c r="I6259" s="128">
        <v>1039</v>
      </c>
      <c r="J6259" s="128">
        <v>5195</v>
      </c>
    </row>
    <row r="6260" spans="1:10" hidden="1" x14ac:dyDescent="0.25">
      <c r="A6260" s="124" t="s">
        <v>8753</v>
      </c>
      <c r="B6260" s="124" t="s">
        <v>11736</v>
      </c>
      <c r="C6260" s="132">
        <f t="shared" si="29"/>
        <v>71.599999999999994</v>
      </c>
      <c r="D6260" s="125">
        <f t="shared" si="33"/>
        <v>0</v>
      </c>
      <c r="E6260" s="124" t="s">
        <v>8367</v>
      </c>
      <c r="F6260" s="126">
        <v>1</v>
      </c>
      <c r="G6260" s="127">
        <v>85.92</v>
      </c>
      <c r="H6260" s="124" t="s">
        <v>8368</v>
      </c>
      <c r="I6260" s="127">
        <v>245.6</v>
      </c>
      <c r="J6260" s="128">
        <v>1228</v>
      </c>
    </row>
    <row r="6261" spans="1:10" hidden="1" x14ac:dyDescent="0.25">
      <c r="A6261" s="124" t="s">
        <v>8754</v>
      </c>
      <c r="B6261" s="124" t="s">
        <v>11736</v>
      </c>
      <c r="C6261" s="132">
        <f t="shared" si="29"/>
        <v>9242</v>
      </c>
      <c r="D6261" s="125">
        <f>COUNTIF(A679:A6260,A6261)</f>
        <v>0</v>
      </c>
      <c r="E6261" s="124" t="s">
        <v>8367</v>
      </c>
      <c r="F6261" s="126">
        <v>1</v>
      </c>
      <c r="G6261" s="128">
        <v>11090.4</v>
      </c>
      <c r="H6261" s="124" t="s">
        <v>8368</v>
      </c>
      <c r="I6261" s="127">
        <v>33.6</v>
      </c>
      <c r="J6261" s="127">
        <v>168</v>
      </c>
    </row>
    <row r="6262" spans="1:10" hidden="1" x14ac:dyDescent="0.25">
      <c r="A6262" s="124" t="s">
        <v>8755</v>
      </c>
      <c r="B6262" s="124" t="s">
        <v>11736</v>
      </c>
      <c r="C6262" s="132">
        <f t="shared" si="29"/>
        <v>865.83333333333337</v>
      </c>
      <c r="D6262" s="125">
        <f>COUNTIF(A680:A6261,A6262)</f>
        <v>0</v>
      </c>
      <c r="E6262" s="124" t="s">
        <v>8367</v>
      </c>
      <c r="F6262" s="126">
        <v>6</v>
      </c>
      <c r="G6262" s="128">
        <v>6234</v>
      </c>
      <c r="H6262" s="124" t="s">
        <v>8368</v>
      </c>
      <c r="I6262" s="127">
        <v>119.8</v>
      </c>
      <c r="J6262" s="127">
        <v>599</v>
      </c>
    </row>
    <row r="6263" spans="1:10" hidden="1" x14ac:dyDescent="0.25">
      <c r="A6263" s="124" t="s">
        <v>8756</v>
      </c>
      <c r="B6263" s="124" t="s">
        <v>11736</v>
      </c>
      <c r="C6263" s="132">
        <f t="shared" si="29"/>
        <v>1228</v>
      </c>
      <c r="D6263" s="125">
        <f>COUNTIF(A681:A6262,A6263)</f>
        <v>0</v>
      </c>
      <c r="E6263" s="124" t="s">
        <v>8367</v>
      </c>
      <c r="F6263" s="126">
        <v>1</v>
      </c>
      <c r="G6263" s="128">
        <v>1473.6</v>
      </c>
      <c r="H6263" s="124" t="s">
        <v>8368</v>
      </c>
      <c r="I6263" s="127">
        <v>357.6</v>
      </c>
      <c r="J6263" s="128">
        <v>1788</v>
      </c>
    </row>
    <row r="6264" spans="1:10" hidden="1" x14ac:dyDescent="0.25">
      <c r="A6264" s="124" t="s">
        <v>8757</v>
      </c>
      <c r="B6264" s="124" t="s">
        <v>11736</v>
      </c>
      <c r="C6264" s="132">
        <f t="shared" ref="C6264:C6327" si="34">J6261/F6264</f>
        <v>168</v>
      </c>
      <c r="D6264" s="125">
        <f>COUNTIF(A683:A6263,A6264)</f>
        <v>0</v>
      </c>
      <c r="E6264" s="124" t="s">
        <v>8367</v>
      </c>
      <c r="F6264" s="126">
        <v>1</v>
      </c>
      <c r="G6264" s="127">
        <v>201.6</v>
      </c>
      <c r="H6264" s="124" t="s">
        <v>8368</v>
      </c>
      <c r="I6264" s="128">
        <v>4183.6000000000004</v>
      </c>
      <c r="J6264" s="128">
        <v>20918</v>
      </c>
    </row>
    <row r="6265" spans="1:10" hidden="1" x14ac:dyDescent="0.25">
      <c r="A6265" s="124" t="s">
        <v>8758</v>
      </c>
      <c r="B6265" s="124" t="s">
        <v>11736</v>
      </c>
      <c r="C6265" s="132">
        <f t="shared" si="34"/>
        <v>599</v>
      </c>
      <c r="D6265" s="125">
        <f>COUNTIF(A684:A6264,A6265)</f>
        <v>0</v>
      </c>
      <c r="E6265" s="124" t="s">
        <v>8367</v>
      </c>
      <c r="F6265" s="126">
        <v>1</v>
      </c>
      <c r="G6265" s="127">
        <v>718.8</v>
      </c>
      <c r="H6265" s="124" t="s">
        <v>8368</v>
      </c>
      <c r="I6265" s="127">
        <v>715.4</v>
      </c>
      <c r="J6265" s="128">
        <v>3577</v>
      </c>
    </row>
    <row r="6266" spans="1:10" hidden="1" x14ac:dyDescent="0.25">
      <c r="A6266" s="124" t="s">
        <v>8759</v>
      </c>
      <c r="B6266" s="124" t="s">
        <v>11736</v>
      </c>
      <c r="C6266" s="132">
        <f t="shared" si="34"/>
        <v>894</v>
      </c>
      <c r="D6266" s="125">
        <f>COUNTIF(A686:A6265,A6266)</f>
        <v>0</v>
      </c>
      <c r="E6266" s="124" t="s">
        <v>8367</v>
      </c>
      <c r="F6266" s="126">
        <v>2</v>
      </c>
      <c r="G6266" s="128">
        <v>2145.6</v>
      </c>
      <c r="H6266" s="124" t="s">
        <v>8368</v>
      </c>
      <c r="I6266" s="128">
        <v>7295.8</v>
      </c>
      <c r="J6266" s="128">
        <v>36479</v>
      </c>
    </row>
    <row r="6267" spans="1:10" hidden="1" x14ac:dyDescent="0.25">
      <c r="A6267" s="124" t="s">
        <v>8760</v>
      </c>
      <c r="B6267" s="124" t="s">
        <v>11736</v>
      </c>
      <c r="C6267" s="132">
        <f t="shared" si="34"/>
        <v>20918</v>
      </c>
      <c r="D6267" s="125">
        <f>COUNTIF(A687:A6266,A6267)</f>
        <v>0</v>
      </c>
      <c r="E6267" s="124" t="s">
        <v>8367</v>
      </c>
      <c r="F6267" s="126">
        <v>1</v>
      </c>
      <c r="G6267" s="128">
        <v>25101.599999999999</v>
      </c>
      <c r="H6267" s="124" t="s">
        <v>8368</v>
      </c>
      <c r="I6267" s="127">
        <v>397.4</v>
      </c>
      <c r="J6267" s="128">
        <v>1987</v>
      </c>
    </row>
    <row r="6268" spans="1:10" hidden="1" x14ac:dyDescent="0.25">
      <c r="A6268" s="124" t="s">
        <v>8761</v>
      </c>
      <c r="B6268" s="124" t="s">
        <v>11736</v>
      </c>
      <c r="C6268" s="132">
        <f t="shared" si="34"/>
        <v>894.25</v>
      </c>
      <c r="D6268" s="125">
        <f>COUNTIF(A688:A6267,A6268)</f>
        <v>0</v>
      </c>
      <c r="E6268" s="124" t="s">
        <v>8367</v>
      </c>
      <c r="F6268" s="126">
        <v>4</v>
      </c>
      <c r="G6268" s="128">
        <v>4292.3999999999996</v>
      </c>
      <c r="H6268" s="124" t="s">
        <v>8368</v>
      </c>
      <c r="I6268" s="127">
        <v>609.20000000000005</v>
      </c>
      <c r="J6268" s="128">
        <v>3046</v>
      </c>
    </row>
    <row r="6269" spans="1:10" hidden="1" x14ac:dyDescent="0.25">
      <c r="A6269" s="124" t="s">
        <v>8762</v>
      </c>
      <c r="B6269" s="124" t="s">
        <v>11736</v>
      </c>
      <c r="C6269" s="132">
        <f t="shared" si="34"/>
        <v>36479</v>
      </c>
      <c r="D6269" s="125">
        <f>COUNTIF(A689:A6268,A6269)</f>
        <v>0</v>
      </c>
      <c r="E6269" s="124" t="s">
        <v>8367</v>
      </c>
      <c r="F6269" s="126">
        <v>1</v>
      </c>
      <c r="G6269" s="128">
        <v>43774.8</v>
      </c>
      <c r="H6269" s="124" t="s">
        <v>8368</v>
      </c>
      <c r="I6269" s="127">
        <v>547.4</v>
      </c>
      <c r="J6269" s="128">
        <v>2737</v>
      </c>
    </row>
    <row r="6270" spans="1:10" hidden="1" x14ac:dyDescent="0.25">
      <c r="A6270" s="124" t="s">
        <v>8763</v>
      </c>
      <c r="B6270" s="124" t="s">
        <v>11736</v>
      </c>
      <c r="C6270" s="132">
        <f t="shared" si="34"/>
        <v>1987</v>
      </c>
      <c r="D6270" s="125">
        <f>COUNTIF(A691:A6269,A6270)</f>
        <v>0</v>
      </c>
      <c r="E6270" s="124" t="s">
        <v>8367</v>
      </c>
      <c r="F6270" s="126">
        <v>1</v>
      </c>
      <c r="G6270" s="128">
        <v>2384.4</v>
      </c>
      <c r="H6270" s="124" t="s">
        <v>8368</v>
      </c>
      <c r="I6270" s="127">
        <v>451.4</v>
      </c>
      <c r="J6270" s="128">
        <v>2257</v>
      </c>
    </row>
    <row r="6271" spans="1:10" hidden="1" x14ac:dyDescent="0.25">
      <c r="A6271" s="124" t="s">
        <v>8764</v>
      </c>
      <c r="B6271" s="124" t="s">
        <v>11736</v>
      </c>
      <c r="C6271" s="132">
        <f t="shared" si="34"/>
        <v>3046</v>
      </c>
      <c r="D6271" s="125">
        <f>COUNTIF(A692:A6270,A6271)</f>
        <v>0</v>
      </c>
      <c r="E6271" s="124" t="s">
        <v>8367</v>
      </c>
      <c r="F6271" s="126">
        <v>1</v>
      </c>
      <c r="G6271" s="128">
        <v>3655.2</v>
      </c>
      <c r="H6271" s="124" t="s">
        <v>8368</v>
      </c>
      <c r="I6271" s="127">
        <v>152.63999999999999</v>
      </c>
      <c r="J6271" s="127">
        <v>763.2</v>
      </c>
    </row>
    <row r="6272" spans="1:10" hidden="1" x14ac:dyDescent="0.25">
      <c r="A6272" s="124" t="s">
        <v>8765</v>
      </c>
      <c r="B6272" s="124" t="s">
        <v>11736</v>
      </c>
      <c r="C6272" s="132">
        <f t="shared" si="34"/>
        <v>2737</v>
      </c>
      <c r="D6272" s="125">
        <f>COUNTIF(A694:A6271,A6272)</f>
        <v>0</v>
      </c>
      <c r="E6272" s="124" t="s">
        <v>8367</v>
      </c>
      <c r="F6272" s="126">
        <v>1</v>
      </c>
      <c r="G6272" s="128">
        <v>3284.4</v>
      </c>
      <c r="H6272" s="124" t="s">
        <v>8368</v>
      </c>
      <c r="I6272" s="128">
        <v>1082.2</v>
      </c>
      <c r="J6272" s="128">
        <v>5411</v>
      </c>
    </row>
    <row r="6273" spans="1:10" hidden="1" x14ac:dyDescent="0.25">
      <c r="A6273" s="124" t="s">
        <v>8766</v>
      </c>
      <c r="B6273" s="124" t="s">
        <v>11736</v>
      </c>
      <c r="C6273" s="132">
        <f t="shared" si="34"/>
        <v>2257</v>
      </c>
      <c r="D6273" s="125">
        <f>COUNTIF(A695:A6272,A6273)</f>
        <v>0</v>
      </c>
      <c r="E6273" s="124" t="s">
        <v>8367</v>
      </c>
      <c r="F6273" s="126">
        <v>1</v>
      </c>
      <c r="G6273" s="128">
        <v>2708.4</v>
      </c>
      <c r="H6273" s="124" t="s">
        <v>8368</v>
      </c>
      <c r="I6273" s="128">
        <v>1526.2</v>
      </c>
      <c r="J6273" s="128">
        <v>7631</v>
      </c>
    </row>
    <row r="6274" spans="1:10" hidden="1" x14ac:dyDescent="0.25">
      <c r="A6274" s="124" t="s">
        <v>8767</v>
      </c>
      <c r="B6274" s="124" t="s">
        <v>11736</v>
      </c>
      <c r="C6274" s="132">
        <f t="shared" si="34"/>
        <v>190.8</v>
      </c>
      <c r="D6274" s="125">
        <f>COUNTIF(A696:A6273,A6274)</f>
        <v>0</v>
      </c>
      <c r="E6274" s="124" t="s">
        <v>8367</v>
      </c>
      <c r="F6274" s="126">
        <v>4</v>
      </c>
      <c r="G6274" s="127">
        <v>915.84</v>
      </c>
      <c r="H6274" s="124" t="s">
        <v>8368</v>
      </c>
      <c r="I6274" s="127">
        <v>853.2</v>
      </c>
      <c r="J6274" s="128">
        <v>4266</v>
      </c>
    </row>
    <row r="6275" spans="1:10" hidden="1" x14ac:dyDescent="0.25">
      <c r="A6275" s="124" t="s">
        <v>8768</v>
      </c>
      <c r="B6275" s="124" t="s">
        <v>11736</v>
      </c>
      <c r="C6275" s="132">
        <f t="shared" si="34"/>
        <v>5411</v>
      </c>
      <c r="D6275" s="125">
        <f>COUNTIF(A699:A6274,A6275)</f>
        <v>0</v>
      </c>
      <c r="E6275" s="124" t="s">
        <v>8367</v>
      </c>
      <c r="F6275" s="126">
        <v>1</v>
      </c>
      <c r="G6275" s="128">
        <v>6493.2</v>
      </c>
      <c r="H6275" s="124" t="s">
        <v>8368</v>
      </c>
      <c r="I6275" s="127">
        <v>260</v>
      </c>
      <c r="J6275" s="128">
        <v>1300</v>
      </c>
    </row>
    <row r="6276" spans="1:10" hidden="1" x14ac:dyDescent="0.25">
      <c r="A6276" s="124" t="s">
        <v>8769</v>
      </c>
      <c r="B6276" s="124" t="s">
        <v>11736</v>
      </c>
      <c r="C6276" s="132">
        <f t="shared" si="34"/>
        <v>7631</v>
      </c>
      <c r="D6276" s="125">
        <f>COUNTIF(A700:A6275,A6276)</f>
        <v>0</v>
      </c>
      <c r="E6276" s="124" t="s">
        <v>8367</v>
      </c>
      <c r="F6276" s="126">
        <v>1</v>
      </c>
      <c r="G6276" s="128">
        <v>9157.2000000000007</v>
      </c>
      <c r="H6276" s="124" t="s">
        <v>8368</v>
      </c>
      <c r="I6276" s="128">
        <v>9057.4</v>
      </c>
      <c r="J6276" s="128">
        <v>45287</v>
      </c>
    </row>
    <row r="6277" spans="1:10" hidden="1" x14ac:dyDescent="0.25">
      <c r="A6277" s="124" t="s">
        <v>8770</v>
      </c>
      <c r="B6277" s="124" t="s">
        <v>11736</v>
      </c>
      <c r="C6277" s="132">
        <f t="shared" si="34"/>
        <v>4266</v>
      </c>
      <c r="D6277" s="125">
        <f>COUNTIF(A701:A6276,A6277)</f>
        <v>0</v>
      </c>
      <c r="E6277" s="124" t="s">
        <v>8367</v>
      </c>
      <c r="F6277" s="126">
        <v>1</v>
      </c>
      <c r="G6277" s="128">
        <v>5119.2</v>
      </c>
      <c r="H6277" s="124" t="s">
        <v>8368</v>
      </c>
      <c r="I6277" s="127">
        <v>122.17</v>
      </c>
      <c r="J6277" s="127">
        <v>610.83000000000004</v>
      </c>
    </row>
    <row r="6278" spans="1:10" hidden="1" x14ac:dyDescent="0.25">
      <c r="A6278" s="124" t="s">
        <v>8771</v>
      </c>
      <c r="B6278" s="124" t="s">
        <v>11736</v>
      </c>
      <c r="C6278" s="132">
        <f t="shared" si="34"/>
        <v>86.666666666666671</v>
      </c>
      <c r="D6278" s="125">
        <f>COUNTIF(A704:A6277,A6278)</f>
        <v>0</v>
      </c>
      <c r="E6278" s="124" t="s">
        <v>8367</v>
      </c>
      <c r="F6278" s="126">
        <v>15</v>
      </c>
      <c r="G6278" s="128">
        <v>1560</v>
      </c>
      <c r="H6278" s="124" t="s">
        <v>8368</v>
      </c>
      <c r="I6278" s="128">
        <v>24078</v>
      </c>
      <c r="J6278" s="128">
        <v>120390</v>
      </c>
    </row>
    <row r="6279" spans="1:10" hidden="1" x14ac:dyDescent="0.25">
      <c r="A6279" s="124" t="s">
        <v>8772</v>
      </c>
      <c r="B6279" s="124" t="s">
        <v>11736</v>
      </c>
      <c r="C6279" s="132">
        <f t="shared" si="34"/>
        <v>15095.666666666666</v>
      </c>
      <c r="D6279" s="125">
        <f>COUNTIF(A705:A6278,A6279)</f>
        <v>0</v>
      </c>
      <c r="E6279" s="124" t="s">
        <v>8367</v>
      </c>
      <c r="F6279" s="126">
        <v>3</v>
      </c>
      <c r="G6279" s="128">
        <v>54344.4</v>
      </c>
      <c r="H6279" s="124" t="s">
        <v>8368</v>
      </c>
      <c r="I6279" s="127">
        <v>55.6</v>
      </c>
      <c r="J6279" s="127">
        <v>278</v>
      </c>
    </row>
    <row r="6280" spans="1:10" hidden="1" x14ac:dyDescent="0.25">
      <c r="A6280" s="124" t="s">
        <v>8773</v>
      </c>
      <c r="B6280" s="124" t="s">
        <v>11736</v>
      </c>
      <c r="C6280" s="132">
        <f t="shared" si="34"/>
        <v>152.70750000000001</v>
      </c>
      <c r="D6280" s="125">
        <f>COUNTIF(A706:A6279,A6280)</f>
        <v>0</v>
      </c>
      <c r="E6280" s="124" t="s">
        <v>8367</v>
      </c>
      <c r="F6280" s="126">
        <v>4</v>
      </c>
      <c r="G6280" s="127">
        <v>733</v>
      </c>
      <c r="H6280" s="124" t="s">
        <v>8368</v>
      </c>
      <c r="I6280" s="127">
        <v>638.4</v>
      </c>
      <c r="J6280" s="128">
        <v>3192</v>
      </c>
    </row>
    <row r="6281" spans="1:10" hidden="1" x14ac:dyDescent="0.25">
      <c r="A6281" s="124" t="s">
        <v>8774</v>
      </c>
      <c r="B6281" s="124" t="s">
        <v>11736</v>
      </c>
      <c r="C6281" s="132">
        <f t="shared" si="34"/>
        <v>20065</v>
      </c>
      <c r="D6281" s="125">
        <f>COUNTIF(A714:A6280,A6281)</f>
        <v>0</v>
      </c>
      <c r="E6281" s="124" t="s">
        <v>8367</v>
      </c>
      <c r="F6281" s="126">
        <v>6</v>
      </c>
      <c r="G6281" s="128">
        <v>144468</v>
      </c>
      <c r="H6281" s="124" t="s">
        <v>8368</v>
      </c>
      <c r="I6281" s="128">
        <v>7720.4</v>
      </c>
      <c r="J6281" s="128">
        <v>38602</v>
      </c>
    </row>
    <row r="6282" spans="1:10" hidden="1" x14ac:dyDescent="0.25">
      <c r="A6282" s="124" t="s">
        <v>8775</v>
      </c>
      <c r="B6282" s="124" t="s">
        <v>11736</v>
      </c>
      <c r="C6282" s="132">
        <f t="shared" si="34"/>
        <v>139</v>
      </c>
      <c r="D6282" s="125">
        <f>COUNTIF(A723:A6281,A6282)</f>
        <v>0</v>
      </c>
      <c r="E6282" s="124" t="s">
        <v>8367</v>
      </c>
      <c r="F6282" s="126">
        <v>2</v>
      </c>
      <c r="G6282" s="127">
        <v>333.6</v>
      </c>
      <c r="H6282" s="124" t="s">
        <v>8368</v>
      </c>
      <c r="I6282" s="128">
        <v>1190</v>
      </c>
      <c r="J6282" s="128">
        <v>5950</v>
      </c>
    </row>
    <row r="6283" spans="1:10" hidden="1" x14ac:dyDescent="0.25">
      <c r="A6283" s="124" t="s">
        <v>8776</v>
      </c>
      <c r="B6283" s="124" t="s">
        <v>11736</v>
      </c>
      <c r="C6283" s="132">
        <f t="shared" si="34"/>
        <v>638.4</v>
      </c>
      <c r="D6283" s="125">
        <f>COUNTIF(A724:A6282,A6283)</f>
        <v>0</v>
      </c>
      <c r="E6283" s="124" t="s">
        <v>8367</v>
      </c>
      <c r="F6283" s="126">
        <v>5</v>
      </c>
      <c r="G6283" s="128">
        <v>3830.4</v>
      </c>
      <c r="H6283" s="124" t="s">
        <v>8368</v>
      </c>
      <c r="I6283" s="127">
        <v>950.96</v>
      </c>
      <c r="J6283" s="128">
        <v>4754.7700000000004</v>
      </c>
    </row>
    <row r="6284" spans="1:10" hidden="1" x14ac:dyDescent="0.25">
      <c r="A6284" s="124" t="s">
        <v>8777</v>
      </c>
      <c r="B6284" s="124" t="s">
        <v>11736</v>
      </c>
      <c r="C6284" s="132">
        <f t="shared" si="34"/>
        <v>38602</v>
      </c>
      <c r="D6284" s="125">
        <f>COUNTIF(A725:A6283,A6284)</f>
        <v>0</v>
      </c>
      <c r="E6284" s="124" t="s">
        <v>8367</v>
      </c>
      <c r="F6284" s="126">
        <v>1</v>
      </c>
      <c r="G6284" s="128">
        <v>46322.400000000001</v>
      </c>
      <c r="H6284" s="124" t="s">
        <v>8368</v>
      </c>
      <c r="I6284" s="127">
        <v>112</v>
      </c>
      <c r="J6284" s="127">
        <v>560</v>
      </c>
    </row>
    <row r="6285" spans="1:10" hidden="1" x14ac:dyDescent="0.25">
      <c r="A6285" s="124" t="s">
        <v>8778</v>
      </c>
      <c r="B6285" s="124" t="s">
        <v>11736</v>
      </c>
      <c r="C6285" s="132">
        <f t="shared" si="34"/>
        <v>5950</v>
      </c>
      <c r="D6285" s="125">
        <f>COUNTIF(A726:A6284,A6285)</f>
        <v>0</v>
      </c>
      <c r="E6285" s="124" t="s">
        <v>8367</v>
      </c>
      <c r="F6285" s="126">
        <v>1</v>
      </c>
      <c r="G6285" s="128">
        <v>7140</v>
      </c>
      <c r="H6285" s="124" t="s">
        <v>8368</v>
      </c>
      <c r="I6285" s="127">
        <v>360</v>
      </c>
      <c r="J6285" s="128">
        <v>1800</v>
      </c>
    </row>
    <row r="6286" spans="1:10" hidden="1" x14ac:dyDescent="0.25">
      <c r="A6286" s="124" t="s">
        <v>8779</v>
      </c>
      <c r="B6286" s="124" t="s">
        <v>11736</v>
      </c>
      <c r="C6286" s="132">
        <f t="shared" si="34"/>
        <v>950.95400000000006</v>
      </c>
      <c r="D6286" s="125">
        <f>COUNTIF(A727:A6285,A6286)</f>
        <v>0</v>
      </c>
      <c r="E6286" s="124" t="s">
        <v>1</v>
      </c>
      <c r="F6286" s="126">
        <v>5</v>
      </c>
      <c r="G6286" s="128">
        <v>5705.73</v>
      </c>
      <c r="H6286" s="124" t="s">
        <v>8368</v>
      </c>
      <c r="I6286" s="128">
        <v>1124.2</v>
      </c>
      <c r="J6286" s="128">
        <v>5621</v>
      </c>
    </row>
    <row r="6287" spans="1:10" hidden="1" x14ac:dyDescent="0.25">
      <c r="A6287" s="124" t="s">
        <v>8780</v>
      </c>
      <c r="B6287" s="124" t="s">
        <v>11736</v>
      </c>
      <c r="C6287" s="132">
        <f t="shared" si="34"/>
        <v>0.28000000000000003</v>
      </c>
      <c r="D6287" s="125">
        <f>COUNTIF(A729:A6286,A6287)</f>
        <v>0</v>
      </c>
      <c r="E6287" s="124" t="s">
        <v>8367</v>
      </c>
      <c r="F6287" s="129">
        <v>2000</v>
      </c>
      <c r="G6287" s="127">
        <v>672</v>
      </c>
      <c r="H6287" s="124" t="s">
        <v>8368</v>
      </c>
      <c r="I6287" s="128">
        <v>2313.4</v>
      </c>
      <c r="J6287" s="128">
        <v>11567</v>
      </c>
    </row>
    <row r="6288" spans="1:10" hidden="1" x14ac:dyDescent="0.25">
      <c r="A6288" s="124" t="s">
        <v>8781</v>
      </c>
      <c r="B6288" s="124" t="s">
        <v>11736</v>
      </c>
      <c r="C6288" s="132">
        <f t="shared" si="34"/>
        <v>0.36</v>
      </c>
      <c r="D6288" s="125">
        <f>COUNTIF(A730:A6287,A6288)</f>
        <v>0</v>
      </c>
      <c r="E6288" s="124" t="s">
        <v>8367</v>
      </c>
      <c r="F6288" s="129">
        <v>5000</v>
      </c>
      <c r="G6288" s="128">
        <v>2160</v>
      </c>
      <c r="H6288" s="124" t="s">
        <v>8368</v>
      </c>
      <c r="I6288" s="127">
        <v>255.6</v>
      </c>
      <c r="J6288" s="128">
        <v>1278</v>
      </c>
    </row>
    <row r="6289" spans="1:10" hidden="1" x14ac:dyDescent="0.25">
      <c r="A6289" s="124" t="s">
        <v>8782</v>
      </c>
      <c r="B6289" s="124" t="s">
        <v>11736</v>
      </c>
      <c r="C6289" s="132">
        <f t="shared" si="34"/>
        <v>19.449826989619378</v>
      </c>
      <c r="D6289" s="125">
        <f>COUNTIF(A731:A6288,A6289)</f>
        <v>0</v>
      </c>
      <c r="E6289" s="124" t="s">
        <v>8367</v>
      </c>
      <c r="F6289" s="126">
        <v>289</v>
      </c>
      <c r="G6289" s="128">
        <v>6745.2</v>
      </c>
      <c r="H6289" s="124" t="s">
        <v>8368</v>
      </c>
      <c r="I6289" s="128">
        <v>17812</v>
      </c>
      <c r="J6289" s="128">
        <v>89060</v>
      </c>
    </row>
    <row r="6290" spans="1:10" hidden="1" x14ac:dyDescent="0.25">
      <c r="A6290" s="124" t="s">
        <v>8783</v>
      </c>
      <c r="B6290" s="124" t="s">
        <v>11736</v>
      </c>
      <c r="C6290" s="132">
        <f t="shared" si="34"/>
        <v>11567</v>
      </c>
      <c r="D6290" s="125">
        <f>COUNTIF(A733:A6289,A6290)</f>
        <v>0</v>
      </c>
      <c r="E6290" s="124" t="s">
        <v>8367</v>
      </c>
      <c r="F6290" s="126">
        <v>1</v>
      </c>
      <c r="G6290" s="128">
        <v>13880.4</v>
      </c>
      <c r="H6290" s="124" t="s">
        <v>8368</v>
      </c>
      <c r="I6290" s="127">
        <v>326.94</v>
      </c>
      <c r="J6290" s="128">
        <v>1634.7</v>
      </c>
    </row>
    <row r="6291" spans="1:10" hidden="1" x14ac:dyDescent="0.25">
      <c r="A6291" s="124" t="s">
        <v>8784</v>
      </c>
      <c r="B6291" s="124" t="s">
        <v>11736</v>
      </c>
      <c r="C6291" s="132">
        <f t="shared" si="34"/>
        <v>1278</v>
      </c>
      <c r="D6291" s="125">
        <f>COUNTIF(A734:A6290,A6291)</f>
        <v>0</v>
      </c>
      <c r="E6291" s="124" t="s">
        <v>8367</v>
      </c>
      <c r="F6291" s="126">
        <v>1</v>
      </c>
      <c r="G6291" s="128">
        <v>1533.6</v>
      </c>
      <c r="H6291" s="124" t="s">
        <v>8368</v>
      </c>
      <c r="I6291" s="128">
        <v>2151.6999999999998</v>
      </c>
      <c r="J6291" s="128">
        <v>10758.5</v>
      </c>
    </row>
    <row r="6292" spans="1:10" hidden="1" x14ac:dyDescent="0.25">
      <c r="A6292" s="124" t="s">
        <v>8785</v>
      </c>
      <c r="B6292" s="124" t="s">
        <v>11736</v>
      </c>
      <c r="C6292" s="132">
        <f t="shared" si="34"/>
        <v>18554.166666666668</v>
      </c>
      <c r="D6292" s="125">
        <f>COUNTIF(A735:A6291,A6292)</f>
        <v>0</v>
      </c>
      <c r="E6292" s="124" t="s">
        <v>1</v>
      </c>
      <c r="F6292" s="126">
        <v>4.8</v>
      </c>
      <c r="G6292" s="128">
        <v>106872</v>
      </c>
      <c r="H6292" s="124" t="s">
        <v>8368</v>
      </c>
      <c r="I6292" s="128">
        <v>1707.9</v>
      </c>
      <c r="J6292" s="128">
        <v>8539.5</v>
      </c>
    </row>
    <row r="6293" spans="1:10" hidden="1" x14ac:dyDescent="0.25">
      <c r="A6293" s="124" t="s">
        <v>8786</v>
      </c>
      <c r="B6293" s="124" t="s">
        <v>11736</v>
      </c>
      <c r="C6293" s="132">
        <f t="shared" si="34"/>
        <v>136.22499999999999</v>
      </c>
      <c r="D6293" s="125">
        <f>COUNTIF(A736:A6292,A6293)</f>
        <v>0</v>
      </c>
      <c r="E6293" s="124" t="s">
        <v>8367</v>
      </c>
      <c r="F6293" s="126">
        <v>12</v>
      </c>
      <c r="G6293" s="128">
        <v>1961.64</v>
      </c>
      <c r="H6293" s="124" t="s">
        <v>8368</v>
      </c>
      <c r="I6293" s="128">
        <v>4807.6000000000004</v>
      </c>
      <c r="J6293" s="128">
        <v>24038</v>
      </c>
    </row>
    <row r="6294" spans="1:10" hidden="1" x14ac:dyDescent="0.25">
      <c r="A6294" s="124" t="s">
        <v>8787</v>
      </c>
      <c r="B6294" s="124" t="s">
        <v>11736</v>
      </c>
      <c r="C6294" s="132">
        <f t="shared" si="34"/>
        <v>358.61666666666667</v>
      </c>
      <c r="D6294" s="125">
        <f t="shared" ref="D6294:D6299" si="35">COUNTIF(A738:A6293,A6294)</f>
        <v>0</v>
      </c>
      <c r="E6294" s="124" t="s">
        <v>8367</v>
      </c>
      <c r="F6294" s="126">
        <v>30</v>
      </c>
      <c r="G6294" s="128">
        <v>12910.2</v>
      </c>
      <c r="H6294" s="124" t="s">
        <v>8368</v>
      </c>
      <c r="I6294" s="128">
        <v>2114</v>
      </c>
      <c r="J6294" s="128">
        <v>10570</v>
      </c>
    </row>
    <row r="6295" spans="1:10" hidden="1" x14ac:dyDescent="0.25">
      <c r="A6295" s="124" t="s">
        <v>8788</v>
      </c>
      <c r="B6295" s="124" t="s">
        <v>11736</v>
      </c>
      <c r="C6295" s="132">
        <f t="shared" si="34"/>
        <v>426.97500000000002</v>
      </c>
      <c r="D6295" s="125">
        <f t="shared" si="35"/>
        <v>0</v>
      </c>
      <c r="E6295" s="124" t="s">
        <v>8367</v>
      </c>
      <c r="F6295" s="126">
        <v>20</v>
      </c>
      <c r="G6295" s="128">
        <v>10247.4</v>
      </c>
      <c r="H6295" s="124" t="s">
        <v>8368</v>
      </c>
      <c r="I6295" s="128">
        <v>6212</v>
      </c>
      <c r="J6295" s="128">
        <v>31060</v>
      </c>
    </row>
    <row r="6296" spans="1:10" hidden="1" x14ac:dyDescent="0.25">
      <c r="A6296" s="124" t="s">
        <v>8789</v>
      </c>
      <c r="B6296" s="124" t="s">
        <v>11736</v>
      </c>
      <c r="C6296" s="132">
        <f t="shared" si="34"/>
        <v>160.25333333333333</v>
      </c>
      <c r="D6296" s="125">
        <f t="shared" si="35"/>
        <v>0</v>
      </c>
      <c r="E6296" s="124" t="s">
        <v>8627</v>
      </c>
      <c r="F6296" s="126">
        <v>150</v>
      </c>
      <c r="G6296" s="128">
        <v>28845.599999999999</v>
      </c>
      <c r="H6296" s="124" t="s">
        <v>8368</v>
      </c>
      <c r="I6296" s="128">
        <v>5088.8</v>
      </c>
      <c r="J6296" s="128">
        <v>25444</v>
      </c>
    </row>
    <row r="6297" spans="1:10" hidden="1" x14ac:dyDescent="0.25">
      <c r="A6297" s="124" t="s">
        <v>8790</v>
      </c>
      <c r="B6297" s="124" t="s">
        <v>11736</v>
      </c>
      <c r="C6297" s="132">
        <f t="shared" si="34"/>
        <v>111.26315789473684</v>
      </c>
      <c r="D6297" s="125">
        <f t="shared" si="35"/>
        <v>0</v>
      </c>
      <c r="E6297" s="124" t="s">
        <v>8627</v>
      </c>
      <c r="F6297" s="126">
        <v>95</v>
      </c>
      <c r="G6297" s="128">
        <v>12684</v>
      </c>
      <c r="H6297" s="124" t="s">
        <v>8368</v>
      </c>
      <c r="I6297" s="127">
        <v>681</v>
      </c>
      <c r="J6297" s="128">
        <v>3405</v>
      </c>
    </row>
    <row r="6298" spans="1:10" hidden="1" x14ac:dyDescent="0.25">
      <c r="A6298" s="124" t="s">
        <v>8791</v>
      </c>
      <c r="B6298" s="124" t="s">
        <v>11736</v>
      </c>
      <c r="C6298" s="132">
        <f t="shared" si="34"/>
        <v>151.51219512195121</v>
      </c>
      <c r="D6298" s="125">
        <f t="shared" si="35"/>
        <v>0</v>
      </c>
      <c r="E6298" s="124" t="s">
        <v>8627</v>
      </c>
      <c r="F6298" s="126">
        <v>205</v>
      </c>
      <c r="G6298" s="128">
        <v>37272</v>
      </c>
      <c r="H6298" s="124" t="s">
        <v>8368</v>
      </c>
      <c r="I6298" s="128">
        <v>191400</v>
      </c>
      <c r="J6298" s="128">
        <v>957000</v>
      </c>
    </row>
    <row r="6299" spans="1:10" hidden="1" x14ac:dyDescent="0.25">
      <c r="A6299" s="124" t="s">
        <v>8792</v>
      </c>
      <c r="B6299" s="124" t="s">
        <v>11736</v>
      </c>
      <c r="C6299" s="132">
        <f t="shared" si="34"/>
        <v>267.83157894736843</v>
      </c>
      <c r="D6299" s="125">
        <f t="shared" si="35"/>
        <v>0</v>
      </c>
      <c r="E6299" s="124" t="s">
        <v>8627</v>
      </c>
      <c r="F6299" s="126">
        <v>95</v>
      </c>
      <c r="G6299" s="128">
        <v>30532.799999999999</v>
      </c>
      <c r="H6299" s="124" t="s">
        <v>8368</v>
      </c>
      <c r="I6299" s="127">
        <v>278.8</v>
      </c>
      <c r="J6299" s="128">
        <v>1394</v>
      </c>
    </row>
    <row r="6300" spans="1:10" hidden="1" x14ac:dyDescent="0.25">
      <c r="A6300" s="124" t="s">
        <v>8793</v>
      </c>
      <c r="B6300" s="124" t="s">
        <v>11736</v>
      </c>
      <c r="C6300" s="132">
        <f t="shared" si="34"/>
        <v>1135</v>
      </c>
      <c r="D6300" s="125">
        <f>COUNTIF(A751:A6299,A6300)</f>
        <v>0</v>
      </c>
      <c r="E6300" s="124" t="s">
        <v>8367</v>
      </c>
      <c r="F6300" s="126">
        <v>3</v>
      </c>
      <c r="G6300" s="128">
        <v>4086</v>
      </c>
      <c r="H6300" s="124" t="s">
        <v>8368</v>
      </c>
      <c r="I6300" s="128">
        <v>4229.6899999999996</v>
      </c>
      <c r="J6300" s="128">
        <v>21148.47</v>
      </c>
    </row>
    <row r="6301" spans="1:10" hidden="1" x14ac:dyDescent="0.25">
      <c r="A6301" s="124" t="s">
        <v>8794</v>
      </c>
      <c r="B6301" s="124" t="s">
        <v>11736</v>
      </c>
      <c r="C6301" s="132">
        <f t="shared" si="34"/>
        <v>435</v>
      </c>
      <c r="D6301" s="125">
        <f>COUNTIF(A752:A6300,A6301)</f>
        <v>0</v>
      </c>
      <c r="E6301" s="124" t="s">
        <v>8367</v>
      </c>
      <c r="F6301" s="129">
        <v>2200</v>
      </c>
      <c r="G6301" s="128">
        <v>1148400</v>
      </c>
      <c r="H6301" s="124" t="s">
        <v>8368</v>
      </c>
      <c r="I6301" s="127">
        <v>200</v>
      </c>
      <c r="J6301" s="128">
        <v>1000</v>
      </c>
    </row>
    <row r="6302" spans="1:10" hidden="1" x14ac:dyDescent="0.25">
      <c r="A6302" s="124" t="s">
        <v>8795</v>
      </c>
      <c r="B6302" s="124" t="s">
        <v>11736</v>
      </c>
      <c r="C6302" s="132">
        <f t="shared" si="34"/>
        <v>1394</v>
      </c>
      <c r="D6302" s="125">
        <f>COUNTIF(A754:A6301,A6302)</f>
        <v>0</v>
      </c>
      <c r="E6302" s="124" t="s">
        <v>8367</v>
      </c>
      <c r="F6302" s="126">
        <v>1</v>
      </c>
      <c r="G6302" s="128">
        <v>1672.8</v>
      </c>
      <c r="H6302" s="124" t="s">
        <v>8368</v>
      </c>
      <c r="I6302" s="128">
        <v>108000</v>
      </c>
      <c r="J6302" s="128">
        <v>540000</v>
      </c>
    </row>
    <row r="6303" spans="1:10" hidden="1" x14ac:dyDescent="0.25">
      <c r="A6303" s="124" t="s">
        <v>8796</v>
      </c>
      <c r="B6303" s="124" t="s">
        <v>11736</v>
      </c>
      <c r="C6303" s="132">
        <f t="shared" si="34"/>
        <v>311.00691176470588</v>
      </c>
      <c r="D6303" s="125">
        <f>COUNTIF(A755:A6302,A6303)</f>
        <v>0</v>
      </c>
      <c r="E6303" s="124" t="s">
        <v>8367</v>
      </c>
      <c r="F6303" s="126">
        <v>68</v>
      </c>
      <c r="G6303" s="128">
        <v>25378.16</v>
      </c>
      <c r="H6303" s="124" t="s">
        <v>8368</v>
      </c>
      <c r="I6303" s="128">
        <v>8149.17</v>
      </c>
      <c r="J6303" s="128">
        <v>40745.83</v>
      </c>
    </row>
    <row r="6304" spans="1:10" hidden="1" x14ac:dyDescent="0.25">
      <c r="A6304" s="124" t="s">
        <v>8797</v>
      </c>
      <c r="B6304" s="124" t="s">
        <v>11736</v>
      </c>
      <c r="C6304" s="132">
        <f t="shared" si="34"/>
        <v>166.66666666666666</v>
      </c>
      <c r="D6304" s="125">
        <f>COUNTIF(A759:A6303,A6304)</f>
        <v>0</v>
      </c>
      <c r="E6304" s="124" t="s">
        <v>8367</v>
      </c>
      <c r="F6304" s="126">
        <v>6</v>
      </c>
      <c r="G6304" s="128">
        <v>1200</v>
      </c>
      <c r="H6304" s="124" t="s">
        <v>8368</v>
      </c>
      <c r="I6304" s="128">
        <v>2095.1999999999998</v>
      </c>
      <c r="J6304" s="128">
        <v>10476</v>
      </c>
    </row>
    <row r="6305" spans="1:10" hidden="1" x14ac:dyDescent="0.25">
      <c r="A6305" s="124" t="s">
        <v>8798</v>
      </c>
      <c r="B6305" s="124" t="s">
        <v>11736</v>
      </c>
      <c r="C6305" s="132">
        <f t="shared" si="34"/>
        <v>450</v>
      </c>
      <c r="D6305" s="125">
        <f>COUNTIF(A760:A6304,A6305)</f>
        <v>0</v>
      </c>
      <c r="E6305" s="124" t="s">
        <v>8367</v>
      </c>
      <c r="F6305" s="129">
        <v>1200</v>
      </c>
      <c r="G6305" s="128">
        <v>648000</v>
      </c>
      <c r="H6305" s="124" t="s">
        <v>8368</v>
      </c>
      <c r="I6305" s="127">
        <v>126.68</v>
      </c>
      <c r="J6305" s="127">
        <v>633.4</v>
      </c>
    </row>
    <row r="6306" spans="1:10" hidden="1" x14ac:dyDescent="0.25">
      <c r="A6306" s="124" t="s">
        <v>8799</v>
      </c>
      <c r="B6306" s="124" t="s">
        <v>11736</v>
      </c>
      <c r="C6306" s="132">
        <f t="shared" si="34"/>
        <v>3704.1663636363637</v>
      </c>
      <c r="D6306" s="125">
        <f>COUNTIF(A761:A6305,A6306)</f>
        <v>0</v>
      </c>
      <c r="E6306" s="124" t="s">
        <v>8367</v>
      </c>
      <c r="F6306" s="126">
        <v>11</v>
      </c>
      <c r="G6306" s="128">
        <v>48895</v>
      </c>
      <c r="H6306" s="124" t="s">
        <v>8368</v>
      </c>
      <c r="I6306" s="127">
        <v>548.4</v>
      </c>
      <c r="J6306" s="128">
        <v>2742</v>
      </c>
    </row>
    <row r="6307" spans="1:10" hidden="1" x14ac:dyDescent="0.25">
      <c r="A6307" s="124" t="s">
        <v>8800</v>
      </c>
      <c r="B6307" s="124" t="s">
        <v>11736</v>
      </c>
      <c r="C6307" s="132">
        <f t="shared" si="34"/>
        <v>10476</v>
      </c>
      <c r="D6307" s="125">
        <f>COUNTIF(A762:A6306,A6307)</f>
        <v>0</v>
      </c>
      <c r="E6307" s="124" t="s">
        <v>8367</v>
      </c>
      <c r="F6307" s="126">
        <v>1</v>
      </c>
      <c r="G6307" s="128">
        <v>12571.2</v>
      </c>
      <c r="H6307" s="124" t="s">
        <v>8368</v>
      </c>
      <c r="I6307" s="128">
        <v>39969.230000000003</v>
      </c>
      <c r="J6307" s="128">
        <v>199846.15</v>
      </c>
    </row>
    <row r="6308" spans="1:10" hidden="1" x14ac:dyDescent="0.25">
      <c r="A6308" s="124" t="s">
        <v>8801</v>
      </c>
      <c r="B6308" s="124" t="s">
        <v>11736</v>
      </c>
      <c r="C6308" s="132">
        <f t="shared" si="34"/>
        <v>316.7</v>
      </c>
      <c r="D6308" s="125">
        <f>COUNTIF(A763:A6307,A6308)</f>
        <v>0</v>
      </c>
      <c r="E6308" s="124" t="s">
        <v>8367</v>
      </c>
      <c r="F6308" s="126">
        <v>2</v>
      </c>
      <c r="G6308" s="127">
        <v>760.08</v>
      </c>
      <c r="H6308" s="124" t="s">
        <v>8368</v>
      </c>
      <c r="I6308" s="128">
        <v>2322.1999999999998</v>
      </c>
      <c r="J6308" s="128">
        <v>11611</v>
      </c>
    </row>
    <row r="6309" spans="1:10" hidden="1" x14ac:dyDescent="0.25">
      <c r="A6309" s="124" t="s">
        <v>8802</v>
      </c>
      <c r="B6309" s="124" t="s">
        <v>11736</v>
      </c>
      <c r="C6309" s="132">
        <f t="shared" si="34"/>
        <v>548.4</v>
      </c>
      <c r="D6309" s="125">
        <f>COUNTIF(A765:A6308,A6309)</f>
        <v>0</v>
      </c>
      <c r="E6309" s="124" t="s">
        <v>8367</v>
      </c>
      <c r="F6309" s="126">
        <v>5</v>
      </c>
      <c r="G6309" s="128">
        <v>3290.4</v>
      </c>
      <c r="H6309" s="124" t="s">
        <v>8368</v>
      </c>
      <c r="I6309" s="128">
        <v>43661.54</v>
      </c>
      <c r="J6309" s="128">
        <v>218307.69</v>
      </c>
    </row>
    <row r="6310" spans="1:10" hidden="1" x14ac:dyDescent="0.25">
      <c r="A6310" s="124" t="s">
        <v>8803</v>
      </c>
      <c r="B6310" s="124" t="s">
        <v>11736</v>
      </c>
      <c r="C6310" s="132">
        <f t="shared" si="34"/>
        <v>111.02563888888889</v>
      </c>
      <c r="D6310" s="125">
        <f>COUNTIF(A766:A6309,A6310)</f>
        <v>0</v>
      </c>
      <c r="E6310" s="124" t="s">
        <v>8367</v>
      </c>
      <c r="F6310" s="129">
        <v>1800</v>
      </c>
      <c r="G6310" s="128">
        <v>239815.38</v>
      </c>
      <c r="H6310" s="124" t="s">
        <v>8368</v>
      </c>
      <c r="I6310" s="128">
        <v>6415.39</v>
      </c>
      <c r="J6310" s="128">
        <v>32076.92</v>
      </c>
    </row>
    <row r="6311" spans="1:10" hidden="1" x14ac:dyDescent="0.25">
      <c r="A6311" s="124" t="s">
        <v>8804</v>
      </c>
      <c r="B6311" s="124" t="s">
        <v>11736</v>
      </c>
      <c r="C6311" s="132">
        <f t="shared" si="34"/>
        <v>290.27499999999998</v>
      </c>
      <c r="D6311" s="125">
        <f>COUNTIF(A767:A6310,A6311)</f>
        <v>0</v>
      </c>
      <c r="E6311" s="124" t="s">
        <v>8367</v>
      </c>
      <c r="F6311" s="126">
        <v>40</v>
      </c>
      <c r="G6311" s="128">
        <v>13933.2</v>
      </c>
      <c r="H6311" s="124" t="s">
        <v>8368</v>
      </c>
      <c r="I6311" s="128">
        <v>295721.08</v>
      </c>
      <c r="J6311" s="128">
        <v>1478605.39</v>
      </c>
    </row>
    <row r="6312" spans="1:10" hidden="1" x14ac:dyDescent="0.25">
      <c r="A6312" s="124" t="s">
        <v>8805</v>
      </c>
      <c r="B6312" s="124" t="s">
        <v>11736</v>
      </c>
      <c r="C6312" s="132">
        <f t="shared" si="34"/>
        <v>727.69230000000005</v>
      </c>
      <c r="D6312" s="125">
        <f>COUNTIF(A769:A6311,A6312)</f>
        <v>0</v>
      </c>
      <c r="E6312" s="124" t="s">
        <v>8367</v>
      </c>
      <c r="F6312" s="126">
        <v>300</v>
      </c>
      <c r="G6312" s="128">
        <v>261969.23</v>
      </c>
      <c r="H6312" s="124" t="s">
        <v>8368</v>
      </c>
      <c r="I6312" s="127">
        <v>0.8</v>
      </c>
      <c r="J6312" s="127">
        <v>4</v>
      </c>
    </row>
    <row r="6313" spans="1:10" hidden="1" x14ac:dyDescent="0.25">
      <c r="A6313" s="124" t="s">
        <v>8806</v>
      </c>
      <c r="B6313" s="124" t="s">
        <v>11736</v>
      </c>
      <c r="C6313" s="132">
        <f t="shared" si="34"/>
        <v>106.92306666666666</v>
      </c>
      <c r="D6313" s="125">
        <f>COUNTIF(A770:A6312,A6313)</f>
        <v>0</v>
      </c>
      <c r="E6313" s="124" t="s">
        <v>8367</v>
      </c>
      <c r="F6313" s="126">
        <v>300</v>
      </c>
      <c r="G6313" s="128">
        <v>38492.31</v>
      </c>
      <c r="H6313" s="124" t="s">
        <v>8368</v>
      </c>
      <c r="I6313" s="128">
        <v>430021.39</v>
      </c>
      <c r="J6313" s="128">
        <v>2150106.9300000002</v>
      </c>
    </row>
    <row r="6314" spans="1:10" hidden="1" x14ac:dyDescent="0.25">
      <c r="A6314" s="124" t="s">
        <v>8807</v>
      </c>
      <c r="B6314" s="124" t="s">
        <v>11736</v>
      </c>
      <c r="C6314" s="132">
        <f t="shared" si="34"/>
        <v>1501.1222233502538</v>
      </c>
      <c r="D6314" s="125">
        <f>COUNTIF(A775:A6313,A6314)</f>
        <v>0</v>
      </c>
      <c r="E6314" s="124" t="s">
        <v>8367</v>
      </c>
      <c r="F6314" s="126">
        <v>985</v>
      </c>
      <c r="G6314" s="128">
        <v>1774326.47</v>
      </c>
      <c r="H6314" s="124" t="s">
        <v>8368</v>
      </c>
      <c r="I6314" s="128">
        <v>23203.03</v>
      </c>
      <c r="J6314" s="128">
        <v>116015.15</v>
      </c>
    </row>
    <row r="6315" spans="1:10" hidden="1" x14ac:dyDescent="0.25">
      <c r="A6315" s="124" t="s">
        <v>8808</v>
      </c>
      <c r="B6315" s="124" t="s">
        <v>11736</v>
      </c>
      <c r="C6315" s="132">
        <f t="shared" si="34"/>
        <v>1</v>
      </c>
      <c r="D6315" s="125">
        <f>COUNTIF(A782:A6314,A6315)</f>
        <v>0</v>
      </c>
      <c r="E6315" s="124" t="s">
        <v>8367</v>
      </c>
      <c r="F6315" s="126">
        <v>4</v>
      </c>
      <c r="G6315" s="127">
        <v>4.8</v>
      </c>
      <c r="H6315" s="124" t="s">
        <v>8368</v>
      </c>
      <c r="I6315" s="128">
        <v>42216.7</v>
      </c>
      <c r="J6315" s="128">
        <v>211083.51</v>
      </c>
    </row>
    <row r="6316" spans="1:10" hidden="1" x14ac:dyDescent="0.25">
      <c r="A6316" s="124" t="s">
        <v>8809</v>
      </c>
      <c r="B6316" s="124" t="s">
        <v>11736</v>
      </c>
      <c r="C6316" s="132">
        <f t="shared" si="34"/>
        <v>474.31898461076895</v>
      </c>
      <c r="D6316" s="125">
        <f>COUNTIF(A783:A6315,A6316)</f>
        <v>0</v>
      </c>
      <c r="E6316" s="124" t="s">
        <v>1</v>
      </c>
      <c r="F6316" s="129">
        <v>4533.04</v>
      </c>
      <c r="G6316" s="128">
        <v>2580128.3199999998</v>
      </c>
      <c r="H6316" s="124" t="s">
        <v>8368</v>
      </c>
      <c r="I6316" s="127">
        <v>168.5</v>
      </c>
      <c r="J6316" s="127">
        <v>842.5</v>
      </c>
    </row>
    <row r="6317" spans="1:10" hidden="1" x14ac:dyDescent="0.25">
      <c r="A6317" s="124" t="s">
        <v>8810</v>
      </c>
      <c r="B6317" s="124" t="s">
        <v>11736</v>
      </c>
      <c r="C6317" s="132">
        <f t="shared" si="34"/>
        <v>2320.3029999999999</v>
      </c>
      <c r="D6317" s="125">
        <f>COUNTIF(A787:A6316,A6317)</f>
        <v>0</v>
      </c>
      <c r="E6317" s="124" t="s">
        <v>8367</v>
      </c>
      <c r="F6317" s="126">
        <v>50</v>
      </c>
      <c r="G6317" s="128">
        <v>139218.18</v>
      </c>
      <c r="H6317" s="124" t="s">
        <v>8368</v>
      </c>
      <c r="I6317" s="128">
        <v>2818.6</v>
      </c>
      <c r="J6317" s="128">
        <v>14093</v>
      </c>
    </row>
    <row r="6318" spans="1:10" hidden="1" x14ac:dyDescent="0.25">
      <c r="A6318" s="124" t="s">
        <v>8811</v>
      </c>
      <c r="B6318" s="124" t="s">
        <v>11736</v>
      </c>
      <c r="C6318" s="132">
        <f t="shared" si="34"/>
        <v>708.3339261744967</v>
      </c>
      <c r="D6318" s="125">
        <f>COUNTIF(A791:A6317,A6318)</f>
        <v>0</v>
      </c>
      <c r="E6318" s="124" t="s">
        <v>8367</v>
      </c>
      <c r="F6318" s="126">
        <v>298</v>
      </c>
      <c r="G6318" s="128">
        <v>253300.21</v>
      </c>
      <c r="H6318" s="124" t="s">
        <v>8368</v>
      </c>
      <c r="I6318" s="128">
        <v>5003.6000000000004</v>
      </c>
      <c r="J6318" s="128">
        <v>25018</v>
      </c>
    </row>
    <row r="6319" spans="1:10" hidden="1" x14ac:dyDescent="0.25">
      <c r="A6319" s="124" t="s">
        <v>8812</v>
      </c>
      <c r="B6319" s="124" t="s">
        <v>11736</v>
      </c>
      <c r="C6319" s="132">
        <f t="shared" si="34"/>
        <v>421.25</v>
      </c>
      <c r="D6319" s="125">
        <f t="shared" ref="D6319:D6327" si="36">COUNTIF(A794:A6318,A6319)</f>
        <v>0</v>
      </c>
      <c r="E6319" s="124" t="s">
        <v>8367</v>
      </c>
      <c r="F6319" s="126">
        <v>2</v>
      </c>
      <c r="G6319" s="128">
        <v>1011</v>
      </c>
      <c r="H6319" s="124" t="s">
        <v>8368</v>
      </c>
      <c r="I6319" s="127">
        <v>98.6</v>
      </c>
      <c r="J6319" s="127">
        <v>493</v>
      </c>
    </row>
    <row r="6320" spans="1:10" hidden="1" x14ac:dyDescent="0.25">
      <c r="A6320" s="124" t="s">
        <v>8813</v>
      </c>
      <c r="B6320" s="124" t="s">
        <v>11736</v>
      </c>
      <c r="C6320" s="132">
        <f t="shared" si="34"/>
        <v>565.98393574297188</v>
      </c>
      <c r="D6320" s="125">
        <f t="shared" si="36"/>
        <v>0</v>
      </c>
      <c r="E6320" s="124" t="s">
        <v>1</v>
      </c>
      <c r="F6320" s="126">
        <v>24.9</v>
      </c>
      <c r="G6320" s="128">
        <v>16911.599999999999</v>
      </c>
      <c r="H6320" s="124" t="s">
        <v>8368</v>
      </c>
      <c r="I6320" s="128">
        <v>5456.2</v>
      </c>
      <c r="J6320" s="128">
        <v>27281</v>
      </c>
    </row>
    <row r="6321" spans="1:10" hidden="1" x14ac:dyDescent="0.25">
      <c r="A6321" s="124" t="s">
        <v>8814</v>
      </c>
      <c r="B6321" s="124" t="s">
        <v>11736</v>
      </c>
      <c r="C6321" s="132">
        <f t="shared" si="34"/>
        <v>1042.4166666666667</v>
      </c>
      <c r="D6321" s="125">
        <f t="shared" si="36"/>
        <v>0</v>
      </c>
      <c r="E6321" s="124" t="s">
        <v>8367</v>
      </c>
      <c r="F6321" s="126">
        <v>24</v>
      </c>
      <c r="G6321" s="128">
        <v>30021.599999999999</v>
      </c>
      <c r="H6321" s="124" t="s">
        <v>8368</v>
      </c>
      <c r="I6321" s="127">
        <v>123.2</v>
      </c>
      <c r="J6321" s="127">
        <v>616</v>
      </c>
    </row>
    <row r="6322" spans="1:10" hidden="1" x14ac:dyDescent="0.25">
      <c r="A6322" s="124" t="s">
        <v>8815</v>
      </c>
      <c r="B6322" s="124" t="s">
        <v>11736</v>
      </c>
      <c r="C6322" s="132">
        <f t="shared" si="34"/>
        <v>493</v>
      </c>
      <c r="D6322" s="125">
        <f t="shared" si="36"/>
        <v>0</v>
      </c>
      <c r="E6322" s="124" t="s">
        <v>8367</v>
      </c>
      <c r="F6322" s="126">
        <v>1</v>
      </c>
      <c r="G6322" s="127">
        <v>591.6</v>
      </c>
      <c r="H6322" s="124" t="s">
        <v>8368</v>
      </c>
      <c r="I6322" s="127">
        <v>46.8</v>
      </c>
      <c r="J6322" s="127">
        <v>234</v>
      </c>
    </row>
    <row r="6323" spans="1:10" hidden="1" x14ac:dyDescent="0.25">
      <c r="A6323" s="124" t="s">
        <v>8816</v>
      </c>
      <c r="B6323" s="124" t="s">
        <v>11736</v>
      </c>
      <c r="C6323" s="132">
        <f t="shared" si="34"/>
        <v>27281</v>
      </c>
      <c r="D6323" s="125">
        <f t="shared" si="36"/>
        <v>0</v>
      </c>
      <c r="E6323" s="124" t="s">
        <v>8367</v>
      </c>
      <c r="F6323" s="126">
        <v>1</v>
      </c>
      <c r="G6323" s="128">
        <v>32737.200000000001</v>
      </c>
      <c r="H6323" s="124" t="s">
        <v>8368</v>
      </c>
      <c r="I6323" s="128">
        <v>4630.3999999999996</v>
      </c>
      <c r="J6323" s="128">
        <v>23152</v>
      </c>
    </row>
    <row r="6324" spans="1:10" hidden="1" x14ac:dyDescent="0.25">
      <c r="A6324" s="124" t="s">
        <v>8817</v>
      </c>
      <c r="B6324" s="124" t="s">
        <v>11736</v>
      </c>
      <c r="C6324" s="132">
        <f t="shared" si="34"/>
        <v>123.2</v>
      </c>
      <c r="D6324" s="125">
        <f t="shared" si="36"/>
        <v>0</v>
      </c>
      <c r="E6324" s="124" t="s">
        <v>8367</v>
      </c>
      <c r="F6324" s="126">
        <v>5</v>
      </c>
      <c r="G6324" s="127">
        <v>739.2</v>
      </c>
      <c r="H6324" s="124" t="s">
        <v>8368</v>
      </c>
      <c r="I6324" s="128">
        <v>1190.93</v>
      </c>
      <c r="J6324" s="128">
        <v>5954.67</v>
      </c>
    </row>
    <row r="6325" spans="1:10" hidden="1" x14ac:dyDescent="0.25">
      <c r="A6325" s="124" t="s">
        <v>8818</v>
      </c>
      <c r="B6325" s="124" t="s">
        <v>11736</v>
      </c>
      <c r="C6325" s="132">
        <f t="shared" si="34"/>
        <v>46.8</v>
      </c>
      <c r="D6325" s="125">
        <f t="shared" si="36"/>
        <v>0</v>
      </c>
      <c r="E6325" s="124" t="s">
        <v>8367</v>
      </c>
      <c r="F6325" s="126">
        <v>5</v>
      </c>
      <c r="G6325" s="127">
        <v>280.8</v>
      </c>
      <c r="H6325" s="124" t="s">
        <v>8368</v>
      </c>
      <c r="I6325" s="128">
        <v>1190.93</v>
      </c>
      <c r="J6325" s="128">
        <v>5954.67</v>
      </c>
    </row>
    <row r="6326" spans="1:10" hidden="1" x14ac:dyDescent="0.25">
      <c r="A6326" s="124" t="s">
        <v>8819</v>
      </c>
      <c r="B6326" s="124" t="s">
        <v>11736</v>
      </c>
      <c r="C6326" s="132">
        <f t="shared" si="34"/>
        <v>231.52</v>
      </c>
      <c r="D6326" s="125">
        <f t="shared" si="36"/>
        <v>0</v>
      </c>
      <c r="E6326" s="124" t="s">
        <v>8367</v>
      </c>
      <c r="F6326" s="126">
        <v>100</v>
      </c>
      <c r="G6326" s="128">
        <v>27782.400000000001</v>
      </c>
      <c r="H6326" s="124" t="s">
        <v>8368</v>
      </c>
      <c r="I6326" s="128">
        <v>9327.08</v>
      </c>
      <c r="J6326" s="128">
        <v>46635.42</v>
      </c>
    </row>
    <row r="6327" spans="1:10" hidden="1" x14ac:dyDescent="0.25">
      <c r="A6327" s="124" t="s">
        <v>8820</v>
      </c>
      <c r="B6327" s="124" t="s">
        <v>11736</v>
      </c>
      <c r="C6327" s="132">
        <f t="shared" si="34"/>
        <v>744.33375000000001</v>
      </c>
      <c r="D6327" s="125">
        <f t="shared" si="36"/>
        <v>0</v>
      </c>
      <c r="E6327" s="124" t="s">
        <v>8367</v>
      </c>
      <c r="F6327" s="126">
        <v>8</v>
      </c>
      <c r="G6327" s="128">
        <v>7145.6</v>
      </c>
      <c r="H6327" s="124" t="s">
        <v>8368</v>
      </c>
      <c r="I6327" s="128">
        <v>1565.78</v>
      </c>
      <c r="J6327" s="128">
        <v>7828.88</v>
      </c>
    </row>
    <row r="6328" spans="1:10" hidden="1" x14ac:dyDescent="0.25">
      <c r="A6328" s="124" t="s">
        <v>8821</v>
      </c>
      <c r="B6328" s="124" t="s">
        <v>11736</v>
      </c>
      <c r="C6328" s="132">
        <f t="shared" ref="C6328:C6391" si="37">J6325/F6328</f>
        <v>744.33375000000001</v>
      </c>
      <c r="D6328" s="125">
        <f>COUNTIF(A804:A6327,A6328)</f>
        <v>0</v>
      </c>
      <c r="E6328" s="124" t="s">
        <v>8367</v>
      </c>
      <c r="F6328" s="126">
        <v>8</v>
      </c>
      <c r="G6328" s="128">
        <v>7145.6</v>
      </c>
      <c r="H6328" s="124" t="s">
        <v>8368</v>
      </c>
      <c r="I6328" s="127">
        <v>407.8</v>
      </c>
      <c r="J6328" s="128">
        <v>2039</v>
      </c>
    </row>
    <row r="6329" spans="1:10" hidden="1" x14ac:dyDescent="0.25">
      <c r="A6329" s="124" t="s">
        <v>8822</v>
      </c>
      <c r="B6329" s="124" t="s">
        <v>11736</v>
      </c>
      <c r="C6329" s="132">
        <f t="shared" si="37"/>
        <v>2119.7918181818181</v>
      </c>
      <c r="D6329" s="125">
        <f>COUNTIF(A806:A6328,A6329)</f>
        <v>0</v>
      </c>
      <c r="E6329" s="124" t="s">
        <v>8367</v>
      </c>
      <c r="F6329" s="126">
        <v>22</v>
      </c>
      <c r="G6329" s="128">
        <v>55962.5</v>
      </c>
      <c r="H6329" s="124" t="s">
        <v>8368</v>
      </c>
      <c r="I6329" s="128">
        <v>10012.6</v>
      </c>
      <c r="J6329" s="128">
        <v>50063</v>
      </c>
    </row>
    <row r="6330" spans="1:10" hidden="1" x14ac:dyDescent="0.25">
      <c r="A6330" s="124" t="s">
        <v>8823</v>
      </c>
      <c r="B6330" s="124" t="s">
        <v>11736</v>
      </c>
      <c r="C6330" s="132">
        <f t="shared" si="37"/>
        <v>711.71636363636367</v>
      </c>
      <c r="D6330" s="125">
        <f>COUNTIF(A808:A6329,A6330)</f>
        <v>0</v>
      </c>
      <c r="E6330" s="124" t="s">
        <v>8367</v>
      </c>
      <c r="F6330" s="126">
        <v>11</v>
      </c>
      <c r="G6330" s="128">
        <v>9394.66</v>
      </c>
      <c r="H6330" s="124" t="s">
        <v>8368</v>
      </c>
      <c r="I6330" s="128">
        <v>1397</v>
      </c>
      <c r="J6330" s="128">
        <v>6985</v>
      </c>
    </row>
    <row r="6331" spans="1:10" hidden="1" x14ac:dyDescent="0.25">
      <c r="A6331" s="124" t="s">
        <v>8824</v>
      </c>
      <c r="B6331" s="124" t="s">
        <v>11736</v>
      </c>
      <c r="C6331" s="132">
        <f t="shared" si="37"/>
        <v>2039</v>
      </c>
      <c r="D6331" s="125">
        <f t="shared" ref="D6331:D6347" si="38">COUNTIF(A811:A6330,A6331)</f>
        <v>0</v>
      </c>
      <c r="E6331" s="124" t="s">
        <v>8367</v>
      </c>
      <c r="F6331" s="126">
        <v>1</v>
      </c>
      <c r="G6331" s="128">
        <v>2446.8000000000002</v>
      </c>
      <c r="H6331" s="124" t="s">
        <v>8368</v>
      </c>
      <c r="I6331" s="128">
        <v>23347.1</v>
      </c>
      <c r="J6331" s="128">
        <v>116735.5</v>
      </c>
    </row>
    <row r="6332" spans="1:10" hidden="1" x14ac:dyDescent="0.25">
      <c r="A6332" s="124" t="s">
        <v>8825</v>
      </c>
      <c r="B6332" s="124" t="s">
        <v>11736</v>
      </c>
      <c r="C6332" s="132">
        <f t="shared" si="37"/>
        <v>667.50666666666666</v>
      </c>
      <c r="D6332" s="125">
        <f t="shared" si="38"/>
        <v>0</v>
      </c>
      <c r="E6332" s="124" t="s">
        <v>8367</v>
      </c>
      <c r="F6332" s="126">
        <v>75</v>
      </c>
      <c r="G6332" s="128">
        <v>60075.6</v>
      </c>
      <c r="H6332" s="124" t="s">
        <v>8368</v>
      </c>
      <c r="I6332" s="127">
        <v>280.60000000000002</v>
      </c>
      <c r="J6332" s="128">
        <v>1403</v>
      </c>
    </row>
    <row r="6333" spans="1:10" hidden="1" x14ac:dyDescent="0.25">
      <c r="A6333" s="124" t="s">
        <v>8826</v>
      </c>
      <c r="B6333" s="124" t="s">
        <v>11736</v>
      </c>
      <c r="C6333" s="132">
        <f t="shared" si="37"/>
        <v>1164.1666666666667</v>
      </c>
      <c r="D6333" s="125">
        <f t="shared" si="38"/>
        <v>0</v>
      </c>
      <c r="E6333" s="124" t="s">
        <v>8367</v>
      </c>
      <c r="F6333" s="126">
        <v>6</v>
      </c>
      <c r="G6333" s="128">
        <v>8382</v>
      </c>
      <c r="H6333" s="124" t="s">
        <v>8368</v>
      </c>
      <c r="I6333" s="127">
        <v>221.8</v>
      </c>
      <c r="J6333" s="128">
        <v>1109</v>
      </c>
    </row>
    <row r="6334" spans="1:10" hidden="1" x14ac:dyDescent="0.25">
      <c r="A6334" s="124" t="s">
        <v>8827</v>
      </c>
      <c r="B6334" s="124" t="s">
        <v>11736</v>
      </c>
      <c r="C6334" s="132">
        <f t="shared" si="37"/>
        <v>1061.2318181818182</v>
      </c>
      <c r="D6334" s="125">
        <f t="shared" si="38"/>
        <v>0</v>
      </c>
      <c r="E6334" s="124" t="s">
        <v>8367</v>
      </c>
      <c r="F6334" s="126">
        <v>110</v>
      </c>
      <c r="G6334" s="128">
        <v>140082.6</v>
      </c>
      <c r="H6334" s="124" t="s">
        <v>8368</v>
      </c>
      <c r="I6334" s="127">
        <v>277.8</v>
      </c>
      <c r="J6334" s="128">
        <v>1389</v>
      </c>
    </row>
    <row r="6335" spans="1:10" hidden="1" x14ac:dyDescent="0.25">
      <c r="A6335" s="124" t="s">
        <v>8828</v>
      </c>
      <c r="B6335" s="124" t="s">
        <v>11736</v>
      </c>
      <c r="C6335" s="132">
        <f t="shared" si="37"/>
        <v>46.766666666666666</v>
      </c>
      <c r="D6335" s="125">
        <f t="shared" si="38"/>
        <v>0</v>
      </c>
      <c r="E6335" s="124" t="s">
        <v>8367</v>
      </c>
      <c r="F6335" s="126">
        <v>30</v>
      </c>
      <c r="G6335" s="128">
        <v>1683.6</v>
      </c>
      <c r="H6335" s="124" t="s">
        <v>8368</v>
      </c>
      <c r="I6335" s="127">
        <v>256.5</v>
      </c>
      <c r="J6335" s="128">
        <v>1282.5</v>
      </c>
    </row>
    <row r="6336" spans="1:10" hidden="1" x14ac:dyDescent="0.25">
      <c r="A6336" s="124" t="s">
        <v>8829</v>
      </c>
      <c r="B6336" s="124" t="s">
        <v>11736</v>
      </c>
      <c r="C6336" s="132">
        <f t="shared" si="37"/>
        <v>1109</v>
      </c>
      <c r="D6336" s="125">
        <f t="shared" si="38"/>
        <v>0</v>
      </c>
      <c r="E6336" s="124" t="s">
        <v>8367</v>
      </c>
      <c r="F6336" s="126">
        <v>1</v>
      </c>
      <c r="G6336" s="128">
        <v>1330.8</v>
      </c>
      <c r="H6336" s="124" t="s">
        <v>8368</v>
      </c>
      <c r="I6336" s="127">
        <v>348.1</v>
      </c>
      <c r="J6336" s="128">
        <v>1740.5</v>
      </c>
    </row>
    <row r="6337" spans="1:10" hidden="1" x14ac:dyDescent="0.25">
      <c r="A6337" s="124" t="s">
        <v>8830</v>
      </c>
      <c r="B6337" s="124" t="s">
        <v>11736</v>
      </c>
      <c r="C6337" s="132">
        <f t="shared" si="37"/>
        <v>46.3</v>
      </c>
      <c r="D6337" s="125">
        <f t="shared" si="38"/>
        <v>0</v>
      </c>
      <c r="E6337" s="124" t="s">
        <v>8367</v>
      </c>
      <c r="F6337" s="126">
        <v>30</v>
      </c>
      <c r="G6337" s="128">
        <v>1666.8</v>
      </c>
      <c r="H6337" s="124" t="s">
        <v>8368</v>
      </c>
      <c r="I6337" s="128">
        <v>2798.67</v>
      </c>
      <c r="J6337" s="128">
        <v>13993.33</v>
      </c>
    </row>
    <row r="6338" spans="1:10" hidden="1" x14ac:dyDescent="0.25">
      <c r="A6338" s="124" t="s">
        <v>8831</v>
      </c>
      <c r="B6338" s="124" t="s">
        <v>11736</v>
      </c>
      <c r="C6338" s="132">
        <f t="shared" si="37"/>
        <v>256.5</v>
      </c>
      <c r="D6338" s="125">
        <f t="shared" si="38"/>
        <v>0</v>
      </c>
      <c r="E6338" s="124" t="s">
        <v>8367</v>
      </c>
      <c r="F6338" s="126">
        <v>5</v>
      </c>
      <c r="G6338" s="128">
        <v>1539</v>
      </c>
      <c r="H6338" s="124" t="s">
        <v>8368</v>
      </c>
      <c r="I6338" s="128">
        <v>1220.83</v>
      </c>
      <c r="J6338" s="128">
        <v>6104.17</v>
      </c>
    </row>
    <row r="6339" spans="1:10" hidden="1" x14ac:dyDescent="0.25">
      <c r="A6339" s="124" t="s">
        <v>8832</v>
      </c>
      <c r="B6339" s="124" t="s">
        <v>11736</v>
      </c>
      <c r="C6339" s="132">
        <f t="shared" si="37"/>
        <v>348.1</v>
      </c>
      <c r="D6339" s="125">
        <f t="shared" si="38"/>
        <v>0</v>
      </c>
      <c r="E6339" s="124" t="s">
        <v>8367</v>
      </c>
      <c r="F6339" s="126">
        <v>5</v>
      </c>
      <c r="G6339" s="128">
        <v>2088.6</v>
      </c>
      <c r="H6339" s="124" t="s">
        <v>8368</v>
      </c>
      <c r="I6339" s="127">
        <v>364.67</v>
      </c>
      <c r="J6339" s="128">
        <v>1823.33</v>
      </c>
    </row>
    <row r="6340" spans="1:10" hidden="1" x14ac:dyDescent="0.25">
      <c r="A6340" s="124" t="s">
        <v>8833</v>
      </c>
      <c r="B6340" s="124" t="s">
        <v>11736</v>
      </c>
      <c r="C6340" s="132">
        <f t="shared" si="37"/>
        <v>279.86660000000001</v>
      </c>
      <c r="D6340" s="125">
        <f t="shared" si="38"/>
        <v>0</v>
      </c>
      <c r="E6340" s="124" t="s">
        <v>8367</v>
      </c>
      <c r="F6340" s="126">
        <v>50</v>
      </c>
      <c r="G6340" s="128">
        <v>16792</v>
      </c>
      <c r="H6340" s="124" t="s">
        <v>8368</v>
      </c>
      <c r="I6340" s="127">
        <v>110.04</v>
      </c>
      <c r="J6340" s="127">
        <v>550.20000000000005</v>
      </c>
    </row>
    <row r="6341" spans="1:10" hidden="1" x14ac:dyDescent="0.25">
      <c r="A6341" s="124" t="s">
        <v>8834</v>
      </c>
      <c r="B6341" s="124" t="s">
        <v>11736</v>
      </c>
      <c r="C6341" s="132">
        <f t="shared" si="37"/>
        <v>40.694466666666671</v>
      </c>
      <c r="D6341" s="125">
        <f t="shared" si="38"/>
        <v>0</v>
      </c>
      <c r="E6341" s="124" t="s">
        <v>8367</v>
      </c>
      <c r="F6341" s="126">
        <v>150</v>
      </c>
      <c r="G6341" s="128">
        <v>7325</v>
      </c>
      <c r="H6341" s="124" t="s">
        <v>8368</v>
      </c>
      <c r="I6341" s="127">
        <v>716.6</v>
      </c>
      <c r="J6341" s="128">
        <v>3583</v>
      </c>
    </row>
    <row r="6342" spans="1:10" hidden="1" x14ac:dyDescent="0.25">
      <c r="A6342" s="124" t="s">
        <v>8835</v>
      </c>
      <c r="B6342" s="124" t="s">
        <v>11736</v>
      </c>
      <c r="C6342" s="132">
        <f t="shared" si="37"/>
        <v>24.311066666666665</v>
      </c>
      <c r="D6342" s="125">
        <f t="shared" si="38"/>
        <v>0</v>
      </c>
      <c r="E6342" s="124" t="s">
        <v>8367</v>
      </c>
      <c r="F6342" s="126">
        <v>75</v>
      </c>
      <c r="G6342" s="128">
        <v>2188</v>
      </c>
      <c r="H6342" s="124" t="s">
        <v>8368</v>
      </c>
      <c r="I6342" s="128">
        <v>2660000</v>
      </c>
      <c r="J6342" s="128">
        <v>13300000</v>
      </c>
    </row>
    <row r="6343" spans="1:10" hidden="1" x14ac:dyDescent="0.25">
      <c r="A6343" s="124" t="s">
        <v>8836</v>
      </c>
      <c r="B6343" s="124" t="s">
        <v>11736</v>
      </c>
      <c r="C6343" s="132">
        <f t="shared" si="37"/>
        <v>3.6680000000000001</v>
      </c>
      <c r="D6343" s="125">
        <f t="shared" si="38"/>
        <v>0</v>
      </c>
      <c r="E6343" s="124" t="s">
        <v>8367</v>
      </c>
      <c r="F6343" s="126">
        <v>150</v>
      </c>
      <c r="G6343" s="127">
        <v>660.24</v>
      </c>
      <c r="H6343" s="124" t="s">
        <v>8368</v>
      </c>
      <c r="I6343" s="128">
        <v>40000</v>
      </c>
      <c r="J6343" s="128">
        <v>200000</v>
      </c>
    </row>
    <row r="6344" spans="1:10" hidden="1" x14ac:dyDescent="0.25">
      <c r="A6344" s="124" t="s">
        <v>8837</v>
      </c>
      <c r="B6344" s="124" t="s">
        <v>11736</v>
      </c>
      <c r="C6344" s="132">
        <f t="shared" si="37"/>
        <v>1791.5</v>
      </c>
      <c r="D6344" s="125">
        <f t="shared" si="38"/>
        <v>0</v>
      </c>
      <c r="E6344" s="124" t="s">
        <v>8367</v>
      </c>
      <c r="F6344" s="126">
        <v>2</v>
      </c>
      <c r="G6344" s="128">
        <v>4299.6000000000004</v>
      </c>
      <c r="H6344" s="124" t="s">
        <v>8368</v>
      </c>
      <c r="I6344" s="128">
        <v>6811500</v>
      </c>
      <c r="J6344" s="128">
        <v>34057500</v>
      </c>
    </row>
    <row r="6345" spans="1:10" hidden="1" x14ac:dyDescent="0.25">
      <c r="A6345" s="124" t="s">
        <v>8838</v>
      </c>
      <c r="B6345" s="124" t="s">
        <v>11736</v>
      </c>
      <c r="C6345" s="132">
        <f t="shared" si="37"/>
        <v>110833.33333333333</v>
      </c>
      <c r="D6345" s="125">
        <f t="shared" si="38"/>
        <v>0</v>
      </c>
      <c r="E6345" s="124" t="s">
        <v>8367</v>
      </c>
      <c r="F6345" s="126">
        <v>120</v>
      </c>
      <c r="G6345" s="128">
        <v>15960000</v>
      </c>
      <c r="H6345" s="124" t="s">
        <v>8368</v>
      </c>
      <c r="I6345" s="128">
        <v>1935833.33</v>
      </c>
      <c r="J6345" s="128">
        <v>9679166.6699999999</v>
      </c>
    </row>
    <row r="6346" spans="1:10" hidden="1" x14ac:dyDescent="0.25">
      <c r="A6346" s="124" t="s">
        <v>8839</v>
      </c>
      <c r="B6346" s="124" t="s">
        <v>11736</v>
      </c>
      <c r="C6346" s="132">
        <f t="shared" si="37"/>
        <v>200000</v>
      </c>
      <c r="D6346" s="125">
        <f t="shared" si="38"/>
        <v>0</v>
      </c>
      <c r="E6346" s="124" t="s">
        <v>8367</v>
      </c>
      <c r="F6346" s="126">
        <v>1</v>
      </c>
      <c r="G6346" s="128">
        <v>240000</v>
      </c>
      <c r="H6346" s="124" t="s">
        <v>8368</v>
      </c>
      <c r="I6346" s="128">
        <v>1764.2</v>
      </c>
      <c r="J6346" s="128">
        <v>8821</v>
      </c>
    </row>
    <row r="6347" spans="1:10" hidden="1" x14ac:dyDescent="0.25">
      <c r="A6347" s="124" t="s">
        <v>8840</v>
      </c>
      <c r="B6347" s="124" t="s">
        <v>11736</v>
      </c>
      <c r="C6347" s="132">
        <f t="shared" si="37"/>
        <v>47500</v>
      </c>
      <c r="D6347" s="125">
        <f t="shared" si="38"/>
        <v>0</v>
      </c>
      <c r="E6347" s="124" t="s">
        <v>8367</v>
      </c>
      <c r="F6347" s="126">
        <v>717</v>
      </c>
      <c r="G6347" s="128">
        <v>40869000</v>
      </c>
      <c r="H6347" s="124" t="s">
        <v>8368</v>
      </c>
      <c r="I6347" s="128">
        <v>1700</v>
      </c>
      <c r="J6347" s="128">
        <v>8500</v>
      </c>
    </row>
    <row r="6348" spans="1:10" hidden="1" x14ac:dyDescent="0.25">
      <c r="A6348" s="124" t="s">
        <v>8841</v>
      </c>
      <c r="B6348" s="124" t="s">
        <v>11736</v>
      </c>
      <c r="C6348" s="132">
        <f t="shared" si="37"/>
        <v>48395.833350000001</v>
      </c>
      <c r="D6348" s="125">
        <f>COUNTIF(A830:A6347,A6348)</f>
        <v>0</v>
      </c>
      <c r="E6348" s="124" t="s">
        <v>8367</v>
      </c>
      <c r="F6348" s="126">
        <v>200</v>
      </c>
      <c r="G6348" s="128">
        <v>11615000</v>
      </c>
      <c r="H6348" s="124" t="s">
        <v>8368</v>
      </c>
      <c r="I6348" s="128">
        <v>14000</v>
      </c>
      <c r="J6348" s="128">
        <v>70000</v>
      </c>
    </row>
    <row r="6349" spans="1:10" hidden="1" x14ac:dyDescent="0.25">
      <c r="A6349" s="124" t="s">
        <v>8842</v>
      </c>
      <c r="B6349" s="124" t="s">
        <v>11736</v>
      </c>
      <c r="C6349" s="132">
        <f t="shared" si="37"/>
        <v>420.04761904761904</v>
      </c>
      <c r="D6349" s="125">
        <f>COUNTIF(A837:A6348,A6349)</f>
        <v>0</v>
      </c>
      <c r="E6349" s="124" t="s">
        <v>8367</v>
      </c>
      <c r="F6349" s="126">
        <v>21</v>
      </c>
      <c r="G6349" s="128">
        <v>10585.2</v>
      </c>
      <c r="H6349" s="124" t="s">
        <v>8368</v>
      </c>
      <c r="I6349" s="128">
        <v>14000</v>
      </c>
      <c r="J6349" s="128">
        <v>70000</v>
      </c>
    </row>
    <row r="6350" spans="1:10" hidden="1" x14ac:dyDescent="0.25">
      <c r="A6350" s="124" t="s">
        <v>8843</v>
      </c>
      <c r="B6350" s="124" t="s">
        <v>11736</v>
      </c>
      <c r="C6350" s="132">
        <f t="shared" si="37"/>
        <v>8500</v>
      </c>
      <c r="D6350" s="125">
        <f>COUNTIF(A838:A6349,A6350)</f>
        <v>0</v>
      </c>
      <c r="E6350" s="124" t="s">
        <v>8367</v>
      </c>
      <c r="F6350" s="126">
        <v>1</v>
      </c>
      <c r="G6350" s="128">
        <v>10200</v>
      </c>
      <c r="H6350" s="124" t="s">
        <v>8368</v>
      </c>
      <c r="I6350" s="128">
        <v>10382.39</v>
      </c>
      <c r="J6350" s="128">
        <v>51911.95</v>
      </c>
    </row>
    <row r="6351" spans="1:10" hidden="1" x14ac:dyDescent="0.25">
      <c r="A6351" s="124" t="s">
        <v>8844</v>
      </c>
      <c r="B6351" s="124" t="s">
        <v>11736</v>
      </c>
      <c r="C6351" s="132">
        <f t="shared" si="37"/>
        <v>1</v>
      </c>
      <c r="D6351" s="125">
        <f>COUNTIF(A843:A6350,A6351)</f>
        <v>0</v>
      </c>
      <c r="E6351" s="124" t="s">
        <v>8367</v>
      </c>
      <c r="F6351" s="129">
        <v>70000</v>
      </c>
      <c r="G6351" s="128">
        <v>84000</v>
      </c>
      <c r="H6351" s="124" t="s">
        <v>8368</v>
      </c>
      <c r="I6351" s="128">
        <v>393333.33</v>
      </c>
      <c r="J6351" s="128">
        <v>1966666.67</v>
      </c>
    </row>
    <row r="6352" spans="1:10" hidden="1" x14ac:dyDescent="0.25">
      <c r="A6352" s="124" t="s">
        <v>8845</v>
      </c>
      <c r="B6352" s="124" t="s">
        <v>11736</v>
      </c>
      <c r="C6352" s="132">
        <f t="shared" si="37"/>
        <v>1</v>
      </c>
      <c r="D6352" s="125">
        <f>COUNTIF(A844:A6351,A6352)</f>
        <v>0</v>
      </c>
      <c r="E6352" s="124" t="s">
        <v>8367</v>
      </c>
      <c r="F6352" s="129">
        <v>70000</v>
      </c>
      <c r="G6352" s="128">
        <v>84000</v>
      </c>
      <c r="H6352" s="124" t="s">
        <v>8368</v>
      </c>
      <c r="I6352" s="128">
        <v>183376.6</v>
      </c>
      <c r="J6352" s="128">
        <v>916883</v>
      </c>
    </row>
    <row r="6353" spans="1:10" hidden="1" x14ac:dyDescent="0.25">
      <c r="A6353" s="124" t="s">
        <v>8846</v>
      </c>
      <c r="B6353" s="124" t="s">
        <v>11736</v>
      </c>
      <c r="C6353" s="132">
        <f t="shared" si="37"/>
        <v>674.18116883116875</v>
      </c>
      <c r="D6353" s="125">
        <f>COUNTIF(A845:A6352,A6353)</f>
        <v>0</v>
      </c>
      <c r="E6353" s="124" t="s">
        <v>8367</v>
      </c>
      <c r="F6353" s="126">
        <v>77</v>
      </c>
      <c r="G6353" s="128">
        <v>62294.34</v>
      </c>
      <c r="H6353" s="124" t="s">
        <v>8368</v>
      </c>
      <c r="I6353" s="128">
        <v>172766.67</v>
      </c>
      <c r="J6353" s="128">
        <v>863833.33</v>
      </c>
    </row>
    <row r="6354" spans="1:10" hidden="1" x14ac:dyDescent="0.25">
      <c r="A6354" s="124" t="s">
        <v>8847</v>
      </c>
      <c r="B6354" s="124" t="s">
        <v>11736</v>
      </c>
      <c r="C6354" s="132">
        <f t="shared" si="37"/>
        <v>49166.666749999997</v>
      </c>
      <c r="D6354" s="125">
        <f>COUNTIF(A846:A6353,A6354)</f>
        <v>0</v>
      </c>
      <c r="E6354" s="124" t="s">
        <v>8367</v>
      </c>
      <c r="F6354" s="126">
        <v>40</v>
      </c>
      <c r="G6354" s="128">
        <v>2360000</v>
      </c>
      <c r="H6354" s="124" t="s">
        <v>8368</v>
      </c>
      <c r="I6354" s="128">
        <v>827272.67</v>
      </c>
      <c r="J6354" s="128">
        <v>4136363.33</v>
      </c>
    </row>
    <row r="6355" spans="1:10" hidden="1" x14ac:dyDescent="0.25">
      <c r="A6355" s="124" t="s">
        <v>8848</v>
      </c>
      <c r="B6355" s="124" t="s">
        <v>11736</v>
      </c>
      <c r="C6355" s="132">
        <f t="shared" si="37"/>
        <v>10419.125</v>
      </c>
      <c r="D6355" s="125">
        <f>COUNTIF(A851:A6354,A6355)</f>
        <v>0</v>
      </c>
      <c r="E6355" s="124" t="s">
        <v>8367</v>
      </c>
      <c r="F6355" s="126">
        <v>88</v>
      </c>
      <c r="G6355" s="128">
        <v>1100259.6000000001</v>
      </c>
      <c r="H6355" s="124" t="s">
        <v>8368</v>
      </c>
      <c r="I6355" s="128">
        <v>31666.73</v>
      </c>
      <c r="J6355" s="128">
        <v>158333.65</v>
      </c>
    </row>
    <row r="6356" spans="1:10" hidden="1" x14ac:dyDescent="0.25">
      <c r="A6356" s="124" t="s">
        <v>8849</v>
      </c>
      <c r="B6356" s="124" t="s">
        <v>11736</v>
      </c>
      <c r="C6356" s="132">
        <f t="shared" si="37"/>
        <v>6083.3333098591547</v>
      </c>
      <c r="D6356" s="125">
        <f>COUNTIF(A857:A6355,A6356)</f>
        <v>0</v>
      </c>
      <c r="E6356" s="124" t="s">
        <v>8367</v>
      </c>
      <c r="F6356" s="126">
        <v>142</v>
      </c>
      <c r="G6356" s="128">
        <v>1036600</v>
      </c>
      <c r="H6356" s="124" t="s">
        <v>8368</v>
      </c>
      <c r="I6356" s="127">
        <v>541.79999999999995</v>
      </c>
      <c r="J6356" s="128">
        <v>2709</v>
      </c>
    </row>
    <row r="6357" spans="1:10" hidden="1" x14ac:dyDescent="0.25">
      <c r="A6357" s="124" t="s">
        <v>8850</v>
      </c>
      <c r="B6357" s="124" t="s">
        <v>11736</v>
      </c>
      <c r="C6357" s="132">
        <f t="shared" si="37"/>
        <v>2068.1816650000001</v>
      </c>
      <c r="D6357" s="125">
        <f>COUNTIF(A859:A6356,A6357)</f>
        <v>0</v>
      </c>
      <c r="E6357" s="124" t="s">
        <v>8367</v>
      </c>
      <c r="F6357" s="129">
        <v>2000</v>
      </c>
      <c r="G6357" s="128">
        <v>4963636</v>
      </c>
      <c r="H6357" s="124" t="s">
        <v>8368</v>
      </c>
      <c r="I6357" s="128">
        <v>1180</v>
      </c>
      <c r="J6357" s="128">
        <v>5900</v>
      </c>
    </row>
    <row r="6358" spans="1:10" hidden="1" x14ac:dyDescent="0.25">
      <c r="A6358" s="124" t="s">
        <v>8851</v>
      </c>
      <c r="B6358" s="124" t="s">
        <v>11736</v>
      </c>
      <c r="C6358" s="132">
        <f t="shared" si="37"/>
        <v>833.33499999999992</v>
      </c>
      <c r="D6358" s="125">
        <f>COUNTIF(A865:A6357,A6358)</f>
        <v>0</v>
      </c>
      <c r="E6358" s="124" t="s">
        <v>8367</v>
      </c>
      <c r="F6358" s="126">
        <v>190</v>
      </c>
      <c r="G6358" s="128">
        <v>190000.38</v>
      </c>
      <c r="H6358" s="124" t="s">
        <v>8368</v>
      </c>
      <c r="I6358" s="127">
        <v>920</v>
      </c>
      <c r="J6358" s="128">
        <v>4600</v>
      </c>
    </row>
    <row r="6359" spans="1:10" hidden="1" x14ac:dyDescent="0.25">
      <c r="A6359" s="124" t="s">
        <v>8852</v>
      </c>
      <c r="B6359" s="124" t="s">
        <v>11736</v>
      </c>
      <c r="C6359" s="132">
        <f t="shared" si="37"/>
        <v>903</v>
      </c>
      <c r="D6359" s="125">
        <f t="shared" ref="D6359:D6364" si="39">COUNTIF(A873:A6358,A6359)</f>
        <v>0</v>
      </c>
      <c r="E6359" s="124" t="s">
        <v>8367</v>
      </c>
      <c r="F6359" s="126">
        <v>3</v>
      </c>
      <c r="G6359" s="128">
        <v>3250.8</v>
      </c>
      <c r="H6359" s="124" t="s">
        <v>8368</v>
      </c>
      <c r="I6359" s="128">
        <v>3600</v>
      </c>
      <c r="J6359" s="128">
        <v>18000</v>
      </c>
    </row>
    <row r="6360" spans="1:10" hidden="1" x14ac:dyDescent="0.25">
      <c r="A6360" s="124" t="s">
        <v>8853</v>
      </c>
      <c r="B6360" s="124" t="s">
        <v>11736</v>
      </c>
      <c r="C6360" s="132">
        <f t="shared" si="37"/>
        <v>59</v>
      </c>
      <c r="D6360" s="125">
        <f t="shared" si="39"/>
        <v>0</v>
      </c>
      <c r="E6360" s="124" t="s">
        <v>8367</v>
      </c>
      <c r="F6360" s="126">
        <v>100</v>
      </c>
      <c r="G6360" s="128">
        <v>7080</v>
      </c>
      <c r="H6360" s="124" t="s">
        <v>8368</v>
      </c>
      <c r="I6360" s="128">
        <v>20000</v>
      </c>
      <c r="J6360" s="128">
        <v>100000</v>
      </c>
    </row>
    <row r="6361" spans="1:10" hidden="1" x14ac:dyDescent="0.25">
      <c r="A6361" s="124" t="s">
        <v>8854</v>
      </c>
      <c r="B6361" s="124" t="s">
        <v>11736</v>
      </c>
      <c r="C6361" s="132">
        <f t="shared" si="37"/>
        <v>46</v>
      </c>
      <c r="D6361" s="125">
        <f t="shared" si="39"/>
        <v>0</v>
      </c>
      <c r="E6361" s="124" t="s">
        <v>8367</v>
      </c>
      <c r="F6361" s="126">
        <v>100</v>
      </c>
      <c r="G6361" s="128">
        <v>5520</v>
      </c>
      <c r="H6361" s="124" t="s">
        <v>8368</v>
      </c>
      <c r="I6361" s="127">
        <v>191.4</v>
      </c>
      <c r="J6361" s="127">
        <v>957</v>
      </c>
    </row>
    <row r="6362" spans="1:10" hidden="1" x14ac:dyDescent="0.25">
      <c r="A6362" s="124" t="s">
        <v>8855</v>
      </c>
      <c r="B6362" s="124" t="s">
        <v>11736</v>
      </c>
      <c r="C6362" s="132">
        <f t="shared" si="37"/>
        <v>900</v>
      </c>
      <c r="D6362" s="125">
        <f t="shared" si="39"/>
        <v>0</v>
      </c>
      <c r="E6362" s="124" t="s">
        <v>8367</v>
      </c>
      <c r="F6362" s="126">
        <v>20</v>
      </c>
      <c r="G6362" s="128">
        <v>21600</v>
      </c>
      <c r="H6362" s="124" t="s">
        <v>8368</v>
      </c>
      <c r="I6362" s="128">
        <v>32500</v>
      </c>
      <c r="J6362" s="128">
        <v>162500</v>
      </c>
    </row>
    <row r="6363" spans="1:10" hidden="1" x14ac:dyDescent="0.25">
      <c r="A6363" s="124" t="s">
        <v>8856</v>
      </c>
      <c r="B6363" s="124" t="s">
        <v>11736</v>
      </c>
      <c r="C6363" s="132">
        <f t="shared" si="37"/>
        <v>2000</v>
      </c>
      <c r="D6363" s="125">
        <f t="shared" si="39"/>
        <v>0</v>
      </c>
      <c r="E6363" s="124" t="s">
        <v>8367</v>
      </c>
      <c r="F6363" s="126">
        <v>50</v>
      </c>
      <c r="G6363" s="128">
        <v>120000</v>
      </c>
      <c r="H6363" s="124" t="s">
        <v>8368</v>
      </c>
      <c r="I6363" s="128">
        <v>9950</v>
      </c>
      <c r="J6363" s="128">
        <v>49750</v>
      </c>
    </row>
    <row r="6364" spans="1:10" hidden="1" x14ac:dyDescent="0.25">
      <c r="A6364" s="124" t="s">
        <v>8857</v>
      </c>
      <c r="B6364" s="124" t="s">
        <v>11736</v>
      </c>
      <c r="C6364" s="132">
        <f t="shared" si="37"/>
        <v>1914</v>
      </c>
      <c r="D6364" s="125">
        <f t="shared" si="39"/>
        <v>0</v>
      </c>
      <c r="E6364" s="124" t="s">
        <v>8367</v>
      </c>
      <c r="F6364" s="126">
        <v>0.5</v>
      </c>
      <c r="G6364" s="128">
        <v>1148.4000000000001</v>
      </c>
      <c r="H6364" s="124" t="s">
        <v>8368</v>
      </c>
      <c r="I6364" s="128">
        <v>12000</v>
      </c>
      <c r="J6364" s="128">
        <v>60000</v>
      </c>
    </row>
    <row r="6365" spans="1:10" hidden="1" x14ac:dyDescent="0.25">
      <c r="A6365" s="124" t="s">
        <v>8858</v>
      </c>
      <c r="B6365" s="124" t="s">
        <v>11736</v>
      </c>
      <c r="C6365" s="132">
        <f t="shared" si="37"/>
        <v>1625</v>
      </c>
      <c r="D6365" s="125">
        <f t="shared" ref="D6365:D6373" si="40">COUNTIF(A880:A6364,A6365)</f>
        <v>0</v>
      </c>
      <c r="E6365" s="124" t="s">
        <v>8367</v>
      </c>
      <c r="F6365" s="126">
        <v>100</v>
      </c>
      <c r="G6365" s="128">
        <v>195000</v>
      </c>
      <c r="H6365" s="124" t="s">
        <v>8368</v>
      </c>
      <c r="I6365" s="127">
        <v>416.6</v>
      </c>
      <c r="J6365" s="128">
        <v>2083</v>
      </c>
    </row>
    <row r="6366" spans="1:10" hidden="1" x14ac:dyDescent="0.25">
      <c r="A6366" s="124" t="s">
        <v>8859</v>
      </c>
      <c r="B6366" s="124" t="s">
        <v>11736</v>
      </c>
      <c r="C6366" s="132">
        <f t="shared" si="37"/>
        <v>1658.3333333333333</v>
      </c>
      <c r="D6366" s="125">
        <f t="shared" si="40"/>
        <v>0</v>
      </c>
      <c r="E6366" s="124" t="s">
        <v>8367</v>
      </c>
      <c r="F6366" s="126">
        <v>30</v>
      </c>
      <c r="G6366" s="128">
        <v>59700</v>
      </c>
      <c r="H6366" s="124" t="s">
        <v>8368</v>
      </c>
      <c r="I6366" s="128">
        <v>1214.4000000000001</v>
      </c>
      <c r="J6366" s="128">
        <v>6072</v>
      </c>
    </row>
    <row r="6367" spans="1:10" hidden="1" x14ac:dyDescent="0.25">
      <c r="A6367" s="124" t="s">
        <v>8860</v>
      </c>
      <c r="B6367" s="124" t="s">
        <v>11736</v>
      </c>
      <c r="C6367" s="132">
        <f t="shared" si="37"/>
        <v>4000</v>
      </c>
      <c r="D6367" s="125">
        <f t="shared" si="40"/>
        <v>0</v>
      </c>
      <c r="E6367" s="124" t="s">
        <v>8367</v>
      </c>
      <c r="F6367" s="126">
        <v>15</v>
      </c>
      <c r="G6367" s="128">
        <v>72000</v>
      </c>
      <c r="H6367" s="124" t="s">
        <v>8368</v>
      </c>
      <c r="I6367" s="128">
        <v>1449.4</v>
      </c>
      <c r="J6367" s="128">
        <v>7247</v>
      </c>
    </row>
    <row r="6368" spans="1:10" hidden="1" x14ac:dyDescent="0.25">
      <c r="A6368" s="124" t="s">
        <v>8861</v>
      </c>
      <c r="B6368" s="124" t="s">
        <v>11736</v>
      </c>
      <c r="C6368" s="132">
        <f t="shared" si="37"/>
        <v>208.3</v>
      </c>
      <c r="D6368" s="125">
        <f t="shared" si="40"/>
        <v>0</v>
      </c>
      <c r="E6368" s="124" t="s">
        <v>8367</v>
      </c>
      <c r="F6368" s="126">
        <v>10</v>
      </c>
      <c r="G6368" s="128">
        <v>2499.6</v>
      </c>
      <c r="H6368" s="124" t="s">
        <v>8368</v>
      </c>
      <c r="I6368" s="127">
        <v>194.6</v>
      </c>
      <c r="J6368" s="127">
        <v>973</v>
      </c>
    </row>
    <row r="6369" spans="1:10" hidden="1" x14ac:dyDescent="0.25">
      <c r="A6369" s="124" t="s">
        <v>8862</v>
      </c>
      <c r="B6369" s="124" t="s">
        <v>11736</v>
      </c>
      <c r="C6369" s="132">
        <f t="shared" si="37"/>
        <v>2024</v>
      </c>
      <c r="D6369" s="125">
        <f t="shared" si="40"/>
        <v>0</v>
      </c>
      <c r="E6369" s="124" t="s">
        <v>8367</v>
      </c>
      <c r="F6369" s="126">
        <v>3</v>
      </c>
      <c r="G6369" s="128">
        <v>7286.4</v>
      </c>
      <c r="H6369" s="124" t="s">
        <v>8368</v>
      </c>
      <c r="I6369" s="128">
        <v>1200</v>
      </c>
      <c r="J6369" s="128">
        <v>6000</v>
      </c>
    </row>
    <row r="6370" spans="1:10" hidden="1" x14ac:dyDescent="0.25">
      <c r="A6370" s="124" t="s">
        <v>8863</v>
      </c>
      <c r="B6370" s="124" t="s">
        <v>11736</v>
      </c>
      <c r="C6370" s="132">
        <f t="shared" si="37"/>
        <v>2415.6666666666665</v>
      </c>
      <c r="D6370" s="125">
        <f t="shared" si="40"/>
        <v>0</v>
      </c>
      <c r="E6370" s="124" t="s">
        <v>8367</v>
      </c>
      <c r="F6370" s="126">
        <v>3</v>
      </c>
      <c r="G6370" s="128">
        <v>8696.4</v>
      </c>
      <c r="H6370" s="124" t="s">
        <v>8368</v>
      </c>
      <c r="I6370" s="128">
        <v>5043.55</v>
      </c>
      <c r="J6370" s="128">
        <v>25217.75</v>
      </c>
    </row>
    <row r="6371" spans="1:10" hidden="1" x14ac:dyDescent="0.25">
      <c r="A6371" s="124" t="s">
        <v>8864</v>
      </c>
      <c r="B6371" s="124" t="s">
        <v>11736</v>
      </c>
      <c r="C6371" s="132">
        <f t="shared" si="37"/>
        <v>973</v>
      </c>
      <c r="D6371" s="125">
        <f t="shared" si="40"/>
        <v>0</v>
      </c>
      <c r="E6371" s="124" t="s">
        <v>8367</v>
      </c>
      <c r="F6371" s="126">
        <v>1</v>
      </c>
      <c r="G6371" s="128">
        <v>1167.5999999999999</v>
      </c>
      <c r="H6371" s="124" t="s">
        <v>8368</v>
      </c>
      <c r="I6371" s="128">
        <v>1826.6</v>
      </c>
      <c r="J6371" s="128">
        <v>9133</v>
      </c>
    </row>
    <row r="6372" spans="1:10" hidden="1" x14ac:dyDescent="0.25">
      <c r="A6372" s="124" t="s">
        <v>8865</v>
      </c>
      <c r="B6372" s="124" t="s">
        <v>11736</v>
      </c>
      <c r="C6372" s="132">
        <f t="shared" si="37"/>
        <v>2000</v>
      </c>
      <c r="D6372" s="125">
        <f t="shared" si="40"/>
        <v>0</v>
      </c>
      <c r="E6372" s="124" t="s">
        <v>8367</v>
      </c>
      <c r="F6372" s="126">
        <v>3</v>
      </c>
      <c r="G6372" s="128">
        <v>7200</v>
      </c>
      <c r="H6372" s="124" t="s">
        <v>8368</v>
      </c>
      <c r="I6372" s="127">
        <v>156</v>
      </c>
      <c r="J6372" s="127">
        <v>780</v>
      </c>
    </row>
    <row r="6373" spans="1:10" hidden="1" x14ac:dyDescent="0.25">
      <c r="A6373" s="124" t="s">
        <v>8866</v>
      </c>
      <c r="B6373" s="124" t="s">
        <v>11736</v>
      </c>
      <c r="C6373" s="132">
        <f t="shared" si="37"/>
        <v>663.625</v>
      </c>
      <c r="D6373" s="125">
        <f t="shared" si="40"/>
        <v>0</v>
      </c>
      <c r="E6373" s="124" t="s">
        <v>8367</v>
      </c>
      <c r="F6373" s="126">
        <v>38</v>
      </c>
      <c r="G6373" s="128">
        <v>30261.3</v>
      </c>
      <c r="H6373" s="124" t="s">
        <v>8368</v>
      </c>
      <c r="I6373" s="128">
        <v>1636.8</v>
      </c>
      <c r="J6373" s="128">
        <v>8184</v>
      </c>
    </row>
    <row r="6374" spans="1:10" hidden="1" x14ac:dyDescent="0.25">
      <c r="A6374" s="124" t="s">
        <v>8867</v>
      </c>
      <c r="B6374" s="124" t="s">
        <v>11736</v>
      </c>
      <c r="C6374" s="132">
        <f t="shared" si="37"/>
        <v>4566.5</v>
      </c>
      <c r="D6374" s="125">
        <f>COUNTIF(A892:A6373,A6374)</f>
        <v>0</v>
      </c>
      <c r="E6374" s="124" t="s">
        <v>8367</v>
      </c>
      <c r="F6374" s="126">
        <v>2</v>
      </c>
      <c r="G6374" s="128">
        <v>10959.6</v>
      </c>
      <c r="H6374" s="124" t="s">
        <v>8368</v>
      </c>
      <c r="I6374" s="127">
        <v>162.4</v>
      </c>
      <c r="J6374" s="127">
        <v>812</v>
      </c>
    </row>
    <row r="6375" spans="1:10" hidden="1" x14ac:dyDescent="0.25">
      <c r="A6375" s="124" t="s">
        <v>8868</v>
      </c>
      <c r="B6375" s="124" t="s">
        <v>11736</v>
      </c>
      <c r="C6375" s="132">
        <f t="shared" si="37"/>
        <v>97.5</v>
      </c>
      <c r="D6375" s="125">
        <f>COUNTIF(A893:A6374,A6375)</f>
        <v>0</v>
      </c>
      <c r="E6375" s="124" t="s">
        <v>8367</v>
      </c>
      <c r="F6375" s="126">
        <v>8</v>
      </c>
      <c r="G6375" s="127">
        <v>936</v>
      </c>
      <c r="H6375" s="124" t="s">
        <v>8368</v>
      </c>
      <c r="I6375" s="128">
        <v>2610</v>
      </c>
      <c r="J6375" s="128">
        <v>13050</v>
      </c>
    </row>
    <row r="6376" spans="1:10" hidden="1" x14ac:dyDescent="0.25">
      <c r="A6376" s="124" t="s">
        <v>8869</v>
      </c>
      <c r="B6376" s="124" t="s">
        <v>11736</v>
      </c>
      <c r="C6376" s="132">
        <f t="shared" si="37"/>
        <v>8184</v>
      </c>
      <c r="D6376" s="125">
        <f>COUNTIF(A895:A6375,A6376)</f>
        <v>0</v>
      </c>
      <c r="E6376" s="124" t="s">
        <v>8367</v>
      </c>
      <c r="F6376" s="126">
        <v>1</v>
      </c>
      <c r="G6376" s="128">
        <v>9820.7999999999993</v>
      </c>
      <c r="H6376" s="124" t="s">
        <v>8368</v>
      </c>
      <c r="I6376" s="127">
        <v>430.29</v>
      </c>
      <c r="J6376" s="128">
        <v>2151.42</v>
      </c>
    </row>
    <row r="6377" spans="1:10" hidden="1" x14ac:dyDescent="0.25">
      <c r="A6377" s="124" t="s">
        <v>8870</v>
      </c>
      <c r="B6377" s="124" t="s">
        <v>11736</v>
      </c>
      <c r="C6377" s="132">
        <f t="shared" si="37"/>
        <v>812</v>
      </c>
      <c r="D6377" s="125">
        <f>COUNTIF(A898:A6376,A6377)</f>
        <v>0</v>
      </c>
      <c r="E6377" s="124" t="s">
        <v>8367</v>
      </c>
      <c r="F6377" s="126">
        <v>1</v>
      </c>
      <c r="G6377" s="127">
        <v>974.4</v>
      </c>
      <c r="H6377" s="124" t="s">
        <v>8368</v>
      </c>
      <c r="I6377" s="127">
        <v>109.6</v>
      </c>
      <c r="J6377" s="127">
        <v>548</v>
      </c>
    </row>
    <row r="6378" spans="1:10" hidden="1" x14ac:dyDescent="0.25">
      <c r="A6378" s="124" t="s">
        <v>8871</v>
      </c>
      <c r="B6378" s="124" t="s">
        <v>11736</v>
      </c>
      <c r="C6378" s="132">
        <f t="shared" si="37"/>
        <v>725</v>
      </c>
      <c r="D6378" s="125">
        <f>COUNTIF(A899:A6377,A6378)</f>
        <v>0</v>
      </c>
      <c r="E6378" s="124" t="s">
        <v>8367</v>
      </c>
      <c r="F6378" s="126">
        <v>18</v>
      </c>
      <c r="G6378" s="128">
        <v>15660</v>
      </c>
      <c r="H6378" s="124" t="s">
        <v>8368</v>
      </c>
      <c r="I6378" s="127">
        <v>58</v>
      </c>
      <c r="J6378" s="127">
        <v>290</v>
      </c>
    </row>
    <row r="6379" spans="1:10" hidden="1" x14ac:dyDescent="0.25">
      <c r="A6379" s="124" t="s">
        <v>8872</v>
      </c>
      <c r="B6379" s="124" t="s">
        <v>11736</v>
      </c>
      <c r="C6379" s="132">
        <f t="shared" si="37"/>
        <v>717.14</v>
      </c>
      <c r="D6379" s="125">
        <f t="shared" ref="D6379:D6384" si="41">COUNTIF(A901:A6378,A6379)</f>
        <v>0</v>
      </c>
      <c r="E6379" s="124" t="s">
        <v>8367</v>
      </c>
      <c r="F6379" s="126">
        <v>3</v>
      </c>
      <c r="G6379" s="128">
        <v>2581.71</v>
      </c>
      <c r="H6379" s="124" t="s">
        <v>8368</v>
      </c>
      <c r="I6379" s="127">
        <v>678</v>
      </c>
      <c r="J6379" s="128">
        <v>3390</v>
      </c>
    </row>
    <row r="6380" spans="1:10" hidden="1" x14ac:dyDescent="0.25">
      <c r="A6380" s="124" t="s">
        <v>8873</v>
      </c>
      <c r="B6380" s="124" t="s">
        <v>11736</v>
      </c>
      <c r="C6380" s="132">
        <f t="shared" si="37"/>
        <v>182.66666666666666</v>
      </c>
      <c r="D6380" s="125">
        <f t="shared" si="41"/>
        <v>0</v>
      </c>
      <c r="E6380" s="124" t="s">
        <v>8367</v>
      </c>
      <c r="F6380" s="126">
        <v>3</v>
      </c>
      <c r="G6380" s="127">
        <v>657.6</v>
      </c>
      <c r="H6380" s="124" t="s">
        <v>8368</v>
      </c>
      <c r="I6380" s="128">
        <v>3030</v>
      </c>
      <c r="J6380" s="128">
        <v>15150</v>
      </c>
    </row>
    <row r="6381" spans="1:10" hidden="1" x14ac:dyDescent="0.25">
      <c r="A6381" s="124" t="s">
        <v>8874</v>
      </c>
      <c r="B6381" s="124" t="s">
        <v>11736</v>
      </c>
      <c r="C6381" s="132">
        <f t="shared" si="37"/>
        <v>145</v>
      </c>
      <c r="D6381" s="125">
        <f t="shared" si="41"/>
        <v>0</v>
      </c>
      <c r="E6381" s="124" t="s">
        <v>8367</v>
      </c>
      <c r="F6381" s="126">
        <v>2</v>
      </c>
      <c r="G6381" s="127">
        <v>348</v>
      </c>
      <c r="H6381" s="124" t="s">
        <v>8368</v>
      </c>
      <c r="I6381" s="127">
        <v>253.5</v>
      </c>
      <c r="J6381" s="128">
        <v>1267.5</v>
      </c>
    </row>
    <row r="6382" spans="1:10" hidden="1" x14ac:dyDescent="0.25">
      <c r="A6382" s="124" t="s">
        <v>8875</v>
      </c>
      <c r="B6382" s="124" t="s">
        <v>11736</v>
      </c>
      <c r="C6382" s="132">
        <f t="shared" si="37"/>
        <v>94.166666666666671</v>
      </c>
      <c r="D6382" s="125">
        <f t="shared" si="41"/>
        <v>0</v>
      </c>
      <c r="E6382" s="124" t="s">
        <v>8367</v>
      </c>
      <c r="F6382" s="126">
        <v>36</v>
      </c>
      <c r="G6382" s="128">
        <v>4068</v>
      </c>
      <c r="H6382" s="124" t="s">
        <v>8368</v>
      </c>
      <c r="I6382" s="127">
        <v>189.4</v>
      </c>
      <c r="J6382" s="127">
        <v>947</v>
      </c>
    </row>
    <row r="6383" spans="1:10" hidden="1" x14ac:dyDescent="0.25">
      <c r="A6383" s="124" t="s">
        <v>8876</v>
      </c>
      <c r="B6383" s="124" t="s">
        <v>11736</v>
      </c>
      <c r="C6383" s="132">
        <f t="shared" si="37"/>
        <v>5050</v>
      </c>
      <c r="D6383" s="125">
        <f t="shared" si="41"/>
        <v>0</v>
      </c>
      <c r="E6383" s="124" t="s">
        <v>8367</v>
      </c>
      <c r="F6383" s="126">
        <v>3</v>
      </c>
      <c r="G6383" s="128">
        <v>18180</v>
      </c>
      <c r="H6383" s="124" t="s">
        <v>8368</v>
      </c>
      <c r="I6383" s="127">
        <v>239.8</v>
      </c>
      <c r="J6383" s="128">
        <v>1199</v>
      </c>
    </row>
    <row r="6384" spans="1:10" hidden="1" x14ac:dyDescent="0.25">
      <c r="A6384" s="124" t="s">
        <v>8877</v>
      </c>
      <c r="B6384" s="124" t="s">
        <v>11736</v>
      </c>
      <c r="C6384" s="132">
        <f t="shared" si="37"/>
        <v>422.5</v>
      </c>
      <c r="D6384" s="125">
        <f t="shared" si="41"/>
        <v>0</v>
      </c>
      <c r="E6384" s="124" t="s">
        <v>8367</v>
      </c>
      <c r="F6384" s="126">
        <v>3</v>
      </c>
      <c r="G6384" s="128">
        <v>1521</v>
      </c>
      <c r="H6384" s="124" t="s">
        <v>8368</v>
      </c>
      <c r="I6384" s="127">
        <v>264</v>
      </c>
      <c r="J6384" s="128">
        <v>1320</v>
      </c>
    </row>
    <row r="6385" spans="1:10" hidden="1" x14ac:dyDescent="0.25">
      <c r="A6385" s="124" t="s">
        <v>8878</v>
      </c>
      <c r="B6385" s="124" t="s">
        <v>11736</v>
      </c>
      <c r="C6385" s="132">
        <f t="shared" si="37"/>
        <v>947</v>
      </c>
      <c r="D6385" s="125">
        <f t="shared" ref="D6385:D6392" si="42">COUNTIF(A909:A6384,A6385)</f>
        <v>0</v>
      </c>
      <c r="E6385" s="124" t="s">
        <v>8367</v>
      </c>
      <c r="F6385" s="126">
        <v>1</v>
      </c>
      <c r="G6385" s="128">
        <v>1136.4000000000001</v>
      </c>
      <c r="H6385" s="124" t="s">
        <v>8368</v>
      </c>
      <c r="I6385" s="127">
        <v>65</v>
      </c>
      <c r="J6385" s="127">
        <v>325</v>
      </c>
    </row>
    <row r="6386" spans="1:10" hidden="1" x14ac:dyDescent="0.25">
      <c r="A6386" s="124" t="s">
        <v>8879</v>
      </c>
      <c r="B6386" s="124" t="s">
        <v>11736</v>
      </c>
      <c r="C6386" s="132">
        <f t="shared" si="37"/>
        <v>1199</v>
      </c>
      <c r="D6386" s="125">
        <f t="shared" si="42"/>
        <v>0</v>
      </c>
      <c r="E6386" s="124" t="s">
        <v>8367</v>
      </c>
      <c r="F6386" s="126">
        <v>1</v>
      </c>
      <c r="G6386" s="128">
        <v>1438.8</v>
      </c>
      <c r="H6386" s="124" t="s">
        <v>8368</v>
      </c>
      <c r="I6386" s="128">
        <v>1100</v>
      </c>
      <c r="J6386" s="128">
        <v>5500</v>
      </c>
    </row>
    <row r="6387" spans="1:10" hidden="1" x14ac:dyDescent="0.25">
      <c r="A6387" s="124" t="s">
        <v>8880</v>
      </c>
      <c r="B6387" s="124" t="s">
        <v>11736</v>
      </c>
      <c r="C6387" s="132">
        <f t="shared" si="37"/>
        <v>82.5</v>
      </c>
      <c r="D6387" s="125">
        <f t="shared" si="42"/>
        <v>0</v>
      </c>
      <c r="E6387" s="124" t="s">
        <v>8367</v>
      </c>
      <c r="F6387" s="126">
        <v>16</v>
      </c>
      <c r="G6387" s="128">
        <v>1584</v>
      </c>
      <c r="H6387" s="124" t="s">
        <v>8368</v>
      </c>
      <c r="I6387" s="127">
        <v>194.1</v>
      </c>
      <c r="J6387" s="127">
        <v>970.5</v>
      </c>
    </row>
    <row r="6388" spans="1:10" hidden="1" x14ac:dyDescent="0.25">
      <c r="A6388" s="124" t="s">
        <v>8881</v>
      </c>
      <c r="B6388" s="124" t="s">
        <v>11736</v>
      </c>
      <c r="C6388" s="132">
        <f t="shared" si="37"/>
        <v>65</v>
      </c>
      <c r="D6388" s="125">
        <f t="shared" si="42"/>
        <v>0</v>
      </c>
      <c r="E6388" s="124" t="s">
        <v>8367</v>
      </c>
      <c r="F6388" s="126">
        <v>5</v>
      </c>
      <c r="G6388" s="127">
        <v>390</v>
      </c>
      <c r="H6388" s="124" t="s">
        <v>8368</v>
      </c>
      <c r="I6388" s="128">
        <v>5873.4</v>
      </c>
      <c r="J6388" s="128">
        <v>29367</v>
      </c>
    </row>
    <row r="6389" spans="1:10" hidden="1" x14ac:dyDescent="0.25">
      <c r="A6389" s="124" t="s">
        <v>8882</v>
      </c>
      <c r="B6389" s="124" t="s">
        <v>11736</v>
      </c>
      <c r="C6389" s="132">
        <f t="shared" si="37"/>
        <v>36.666666666666664</v>
      </c>
      <c r="D6389" s="125">
        <f t="shared" si="42"/>
        <v>0</v>
      </c>
      <c r="E6389" s="124" t="s">
        <v>8367</v>
      </c>
      <c r="F6389" s="126">
        <v>150</v>
      </c>
      <c r="G6389" s="128">
        <v>6600</v>
      </c>
      <c r="H6389" s="124" t="s">
        <v>8368</v>
      </c>
      <c r="I6389" s="127">
        <v>130.80000000000001</v>
      </c>
      <c r="J6389" s="127">
        <v>654</v>
      </c>
    </row>
    <row r="6390" spans="1:10" hidden="1" x14ac:dyDescent="0.25">
      <c r="A6390" s="124" t="s">
        <v>8883</v>
      </c>
      <c r="B6390" s="124" t="s">
        <v>11736</v>
      </c>
      <c r="C6390" s="132">
        <f t="shared" si="37"/>
        <v>161.75</v>
      </c>
      <c r="D6390" s="125">
        <f t="shared" si="42"/>
        <v>0</v>
      </c>
      <c r="E6390" s="124" t="s">
        <v>8367</v>
      </c>
      <c r="F6390" s="126">
        <v>6</v>
      </c>
      <c r="G6390" s="128">
        <v>1164.5999999999999</v>
      </c>
      <c r="H6390" s="124" t="s">
        <v>8368</v>
      </c>
      <c r="I6390" s="127">
        <v>86.6</v>
      </c>
      <c r="J6390" s="127">
        <v>433</v>
      </c>
    </row>
    <row r="6391" spans="1:10" hidden="1" x14ac:dyDescent="0.25">
      <c r="A6391" s="124" t="s">
        <v>8884</v>
      </c>
      <c r="B6391" s="124" t="s">
        <v>11736</v>
      </c>
      <c r="C6391" s="132">
        <f t="shared" si="37"/>
        <v>734.17499999999995</v>
      </c>
      <c r="D6391" s="125">
        <f t="shared" si="42"/>
        <v>0</v>
      </c>
      <c r="E6391" s="124" t="s">
        <v>8367</v>
      </c>
      <c r="F6391" s="126">
        <v>40</v>
      </c>
      <c r="G6391" s="128">
        <v>35240.400000000001</v>
      </c>
      <c r="H6391" s="124" t="s">
        <v>8368</v>
      </c>
      <c r="I6391" s="127">
        <v>36</v>
      </c>
      <c r="J6391" s="127">
        <v>180</v>
      </c>
    </row>
    <row r="6392" spans="1:10" hidden="1" x14ac:dyDescent="0.25">
      <c r="A6392" s="124" t="s">
        <v>8885</v>
      </c>
      <c r="B6392" s="124" t="s">
        <v>11736</v>
      </c>
      <c r="C6392" s="132">
        <f t="shared" ref="C6392:C6455" si="43">J6389/F6392</f>
        <v>130.80000000000001</v>
      </c>
      <c r="D6392" s="125">
        <f t="shared" si="42"/>
        <v>0</v>
      </c>
      <c r="E6392" s="124" t="s">
        <v>8367</v>
      </c>
      <c r="F6392" s="126">
        <v>5</v>
      </c>
      <c r="G6392" s="127">
        <v>784.8</v>
      </c>
      <c r="H6392" s="124" t="s">
        <v>8368</v>
      </c>
      <c r="I6392" s="128">
        <v>1509.6</v>
      </c>
      <c r="J6392" s="128">
        <v>7548</v>
      </c>
    </row>
    <row r="6393" spans="1:10" hidden="1" x14ac:dyDescent="0.25">
      <c r="A6393" s="124" t="s">
        <v>8886</v>
      </c>
      <c r="B6393" s="124" t="s">
        <v>11736</v>
      </c>
      <c r="C6393" s="132">
        <f t="shared" si="43"/>
        <v>433</v>
      </c>
      <c r="D6393" s="125">
        <f t="shared" ref="D6393:D6405" si="44">COUNTIF(A919:A6392,A6393)</f>
        <v>0</v>
      </c>
      <c r="E6393" s="124" t="s">
        <v>8367</v>
      </c>
      <c r="F6393" s="126">
        <v>1</v>
      </c>
      <c r="G6393" s="127">
        <v>519.6</v>
      </c>
      <c r="H6393" s="124" t="s">
        <v>8368</v>
      </c>
      <c r="I6393" s="127">
        <v>54.4</v>
      </c>
      <c r="J6393" s="127">
        <v>272</v>
      </c>
    </row>
    <row r="6394" spans="1:10" hidden="1" x14ac:dyDescent="0.25">
      <c r="A6394" s="124" t="s">
        <v>8887</v>
      </c>
      <c r="B6394" s="124" t="s">
        <v>11736</v>
      </c>
      <c r="C6394" s="132">
        <f t="shared" si="43"/>
        <v>90</v>
      </c>
      <c r="D6394" s="125">
        <f t="shared" si="44"/>
        <v>0</v>
      </c>
      <c r="E6394" s="124" t="s">
        <v>8367</v>
      </c>
      <c r="F6394" s="126">
        <v>2</v>
      </c>
      <c r="G6394" s="127">
        <v>216</v>
      </c>
      <c r="H6394" s="124" t="s">
        <v>8368</v>
      </c>
      <c r="I6394" s="127">
        <v>304.52999999999997</v>
      </c>
      <c r="J6394" s="128">
        <v>1522.67</v>
      </c>
    </row>
    <row r="6395" spans="1:10" hidden="1" x14ac:dyDescent="0.25">
      <c r="A6395" s="124" t="s">
        <v>8888</v>
      </c>
      <c r="B6395" s="124" t="s">
        <v>11736</v>
      </c>
      <c r="C6395" s="132">
        <f t="shared" si="43"/>
        <v>3774</v>
      </c>
      <c r="D6395" s="125">
        <f t="shared" si="44"/>
        <v>0</v>
      </c>
      <c r="E6395" s="124" t="s">
        <v>8367</v>
      </c>
      <c r="F6395" s="126">
        <v>2</v>
      </c>
      <c r="G6395" s="128">
        <v>9057.6</v>
      </c>
      <c r="H6395" s="124" t="s">
        <v>8368</v>
      </c>
      <c r="I6395" s="127">
        <v>229.6</v>
      </c>
      <c r="J6395" s="128">
        <v>1148</v>
      </c>
    </row>
    <row r="6396" spans="1:10" hidden="1" x14ac:dyDescent="0.25">
      <c r="A6396" s="124" t="s">
        <v>8889</v>
      </c>
      <c r="B6396" s="124" t="s">
        <v>11736</v>
      </c>
      <c r="C6396" s="132">
        <f t="shared" si="43"/>
        <v>272</v>
      </c>
      <c r="D6396" s="125">
        <f t="shared" si="44"/>
        <v>0</v>
      </c>
      <c r="E6396" s="124" t="s">
        <v>8367</v>
      </c>
      <c r="F6396" s="126">
        <v>1</v>
      </c>
      <c r="G6396" s="127">
        <v>326.39999999999998</v>
      </c>
      <c r="H6396" s="124" t="s">
        <v>8368</v>
      </c>
      <c r="I6396" s="127">
        <v>346.6</v>
      </c>
      <c r="J6396" s="128">
        <v>1733</v>
      </c>
    </row>
    <row r="6397" spans="1:10" hidden="1" x14ac:dyDescent="0.25">
      <c r="A6397" s="124" t="s">
        <v>8890</v>
      </c>
      <c r="B6397" s="124" t="s">
        <v>11736</v>
      </c>
      <c r="C6397" s="132">
        <f t="shared" si="43"/>
        <v>152.267</v>
      </c>
      <c r="D6397" s="125">
        <f t="shared" si="44"/>
        <v>0</v>
      </c>
      <c r="E6397" s="124" t="s">
        <v>8367</v>
      </c>
      <c r="F6397" s="126">
        <v>10</v>
      </c>
      <c r="G6397" s="128">
        <v>1827.2</v>
      </c>
      <c r="H6397" s="124" t="s">
        <v>8368</v>
      </c>
      <c r="I6397" s="127">
        <v>48.6</v>
      </c>
      <c r="J6397" s="127">
        <v>243</v>
      </c>
    </row>
    <row r="6398" spans="1:10" hidden="1" x14ac:dyDescent="0.25">
      <c r="A6398" s="124" t="s">
        <v>1208</v>
      </c>
      <c r="B6398" s="124" t="s">
        <v>11736</v>
      </c>
      <c r="C6398" s="132">
        <f t="shared" si="43"/>
        <v>574</v>
      </c>
      <c r="D6398" s="125">
        <f t="shared" si="44"/>
        <v>0</v>
      </c>
      <c r="E6398" s="124" t="s">
        <v>8367</v>
      </c>
      <c r="F6398" s="126">
        <v>2</v>
      </c>
      <c r="G6398" s="128">
        <v>1377.6</v>
      </c>
      <c r="H6398" s="124" t="s">
        <v>8368</v>
      </c>
      <c r="I6398" s="127">
        <v>199.4</v>
      </c>
      <c r="J6398" s="127">
        <v>997</v>
      </c>
    </row>
    <row r="6399" spans="1:10" hidden="1" x14ac:dyDescent="0.25">
      <c r="A6399" s="124" t="s">
        <v>8891</v>
      </c>
      <c r="B6399" s="124" t="s">
        <v>11736</v>
      </c>
      <c r="C6399" s="132">
        <f t="shared" si="43"/>
        <v>346.6</v>
      </c>
      <c r="D6399" s="125">
        <f t="shared" si="44"/>
        <v>0</v>
      </c>
      <c r="E6399" s="124" t="s">
        <v>8367</v>
      </c>
      <c r="F6399" s="126">
        <v>5</v>
      </c>
      <c r="G6399" s="128">
        <v>2079.6</v>
      </c>
      <c r="H6399" s="124" t="s">
        <v>8368</v>
      </c>
      <c r="I6399" s="127">
        <v>600.6</v>
      </c>
      <c r="J6399" s="128">
        <v>3003</v>
      </c>
    </row>
    <row r="6400" spans="1:10" hidden="1" x14ac:dyDescent="0.25">
      <c r="A6400" s="124" t="s">
        <v>8892</v>
      </c>
      <c r="B6400" s="124" t="s">
        <v>11736</v>
      </c>
      <c r="C6400" s="132">
        <f t="shared" si="43"/>
        <v>121.5</v>
      </c>
      <c r="D6400" s="125">
        <f t="shared" si="44"/>
        <v>0</v>
      </c>
      <c r="E6400" s="124" t="s">
        <v>8367</v>
      </c>
      <c r="F6400" s="126">
        <v>2</v>
      </c>
      <c r="G6400" s="127">
        <v>291.60000000000002</v>
      </c>
      <c r="H6400" s="124" t="s">
        <v>8368</v>
      </c>
      <c r="I6400" s="128">
        <v>14195</v>
      </c>
      <c r="J6400" s="128">
        <v>70975</v>
      </c>
    </row>
    <row r="6401" spans="1:10" hidden="1" x14ac:dyDescent="0.25">
      <c r="A6401" s="124" t="s">
        <v>8893</v>
      </c>
      <c r="B6401" s="124" t="s">
        <v>11736</v>
      </c>
      <c r="C6401" s="132">
        <f t="shared" si="43"/>
        <v>997</v>
      </c>
      <c r="D6401" s="125">
        <f t="shared" si="44"/>
        <v>0</v>
      </c>
      <c r="E6401" s="124" t="s">
        <v>8367</v>
      </c>
      <c r="F6401" s="126">
        <v>1</v>
      </c>
      <c r="G6401" s="128">
        <v>1196.4000000000001</v>
      </c>
      <c r="H6401" s="124" t="s">
        <v>8368</v>
      </c>
      <c r="I6401" s="127">
        <v>375.6</v>
      </c>
      <c r="J6401" s="128">
        <v>1878</v>
      </c>
    </row>
    <row r="6402" spans="1:10" hidden="1" x14ac:dyDescent="0.25">
      <c r="A6402" s="124" t="s">
        <v>8894</v>
      </c>
      <c r="B6402" s="124" t="s">
        <v>11736</v>
      </c>
      <c r="C6402" s="132">
        <f t="shared" si="43"/>
        <v>1001</v>
      </c>
      <c r="D6402" s="125">
        <f t="shared" si="44"/>
        <v>0</v>
      </c>
      <c r="E6402" s="124" t="s">
        <v>8367</v>
      </c>
      <c r="F6402" s="126">
        <v>3</v>
      </c>
      <c r="G6402" s="128">
        <v>3603.6</v>
      </c>
      <c r="H6402" s="124" t="s">
        <v>8368</v>
      </c>
      <c r="I6402" s="127">
        <v>300</v>
      </c>
      <c r="J6402" s="128">
        <v>1500</v>
      </c>
    </row>
    <row r="6403" spans="1:10" hidden="1" x14ac:dyDescent="0.25">
      <c r="A6403" s="124" t="s">
        <v>8895</v>
      </c>
      <c r="B6403" s="124" t="s">
        <v>11736</v>
      </c>
      <c r="C6403" s="132">
        <f t="shared" si="43"/>
        <v>4175</v>
      </c>
      <c r="D6403" s="125">
        <f t="shared" si="44"/>
        <v>0</v>
      </c>
      <c r="E6403" s="124" t="s">
        <v>8367</v>
      </c>
      <c r="F6403" s="126">
        <v>17</v>
      </c>
      <c r="G6403" s="128">
        <v>85170</v>
      </c>
      <c r="H6403" s="124" t="s">
        <v>8368</v>
      </c>
      <c r="I6403" s="127">
        <v>49.4</v>
      </c>
      <c r="J6403" s="127">
        <v>247</v>
      </c>
    </row>
    <row r="6404" spans="1:10" hidden="1" x14ac:dyDescent="0.25">
      <c r="A6404" s="124" t="s">
        <v>8896</v>
      </c>
      <c r="B6404" s="124" t="s">
        <v>11736</v>
      </c>
      <c r="C6404" s="132">
        <f t="shared" si="43"/>
        <v>1878</v>
      </c>
      <c r="D6404" s="125">
        <f t="shared" si="44"/>
        <v>0</v>
      </c>
      <c r="E6404" s="124" t="s">
        <v>8367</v>
      </c>
      <c r="F6404" s="126">
        <v>1</v>
      </c>
      <c r="G6404" s="128">
        <v>2253.6</v>
      </c>
      <c r="H6404" s="124" t="s">
        <v>8368</v>
      </c>
      <c r="I6404" s="127">
        <v>15.4</v>
      </c>
      <c r="J6404" s="127">
        <v>77</v>
      </c>
    </row>
    <row r="6405" spans="1:10" hidden="1" x14ac:dyDescent="0.25">
      <c r="A6405" s="124" t="s">
        <v>8897</v>
      </c>
      <c r="B6405" s="124" t="s">
        <v>11736</v>
      </c>
      <c r="C6405" s="132">
        <f t="shared" si="43"/>
        <v>2000</v>
      </c>
      <c r="D6405" s="125">
        <f t="shared" si="44"/>
        <v>0</v>
      </c>
      <c r="E6405" s="124" t="s">
        <v>1</v>
      </c>
      <c r="F6405" s="126">
        <v>0.75</v>
      </c>
      <c r="G6405" s="128">
        <v>1800</v>
      </c>
      <c r="H6405" s="124" t="s">
        <v>8368</v>
      </c>
      <c r="I6405" s="127">
        <v>161.6</v>
      </c>
      <c r="J6405" s="127">
        <v>808</v>
      </c>
    </row>
    <row r="6406" spans="1:10" hidden="1" x14ac:dyDescent="0.25">
      <c r="A6406" s="124" t="s">
        <v>8898</v>
      </c>
      <c r="B6406" s="124" t="s">
        <v>11736</v>
      </c>
      <c r="C6406" s="132">
        <f t="shared" si="43"/>
        <v>247</v>
      </c>
      <c r="D6406" s="125">
        <f>COUNTIF(A933:A6405,A6406)</f>
        <v>0</v>
      </c>
      <c r="E6406" s="124" t="s">
        <v>8367</v>
      </c>
      <c r="F6406" s="126">
        <v>1</v>
      </c>
      <c r="G6406" s="127">
        <v>296.39999999999998</v>
      </c>
      <c r="H6406" s="124" t="s">
        <v>8368</v>
      </c>
      <c r="I6406" s="127">
        <v>582.20000000000005</v>
      </c>
      <c r="J6406" s="128">
        <v>2911</v>
      </c>
    </row>
    <row r="6407" spans="1:10" hidden="1" x14ac:dyDescent="0.25">
      <c r="A6407" s="124" t="s">
        <v>8899</v>
      </c>
      <c r="B6407" s="124" t="s">
        <v>11736</v>
      </c>
      <c r="C6407" s="132">
        <f t="shared" si="43"/>
        <v>77</v>
      </c>
      <c r="D6407" s="125">
        <f>COUNTIF(A934:A6406,A6407)</f>
        <v>0</v>
      </c>
      <c r="E6407" s="124" t="s">
        <v>8367</v>
      </c>
      <c r="F6407" s="126">
        <v>1</v>
      </c>
      <c r="G6407" s="127">
        <v>92.4</v>
      </c>
      <c r="H6407" s="124" t="s">
        <v>8368</v>
      </c>
      <c r="I6407" s="127">
        <v>8.1999999999999993</v>
      </c>
      <c r="J6407" s="127">
        <v>41</v>
      </c>
    </row>
    <row r="6408" spans="1:10" hidden="1" x14ac:dyDescent="0.25">
      <c r="A6408" s="124" t="s">
        <v>8900</v>
      </c>
      <c r="B6408" s="124" t="s">
        <v>11736</v>
      </c>
      <c r="C6408" s="132">
        <f t="shared" si="43"/>
        <v>404</v>
      </c>
      <c r="D6408" s="125">
        <f>COUNTIF(A935:A6407,A6408)</f>
        <v>0</v>
      </c>
      <c r="E6408" s="124" t="s">
        <v>8367</v>
      </c>
      <c r="F6408" s="126">
        <v>2</v>
      </c>
      <c r="G6408" s="127">
        <v>969.6</v>
      </c>
      <c r="H6408" s="124" t="s">
        <v>8368</v>
      </c>
      <c r="I6408" s="127">
        <v>729.2</v>
      </c>
      <c r="J6408" s="128">
        <v>3646</v>
      </c>
    </row>
    <row r="6409" spans="1:10" hidden="1" x14ac:dyDescent="0.25">
      <c r="A6409" s="124" t="s">
        <v>8901</v>
      </c>
      <c r="B6409" s="124" t="s">
        <v>11736</v>
      </c>
      <c r="C6409" s="132">
        <f t="shared" si="43"/>
        <v>415.85714285714283</v>
      </c>
      <c r="D6409" s="125">
        <f>COUNTIF(A936:A6408,A6409)</f>
        <v>0</v>
      </c>
      <c r="E6409" s="124" t="s">
        <v>8451</v>
      </c>
      <c r="F6409" s="126">
        <v>7</v>
      </c>
      <c r="G6409" s="128">
        <v>3493.2</v>
      </c>
      <c r="H6409" s="124" t="s">
        <v>8368</v>
      </c>
      <c r="I6409" s="127">
        <v>7</v>
      </c>
      <c r="J6409" s="127">
        <v>35</v>
      </c>
    </row>
    <row r="6410" spans="1:10" hidden="1" x14ac:dyDescent="0.25">
      <c r="A6410" s="124" t="s">
        <v>8902</v>
      </c>
      <c r="B6410" s="124" t="s">
        <v>11736</v>
      </c>
      <c r="C6410" s="132">
        <f t="shared" si="43"/>
        <v>41</v>
      </c>
      <c r="D6410" s="125">
        <f>COUNTIF(A938:A6409,A6410)</f>
        <v>0</v>
      </c>
      <c r="E6410" s="124" t="s">
        <v>8367</v>
      </c>
      <c r="F6410" s="126">
        <v>1</v>
      </c>
      <c r="G6410" s="127">
        <v>49.2</v>
      </c>
      <c r="H6410" s="124" t="s">
        <v>8368</v>
      </c>
      <c r="I6410" s="127">
        <v>14.4</v>
      </c>
      <c r="J6410" s="127">
        <v>72</v>
      </c>
    </row>
    <row r="6411" spans="1:10" hidden="1" x14ac:dyDescent="0.25">
      <c r="A6411" s="124" t="s">
        <v>8903</v>
      </c>
      <c r="B6411" s="124" t="s">
        <v>11736</v>
      </c>
      <c r="C6411" s="132">
        <f t="shared" si="43"/>
        <v>729.2</v>
      </c>
      <c r="D6411" s="125">
        <f>COUNTIF(A940:A6410,A6411)</f>
        <v>0</v>
      </c>
      <c r="E6411" s="124" t="s">
        <v>8367</v>
      </c>
      <c r="F6411" s="126">
        <v>5</v>
      </c>
      <c r="G6411" s="128">
        <v>4375.2</v>
      </c>
      <c r="H6411" s="124" t="s">
        <v>8368</v>
      </c>
      <c r="I6411" s="127">
        <v>113.2</v>
      </c>
      <c r="J6411" s="127">
        <v>566</v>
      </c>
    </row>
    <row r="6412" spans="1:10" hidden="1" x14ac:dyDescent="0.25">
      <c r="A6412" s="124" t="s">
        <v>8904</v>
      </c>
      <c r="B6412" s="124" t="s">
        <v>11736</v>
      </c>
      <c r="C6412" s="132">
        <f t="shared" si="43"/>
        <v>35</v>
      </c>
      <c r="D6412" s="125">
        <f>COUNTIF(A941:A6411,A6412)</f>
        <v>0</v>
      </c>
      <c r="E6412" s="124" t="s">
        <v>8367</v>
      </c>
      <c r="F6412" s="126">
        <v>1</v>
      </c>
      <c r="G6412" s="127">
        <v>42</v>
      </c>
      <c r="H6412" s="124" t="s">
        <v>8368</v>
      </c>
      <c r="I6412" s="127">
        <v>60.8</v>
      </c>
      <c r="J6412" s="127">
        <v>304</v>
      </c>
    </row>
    <row r="6413" spans="1:10" hidden="1" x14ac:dyDescent="0.25">
      <c r="A6413" s="124" t="s">
        <v>8905</v>
      </c>
      <c r="B6413" s="124" t="s">
        <v>11736</v>
      </c>
      <c r="C6413" s="132">
        <f t="shared" si="43"/>
        <v>36</v>
      </c>
      <c r="D6413" s="125">
        <f t="shared" ref="D6413:D6421" si="45">COUNTIF(A943:A6412,A6413)</f>
        <v>0</v>
      </c>
      <c r="E6413" s="124" t="s">
        <v>8451</v>
      </c>
      <c r="F6413" s="126">
        <v>2</v>
      </c>
      <c r="G6413" s="127">
        <v>86.4</v>
      </c>
      <c r="H6413" s="124" t="s">
        <v>8368</v>
      </c>
      <c r="I6413" s="127">
        <v>89.3</v>
      </c>
      <c r="J6413" s="127">
        <v>446.5</v>
      </c>
    </row>
    <row r="6414" spans="1:10" hidden="1" x14ac:dyDescent="0.25">
      <c r="A6414" s="124" t="s">
        <v>8906</v>
      </c>
      <c r="B6414" s="124" t="s">
        <v>11736</v>
      </c>
      <c r="C6414" s="132">
        <f t="shared" si="43"/>
        <v>566</v>
      </c>
      <c r="D6414" s="125">
        <f t="shared" si="45"/>
        <v>0</v>
      </c>
      <c r="E6414" s="124" t="s">
        <v>8451</v>
      </c>
      <c r="F6414" s="126">
        <v>1</v>
      </c>
      <c r="G6414" s="127">
        <v>679.2</v>
      </c>
      <c r="H6414" s="124" t="s">
        <v>8368</v>
      </c>
      <c r="I6414" s="127">
        <v>108.4</v>
      </c>
      <c r="J6414" s="127">
        <v>542</v>
      </c>
    </row>
    <row r="6415" spans="1:10" hidden="1" x14ac:dyDescent="0.25">
      <c r="A6415" s="124" t="s">
        <v>8907</v>
      </c>
      <c r="B6415" s="124" t="s">
        <v>11736</v>
      </c>
      <c r="C6415" s="132">
        <f t="shared" si="43"/>
        <v>304</v>
      </c>
      <c r="D6415" s="125">
        <f t="shared" si="45"/>
        <v>0</v>
      </c>
      <c r="E6415" s="124" t="s">
        <v>8451</v>
      </c>
      <c r="F6415" s="126">
        <v>1</v>
      </c>
      <c r="G6415" s="127">
        <v>364.8</v>
      </c>
      <c r="H6415" s="124" t="s">
        <v>8368</v>
      </c>
      <c r="I6415" s="127">
        <v>38.6</v>
      </c>
      <c r="J6415" s="127">
        <v>193</v>
      </c>
    </row>
    <row r="6416" spans="1:10" hidden="1" x14ac:dyDescent="0.25">
      <c r="A6416" s="124" t="s">
        <v>8908</v>
      </c>
      <c r="B6416" s="124" t="s">
        <v>11736</v>
      </c>
      <c r="C6416" s="132">
        <f t="shared" si="43"/>
        <v>223.25</v>
      </c>
      <c r="D6416" s="125">
        <f t="shared" si="45"/>
        <v>0</v>
      </c>
      <c r="E6416" s="124" t="s">
        <v>8367</v>
      </c>
      <c r="F6416" s="126">
        <v>2</v>
      </c>
      <c r="G6416" s="127">
        <v>535.79999999999995</v>
      </c>
      <c r="H6416" s="124" t="s">
        <v>8368</v>
      </c>
      <c r="I6416" s="127">
        <v>6.8</v>
      </c>
      <c r="J6416" s="127">
        <v>34</v>
      </c>
    </row>
    <row r="6417" spans="1:10" hidden="1" x14ac:dyDescent="0.25">
      <c r="A6417" s="124" t="s">
        <v>8909</v>
      </c>
      <c r="B6417" s="124" t="s">
        <v>11736</v>
      </c>
      <c r="C6417" s="132">
        <f t="shared" si="43"/>
        <v>271</v>
      </c>
      <c r="D6417" s="125">
        <f t="shared" si="45"/>
        <v>0</v>
      </c>
      <c r="E6417" s="124" t="s">
        <v>8367</v>
      </c>
      <c r="F6417" s="126">
        <v>2</v>
      </c>
      <c r="G6417" s="127">
        <v>650.4</v>
      </c>
      <c r="H6417" s="124" t="s">
        <v>8368</v>
      </c>
      <c r="I6417" s="127">
        <v>19.7</v>
      </c>
      <c r="J6417" s="127">
        <v>98.5</v>
      </c>
    </row>
    <row r="6418" spans="1:10" hidden="1" x14ac:dyDescent="0.25">
      <c r="A6418" s="124" t="s">
        <v>8910</v>
      </c>
      <c r="B6418" s="124" t="s">
        <v>11736</v>
      </c>
      <c r="C6418" s="132">
        <f t="shared" si="43"/>
        <v>193</v>
      </c>
      <c r="D6418" s="125">
        <f t="shared" si="45"/>
        <v>0</v>
      </c>
      <c r="E6418" s="124" t="s">
        <v>8367</v>
      </c>
      <c r="F6418" s="126">
        <v>1</v>
      </c>
      <c r="G6418" s="127">
        <v>231.6</v>
      </c>
      <c r="H6418" s="124" t="s">
        <v>8368</v>
      </c>
      <c r="I6418" s="127">
        <v>34.6</v>
      </c>
      <c r="J6418" s="127">
        <v>173</v>
      </c>
    </row>
    <row r="6419" spans="1:10" hidden="1" x14ac:dyDescent="0.25">
      <c r="A6419" s="124" t="s">
        <v>8911</v>
      </c>
      <c r="B6419" s="124" t="s">
        <v>11736</v>
      </c>
      <c r="C6419" s="132">
        <f t="shared" si="43"/>
        <v>34</v>
      </c>
      <c r="D6419" s="125">
        <f t="shared" si="45"/>
        <v>0</v>
      </c>
      <c r="E6419" s="124" t="s">
        <v>8451</v>
      </c>
      <c r="F6419" s="126">
        <v>1</v>
      </c>
      <c r="G6419" s="127">
        <v>40.799999999999997</v>
      </c>
      <c r="H6419" s="124" t="s">
        <v>8368</v>
      </c>
      <c r="I6419" s="127">
        <v>62.11</v>
      </c>
      <c r="J6419" s="127">
        <v>310.54000000000002</v>
      </c>
    </row>
    <row r="6420" spans="1:10" hidden="1" x14ac:dyDescent="0.25">
      <c r="A6420" s="124" t="s">
        <v>8912</v>
      </c>
      <c r="B6420" s="124" t="s">
        <v>11736</v>
      </c>
      <c r="C6420" s="132">
        <f t="shared" si="43"/>
        <v>24.625</v>
      </c>
      <c r="D6420" s="125">
        <f t="shared" si="45"/>
        <v>0</v>
      </c>
      <c r="E6420" s="124" t="s">
        <v>8367</v>
      </c>
      <c r="F6420" s="126">
        <v>4</v>
      </c>
      <c r="G6420" s="127">
        <v>118.2</v>
      </c>
      <c r="H6420" s="124" t="s">
        <v>8368</v>
      </c>
      <c r="I6420" s="127">
        <v>295</v>
      </c>
      <c r="J6420" s="128">
        <v>1475</v>
      </c>
    </row>
    <row r="6421" spans="1:10" hidden="1" x14ac:dyDescent="0.25">
      <c r="A6421" s="124" t="s">
        <v>8913</v>
      </c>
      <c r="B6421" s="124" t="s">
        <v>11736</v>
      </c>
      <c r="C6421" s="132">
        <f t="shared" si="43"/>
        <v>173</v>
      </c>
      <c r="D6421" s="125">
        <f t="shared" si="45"/>
        <v>0</v>
      </c>
      <c r="E6421" s="124" t="s">
        <v>8367</v>
      </c>
      <c r="F6421" s="126">
        <v>1</v>
      </c>
      <c r="G6421" s="127">
        <v>207.6</v>
      </c>
      <c r="H6421" s="124" t="s">
        <v>8368</v>
      </c>
      <c r="I6421" s="127">
        <v>138.6</v>
      </c>
      <c r="J6421" s="127">
        <v>693</v>
      </c>
    </row>
    <row r="6422" spans="1:10" hidden="1" x14ac:dyDescent="0.25">
      <c r="A6422" s="124" t="s">
        <v>8914</v>
      </c>
      <c r="B6422" s="124" t="s">
        <v>11736</v>
      </c>
      <c r="C6422" s="132">
        <f t="shared" si="43"/>
        <v>38.817500000000003</v>
      </c>
      <c r="D6422" s="125">
        <f t="shared" ref="D6422:D6432" si="46">COUNTIF(A953:A6421,A6422)</f>
        <v>0</v>
      </c>
      <c r="E6422" s="124" t="s">
        <v>8451</v>
      </c>
      <c r="F6422" s="126">
        <v>8</v>
      </c>
      <c r="G6422" s="127">
        <v>372.65</v>
      </c>
      <c r="H6422" s="124" t="s">
        <v>8368</v>
      </c>
      <c r="I6422" s="127">
        <v>112.4</v>
      </c>
      <c r="J6422" s="127">
        <v>562</v>
      </c>
    </row>
    <row r="6423" spans="1:10" hidden="1" x14ac:dyDescent="0.25">
      <c r="A6423" s="124" t="s">
        <v>8915</v>
      </c>
      <c r="B6423" s="124" t="s">
        <v>11736</v>
      </c>
      <c r="C6423" s="132">
        <f t="shared" si="43"/>
        <v>147.5</v>
      </c>
      <c r="D6423" s="125">
        <f t="shared" si="46"/>
        <v>0</v>
      </c>
      <c r="E6423" s="124" t="s">
        <v>8367</v>
      </c>
      <c r="F6423" s="126">
        <v>10</v>
      </c>
      <c r="G6423" s="128">
        <v>1770</v>
      </c>
      <c r="H6423" s="124" t="s">
        <v>8368</v>
      </c>
      <c r="I6423" s="127">
        <v>220.45</v>
      </c>
      <c r="J6423" s="128">
        <v>1102.22</v>
      </c>
    </row>
    <row r="6424" spans="1:10" hidden="1" x14ac:dyDescent="0.25">
      <c r="A6424" s="124" t="s">
        <v>8916</v>
      </c>
      <c r="B6424" s="124" t="s">
        <v>11736</v>
      </c>
      <c r="C6424" s="132">
        <f t="shared" si="43"/>
        <v>173.25</v>
      </c>
      <c r="D6424" s="125">
        <f t="shared" si="46"/>
        <v>0</v>
      </c>
      <c r="E6424" s="124" t="s">
        <v>8367</v>
      </c>
      <c r="F6424" s="126">
        <v>4</v>
      </c>
      <c r="G6424" s="127">
        <v>831.6</v>
      </c>
      <c r="H6424" s="124" t="s">
        <v>8368</v>
      </c>
      <c r="I6424" s="127">
        <v>352.6</v>
      </c>
      <c r="J6424" s="128">
        <v>1763</v>
      </c>
    </row>
    <row r="6425" spans="1:10" hidden="1" x14ac:dyDescent="0.25">
      <c r="A6425" s="124" t="s">
        <v>8917</v>
      </c>
      <c r="B6425" s="124" t="s">
        <v>11736</v>
      </c>
      <c r="C6425" s="132">
        <f t="shared" si="43"/>
        <v>281</v>
      </c>
      <c r="D6425" s="125">
        <f t="shared" si="46"/>
        <v>0</v>
      </c>
      <c r="E6425" s="124" t="s">
        <v>8367</v>
      </c>
      <c r="F6425" s="126">
        <v>2</v>
      </c>
      <c r="G6425" s="127">
        <v>674.4</v>
      </c>
      <c r="H6425" s="124" t="s">
        <v>8368</v>
      </c>
      <c r="I6425" s="127">
        <v>528.6</v>
      </c>
      <c r="J6425" s="128">
        <v>2643</v>
      </c>
    </row>
    <row r="6426" spans="1:10" hidden="1" x14ac:dyDescent="0.25">
      <c r="A6426" s="124" t="s">
        <v>8918</v>
      </c>
      <c r="B6426" s="124" t="s">
        <v>11736</v>
      </c>
      <c r="C6426" s="132">
        <f t="shared" si="43"/>
        <v>137.7775</v>
      </c>
      <c r="D6426" s="125">
        <f t="shared" si="46"/>
        <v>0</v>
      </c>
      <c r="E6426" s="124" t="s">
        <v>8367</v>
      </c>
      <c r="F6426" s="126">
        <v>8</v>
      </c>
      <c r="G6426" s="128">
        <v>1322.67</v>
      </c>
      <c r="H6426" s="124" t="s">
        <v>8368</v>
      </c>
      <c r="I6426" s="127">
        <v>24.6</v>
      </c>
      <c r="J6426" s="127">
        <v>123</v>
      </c>
    </row>
    <row r="6427" spans="1:10" hidden="1" x14ac:dyDescent="0.25">
      <c r="A6427" s="124" t="s">
        <v>8919</v>
      </c>
      <c r="B6427" s="124" t="s">
        <v>11736</v>
      </c>
      <c r="C6427" s="132">
        <f t="shared" si="43"/>
        <v>440.75</v>
      </c>
      <c r="D6427" s="125">
        <f t="shared" si="46"/>
        <v>0</v>
      </c>
      <c r="E6427" s="124" t="s">
        <v>8367</v>
      </c>
      <c r="F6427" s="126">
        <v>4</v>
      </c>
      <c r="G6427" s="128">
        <v>2115.6</v>
      </c>
      <c r="H6427" s="124" t="s">
        <v>8368</v>
      </c>
      <c r="I6427" s="127">
        <v>356.6</v>
      </c>
      <c r="J6427" s="128">
        <v>1783</v>
      </c>
    </row>
    <row r="6428" spans="1:10" hidden="1" x14ac:dyDescent="0.25">
      <c r="A6428" s="124" t="s">
        <v>8920</v>
      </c>
      <c r="B6428" s="124" t="s">
        <v>11736</v>
      </c>
      <c r="C6428" s="132">
        <f t="shared" si="43"/>
        <v>660.75</v>
      </c>
      <c r="D6428" s="125">
        <f t="shared" si="46"/>
        <v>0</v>
      </c>
      <c r="E6428" s="124" t="s">
        <v>8367</v>
      </c>
      <c r="F6428" s="126">
        <v>4</v>
      </c>
      <c r="G6428" s="128">
        <v>3171.6</v>
      </c>
      <c r="H6428" s="124" t="s">
        <v>8368</v>
      </c>
      <c r="I6428" s="127">
        <v>22.4</v>
      </c>
      <c r="J6428" s="127">
        <v>112</v>
      </c>
    </row>
    <row r="6429" spans="1:10" hidden="1" x14ac:dyDescent="0.25">
      <c r="A6429" s="124" t="s">
        <v>8921</v>
      </c>
      <c r="B6429" s="124" t="s">
        <v>11736</v>
      </c>
      <c r="C6429" s="132">
        <f t="shared" si="43"/>
        <v>123</v>
      </c>
      <c r="D6429" s="125">
        <f t="shared" si="46"/>
        <v>0</v>
      </c>
      <c r="E6429" s="124" t="s">
        <v>8367</v>
      </c>
      <c r="F6429" s="126">
        <v>1</v>
      </c>
      <c r="G6429" s="127">
        <v>147.6</v>
      </c>
      <c r="H6429" s="124" t="s">
        <v>8368</v>
      </c>
      <c r="I6429" s="127">
        <v>165.92</v>
      </c>
      <c r="J6429" s="127">
        <v>829.6</v>
      </c>
    </row>
    <row r="6430" spans="1:10" hidden="1" x14ac:dyDescent="0.25">
      <c r="A6430" s="124" t="s">
        <v>8922</v>
      </c>
      <c r="B6430" s="124" t="s">
        <v>11736</v>
      </c>
      <c r="C6430" s="132">
        <f t="shared" si="43"/>
        <v>1783</v>
      </c>
      <c r="D6430" s="125">
        <f t="shared" si="46"/>
        <v>0</v>
      </c>
      <c r="E6430" s="124" t="s">
        <v>8367</v>
      </c>
      <c r="F6430" s="126">
        <v>1</v>
      </c>
      <c r="G6430" s="128">
        <v>2139.6</v>
      </c>
      <c r="H6430" s="124" t="s">
        <v>8368</v>
      </c>
      <c r="I6430" s="127">
        <v>436</v>
      </c>
      <c r="J6430" s="128">
        <v>2180</v>
      </c>
    </row>
    <row r="6431" spans="1:10" hidden="1" x14ac:dyDescent="0.25">
      <c r="A6431" s="124" t="s">
        <v>8923</v>
      </c>
      <c r="B6431" s="124" t="s">
        <v>11736</v>
      </c>
      <c r="C6431" s="132">
        <f t="shared" si="43"/>
        <v>112</v>
      </c>
      <c r="D6431" s="125">
        <f t="shared" si="46"/>
        <v>0</v>
      </c>
      <c r="E6431" s="124" t="s">
        <v>8367</v>
      </c>
      <c r="F6431" s="126">
        <v>1</v>
      </c>
      <c r="G6431" s="127">
        <v>134.4</v>
      </c>
      <c r="H6431" s="124" t="s">
        <v>8368</v>
      </c>
      <c r="I6431" s="127">
        <v>11.6</v>
      </c>
      <c r="J6431" s="127">
        <v>58</v>
      </c>
    </row>
    <row r="6432" spans="1:10" hidden="1" x14ac:dyDescent="0.25">
      <c r="A6432" s="124" t="s">
        <v>8924</v>
      </c>
      <c r="B6432" s="124" t="s">
        <v>11736</v>
      </c>
      <c r="C6432" s="132">
        <f t="shared" si="43"/>
        <v>207.4</v>
      </c>
      <c r="D6432" s="125">
        <f t="shared" si="46"/>
        <v>0</v>
      </c>
      <c r="E6432" s="124" t="s">
        <v>8367</v>
      </c>
      <c r="F6432" s="126">
        <v>4</v>
      </c>
      <c r="G6432" s="127">
        <v>995.52</v>
      </c>
      <c r="H6432" s="124" t="s">
        <v>8368</v>
      </c>
      <c r="I6432" s="127">
        <v>40</v>
      </c>
      <c r="J6432" s="127">
        <v>200</v>
      </c>
    </row>
    <row r="6433" spans="1:10" hidden="1" x14ac:dyDescent="0.25">
      <c r="A6433" s="124" t="s">
        <v>8925</v>
      </c>
      <c r="B6433" s="124" t="s">
        <v>11736</v>
      </c>
      <c r="C6433" s="132">
        <f t="shared" si="43"/>
        <v>90.833333333333329</v>
      </c>
      <c r="D6433" s="125">
        <f t="shared" ref="D6433:D6450" si="47">COUNTIF(A965:A6432,A6433)</f>
        <v>0</v>
      </c>
      <c r="E6433" s="124" t="s">
        <v>8367</v>
      </c>
      <c r="F6433" s="126">
        <v>24</v>
      </c>
      <c r="G6433" s="128">
        <v>2616</v>
      </c>
      <c r="H6433" s="124" t="s">
        <v>8368</v>
      </c>
      <c r="I6433" s="127">
        <v>187.6</v>
      </c>
      <c r="J6433" s="127">
        <v>938</v>
      </c>
    </row>
    <row r="6434" spans="1:10" hidden="1" x14ac:dyDescent="0.25">
      <c r="A6434" s="124" t="s">
        <v>8926</v>
      </c>
      <c r="B6434" s="124" t="s">
        <v>11736</v>
      </c>
      <c r="C6434" s="132">
        <f t="shared" si="43"/>
        <v>58</v>
      </c>
      <c r="D6434" s="125">
        <f t="shared" si="47"/>
        <v>0</v>
      </c>
      <c r="E6434" s="124" t="s">
        <v>8367</v>
      </c>
      <c r="F6434" s="126">
        <v>1</v>
      </c>
      <c r="G6434" s="127">
        <v>69.599999999999994</v>
      </c>
      <c r="H6434" s="124" t="s">
        <v>8368</v>
      </c>
      <c r="I6434" s="127">
        <v>71</v>
      </c>
      <c r="J6434" s="127">
        <v>355</v>
      </c>
    </row>
    <row r="6435" spans="1:10" hidden="1" x14ac:dyDescent="0.25">
      <c r="A6435" s="124" t="s">
        <v>8927</v>
      </c>
      <c r="B6435" s="124" t="s">
        <v>11736</v>
      </c>
      <c r="C6435" s="132">
        <f t="shared" si="43"/>
        <v>200</v>
      </c>
      <c r="D6435" s="125">
        <f t="shared" si="47"/>
        <v>0</v>
      </c>
      <c r="E6435" s="124" t="s">
        <v>8367</v>
      </c>
      <c r="F6435" s="126">
        <v>1</v>
      </c>
      <c r="G6435" s="127">
        <v>240</v>
      </c>
      <c r="H6435" s="124" t="s">
        <v>8368</v>
      </c>
      <c r="I6435" s="127">
        <v>492.2</v>
      </c>
      <c r="J6435" s="128">
        <v>2461</v>
      </c>
    </row>
    <row r="6436" spans="1:10" hidden="1" x14ac:dyDescent="0.25">
      <c r="A6436" s="124" t="s">
        <v>8928</v>
      </c>
      <c r="B6436" s="124" t="s">
        <v>11736</v>
      </c>
      <c r="C6436" s="132">
        <f t="shared" si="43"/>
        <v>469</v>
      </c>
      <c r="D6436" s="125">
        <f t="shared" si="47"/>
        <v>0</v>
      </c>
      <c r="E6436" s="124" t="s">
        <v>8579</v>
      </c>
      <c r="F6436" s="126">
        <v>2</v>
      </c>
      <c r="G6436" s="128">
        <v>1125.5999999999999</v>
      </c>
      <c r="H6436" s="124" t="s">
        <v>8368</v>
      </c>
      <c r="I6436" s="127">
        <v>332</v>
      </c>
      <c r="J6436" s="128">
        <v>1660</v>
      </c>
    </row>
    <row r="6437" spans="1:10" hidden="1" x14ac:dyDescent="0.25">
      <c r="A6437" s="124" t="s">
        <v>8929</v>
      </c>
      <c r="B6437" s="124" t="s">
        <v>11736</v>
      </c>
      <c r="C6437" s="132">
        <f t="shared" si="43"/>
        <v>177.5</v>
      </c>
      <c r="D6437" s="125">
        <f t="shared" si="47"/>
        <v>0</v>
      </c>
      <c r="E6437" s="124" t="s">
        <v>8367</v>
      </c>
      <c r="F6437" s="126">
        <v>2</v>
      </c>
      <c r="G6437" s="127">
        <v>426</v>
      </c>
      <c r="H6437" s="124" t="s">
        <v>8368</v>
      </c>
      <c r="I6437" s="127">
        <v>17.600000000000001</v>
      </c>
      <c r="J6437" s="127">
        <v>88</v>
      </c>
    </row>
    <row r="6438" spans="1:10" hidden="1" x14ac:dyDescent="0.25">
      <c r="A6438" s="124" t="s">
        <v>8930</v>
      </c>
      <c r="B6438" s="124" t="s">
        <v>11736</v>
      </c>
      <c r="C6438" s="132">
        <f t="shared" si="43"/>
        <v>2461</v>
      </c>
      <c r="D6438" s="125">
        <f t="shared" si="47"/>
        <v>0</v>
      </c>
      <c r="E6438" s="124" t="s">
        <v>8451</v>
      </c>
      <c r="F6438" s="126">
        <v>1</v>
      </c>
      <c r="G6438" s="128">
        <v>2953.2</v>
      </c>
      <c r="H6438" s="124" t="s">
        <v>8368</v>
      </c>
      <c r="I6438" s="127">
        <v>367.6</v>
      </c>
      <c r="J6438" s="128">
        <v>1838</v>
      </c>
    </row>
    <row r="6439" spans="1:10" hidden="1" x14ac:dyDescent="0.25">
      <c r="A6439" s="124" t="s">
        <v>8931</v>
      </c>
      <c r="B6439" s="124" t="s">
        <v>11736</v>
      </c>
      <c r="C6439" s="132">
        <f t="shared" si="43"/>
        <v>830</v>
      </c>
      <c r="D6439" s="125">
        <f t="shared" si="47"/>
        <v>0</v>
      </c>
      <c r="E6439" s="124" t="s">
        <v>8579</v>
      </c>
      <c r="F6439" s="126">
        <v>2</v>
      </c>
      <c r="G6439" s="128">
        <v>1992</v>
      </c>
      <c r="H6439" s="124" t="s">
        <v>8368</v>
      </c>
      <c r="I6439" s="127">
        <v>199.4</v>
      </c>
      <c r="J6439" s="127">
        <v>997</v>
      </c>
    </row>
    <row r="6440" spans="1:10" hidden="1" x14ac:dyDescent="0.25">
      <c r="A6440" s="124" t="s">
        <v>8932</v>
      </c>
      <c r="B6440" s="124" t="s">
        <v>11736</v>
      </c>
      <c r="C6440" s="132">
        <f t="shared" si="43"/>
        <v>88</v>
      </c>
      <c r="D6440" s="125">
        <f t="shared" si="47"/>
        <v>0</v>
      </c>
      <c r="E6440" s="124" t="s">
        <v>8367</v>
      </c>
      <c r="F6440" s="126">
        <v>1</v>
      </c>
      <c r="G6440" s="127">
        <v>105.6</v>
      </c>
      <c r="H6440" s="124" t="s">
        <v>8368</v>
      </c>
      <c r="I6440" s="127">
        <v>36.4</v>
      </c>
      <c r="J6440" s="127">
        <v>182</v>
      </c>
    </row>
    <row r="6441" spans="1:10" hidden="1" x14ac:dyDescent="0.25">
      <c r="A6441" s="124" t="s">
        <v>8933</v>
      </c>
      <c r="B6441" s="124" t="s">
        <v>11736</v>
      </c>
      <c r="C6441" s="132">
        <f t="shared" si="43"/>
        <v>204.22222222222223</v>
      </c>
      <c r="D6441" s="125">
        <f t="shared" si="47"/>
        <v>0</v>
      </c>
      <c r="E6441" s="124" t="s">
        <v>8367</v>
      </c>
      <c r="F6441" s="126">
        <v>9</v>
      </c>
      <c r="G6441" s="128">
        <v>2205.6</v>
      </c>
      <c r="H6441" s="124" t="s">
        <v>8368</v>
      </c>
      <c r="I6441" s="127">
        <v>17.600000000000001</v>
      </c>
      <c r="J6441" s="127">
        <v>88</v>
      </c>
    </row>
    <row r="6442" spans="1:10" hidden="1" x14ac:dyDescent="0.25">
      <c r="A6442" s="124" t="s">
        <v>8934</v>
      </c>
      <c r="B6442" s="124" t="s">
        <v>11736</v>
      </c>
      <c r="C6442" s="132">
        <f t="shared" si="43"/>
        <v>249.25</v>
      </c>
      <c r="D6442" s="125">
        <f t="shared" si="47"/>
        <v>0</v>
      </c>
      <c r="E6442" s="124" t="s">
        <v>8367</v>
      </c>
      <c r="F6442" s="126">
        <v>4</v>
      </c>
      <c r="G6442" s="128">
        <v>1196.4000000000001</v>
      </c>
      <c r="H6442" s="124" t="s">
        <v>8368</v>
      </c>
      <c r="I6442" s="127">
        <v>56.6</v>
      </c>
      <c r="J6442" s="127">
        <v>283</v>
      </c>
    </row>
    <row r="6443" spans="1:10" hidden="1" x14ac:dyDescent="0.25">
      <c r="A6443" s="124" t="s">
        <v>8935</v>
      </c>
      <c r="B6443" s="124" t="s">
        <v>11736</v>
      </c>
      <c r="C6443" s="132">
        <f t="shared" si="43"/>
        <v>60.666666666666664</v>
      </c>
      <c r="D6443" s="125">
        <f t="shared" si="47"/>
        <v>0</v>
      </c>
      <c r="E6443" s="124" t="s">
        <v>8367</v>
      </c>
      <c r="F6443" s="126">
        <v>3</v>
      </c>
      <c r="G6443" s="127">
        <v>218.4</v>
      </c>
      <c r="H6443" s="124" t="s">
        <v>8368</v>
      </c>
      <c r="I6443" s="128">
        <v>34915.49</v>
      </c>
      <c r="J6443" s="128">
        <v>174577.45</v>
      </c>
    </row>
    <row r="6444" spans="1:10" hidden="1" x14ac:dyDescent="0.25">
      <c r="A6444" s="124" t="s">
        <v>8936</v>
      </c>
      <c r="B6444" s="124" t="s">
        <v>11736</v>
      </c>
      <c r="C6444" s="132">
        <f t="shared" si="43"/>
        <v>0.88</v>
      </c>
      <c r="D6444" s="125">
        <f t="shared" si="47"/>
        <v>0</v>
      </c>
      <c r="E6444" s="124" t="s">
        <v>8367</v>
      </c>
      <c r="F6444" s="126">
        <v>100</v>
      </c>
      <c r="G6444" s="127">
        <v>105.6</v>
      </c>
      <c r="H6444" s="124" t="s">
        <v>8368</v>
      </c>
      <c r="I6444" s="127">
        <v>77</v>
      </c>
      <c r="J6444" s="127">
        <v>385</v>
      </c>
    </row>
    <row r="6445" spans="1:10" hidden="1" x14ac:dyDescent="0.25">
      <c r="A6445" s="124" t="s">
        <v>8937</v>
      </c>
      <c r="B6445" s="124" t="s">
        <v>11736</v>
      </c>
      <c r="C6445" s="132">
        <f t="shared" si="43"/>
        <v>1.415</v>
      </c>
      <c r="D6445" s="125">
        <f t="shared" si="47"/>
        <v>0</v>
      </c>
      <c r="E6445" s="124" t="s">
        <v>8367</v>
      </c>
      <c r="F6445" s="126">
        <v>200</v>
      </c>
      <c r="G6445" s="127">
        <v>339.6</v>
      </c>
      <c r="H6445" s="124" t="s">
        <v>8368</v>
      </c>
      <c r="I6445" s="127">
        <v>208.4</v>
      </c>
      <c r="J6445" s="128">
        <v>1042</v>
      </c>
    </row>
    <row r="6446" spans="1:10" hidden="1" x14ac:dyDescent="0.25">
      <c r="A6446" s="124" t="s">
        <v>8938</v>
      </c>
      <c r="B6446" s="124" t="s">
        <v>11736</v>
      </c>
      <c r="C6446" s="132">
        <f t="shared" si="43"/>
        <v>872.88725000000011</v>
      </c>
      <c r="D6446" s="125">
        <f t="shared" si="47"/>
        <v>0</v>
      </c>
      <c r="E6446" s="124" t="s">
        <v>8367</v>
      </c>
      <c r="F6446" s="126">
        <v>200</v>
      </c>
      <c r="G6446" s="128">
        <v>209492.94</v>
      </c>
      <c r="H6446" s="124" t="s">
        <v>8368</v>
      </c>
      <c r="I6446" s="127">
        <v>4</v>
      </c>
      <c r="J6446" s="127">
        <v>20</v>
      </c>
    </row>
    <row r="6447" spans="1:10" hidden="1" x14ac:dyDescent="0.25">
      <c r="A6447" s="124" t="s">
        <v>8939</v>
      </c>
      <c r="B6447" s="124" t="s">
        <v>11736</v>
      </c>
      <c r="C6447" s="132">
        <f t="shared" si="43"/>
        <v>22.647058823529413</v>
      </c>
      <c r="D6447" s="125">
        <f t="shared" si="47"/>
        <v>0</v>
      </c>
      <c r="E6447" s="124" t="s">
        <v>8367</v>
      </c>
      <c r="F6447" s="126">
        <v>17</v>
      </c>
      <c r="G6447" s="127">
        <v>462</v>
      </c>
      <c r="H6447" s="124" t="s">
        <v>8368</v>
      </c>
      <c r="I6447" s="127">
        <v>14.8</v>
      </c>
      <c r="J6447" s="127">
        <v>74</v>
      </c>
    </row>
    <row r="6448" spans="1:10" hidden="1" x14ac:dyDescent="0.25">
      <c r="A6448" s="124" t="s">
        <v>8940</v>
      </c>
      <c r="B6448" s="124" t="s">
        <v>11736</v>
      </c>
      <c r="C6448" s="132">
        <f t="shared" si="43"/>
        <v>208.4</v>
      </c>
      <c r="D6448" s="125">
        <f t="shared" si="47"/>
        <v>0</v>
      </c>
      <c r="E6448" s="124" t="s">
        <v>8451</v>
      </c>
      <c r="F6448" s="126">
        <v>5</v>
      </c>
      <c r="G6448" s="128">
        <v>1250.4000000000001</v>
      </c>
      <c r="H6448" s="124" t="s">
        <v>8368</v>
      </c>
      <c r="I6448" s="127">
        <v>11.2</v>
      </c>
      <c r="J6448" s="127">
        <v>56</v>
      </c>
    </row>
    <row r="6449" spans="1:10" hidden="1" x14ac:dyDescent="0.25">
      <c r="A6449" s="124" t="s">
        <v>8941</v>
      </c>
      <c r="B6449" s="124" t="s">
        <v>11736</v>
      </c>
      <c r="C6449" s="132">
        <f t="shared" si="43"/>
        <v>20</v>
      </c>
      <c r="D6449" s="125">
        <f t="shared" si="47"/>
        <v>0</v>
      </c>
      <c r="E6449" s="124" t="s">
        <v>8367</v>
      </c>
      <c r="F6449" s="126">
        <v>1</v>
      </c>
      <c r="G6449" s="127">
        <v>24</v>
      </c>
      <c r="H6449" s="124" t="s">
        <v>8368</v>
      </c>
      <c r="I6449" s="127">
        <v>11.2</v>
      </c>
      <c r="J6449" s="127">
        <v>56</v>
      </c>
    </row>
    <row r="6450" spans="1:10" hidden="1" x14ac:dyDescent="0.25">
      <c r="A6450" s="124" t="s">
        <v>8942</v>
      </c>
      <c r="B6450" s="124" t="s">
        <v>11736</v>
      </c>
      <c r="C6450" s="132">
        <f t="shared" si="43"/>
        <v>18.5</v>
      </c>
      <c r="D6450" s="125">
        <f t="shared" si="47"/>
        <v>0</v>
      </c>
      <c r="E6450" s="124" t="s">
        <v>8367</v>
      </c>
      <c r="F6450" s="126">
        <v>4</v>
      </c>
      <c r="G6450" s="127">
        <v>88.8</v>
      </c>
      <c r="H6450" s="124" t="s">
        <v>8368</v>
      </c>
      <c r="I6450" s="127">
        <v>73.400000000000006</v>
      </c>
      <c r="J6450" s="127">
        <v>367</v>
      </c>
    </row>
    <row r="6451" spans="1:10" hidden="1" x14ac:dyDescent="0.25">
      <c r="A6451" s="124" t="s">
        <v>8943</v>
      </c>
      <c r="B6451" s="124" t="s">
        <v>11736</v>
      </c>
      <c r="C6451" s="132">
        <f t="shared" si="43"/>
        <v>56</v>
      </c>
      <c r="D6451" s="125">
        <f>COUNTIF(A984:A6450,A6451)</f>
        <v>0</v>
      </c>
      <c r="E6451" s="124" t="s">
        <v>8367</v>
      </c>
      <c r="F6451" s="126">
        <v>1</v>
      </c>
      <c r="G6451" s="127">
        <v>67.2</v>
      </c>
      <c r="H6451" s="124" t="s">
        <v>8368</v>
      </c>
      <c r="I6451" s="127">
        <v>149</v>
      </c>
      <c r="J6451" s="127">
        <v>745</v>
      </c>
    </row>
    <row r="6452" spans="1:10" hidden="1" x14ac:dyDescent="0.25">
      <c r="A6452" s="124" t="s">
        <v>8944</v>
      </c>
      <c r="B6452" s="124" t="s">
        <v>11736</v>
      </c>
      <c r="C6452" s="132">
        <f t="shared" si="43"/>
        <v>18.666666666666668</v>
      </c>
      <c r="D6452" s="125">
        <f t="shared" ref="D6452:D6468" si="48">COUNTIF(A986:A6451,A6452)</f>
        <v>0</v>
      </c>
      <c r="E6452" s="124" t="s">
        <v>8367</v>
      </c>
      <c r="F6452" s="126">
        <v>3</v>
      </c>
      <c r="G6452" s="127">
        <v>67.2</v>
      </c>
      <c r="H6452" s="124" t="s">
        <v>8368</v>
      </c>
      <c r="I6452" s="127">
        <v>271.39999999999998</v>
      </c>
      <c r="J6452" s="128">
        <v>1357</v>
      </c>
    </row>
    <row r="6453" spans="1:10" hidden="1" x14ac:dyDescent="0.25">
      <c r="A6453" s="124" t="s">
        <v>8945</v>
      </c>
      <c r="B6453" s="124" t="s">
        <v>11736</v>
      </c>
      <c r="C6453" s="132">
        <f t="shared" si="43"/>
        <v>0.73399999999999999</v>
      </c>
      <c r="D6453" s="125">
        <f t="shared" si="48"/>
        <v>0</v>
      </c>
      <c r="E6453" s="124" t="s">
        <v>8367</v>
      </c>
      <c r="F6453" s="126">
        <v>500</v>
      </c>
      <c r="G6453" s="127">
        <v>440.4</v>
      </c>
      <c r="H6453" s="124" t="s">
        <v>8368</v>
      </c>
      <c r="I6453" s="127">
        <v>59.6</v>
      </c>
      <c r="J6453" s="127">
        <v>298</v>
      </c>
    </row>
    <row r="6454" spans="1:10" hidden="1" x14ac:dyDescent="0.25">
      <c r="A6454" s="124" t="s">
        <v>8946</v>
      </c>
      <c r="B6454" s="124" t="s">
        <v>11736</v>
      </c>
      <c r="C6454" s="132">
        <f t="shared" si="43"/>
        <v>745</v>
      </c>
      <c r="D6454" s="125">
        <f t="shared" si="48"/>
        <v>0</v>
      </c>
      <c r="E6454" s="124" t="s">
        <v>8367</v>
      </c>
      <c r="F6454" s="126">
        <v>1</v>
      </c>
      <c r="G6454" s="127">
        <v>894</v>
      </c>
      <c r="H6454" s="124" t="s">
        <v>8368</v>
      </c>
      <c r="I6454" s="127">
        <v>135.6</v>
      </c>
      <c r="J6454" s="127">
        <v>678</v>
      </c>
    </row>
    <row r="6455" spans="1:10" hidden="1" x14ac:dyDescent="0.25">
      <c r="A6455" s="124" t="s">
        <v>8947</v>
      </c>
      <c r="B6455" s="124" t="s">
        <v>11736</v>
      </c>
      <c r="C6455" s="132">
        <f t="shared" si="43"/>
        <v>678.5</v>
      </c>
      <c r="D6455" s="125">
        <f t="shared" si="48"/>
        <v>0</v>
      </c>
      <c r="E6455" s="124" t="s">
        <v>8451</v>
      </c>
      <c r="F6455" s="126">
        <v>2</v>
      </c>
      <c r="G6455" s="128">
        <v>1628.4</v>
      </c>
      <c r="H6455" s="124" t="s">
        <v>8368</v>
      </c>
      <c r="I6455" s="127">
        <v>94.2</v>
      </c>
      <c r="J6455" s="127">
        <v>471</v>
      </c>
    </row>
    <row r="6456" spans="1:10" hidden="1" x14ac:dyDescent="0.25">
      <c r="A6456" s="124" t="s">
        <v>8948</v>
      </c>
      <c r="B6456" s="124" t="s">
        <v>11736</v>
      </c>
      <c r="C6456" s="132">
        <f t="shared" ref="C6456:C6500" si="49">J6453/F6456</f>
        <v>149</v>
      </c>
      <c r="D6456" s="125">
        <f t="shared" si="48"/>
        <v>0</v>
      </c>
      <c r="E6456" s="124" t="s">
        <v>8451</v>
      </c>
      <c r="F6456" s="126">
        <v>2</v>
      </c>
      <c r="G6456" s="127">
        <v>357.6</v>
      </c>
      <c r="H6456" s="124" t="s">
        <v>8368</v>
      </c>
      <c r="I6456" s="127">
        <v>114</v>
      </c>
      <c r="J6456" s="127">
        <v>570</v>
      </c>
    </row>
    <row r="6457" spans="1:10" hidden="1" x14ac:dyDescent="0.25">
      <c r="A6457" s="124" t="s">
        <v>8949</v>
      </c>
      <c r="B6457" s="124" t="s">
        <v>11736</v>
      </c>
      <c r="C6457" s="132">
        <f t="shared" si="49"/>
        <v>339</v>
      </c>
      <c r="D6457" s="125">
        <f t="shared" si="48"/>
        <v>0</v>
      </c>
      <c r="E6457" s="124" t="s">
        <v>8451</v>
      </c>
      <c r="F6457" s="126">
        <v>2</v>
      </c>
      <c r="G6457" s="127">
        <v>813.6</v>
      </c>
      <c r="H6457" s="124" t="s">
        <v>8368</v>
      </c>
      <c r="I6457" s="127">
        <v>23.6</v>
      </c>
      <c r="J6457" s="127">
        <v>118</v>
      </c>
    </row>
    <row r="6458" spans="1:10" hidden="1" x14ac:dyDescent="0.25">
      <c r="A6458" s="124" t="s">
        <v>8950</v>
      </c>
      <c r="B6458" s="124" t="s">
        <v>11736</v>
      </c>
      <c r="C6458" s="132">
        <f t="shared" si="49"/>
        <v>94.2</v>
      </c>
      <c r="D6458" s="125">
        <f t="shared" si="48"/>
        <v>0</v>
      </c>
      <c r="E6458" s="124" t="s">
        <v>8451</v>
      </c>
      <c r="F6458" s="126">
        <v>5</v>
      </c>
      <c r="G6458" s="127">
        <v>565.20000000000005</v>
      </c>
      <c r="H6458" s="124" t="s">
        <v>8368</v>
      </c>
      <c r="I6458" s="127">
        <v>6.4</v>
      </c>
      <c r="J6458" s="127">
        <v>32</v>
      </c>
    </row>
    <row r="6459" spans="1:10" hidden="1" x14ac:dyDescent="0.25">
      <c r="A6459" s="124" t="s">
        <v>8951</v>
      </c>
      <c r="B6459" s="124" t="s">
        <v>11736</v>
      </c>
      <c r="C6459" s="132">
        <f t="shared" si="49"/>
        <v>570</v>
      </c>
      <c r="D6459" s="125">
        <f t="shared" si="48"/>
        <v>0</v>
      </c>
      <c r="E6459" s="124" t="s">
        <v>8367</v>
      </c>
      <c r="F6459" s="126">
        <v>1</v>
      </c>
      <c r="G6459" s="127">
        <v>684</v>
      </c>
      <c r="H6459" s="124" t="s">
        <v>8368</v>
      </c>
      <c r="I6459" s="127">
        <v>111.6</v>
      </c>
      <c r="J6459" s="127">
        <v>558</v>
      </c>
    </row>
    <row r="6460" spans="1:10" hidden="1" x14ac:dyDescent="0.25">
      <c r="A6460" s="124" t="s">
        <v>8952</v>
      </c>
      <c r="B6460" s="124" t="s">
        <v>11736</v>
      </c>
      <c r="C6460" s="132">
        <f t="shared" si="49"/>
        <v>59</v>
      </c>
      <c r="D6460" s="125">
        <f t="shared" si="48"/>
        <v>0</v>
      </c>
      <c r="E6460" s="124" t="s">
        <v>8367</v>
      </c>
      <c r="F6460" s="126">
        <v>2</v>
      </c>
      <c r="G6460" s="127">
        <v>141.6</v>
      </c>
      <c r="H6460" s="124" t="s">
        <v>8368</v>
      </c>
      <c r="I6460" s="127">
        <v>37.6</v>
      </c>
      <c r="J6460" s="127">
        <v>188</v>
      </c>
    </row>
    <row r="6461" spans="1:10" hidden="1" x14ac:dyDescent="0.25">
      <c r="A6461" s="124" t="s">
        <v>8953</v>
      </c>
      <c r="B6461" s="124" t="s">
        <v>11736</v>
      </c>
      <c r="C6461" s="132">
        <f t="shared" si="49"/>
        <v>32</v>
      </c>
      <c r="D6461" s="125">
        <f t="shared" si="48"/>
        <v>0</v>
      </c>
      <c r="E6461" s="124" t="s">
        <v>8367</v>
      </c>
      <c r="F6461" s="126">
        <v>1</v>
      </c>
      <c r="G6461" s="127">
        <v>38.4</v>
      </c>
      <c r="H6461" s="124" t="s">
        <v>8368</v>
      </c>
      <c r="I6461" s="127">
        <v>105</v>
      </c>
      <c r="J6461" s="127">
        <v>525</v>
      </c>
    </row>
    <row r="6462" spans="1:10" hidden="1" x14ac:dyDescent="0.25">
      <c r="A6462" s="124" t="s">
        <v>8954</v>
      </c>
      <c r="B6462" s="124" t="s">
        <v>11736</v>
      </c>
      <c r="C6462" s="132">
        <f t="shared" si="49"/>
        <v>0.55800000000000005</v>
      </c>
      <c r="D6462" s="125">
        <f t="shared" si="48"/>
        <v>0</v>
      </c>
      <c r="E6462" s="124" t="s">
        <v>8367</v>
      </c>
      <c r="F6462" s="129">
        <v>1000</v>
      </c>
      <c r="G6462" s="127">
        <v>669.6</v>
      </c>
      <c r="H6462" s="124" t="s">
        <v>8368</v>
      </c>
      <c r="I6462" s="127">
        <v>103.74</v>
      </c>
      <c r="J6462" s="127">
        <v>518.70000000000005</v>
      </c>
    </row>
    <row r="6463" spans="1:10" hidden="1" x14ac:dyDescent="0.25">
      <c r="A6463" s="124" t="s">
        <v>8955</v>
      </c>
      <c r="B6463" s="124" t="s">
        <v>11736</v>
      </c>
      <c r="C6463" s="132">
        <f t="shared" si="49"/>
        <v>0.376</v>
      </c>
      <c r="D6463" s="125">
        <f t="shared" si="48"/>
        <v>0</v>
      </c>
      <c r="E6463" s="124" t="s">
        <v>8367</v>
      </c>
      <c r="F6463" s="126">
        <v>500</v>
      </c>
      <c r="G6463" s="127">
        <v>225.6</v>
      </c>
      <c r="H6463" s="124" t="s">
        <v>8368</v>
      </c>
      <c r="I6463" s="127">
        <v>65.8</v>
      </c>
      <c r="J6463" s="127">
        <v>329</v>
      </c>
    </row>
    <row r="6464" spans="1:10" hidden="1" x14ac:dyDescent="0.25">
      <c r="A6464" s="124" t="s">
        <v>8956</v>
      </c>
      <c r="B6464" s="124" t="s">
        <v>11736</v>
      </c>
      <c r="C6464" s="132">
        <f t="shared" si="49"/>
        <v>1.05</v>
      </c>
      <c r="D6464" s="125">
        <f t="shared" si="48"/>
        <v>0</v>
      </c>
      <c r="E6464" s="124" t="s">
        <v>8367</v>
      </c>
      <c r="F6464" s="126">
        <v>500</v>
      </c>
      <c r="G6464" s="127">
        <v>630</v>
      </c>
      <c r="H6464" s="124" t="s">
        <v>8368</v>
      </c>
      <c r="I6464" s="127">
        <v>204.32</v>
      </c>
      <c r="J6464" s="128">
        <v>1021.59</v>
      </c>
    </row>
    <row r="6465" spans="1:10" hidden="1" x14ac:dyDescent="0.25">
      <c r="A6465" s="124" t="s">
        <v>8957</v>
      </c>
      <c r="B6465" s="124" t="s">
        <v>11736</v>
      </c>
      <c r="C6465" s="132">
        <f t="shared" si="49"/>
        <v>0.52500000000000002</v>
      </c>
      <c r="D6465" s="125">
        <f t="shared" si="48"/>
        <v>0</v>
      </c>
      <c r="E6465" s="124" t="s">
        <v>8367</v>
      </c>
      <c r="F6465" s="126">
        <v>988</v>
      </c>
      <c r="G6465" s="127">
        <v>622.44000000000005</v>
      </c>
      <c r="H6465" s="124" t="s">
        <v>8368</v>
      </c>
      <c r="I6465" s="127">
        <v>47.5</v>
      </c>
      <c r="J6465" s="127">
        <v>237.5</v>
      </c>
    </row>
    <row r="6466" spans="1:10" hidden="1" x14ac:dyDescent="0.25">
      <c r="A6466" s="124" t="s">
        <v>8958</v>
      </c>
      <c r="B6466" s="124" t="s">
        <v>11736</v>
      </c>
      <c r="C6466" s="132">
        <f t="shared" si="49"/>
        <v>0.65800000000000003</v>
      </c>
      <c r="D6466" s="125">
        <f t="shared" si="48"/>
        <v>0</v>
      </c>
      <c r="E6466" s="124" t="s">
        <v>8367</v>
      </c>
      <c r="F6466" s="126">
        <v>500</v>
      </c>
      <c r="G6466" s="127">
        <v>394.8</v>
      </c>
      <c r="H6466" s="124" t="s">
        <v>8368</v>
      </c>
      <c r="I6466" s="127">
        <v>45</v>
      </c>
      <c r="J6466" s="127">
        <v>225</v>
      </c>
    </row>
    <row r="6467" spans="1:10" hidden="1" x14ac:dyDescent="0.25">
      <c r="A6467" s="124" t="s">
        <v>8959</v>
      </c>
      <c r="B6467" s="124" t="s">
        <v>11736</v>
      </c>
      <c r="C6467" s="132">
        <f t="shared" si="49"/>
        <v>0.51699898785425102</v>
      </c>
      <c r="D6467" s="125">
        <f t="shared" si="48"/>
        <v>0</v>
      </c>
      <c r="E6467" s="124" t="s">
        <v>8367</v>
      </c>
      <c r="F6467" s="129">
        <v>1976</v>
      </c>
      <c r="G6467" s="128">
        <v>1225.9100000000001</v>
      </c>
      <c r="H6467" s="124" t="s">
        <v>8368</v>
      </c>
      <c r="I6467" s="127">
        <v>166.6</v>
      </c>
      <c r="J6467" s="127">
        <v>833</v>
      </c>
    </row>
    <row r="6468" spans="1:10" hidden="1" x14ac:dyDescent="0.25">
      <c r="A6468" s="124" t="s">
        <v>8960</v>
      </c>
      <c r="B6468" s="124" t="s">
        <v>11736</v>
      </c>
      <c r="C6468" s="132">
        <f t="shared" si="49"/>
        <v>0.47499999999999998</v>
      </c>
      <c r="D6468" s="125">
        <f t="shared" si="48"/>
        <v>0</v>
      </c>
      <c r="E6468" s="124" t="s">
        <v>8367</v>
      </c>
      <c r="F6468" s="126">
        <v>500</v>
      </c>
      <c r="G6468" s="127">
        <v>285</v>
      </c>
      <c r="H6468" s="124" t="s">
        <v>8368</v>
      </c>
      <c r="I6468" s="127">
        <v>55.8</v>
      </c>
      <c r="J6468" s="127">
        <v>279</v>
      </c>
    </row>
    <row r="6469" spans="1:10" hidden="1" x14ac:dyDescent="0.25">
      <c r="A6469" s="124" t="s">
        <v>8961</v>
      </c>
      <c r="B6469" s="124" t="s">
        <v>11736</v>
      </c>
      <c r="C6469" s="132">
        <f t="shared" si="49"/>
        <v>0.22500000000000001</v>
      </c>
      <c r="D6469" s="125">
        <f>COUNTIF(A1004:A6468,A6469)</f>
        <v>0</v>
      </c>
      <c r="E6469" s="124" t="s">
        <v>8367</v>
      </c>
      <c r="F6469" s="129">
        <v>1000</v>
      </c>
      <c r="G6469" s="127">
        <v>270</v>
      </c>
      <c r="H6469" s="124" t="s">
        <v>8368</v>
      </c>
      <c r="I6469" s="127">
        <v>17.8</v>
      </c>
      <c r="J6469" s="127">
        <v>89</v>
      </c>
    </row>
    <row r="6470" spans="1:10" hidden="1" x14ac:dyDescent="0.25">
      <c r="A6470" s="124" t="s">
        <v>8962</v>
      </c>
      <c r="B6470" s="124" t="s">
        <v>11736</v>
      </c>
      <c r="C6470" s="132">
        <f t="shared" si="49"/>
        <v>0.83299999999999996</v>
      </c>
      <c r="D6470" s="125">
        <f>COUNTIF(A1005:A6469,A6470)</f>
        <v>0</v>
      </c>
      <c r="E6470" s="124" t="s">
        <v>8367</v>
      </c>
      <c r="F6470" s="129">
        <v>1000</v>
      </c>
      <c r="G6470" s="127">
        <v>999.6</v>
      </c>
      <c r="H6470" s="124" t="s">
        <v>8368</v>
      </c>
      <c r="I6470" s="127">
        <v>91.6</v>
      </c>
      <c r="J6470" s="127">
        <v>458</v>
      </c>
    </row>
    <row r="6471" spans="1:10" hidden="1" x14ac:dyDescent="0.25">
      <c r="A6471" s="124" t="s">
        <v>8963</v>
      </c>
      <c r="B6471" s="124" t="s">
        <v>11736</v>
      </c>
      <c r="C6471" s="132">
        <f t="shared" si="49"/>
        <v>0.55800000000000005</v>
      </c>
      <c r="D6471" s="125">
        <f>COUNTIF(A1006:A6470,A6471)</f>
        <v>0</v>
      </c>
      <c r="E6471" s="124" t="s">
        <v>8367</v>
      </c>
      <c r="F6471" s="126">
        <v>500</v>
      </c>
      <c r="G6471" s="127">
        <v>334.8</v>
      </c>
      <c r="H6471" s="124" t="s">
        <v>8368</v>
      </c>
      <c r="I6471" s="127">
        <v>20</v>
      </c>
      <c r="J6471" s="127">
        <v>100</v>
      </c>
    </row>
    <row r="6472" spans="1:10" hidden="1" x14ac:dyDescent="0.25">
      <c r="A6472" s="124" t="s">
        <v>8964</v>
      </c>
      <c r="B6472" s="124" t="s">
        <v>11736</v>
      </c>
      <c r="C6472" s="132">
        <f t="shared" si="49"/>
        <v>0.89</v>
      </c>
      <c r="D6472" s="125">
        <f>COUNTIF(A1007:A6471,A6472)</f>
        <v>0</v>
      </c>
      <c r="E6472" s="124" t="s">
        <v>8367</v>
      </c>
      <c r="F6472" s="126">
        <v>100</v>
      </c>
      <c r="G6472" s="127">
        <v>106.8</v>
      </c>
      <c r="H6472" s="124" t="s">
        <v>8368</v>
      </c>
      <c r="I6472" s="127">
        <v>47</v>
      </c>
      <c r="J6472" s="127">
        <v>235</v>
      </c>
    </row>
    <row r="6473" spans="1:10" hidden="1" x14ac:dyDescent="0.25">
      <c r="A6473" s="124" t="s">
        <v>8965</v>
      </c>
      <c r="B6473" s="124" t="s">
        <v>11736</v>
      </c>
      <c r="C6473" s="132">
        <f t="shared" si="49"/>
        <v>1.8320000000000001</v>
      </c>
      <c r="D6473" s="125">
        <f t="shared" ref="D6473:D6485" si="50">COUNTIF(A1010:A6472,A6473)</f>
        <v>0</v>
      </c>
      <c r="E6473" s="124" t="s">
        <v>8367</v>
      </c>
      <c r="F6473" s="126">
        <v>250</v>
      </c>
      <c r="G6473" s="127">
        <v>549.6</v>
      </c>
      <c r="H6473" s="124" t="s">
        <v>8368</v>
      </c>
      <c r="I6473" s="128">
        <v>1164.2</v>
      </c>
      <c r="J6473" s="128">
        <v>5821</v>
      </c>
    </row>
    <row r="6474" spans="1:10" hidden="1" x14ac:dyDescent="0.25">
      <c r="A6474" s="124" t="s">
        <v>8966</v>
      </c>
      <c r="B6474" s="124" t="s">
        <v>11736</v>
      </c>
      <c r="C6474" s="132">
        <f t="shared" si="49"/>
        <v>0.4</v>
      </c>
      <c r="D6474" s="125">
        <f t="shared" si="50"/>
        <v>0</v>
      </c>
      <c r="E6474" s="124" t="s">
        <v>8367</v>
      </c>
      <c r="F6474" s="126">
        <v>250</v>
      </c>
      <c r="G6474" s="127">
        <v>120</v>
      </c>
      <c r="H6474" s="124" t="s">
        <v>8368</v>
      </c>
      <c r="I6474" s="128">
        <v>1164.2</v>
      </c>
      <c r="J6474" s="128">
        <v>5821</v>
      </c>
    </row>
    <row r="6475" spans="1:10" hidden="1" x14ac:dyDescent="0.25">
      <c r="A6475" s="124" t="s">
        <v>8967</v>
      </c>
      <c r="B6475" s="124" t="s">
        <v>11736</v>
      </c>
      <c r="C6475" s="132">
        <f t="shared" si="49"/>
        <v>0.94</v>
      </c>
      <c r="D6475" s="125">
        <f t="shared" si="50"/>
        <v>0</v>
      </c>
      <c r="E6475" s="124" t="s">
        <v>8367</v>
      </c>
      <c r="F6475" s="126">
        <v>250</v>
      </c>
      <c r="G6475" s="127">
        <v>282</v>
      </c>
      <c r="H6475" s="124" t="s">
        <v>8368</v>
      </c>
      <c r="I6475" s="128">
        <v>1164.2</v>
      </c>
      <c r="J6475" s="128">
        <v>5821</v>
      </c>
    </row>
    <row r="6476" spans="1:10" hidden="1" x14ac:dyDescent="0.25">
      <c r="A6476" s="124" t="s">
        <v>8968</v>
      </c>
      <c r="B6476" s="124" t="s">
        <v>11736</v>
      </c>
      <c r="C6476" s="132">
        <f t="shared" si="49"/>
        <v>90.953125</v>
      </c>
      <c r="D6476" s="125">
        <f t="shared" si="50"/>
        <v>0</v>
      </c>
      <c r="E6476" s="124" t="s">
        <v>8367</v>
      </c>
      <c r="F6476" s="126">
        <v>64</v>
      </c>
      <c r="G6476" s="128">
        <v>6985.2</v>
      </c>
      <c r="H6476" s="124" t="s">
        <v>8368</v>
      </c>
      <c r="I6476" s="128">
        <v>1091.4000000000001</v>
      </c>
      <c r="J6476" s="128">
        <v>5457</v>
      </c>
    </row>
    <row r="6477" spans="1:10" hidden="1" x14ac:dyDescent="0.25">
      <c r="A6477" s="124" t="s">
        <v>8969</v>
      </c>
      <c r="B6477" s="124" t="s">
        <v>11736</v>
      </c>
      <c r="C6477" s="132">
        <f t="shared" si="49"/>
        <v>90.953125</v>
      </c>
      <c r="D6477" s="125">
        <f t="shared" si="50"/>
        <v>0</v>
      </c>
      <c r="E6477" s="124" t="s">
        <v>8367</v>
      </c>
      <c r="F6477" s="126">
        <v>64</v>
      </c>
      <c r="G6477" s="128">
        <v>6985.2</v>
      </c>
      <c r="H6477" s="124" t="s">
        <v>8368</v>
      </c>
      <c r="I6477" s="127">
        <v>133.4</v>
      </c>
      <c r="J6477" s="127">
        <v>667</v>
      </c>
    </row>
    <row r="6478" spans="1:10" hidden="1" x14ac:dyDescent="0.25">
      <c r="A6478" s="124" t="s">
        <v>8970</v>
      </c>
      <c r="B6478" s="124" t="s">
        <v>11736</v>
      </c>
      <c r="C6478" s="132">
        <f t="shared" si="49"/>
        <v>90.953125</v>
      </c>
      <c r="D6478" s="125">
        <f t="shared" si="50"/>
        <v>0</v>
      </c>
      <c r="E6478" s="124" t="s">
        <v>8367</v>
      </c>
      <c r="F6478" s="126">
        <v>64</v>
      </c>
      <c r="G6478" s="128">
        <v>6985.2</v>
      </c>
      <c r="H6478" s="124" t="s">
        <v>8368</v>
      </c>
      <c r="I6478" s="127">
        <v>36.6</v>
      </c>
      <c r="J6478" s="127">
        <v>183</v>
      </c>
    </row>
    <row r="6479" spans="1:10" hidden="1" x14ac:dyDescent="0.25">
      <c r="A6479" s="124" t="s">
        <v>8971</v>
      </c>
      <c r="B6479" s="124" t="s">
        <v>11736</v>
      </c>
      <c r="C6479" s="132">
        <f t="shared" si="49"/>
        <v>90.95</v>
      </c>
      <c r="D6479" s="125">
        <f t="shared" si="50"/>
        <v>0</v>
      </c>
      <c r="E6479" s="124" t="s">
        <v>8367</v>
      </c>
      <c r="F6479" s="126">
        <v>60</v>
      </c>
      <c r="G6479" s="128">
        <v>6548.4</v>
      </c>
      <c r="H6479" s="124" t="s">
        <v>8368</v>
      </c>
      <c r="I6479" s="127">
        <v>837</v>
      </c>
      <c r="J6479" s="128">
        <v>4185</v>
      </c>
    </row>
    <row r="6480" spans="1:10" hidden="1" x14ac:dyDescent="0.25">
      <c r="A6480" s="124" t="s">
        <v>8972</v>
      </c>
      <c r="B6480" s="124" t="s">
        <v>11736</v>
      </c>
      <c r="C6480" s="132">
        <f t="shared" si="49"/>
        <v>0.66700000000000004</v>
      </c>
      <c r="D6480" s="125">
        <f t="shared" si="50"/>
        <v>0</v>
      </c>
      <c r="E6480" s="124" t="s">
        <v>8367</v>
      </c>
      <c r="F6480" s="129">
        <v>1000</v>
      </c>
      <c r="G6480" s="127">
        <v>800.4</v>
      </c>
      <c r="H6480" s="124" t="s">
        <v>8368</v>
      </c>
      <c r="I6480" s="127">
        <v>715.4</v>
      </c>
      <c r="J6480" s="128">
        <v>3577</v>
      </c>
    </row>
    <row r="6481" spans="1:10" hidden="1" x14ac:dyDescent="0.25">
      <c r="A6481" s="124" t="s">
        <v>8973</v>
      </c>
      <c r="B6481" s="124" t="s">
        <v>11736</v>
      </c>
      <c r="C6481" s="132">
        <f t="shared" si="49"/>
        <v>1.83</v>
      </c>
      <c r="D6481" s="125">
        <f t="shared" si="50"/>
        <v>0</v>
      </c>
      <c r="E6481" s="124" t="s">
        <v>8367</v>
      </c>
      <c r="F6481" s="126">
        <v>100</v>
      </c>
      <c r="G6481" s="127">
        <v>219.6</v>
      </c>
      <c r="H6481" s="124" t="s">
        <v>8368</v>
      </c>
      <c r="I6481" s="127">
        <v>680.4</v>
      </c>
      <c r="J6481" s="128">
        <v>3402</v>
      </c>
    </row>
    <row r="6482" spans="1:10" hidden="1" x14ac:dyDescent="0.25">
      <c r="A6482" s="124" t="s">
        <v>8974</v>
      </c>
      <c r="B6482" s="124" t="s">
        <v>11736</v>
      </c>
      <c r="C6482" s="132">
        <f t="shared" si="49"/>
        <v>1395</v>
      </c>
      <c r="D6482" s="125">
        <f t="shared" si="50"/>
        <v>0</v>
      </c>
      <c r="E6482" s="124" t="s">
        <v>8367</v>
      </c>
      <c r="F6482" s="126">
        <v>3</v>
      </c>
      <c r="G6482" s="128">
        <v>5022</v>
      </c>
      <c r="H6482" s="124" t="s">
        <v>8368</v>
      </c>
      <c r="I6482" s="128">
        <v>31026.71</v>
      </c>
      <c r="J6482" s="128">
        <v>155133.53</v>
      </c>
    </row>
    <row r="6483" spans="1:10" hidden="1" x14ac:dyDescent="0.25">
      <c r="A6483" s="124" t="s">
        <v>8975</v>
      </c>
      <c r="B6483" s="124" t="s">
        <v>11736</v>
      </c>
      <c r="C6483" s="132">
        <f t="shared" si="49"/>
        <v>1788.5</v>
      </c>
      <c r="D6483" s="125">
        <f t="shared" si="50"/>
        <v>0</v>
      </c>
      <c r="E6483" s="124" t="s">
        <v>8367</v>
      </c>
      <c r="F6483" s="126">
        <v>2</v>
      </c>
      <c r="G6483" s="128">
        <v>4292.3999999999996</v>
      </c>
      <c r="H6483" s="124" t="s">
        <v>8368</v>
      </c>
      <c r="I6483" s="128">
        <v>11000</v>
      </c>
      <c r="J6483" s="128">
        <v>55000</v>
      </c>
    </row>
    <row r="6484" spans="1:10" hidden="1" x14ac:dyDescent="0.25">
      <c r="A6484" s="124" t="s">
        <v>8976</v>
      </c>
      <c r="B6484" s="124" t="s">
        <v>11736</v>
      </c>
      <c r="C6484" s="132">
        <f t="shared" si="49"/>
        <v>1701</v>
      </c>
      <c r="D6484" s="125">
        <f t="shared" si="50"/>
        <v>0</v>
      </c>
      <c r="E6484" s="124" t="s">
        <v>8367</v>
      </c>
      <c r="F6484" s="126">
        <v>2</v>
      </c>
      <c r="G6484" s="128">
        <v>4082.4</v>
      </c>
      <c r="H6484" s="124" t="s">
        <v>8368</v>
      </c>
      <c r="I6484" s="128">
        <v>4535.2</v>
      </c>
      <c r="J6484" s="128">
        <v>22676</v>
      </c>
    </row>
    <row r="6485" spans="1:10" hidden="1" x14ac:dyDescent="0.25">
      <c r="A6485" s="124" t="s">
        <v>8977</v>
      </c>
      <c r="B6485" s="124" t="s">
        <v>11736</v>
      </c>
      <c r="C6485" s="132">
        <f t="shared" si="49"/>
        <v>19391.69125</v>
      </c>
      <c r="D6485" s="125">
        <f t="shared" si="50"/>
        <v>0</v>
      </c>
      <c r="E6485" s="124" t="s">
        <v>8367</v>
      </c>
      <c r="F6485" s="126">
        <v>8</v>
      </c>
      <c r="G6485" s="128">
        <v>186160.24</v>
      </c>
      <c r="H6485" s="124" t="s">
        <v>8368</v>
      </c>
      <c r="I6485" s="127">
        <v>151.65</v>
      </c>
      <c r="J6485" s="127">
        <v>758.25</v>
      </c>
    </row>
    <row r="6486" spans="1:10" hidden="1" x14ac:dyDescent="0.25">
      <c r="A6486" s="124" t="s">
        <v>8978</v>
      </c>
      <c r="B6486" s="124" t="s">
        <v>11736</v>
      </c>
      <c r="C6486" s="132">
        <f t="shared" si="49"/>
        <v>55000</v>
      </c>
      <c r="D6486" s="125">
        <f>COUNTIF(A1024:A6485,A6486)</f>
        <v>0</v>
      </c>
      <c r="E6486" s="124" t="s">
        <v>8367</v>
      </c>
      <c r="F6486" s="126">
        <v>1</v>
      </c>
      <c r="G6486" s="128">
        <v>66000</v>
      </c>
      <c r="H6486" s="124" t="s">
        <v>8368</v>
      </c>
      <c r="I6486" s="127">
        <v>562.5</v>
      </c>
      <c r="J6486" s="128">
        <v>2812.5</v>
      </c>
    </row>
    <row r="6487" spans="1:10" hidden="1" x14ac:dyDescent="0.25">
      <c r="A6487" s="124" t="s">
        <v>8979</v>
      </c>
      <c r="B6487" s="124" t="s">
        <v>11736</v>
      </c>
      <c r="C6487" s="132">
        <f t="shared" si="49"/>
        <v>5669</v>
      </c>
      <c r="D6487" s="125">
        <f>COUNTIF(A1027:A6486,A6487)</f>
        <v>0</v>
      </c>
      <c r="E6487" s="124" t="s">
        <v>8367</v>
      </c>
      <c r="F6487" s="126">
        <v>4</v>
      </c>
      <c r="G6487" s="128">
        <v>27211.200000000001</v>
      </c>
      <c r="H6487" s="124" t="s">
        <v>8368</v>
      </c>
      <c r="I6487" s="127">
        <v>97.98</v>
      </c>
      <c r="J6487" s="127">
        <v>489.9</v>
      </c>
    </row>
    <row r="6488" spans="1:10" hidden="1" x14ac:dyDescent="0.25">
      <c r="A6488" s="124" t="s">
        <v>8980</v>
      </c>
      <c r="B6488" s="124" t="s">
        <v>11736</v>
      </c>
      <c r="C6488" s="132">
        <f t="shared" si="49"/>
        <v>758.25</v>
      </c>
      <c r="D6488" s="125">
        <f>COUNTIF(A1028:A6487,A6488)</f>
        <v>0</v>
      </c>
      <c r="E6488" s="124" t="s">
        <v>8451</v>
      </c>
      <c r="F6488" s="126">
        <v>1</v>
      </c>
      <c r="G6488" s="127">
        <v>909.9</v>
      </c>
      <c r="H6488" s="124" t="s">
        <v>8368</v>
      </c>
      <c r="I6488" s="128">
        <v>1557.6</v>
      </c>
      <c r="J6488" s="128">
        <v>7788</v>
      </c>
    </row>
    <row r="6489" spans="1:10" hidden="1" x14ac:dyDescent="0.25">
      <c r="A6489" s="124" t="s">
        <v>8981</v>
      </c>
      <c r="B6489" s="124" t="s">
        <v>11736</v>
      </c>
      <c r="C6489" s="132">
        <f t="shared" si="49"/>
        <v>937.5</v>
      </c>
      <c r="D6489" s="125">
        <f>COUNTIF(A1040:A6488,A6489)</f>
        <v>0</v>
      </c>
      <c r="E6489" s="124" t="s">
        <v>8367</v>
      </c>
      <c r="F6489" s="126">
        <v>3</v>
      </c>
      <c r="G6489" s="128">
        <v>3375</v>
      </c>
      <c r="H6489" s="124" t="s">
        <v>8368</v>
      </c>
      <c r="I6489" s="127">
        <v>111.66</v>
      </c>
      <c r="J6489" s="127">
        <v>558.29999999999995</v>
      </c>
    </row>
    <row r="6490" spans="1:10" hidden="1" x14ac:dyDescent="0.25">
      <c r="A6490" s="124" t="s">
        <v>8982</v>
      </c>
      <c r="B6490" s="124" t="s">
        <v>11736</v>
      </c>
      <c r="C6490" s="132">
        <f t="shared" si="49"/>
        <v>81.649999999999991</v>
      </c>
      <c r="D6490" s="125">
        <f>COUNTIF(A1044:A6489,A6490)</f>
        <v>0</v>
      </c>
      <c r="E6490" s="124" t="s">
        <v>8367</v>
      </c>
      <c r="F6490" s="126">
        <v>6</v>
      </c>
      <c r="G6490" s="127">
        <v>587.88</v>
      </c>
      <c r="H6490" s="124" t="s">
        <v>8368</v>
      </c>
      <c r="I6490" s="127">
        <v>110.2</v>
      </c>
      <c r="J6490" s="127">
        <v>551</v>
      </c>
    </row>
    <row r="6491" spans="1:10" hidden="1" x14ac:dyDescent="0.25">
      <c r="A6491" s="124" t="s">
        <v>8983</v>
      </c>
      <c r="B6491" s="124" t="s">
        <v>11736</v>
      </c>
      <c r="C6491" s="132">
        <f t="shared" si="49"/>
        <v>7788</v>
      </c>
      <c r="D6491" s="125">
        <f>COUNTIF(A1047:A6490,A6491)</f>
        <v>0</v>
      </c>
      <c r="E6491" s="124" t="s">
        <v>8367</v>
      </c>
      <c r="F6491" s="126">
        <v>1</v>
      </c>
      <c r="G6491" s="128">
        <v>9345.6</v>
      </c>
      <c r="H6491" s="124" t="s">
        <v>8368</v>
      </c>
      <c r="I6491" s="128">
        <v>1841.4</v>
      </c>
      <c r="J6491" s="128">
        <v>9207</v>
      </c>
    </row>
    <row r="6492" spans="1:10" hidden="1" x14ac:dyDescent="0.25">
      <c r="A6492" s="124" t="s">
        <v>1118</v>
      </c>
      <c r="B6492" s="124" t="s">
        <v>11736</v>
      </c>
      <c r="C6492" s="132">
        <f t="shared" si="49"/>
        <v>279.14999999999998</v>
      </c>
      <c r="D6492" s="125">
        <f>COUNTIF(A1048:A6491,A6492)</f>
        <v>0</v>
      </c>
      <c r="E6492" s="124" t="s">
        <v>8367</v>
      </c>
      <c r="F6492" s="126">
        <v>2</v>
      </c>
      <c r="G6492" s="127">
        <v>669.96</v>
      </c>
      <c r="H6492" s="124" t="s">
        <v>8368</v>
      </c>
      <c r="I6492" s="127">
        <v>203.35</v>
      </c>
      <c r="J6492" s="128">
        <v>1016.75</v>
      </c>
    </row>
    <row r="6493" spans="1:10" hidden="1" x14ac:dyDescent="0.25">
      <c r="A6493" s="124" t="s">
        <v>8984</v>
      </c>
      <c r="B6493" s="124" t="s">
        <v>11736</v>
      </c>
      <c r="C6493" s="132">
        <f t="shared" si="49"/>
        <v>551</v>
      </c>
      <c r="D6493" s="125">
        <f>COUNTIF(A1053:A6492,A6493)</f>
        <v>0</v>
      </c>
      <c r="E6493" s="124" t="s">
        <v>8367</v>
      </c>
      <c r="F6493" s="126">
        <v>1</v>
      </c>
      <c r="G6493" s="127">
        <v>661.2</v>
      </c>
      <c r="H6493" s="124" t="s">
        <v>8368</v>
      </c>
      <c r="I6493" s="127">
        <v>147.22</v>
      </c>
      <c r="J6493" s="127">
        <v>736.1</v>
      </c>
    </row>
    <row r="6494" spans="1:10" hidden="1" x14ac:dyDescent="0.25">
      <c r="A6494" s="124" t="s">
        <v>8985</v>
      </c>
      <c r="B6494" s="124" t="s">
        <v>11736</v>
      </c>
      <c r="C6494" s="132">
        <f t="shared" si="49"/>
        <v>2301.75</v>
      </c>
      <c r="D6494" s="125">
        <f>COUNTIF(A1054:A6493,A6494)</f>
        <v>0</v>
      </c>
      <c r="E6494" s="124" t="s">
        <v>8367</v>
      </c>
      <c r="F6494" s="126">
        <v>4</v>
      </c>
      <c r="G6494" s="128">
        <v>11048.4</v>
      </c>
      <c r="H6494" s="124" t="s">
        <v>8368</v>
      </c>
      <c r="I6494" s="127">
        <v>900</v>
      </c>
      <c r="J6494" s="128">
        <v>4500</v>
      </c>
    </row>
    <row r="6495" spans="1:10" hidden="1" x14ac:dyDescent="0.25">
      <c r="A6495" s="124" t="s">
        <v>8986</v>
      </c>
      <c r="B6495" s="124" t="s">
        <v>11736</v>
      </c>
      <c r="C6495" s="132">
        <f t="shared" si="49"/>
        <v>254.1875</v>
      </c>
      <c r="D6495" s="125">
        <f>COUNTIF(A1055:A6494,A6495)</f>
        <v>0</v>
      </c>
      <c r="E6495" s="124" t="s">
        <v>8367</v>
      </c>
      <c r="F6495" s="126">
        <v>4</v>
      </c>
      <c r="G6495" s="128">
        <v>1220.0999999999999</v>
      </c>
      <c r="H6495" s="124" t="s">
        <v>8368</v>
      </c>
      <c r="I6495" s="127">
        <v>780.6</v>
      </c>
      <c r="J6495" s="128">
        <v>3903</v>
      </c>
    </row>
    <row r="6496" spans="1:10" hidden="1" x14ac:dyDescent="0.25">
      <c r="A6496" s="124" t="s">
        <v>8987</v>
      </c>
      <c r="B6496" s="124" t="s">
        <v>11736</v>
      </c>
      <c r="C6496" s="132">
        <f t="shared" si="49"/>
        <v>21.650000000000002</v>
      </c>
      <c r="D6496" s="125">
        <f>COUNTIF(A1056:A6495,A6496)</f>
        <v>0</v>
      </c>
      <c r="E6496" s="124" t="s">
        <v>8367</v>
      </c>
      <c r="F6496" s="126">
        <v>34</v>
      </c>
      <c r="G6496" s="127">
        <v>883.32</v>
      </c>
      <c r="H6496" s="124" t="s">
        <v>8368</v>
      </c>
      <c r="I6496" s="128">
        <v>1023</v>
      </c>
      <c r="J6496" s="128">
        <v>5115</v>
      </c>
    </row>
    <row r="6497" spans="1:10" hidden="1" x14ac:dyDescent="0.25">
      <c r="A6497" s="124" t="s">
        <v>8988</v>
      </c>
      <c r="B6497" s="124" t="s">
        <v>11736</v>
      </c>
      <c r="C6497" s="132">
        <f t="shared" si="49"/>
        <v>4500</v>
      </c>
      <c r="D6497" s="125">
        <f>COUNTIF(A1061:A6496,A6497)</f>
        <v>0</v>
      </c>
      <c r="E6497" s="124" t="s">
        <v>8367</v>
      </c>
      <c r="F6497" s="126">
        <v>1</v>
      </c>
      <c r="G6497" s="128">
        <v>5400</v>
      </c>
      <c r="H6497" s="124" t="s">
        <v>8368</v>
      </c>
      <c r="I6497" s="128">
        <v>33050</v>
      </c>
      <c r="J6497" s="128">
        <v>165250</v>
      </c>
    </row>
    <row r="6498" spans="1:10" hidden="1" x14ac:dyDescent="0.25">
      <c r="A6498" s="124" t="s">
        <v>8989</v>
      </c>
      <c r="B6498" s="124" t="s">
        <v>11736</v>
      </c>
      <c r="C6498" s="132">
        <f t="shared" si="49"/>
        <v>557.57142857142856</v>
      </c>
      <c r="D6498" s="125">
        <f>COUNTIF(A1062:A6497,A6498)</f>
        <v>0</v>
      </c>
      <c r="E6498" s="124" t="s">
        <v>8367</v>
      </c>
      <c r="F6498" s="126">
        <v>7</v>
      </c>
      <c r="G6498" s="128">
        <v>4683.6000000000004</v>
      </c>
      <c r="H6498" s="124" t="s">
        <v>8368</v>
      </c>
      <c r="I6498" s="128">
        <v>2431013.4700000002</v>
      </c>
      <c r="J6498" s="128">
        <v>12155067.359999999</v>
      </c>
    </row>
    <row r="6499" spans="1:10" hidden="1" x14ac:dyDescent="0.25">
      <c r="A6499" s="124" t="s">
        <v>8990</v>
      </c>
      <c r="B6499" s="124" t="s">
        <v>11736</v>
      </c>
      <c r="C6499" s="132">
        <f t="shared" si="49"/>
        <v>465</v>
      </c>
      <c r="D6499" s="125">
        <f>COUNTIF(A1063:A6498,A6499)</f>
        <v>0</v>
      </c>
      <c r="E6499" s="124" t="s">
        <v>8367</v>
      </c>
      <c r="F6499" s="126">
        <v>11</v>
      </c>
      <c r="G6499" s="128">
        <v>6138</v>
      </c>
      <c r="H6499" s="124" t="s">
        <v>8368</v>
      </c>
      <c r="I6499" s="128">
        <v>484003.42</v>
      </c>
      <c r="J6499" s="128">
        <v>2420017.1</v>
      </c>
    </row>
    <row r="6500" spans="1:10" hidden="1" x14ac:dyDescent="0.25">
      <c r="A6500" s="124" t="s">
        <v>8991</v>
      </c>
      <c r="B6500" s="124" t="s">
        <v>11736</v>
      </c>
      <c r="C6500" s="132">
        <f t="shared" si="49"/>
        <v>1652.5</v>
      </c>
      <c r="D6500" s="125">
        <f>COUNTIF(A1085:A6499,A6500)</f>
        <v>0</v>
      </c>
      <c r="E6500" s="124" t="s">
        <v>8367</v>
      </c>
      <c r="F6500" s="126">
        <v>100</v>
      </c>
      <c r="G6500" s="128">
        <v>198300</v>
      </c>
      <c r="H6500" s="124" t="s">
        <v>8368</v>
      </c>
      <c r="I6500" s="128">
        <v>4632000</v>
      </c>
      <c r="J6500" s="128">
        <v>23160000</v>
      </c>
    </row>
    <row r="6501" spans="1:10" hidden="1" x14ac:dyDescent="0.25">
      <c r="A6501" s="124" t="s">
        <v>8992</v>
      </c>
      <c r="B6501" s="124" t="s">
        <v>11736</v>
      </c>
      <c r="C6501" s="132"/>
      <c r="D6501" s="125">
        <f>COUNTIF(A1087:A6500,A6501)</f>
        <v>0</v>
      </c>
      <c r="E6501" s="124" t="s">
        <v>8367</v>
      </c>
      <c r="F6501" s="126">
        <v>6</v>
      </c>
      <c r="G6501" s="128">
        <v>14586080.83</v>
      </c>
      <c r="H6501" s="124" t="s">
        <v>8368</v>
      </c>
      <c r="I6501" s="128">
        <v>14082133.33</v>
      </c>
      <c r="J6501" s="128">
        <v>70410666.670000002</v>
      </c>
    </row>
    <row r="6502" spans="1:10" hidden="1" x14ac:dyDescent="0.25">
      <c r="A6502" s="124" t="s">
        <v>8993</v>
      </c>
      <c r="B6502" s="124" t="s">
        <v>11736</v>
      </c>
      <c r="C6502" s="132"/>
      <c r="D6502" s="125">
        <f>COUNTIF(A1092:A6501,A6502)</f>
        <v>0</v>
      </c>
      <c r="E6502" s="124" t="s">
        <v>8367</v>
      </c>
      <c r="F6502" s="126">
        <v>1</v>
      </c>
      <c r="G6502" s="128">
        <v>2904020.52</v>
      </c>
      <c r="H6502" s="124" t="s">
        <v>8368</v>
      </c>
      <c r="I6502" s="128">
        <v>1471.76</v>
      </c>
      <c r="J6502" s="128">
        <v>7358.8</v>
      </c>
    </row>
    <row r="6503" spans="1:10" hidden="1" x14ac:dyDescent="0.25">
      <c r="A6503" s="124" t="s">
        <v>8994</v>
      </c>
      <c r="B6503" s="124" t="s">
        <v>11736</v>
      </c>
      <c r="C6503" s="132"/>
      <c r="D6503" s="125">
        <f>COUNTIF(A1094:A6502,A6503)</f>
        <v>0</v>
      </c>
      <c r="E6503" s="124" t="s">
        <v>8367</v>
      </c>
      <c r="F6503" s="129">
        <v>8685</v>
      </c>
      <c r="G6503" s="128">
        <v>27792000</v>
      </c>
      <c r="H6503" s="124" t="s">
        <v>8368</v>
      </c>
      <c r="I6503" s="128">
        <v>1128.2</v>
      </c>
      <c r="J6503" s="128">
        <v>5641</v>
      </c>
    </row>
    <row r="6504" spans="1:10" hidden="1" x14ac:dyDescent="0.25">
      <c r="A6504" s="124" t="s">
        <v>8995</v>
      </c>
      <c r="B6504" s="124" t="s">
        <v>11736</v>
      </c>
      <c r="C6504" s="132"/>
      <c r="D6504" s="125">
        <f>COUNTIF(A1099:A6503,A6504)</f>
        <v>0</v>
      </c>
      <c r="E6504" s="124" t="s">
        <v>8367</v>
      </c>
      <c r="F6504" s="129">
        <v>20608</v>
      </c>
      <c r="G6504" s="128">
        <v>84492800</v>
      </c>
      <c r="H6504" s="124" t="s">
        <v>8368</v>
      </c>
      <c r="I6504" s="128">
        <v>11823326.67</v>
      </c>
      <c r="J6504" s="128">
        <v>59116633.329999998</v>
      </c>
    </row>
    <row r="6505" spans="1:10" hidden="1" x14ac:dyDescent="0.25">
      <c r="A6505" s="124" t="s">
        <v>8996</v>
      </c>
      <c r="B6505" s="124" t="s">
        <v>11736</v>
      </c>
      <c r="C6505" s="132"/>
      <c r="D6505" s="125">
        <f>COUNTIF(A1108:A6504,A6505)</f>
        <v>0</v>
      </c>
      <c r="E6505" s="124" t="s">
        <v>8367</v>
      </c>
      <c r="F6505" s="126">
        <v>1</v>
      </c>
      <c r="G6505" s="128">
        <v>8830.56</v>
      </c>
      <c r="H6505" s="124" t="s">
        <v>8368</v>
      </c>
      <c r="I6505" s="127">
        <v>330.6</v>
      </c>
      <c r="J6505" s="128">
        <v>1653</v>
      </c>
    </row>
    <row r="6506" spans="1:10" hidden="1" x14ac:dyDescent="0.25">
      <c r="A6506" s="124" t="s">
        <v>8997</v>
      </c>
      <c r="B6506" s="124" t="s">
        <v>11736</v>
      </c>
      <c r="C6506" s="132"/>
      <c r="D6506" s="125">
        <f>COUNTIF(A1110:A6505,A6506)</f>
        <v>0</v>
      </c>
      <c r="E6506" s="124" t="s">
        <v>8367</v>
      </c>
      <c r="F6506" s="126">
        <v>17</v>
      </c>
      <c r="G6506" s="128">
        <v>6769.2</v>
      </c>
      <c r="H6506" s="124" t="s">
        <v>8368</v>
      </c>
      <c r="I6506" s="127">
        <v>117.68</v>
      </c>
      <c r="J6506" s="127">
        <v>588.4</v>
      </c>
    </row>
    <row r="6507" spans="1:10" hidden="1" x14ac:dyDescent="0.25">
      <c r="A6507" s="124" t="s">
        <v>8998</v>
      </c>
      <c r="B6507" s="124" t="s">
        <v>11736</v>
      </c>
      <c r="C6507" s="132"/>
      <c r="D6507" s="125">
        <f>COUNTIF(A1116:A6506,A6507)</f>
        <v>0</v>
      </c>
      <c r="E6507" s="124" t="s">
        <v>8367</v>
      </c>
      <c r="F6507" s="126">
        <v>182</v>
      </c>
      <c r="G6507" s="128">
        <v>70939960</v>
      </c>
      <c r="H6507" s="124" t="s">
        <v>8368</v>
      </c>
      <c r="I6507" s="127">
        <v>139.6</v>
      </c>
      <c r="J6507" s="127">
        <v>698</v>
      </c>
    </row>
    <row r="6508" spans="1:10" hidden="1" x14ac:dyDescent="0.25">
      <c r="A6508" s="124" t="s">
        <v>8999</v>
      </c>
      <c r="B6508" s="124" t="s">
        <v>11736</v>
      </c>
      <c r="C6508" s="132"/>
      <c r="D6508" s="125">
        <f>COUNTIF(A1122:A6507,A6508)</f>
        <v>0</v>
      </c>
      <c r="E6508" s="124" t="s">
        <v>8367</v>
      </c>
      <c r="F6508" s="126">
        <v>4</v>
      </c>
      <c r="G6508" s="128">
        <v>1983.6</v>
      </c>
      <c r="H6508" s="124" t="s">
        <v>8368</v>
      </c>
      <c r="I6508" s="127">
        <v>85.6</v>
      </c>
      <c r="J6508" s="127">
        <v>428</v>
      </c>
    </row>
    <row r="6509" spans="1:10" hidden="1" x14ac:dyDescent="0.25">
      <c r="A6509" s="124" t="s">
        <v>9000</v>
      </c>
      <c r="B6509" s="124" t="s">
        <v>11736</v>
      </c>
      <c r="C6509" s="132"/>
      <c r="D6509" s="125">
        <f>COUNTIF(A1123:A6508,A6509)</f>
        <v>0</v>
      </c>
      <c r="E6509" s="124" t="s">
        <v>8367</v>
      </c>
      <c r="F6509" s="126">
        <v>2</v>
      </c>
      <c r="G6509" s="127">
        <v>706.08</v>
      </c>
      <c r="H6509" s="124" t="s">
        <v>8368</v>
      </c>
      <c r="I6509" s="127">
        <v>136.4</v>
      </c>
      <c r="J6509" s="127">
        <v>682</v>
      </c>
    </row>
    <row r="6510" spans="1:10" hidden="1" x14ac:dyDescent="0.25">
      <c r="A6510" s="124" t="s">
        <v>9001</v>
      </c>
      <c r="B6510" s="124" t="s">
        <v>11736</v>
      </c>
      <c r="C6510" s="132"/>
      <c r="D6510" s="125">
        <f t="shared" ref="D6510:D6518" si="51">COUNTIF(A1125:A6509,A6510)</f>
        <v>0</v>
      </c>
      <c r="E6510" s="124" t="s">
        <v>8367</v>
      </c>
      <c r="F6510" s="126">
        <v>1</v>
      </c>
      <c r="G6510" s="127">
        <v>837.6</v>
      </c>
      <c r="H6510" s="124" t="s">
        <v>8368</v>
      </c>
      <c r="I6510" s="128">
        <v>1141.5999999999999</v>
      </c>
      <c r="J6510" s="128">
        <v>5708</v>
      </c>
    </row>
    <row r="6511" spans="1:10" hidden="1" x14ac:dyDescent="0.25">
      <c r="A6511" s="124" t="s">
        <v>9002</v>
      </c>
      <c r="B6511" s="124" t="s">
        <v>11736</v>
      </c>
      <c r="C6511" s="132"/>
      <c r="D6511" s="125">
        <f t="shared" si="51"/>
        <v>0</v>
      </c>
      <c r="E6511" s="124" t="s">
        <v>8367</v>
      </c>
      <c r="F6511" s="126">
        <v>1</v>
      </c>
      <c r="G6511" s="127">
        <v>513.6</v>
      </c>
      <c r="H6511" s="124" t="s">
        <v>8368</v>
      </c>
      <c r="I6511" s="127">
        <v>114.6</v>
      </c>
      <c r="J6511" s="127">
        <v>573</v>
      </c>
    </row>
    <row r="6512" spans="1:10" hidden="1" x14ac:dyDescent="0.25">
      <c r="A6512" s="124" t="s">
        <v>9003</v>
      </c>
      <c r="B6512" s="124" t="s">
        <v>11736</v>
      </c>
      <c r="C6512" s="132"/>
      <c r="D6512" s="125">
        <f t="shared" si="51"/>
        <v>0</v>
      </c>
      <c r="E6512" s="124" t="s">
        <v>8367</v>
      </c>
      <c r="F6512" s="126">
        <v>1</v>
      </c>
      <c r="G6512" s="127">
        <v>818.4</v>
      </c>
      <c r="H6512" s="124" t="s">
        <v>8368</v>
      </c>
      <c r="I6512" s="127">
        <v>44.6</v>
      </c>
      <c r="J6512" s="127">
        <v>223</v>
      </c>
    </row>
    <row r="6513" spans="1:10" hidden="1" x14ac:dyDescent="0.25">
      <c r="A6513" s="124" t="s">
        <v>9004</v>
      </c>
      <c r="B6513" s="124" t="s">
        <v>11736</v>
      </c>
      <c r="C6513" s="132"/>
      <c r="D6513" s="125">
        <f t="shared" si="51"/>
        <v>0</v>
      </c>
      <c r="E6513" s="124" t="s">
        <v>8367</v>
      </c>
      <c r="F6513" s="126">
        <v>1</v>
      </c>
      <c r="G6513" s="128">
        <v>6849.6</v>
      </c>
      <c r="H6513" s="124" t="s">
        <v>8368</v>
      </c>
      <c r="I6513" s="127">
        <v>17</v>
      </c>
      <c r="J6513" s="127">
        <v>85</v>
      </c>
    </row>
    <row r="6514" spans="1:10" hidden="1" x14ac:dyDescent="0.25">
      <c r="A6514" s="124" t="s">
        <v>9005</v>
      </c>
      <c r="B6514" s="124" t="s">
        <v>11736</v>
      </c>
      <c r="C6514" s="132"/>
      <c r="D6514" s="125">
        <f t="shared" si="51"/>
        <v>0</v>
      </c>
      <c r="E6514" s="124" t="s">
        <v>8367</v>
      </c>
      <c r="F6514" s="126">
        <v>1</v>
      </c>
      <c r="G6514" s="127">
        <v>687.6</v>
      </c>
      <c r="H6514" s="124" t="s">
        <v>8368</v>
      </c>
      <c r="I6514" s="127">
        <v>161.4</v>
      </c>
      <c r="J6514" s="127">
        <v>807</v>
      </c>
    </row>
    <row r="6515" spans="1:10" hidden="1" x14ac:dyDescent="0.25">
      <c r="A6515" s="124" t="s">
        <v>9006</v>
      </c>
      <c r="B6515" s="124" t="s">
        <v>11736</v>
      </c>
      <c r="C6515" s="132"/>
      <c r="D6515" s="125">
        <f t="shared" si="51"/>
        <v>0</v>
      </c>
      <c r="E6515" s="124" t="s">
        <v>8367</v>
      </c>
      <c r="F6515" s="126">
        <v>2</v>
      </c>
      <c r="G6515" s="127">
        <v>267.60000000000002</v>
      </c>
      <c r="H6515" s="124" t="s">
        <v>8368</v>
      </c>
      <c r="I6515" s="127">
        <v>232.36</v>
      </c>
      <c r="J6515" s="128">
        <v>1161.8</v>
      </c>
    </row>
    <row r="6516" spans="1:10" hidden="1" x14ac:dyDescent="0.25">
      <c r="A6516" s="124" t="s">
        <v>9007</v>
      </c>
      <c r="B6516" s="124" t="s">
        <v>11736</v>
      </c>
      <c r="C6516" s="132"/>
      <c r="D6516" s="125">
        <f t="shared" si="51"/>
        <v>0</v>
      </c>
      <c r="E6516" s="124" t="s">
        <v>8367</v>
      </c>
      <c r="F6516" s="126">
        <v>1</v>
      </c>
      <c r="G6516" s="127">
        <v>102</v>
      </c>
      <c r="H6516" s="124" t="s">
        <v>8368</v>
      </c>
      <c r="I6516" s="127">
        <v>657.6</v>
      </c>
      <c r="J6516" s="128">
        <v>3288</v>
      </c>
    </row>
    <row r="6517" spans="1:10" hidden="1" x14ac:dyDescent="0.25">
      <c r="A6517" s="124" t="s">
        <v>9008</v>
      </c>
      <c r="B6517" s="124" t="s">
        <v>11736</v>
      </c>
      <c r="C6517" s="132"/>
      <c r="D6517" s="125">
        <f t="shared" si="51"/>
        <v>0</v>
      </c>
      <c r="E6517" s="124" t="s">
        <v>8367</v>
      </c>
      <c r="F6517" s="126">
        <v>1</v>
      </c>
      <c r="G6517" s="127">
        <v>968.4</v>
      </c>
      <c r="H6517" s="124" t="s">
        <v>8368</v>
      </c>
      <c r="I6517" s="127">
        <v>487.6</v>
      </c>
      <c r="J6517" s="128">
        <v>2438</v>
      </c>
    </row>
    <row r="6518" spans="1:10" hidden="1" x14ac:dyDescent="0.25">
      <c r="A6518" s="124" t="s">
        <v>9009</v>
      </c>
      <c r="B6518" s="124" t="s">
        <v>11736</v>
      </c>
      <c r="C6518" s="132"/>
      <c r="D6518" s="125">
        <f t="shared" si="51"/>
        <v>0</v>
      </c>
      <c r="E6518" s="124" t="s">
        <v>8367</v>
      </c>
      <c r="F6518" s="126">
        <v>2</v>
      </c>
      <c r="G6518" s="128">
        <v>1394.16</v>
      </c>
      <c r="H6518" s="124" t="s">
        <v>8368</v>
      </c>
      <c r="I6518" s="127">
        <v>819.2</v>
      </c>
      <c r="J6518" s="128">
        <v>4096</v>
      </c>
    </row>
    <row r="6519" spans="1:10" hidden="1" x14ac:dyDescent="0.25">
      <c r="A6519" s="124" t="s">
        <v>9010</v>
      </c>
      <c r="B6519" s="124" t="s">
        <v>11736</v>
      </c>
      <c r="C6519" s="132"/>
      <c r="D6519" s="125">
        <f>COUNTIF(A1135:A6518,A6519)</f>
        <v>0</v>
      </c>
      <c r="E6519" s="124" t="s">
        <v>8367</v>
      </c>
      <c r="F6519" s="126">
        <v>5</v>
      </c>
      <c r="G6519" s="128">
        <v>3945.6</v>
      </c>
      <c r="H6519" s="124" t="s">
        <v>8368</v>
      </c>
      <c r="I6519" s="127">
        <v>816.6</v>
      </c>
      <c r="J6519" s="128">
        <v>4083</v>
      </c>
    </row>
    <row r="6520" spans="1:10" hidden="1" x14ac:dyDescent="0.25">
      <c r="A6520" s="124" t="s">
        <v>9011</v>
      </c>
      <c r="B6520" s="124" t="s">
        <v>11736</v>
      </c>
      <c r="C6520" s="132"/>
      <c r="D6520" s="125">
        <f>COUNTIF(A1136:A6519,A6520)</f>
        <v>0</v>
      </c>
      <c r="E6520" s="124" t="s">
        <v>8367</v>
      </c>
      <c r="F6520" s="126">
        <v>5</v>
      </c>
      <c r="G6520" s="128">
        <v>2925.6</v>
      </c>
      <c r="H6520" s="124" t="s">
        <v>8368</v>
      </c>
      <c r="I6520" s="127">
        <v>801.18</v>
      </c>
      <c r="J6520" s="128">
        <v>4005.92</v>
      </c>
    </row>
    <row r="6521" spans="1:10" hidden="1" x14ac:dyDescent="0.25">
      <c r="A6521" s="124" t="s">
        <v>9012</v>
      </c>
      <c r="B6521" s="124" t="s">
        <v>11736</v>
      </c>
      <c r="C6521" s="132"/>
      <c r="D6521" s="125">
        <f>COUNTIF(A1137:A6520,A6521)</f>
        <v>0</v>
      </c>
      <c r="E6521" s="124" t="s">
        <v>8367</v>
      </c>
      <c r="F6521" s="126">
        <v>5</v>
      </c>
      <c r="G6521" s="128">
        <v>4915.2</v>
      </c>
      <c r="H6521" s="124" t="s">
        <v>8368</v>
      </c>
      <c r="I6521" s="127">
        <v>786.08</v>
      </c>
      <c r="J6521" s="128">
        <v>3930.4</v>
      </c>
    </row>
    <row r="6522" spans="1:10" hidden="1" x14ac:dyDescent="0.25">
      <c r="A6522" s="124" t="s">
        <v>9013</v>
      </c>
      <c r="B6522" s="124" t="s">
        <v>11736</v>
      </c>
      <c r="C6522" s="132"/>
      <c r="D6522" s="125">
        <f>COUNTIF(A1138:A6521,A6522)</f>
        <v>0</v>
      </c>
      <c r="E6522" s="124" t="s">
        <v>8367</v>
      </c>
      <c r="F6522" s="126">
        <v>5</v>
      </c>
      <c r="G6522" s="128">
        <v>4899.6000000000004</v>
      </c>
      <c r="H6522" s="124" t="s">
        <v>8368</v>
      </c>
      <c r="I6522" s="128">
        <v>1120.92</v>
      </c>
      <c r="J6522" s="128">
        <v>5604.6</v>
      </c>
    </row>
    <row r="6523" spans="1:10" hidden="1" x14ac:dyDescent="0.25">
      <c r="A6523" s="124" t="s">
        <v>9014</v>
      </c>
      <c r="B6523" s="124" t="s">
        <v>11736</v>
      </c>
      <c r="C6523" s="132"/>
      <c r="D6523" s="125">
        <f>COUNTIF(A1139:A6522,A6523)</f>
        <v>0</v>
      </c>
      <c r="E6523" s="124" t="s">
        <v>8367</v>
      </c>
      <c r="F6523" s="126">
        <v>107</v>
      </c>
      <c r="G6523" s="128">
        <v>4807.1000000000004</v>
      </c>
      <c r="H6523" s="124" t="s">
        <v>8368</v>
      </c>
      <c r="I6523" s="128">
        <v>1527.84</v>
      </c>
      <c r="J6523" s="128">
        <v>7639.2</v>
      </c>
    </row>
    <row r="6524" spans="1:10" hidden="1" x14ac:dyDescent="0.25">
      <c r="A6524" s="124" t="s">
        <v>9015</v>
      </c>
      <c r="B6524" s="124" t="s">
        <v>11736</v>
      </c>
      <c r="C6524" s="132"/>
      <c r="D6524" s="125">
        <f>COUNTIF(A1142:A6523,A6524)</f>
        <v>0</v>
      </c>
      <c r="E6524" s="124" t="s">
        <v>8367</v>
      </c>
      <c r="F6524" s="126">
        <v>4</v>
      </c>
      <c r="G6524" s="128">
        <v>4716.4799999999996</v>
      </c>
      <c r="H6524" s="124" t="s">
        <v>8368</v>
      </c>
      <c r="I6524" s="128">
        <v>1025.8900000000001</v>
      </c>
      <c r="J6524" s="128">
        <v>5129.4399999999996</v>
      </c>
    </row>
    <row r="6525" spans="1:10" hidden="1" x14ac:dyDescent="0.25">
      <c r="A6525" s="124" t="s">
        <v>9016</v>
      </c>
      <c r="B6525" s="124" t="s">
        <v>11736</v>
      </c>
      <c r="C6525" s="132"/>
      <c r="D6525" s="125">
        <f>COUNTIF(A1152:A6524,A6525)</f>
        <v>0</v>
      </c>
      <c r="E6525" s="124" t="s">
        <v>8367</v>
      </c>
      <c r="F6525" s="126">
        <v>187</v>
      </c>
      <c r="G6525" s="128">
        <v>6725.52</v>
      </c>
      <c r="H6525" s="124" t="s">
        <v>8368</v>
      </c>
      <c r="I6525" s="128">
        <v>1465.56</v>
      </c>
      <c r="J6525" s="128">
        <v>7327.8</v>
      </c>
    </row>
    <row r="6526" spans="1:10" hidden="1" x14ac:dyDescent="0.25">
      <c r="A6526" s="124" t="s">
        <v>9017</v>
      </c>
      <c r="B6526" s="124" t="s">
        <v>11736</v>
      </c>
      <c r="C6526" s="132"/>
      <c r="D6526" s="125">
        <f>COUNTIF(A1153:A6525,A6526)</f>
        <v>0</v>
      </c>
      <c r="E6526" s="124" t="s">
        <v>8367</v>
      </c>
      <c r="F6526" s="126">
        <v>9</v>
      </c>
      <c r="G6526" s="128">
        <v>9167.0400000000009</v>
      </c>
      <c r="H6526" s="124" t="s">
        <v>8368</v>
      </c>
      <c r="I6526" s="127">
        <v>60</v>
      </c>
      <c r="J6526" s="127">
        <v>300</v>
      </c>
    </row>
    <row r="6527" spans="1:10" hidden="1" x14ac:dyDescent="0.25">
      <c r="A6527" s="124" t="s">
        <v>9018</v>
      </c>
      <c r="B6527" s="124" t="s">
        <v>11736</v>
      </c>
      <c r="C6527" s="132"/>
      <c r="D6527" s="125">
        <f>COUNTIF(A1156:A6526,A6527)</f>
        <v>0</v>
      </c>
      <c r="E6527" s="124" t="s">
        <v>8367</v>
      </c>
      <c r="F6527" s="126">
        <v>137</v>
      </c>
      <c r="G6527" s="128">
        <v>6155.33</v>
      </c>
      <c r="H6527" s="124" t="s">
        <v>8368</v>
      </c>
      <c r="I6527" s="128">
        <v>1737</v>
      </c>
      <c r="J6527" s="128">
        <v>8685</v>
      </c>
    </row>
    <row r="6528" spans="1:10" hidden="1" x14ac:dyDescent="0.25">
      <c r="A6528" s="124" t="s">
        <v>9019</v>
      </c>
      <c r="B6528" s="124" t="s">
        <v>11736</v>
      </c>
      <c r="C6528" s="132"/>
      <c r="D6528" s="125">
        <f>COUNTIF(A1157:A6527,A6528)</f>
        <v>0</v>
      </c>
      <c r="E6528" s="124" t="s">
        <v>8367</v>
      </c>
      <c r="F6528" s="126">
        <v>9</v>
      </c>
      <c r="G6528" s="128">
        <v>8793.36</v>
      </c>
      <c r="H6528" s="124" t="s">
        <v>8368</v>
      </c>
      <c r="I6528" s="127">
        <v>196.7</v>
      </c>
      <c r="J6528" s="127">
        <v>983.5</v>
      </c>
    </row>
    <row r="6529" spans="1:10" hidden="1" x14ac:dyDescent="0.25">
      <c r="A6529" s="124" t="s">
        <v>9020</v>
      </c>
      <c r="B6529" s="124" t="s">
        <v>11736</v>
      </c>
      <c r="C6529" s="132"/>
      <c r="D6529" s="125">
        <f>COUNTIF(A1160:A6528,A6529)</f>
        <v>0</v>
      </c>
      <c r="E6529" s="124" t="s">
        <v>8367</v>
      </c>
      <c r="F6529" s="126">
        <v>10</v>
      </c>
      <c r="G6529" s="127">
        <v>360</v>
      </c>
      <c r="H6529" s="124" t="s">
        <v>8368</v>
      </c>
      <c r="I6529" s="127">
        <v>298</v>
      </c>
      <c r="J6529" s="128">
        <v>1490</v>
      </c>
    </row>
    <row r="6530" spans="1:10" hidden="1" x14ac:dyDescent="0.25">
      <c r="A6530" s="124" t="s">
        <v>1022</v>
      </c>
      <c r="B6530" s="124" t="s">
        <v>11736</v>
      </c>
      <c r="C6530" s="132"/>
      <c r="D6530" s="125">
        <f>COUNTIF(A1161:A6529,A6530)</f>
        <v>0</v>
      </c>
      <c r="E6530" s="124" t="s">
        <v>8367</v>
      </c>
      <c r="F6530" s="126">
        <v>6</v>
      </c>
      <c r="G6530" s="128">
        <v>10422</v>
      </c>
      <c r="H6530" s="124" t="s">
        <v>8368</v>
      </c>
      <c r="I6530" s="127">
        <v>158.4</v>
      </c>
      <c r="J6530" s="127">
        <v>792</v>
      </c>
    </row>
    <row r="6531" spans="1:10" hidden="1" x14ac:dyDescent="0.25">
      <c r="A6531" s="124" t="s">
        <v>9021</v>
      </c>
      <c r="B6531" s="124" t="s">
        <v>11736</v>
      </c>
      <c r="C6531" s="132"/>
      <c r="D6531" s="125">
        <f>COUNTIF(A1165:A6530,A6531)</f>
        <v>0</v>
      </c>
      <c r="E6531" s="124" t="s">
        <v>8367</v>
      </c>
      <c r="F6531" s="126">
        <v>20</v>
      </c>
      <c r="G6531" s="128">
        <v>1180.2</v>
      </c>
      <c r="H6531" s="124" t="s">
        <v>8368</v>
      </c>
      <c r="I6531" s="127">
        <v>280</v>
      </c>
      <c r="J6531" s="128">
        <v>1400</v>
      </c>
    </row>
    <row r="6532" spans="1:10" hidden="1" x14ac:dyDescent="0.25">
      <c r="A6532" s="124" t="s">
        <v>9022</v>
      </c>
      <c r="B6532" s="124" t="s">
        <v>11736</v>
      </c>
      <c r="C6532" s="132"/>
      <c r="D6532" s="125">
        <f>COUNTIF(A1166:A6531,A6532)</f>
        <v>0</v>
      </c>
      <c r="E6532" s="124" t="s">
        <v>8367</v>
      </c>
      <c r="F6532" s="126">
        <v>12</v>
      </c>
      <c r="G6532" s="128">
        <v>1788</v>
      </c>
      <c r="H6532" s="124" t="s">
        <v>8368</v>
      </c>
      <c r="I6532" s="127">
        <v>485.8</v>
      </c>
      <c r="J6532" s="128">
        <v>2429</v>
      </c>
    </row>
    <row r="6533" spans="1:10" hidden="1" x14ac:dyDescent="0.25">
      <c r="A6533" s="124" t="s">
        <v>9023</v>
      </c>
      <c r="B6533" s="124" t="s">
        <v>11736</v>
      </c>
      <c r="C6533" s="132"/>
      <c r="D6533" s="125">
        <f>COUNTIF(A1170:A6532,A6533)</f>
        <v>0</v>
      </c>
      <c r="E6533" s="124" t="s">
        <v>8367</v>
      </c>
      <c r="F6533" s="126">
        <v>10</v>
      </c>
      <c r="G6533" s="127">
        <v>950.4</v>
      </c>
      <c r="H6533" s="124" t="s">
        <v>8368</v>
      </c>
      <c r="I6533" s="127">
        <v>280</v>
      </c>
      <c r="J6533" s="128">
        <v>1400</v>
      </c>
    </row>
    <row r="6534" spans="1:10" hidden="1" x14ac:dyDescent="0.25">
      <c r="A6534" s="124" t="s">
        <v>9024</v>
      </c>
      <c r="B6534" s="124" t="s">
        <v>11736</v>
      </c>
      <c r="C6534" s="132"/>
      <c r="D6534" s="125">
        <f>COUNTIF(A1171:A6533,A6534)</f>
        <v>0</v>
      </c>
      <c r="E6534" s="124" t="s">
        <v>8367</v>
      </c>
      <c r="F6534" s="126">
        <v>10</v>
      </c>
      <c r="G6534" s="128">
        <v>1680</v>
      </c>
      <c r="H6534" s="124" t="s">
        <v>8368</v>
      </c>
      <c r="I6534" s="127">
        <v>587.4</v>
      </c>
      <c r="J6534" s="128">
        <v>2937</v>
      </c>
    </row>
    <row r="6535" spans="1:10" hidden="1" x14ac:dyDescent="0.25">
      <c r="A6535" s="124" t="s">
        <v>9025</v>
      </c>
      <c r="B6535" s="124" t="s">
        <v>11736</v>
      </c>
      <c r="C6535" s="132"/>
      <c r="D6535" s="125">
        <f>COUNTIF(A1172:A6534,A6535)</f>
        <v>0</v>
      </c>
      <c r="E6535" s="124" t="s">
        <v>8367</v>
      </c>
      <c r="F6535" s="126">
        <v>5</v>
      </c>
      <c r="G6535" s="128">
        <v>2914.8</v>
      </c>
      <c r="H6535" s="124" t="s">
        <v>8368</v>
      </c>
      <c r="I6535" s="128">
        <v>31635.35</v>
      </c>
      <c r="J6535" s="128">
        <v>158176.76</v>
      </c>
    </row>
    <row r="6536" spans="1:10" hidden="1" x14ac:dyDescent="0.25">
      <c r="A6536" s="124" t="s">
        <v>9026</v>
      </c>
      <c r="B6536" s="124" t="s">
        <v>11736</v>
      </c>
      <c r="C6536" s="132"/>
      <c r="D6536" s="125">
        <f>COUNTIF(A1174:A6535,A6536)</f>
        <v>0</v>
      </c>
      <c r="E6536" s="124" t="s">
        <v>8367</v>
      </c>
      <c r="F6536" s="126">
        <v>700</v>
      </c>
      <c r="G6536" s="128">
        <v>1680</v>
      </c>
      <c r="H6536" s="124" t="s">
        <v>8368</v>
      </c>
      <c r="I6536" s="128">
        <v>4638.8</v>
      </c>
      <c r="J6536" s="128">
        <v>23194</v>
      </c>
    </row>
    <row r="6537" spans="1:10" hidden="1" x14ac:dyDescent="0.25">
      <c r="A6537" s="124" t="s">
        <v>9027</v>
      </c>
      <c r="B6537" s="124" t="s">
        <v>11736</v>
      </c>
      <c r="C6537" s="132"/>
      <c r="D6537" s="125">
        <f>COUNTIF(A1177:A6536,A6537)</f>
        <v>0</v>
      </c>
      <c r="E6537" s="124" t="s">
        <v>8367</v>
      </c>
      <c r="F6537" s="126">
        <v>979</v>
      </c>
      <c r="G6537" s="128">
        <v>3524.4</v>
      </c>
      <c r="H6537" s="124" t="s">
        <v>8368</v>
      </c>
      <c r="I6537" s="127">
        <v>16.600000000000001</v>
      </c>
      <c r="J6537" s="127">
        <v>83</v>
      </c>
    </row>
    <row r="6538" spans="1:10" hidden="1" x14ac:dyDescent="0.25">
      <c r="A6538" s="124" t="s">
        <v>9028</v>
      </c>
      <c r="B6538" s="124" t="s">
        <v>11736</v>
      </c>
      <c r="C6538" s="132"/>
      <c r="D6538" s="125">
        <f>COUNTIF(A1183:A6537,A6538)</f>
        <v>0</v>
      </c>
      <c r="E6538" s="124" t="s">
        <v>8367</v>
      </c>
      <c r="F6538" s="126">
        <v>1</v>
      </c>
      <c r="G6538" s="128">
        <v>189812.11</v>
      </c>
      <c r="H6538" s="124" t="s">
        <v>8368</v>
      </c>
      <c r="I6538" s="127">
        <v>443.18</v>
      </c>
      <c r="J6538" s="128">
        <v>2215.89</v>
      </c>
    </row>
    <row r="6539" spans="1:10" hidden="1" x14ac:dyDescent="0.25">
      <c r="A6539" s="124" t="s">
        <v>9029</v>
      </c>
      <c r="B6539" s="124" t="s">
        <v>11736</v>
      </c>
      <c r="C6539" s="132"/>
      <c r="D6539" s="125">
        <f>COUNTIF(A1184:A6538,A6539)</f>
        <v>0</v>
      </c>
      <c r="E6539" s="124" t="s">
        <v>8367</v>
      </c>
      <c r="F6539" s="126">
        <v>5</v>
      </c>
      <c r="G6539" s="128">
        <v>27832.799999999999</v>
      </c>
      <c r="H6539" s="124" t="s">
        <v>8368</v>
      </c>
      <c r="I6539" s="127">
        <v>198.25</v>
      </c>
      <c r="J6539" s="127">
        <v>991.22</v>
      </c>
    </row>
    <row r="6540" spans="1:10" hidden="1" x14ac:dyDescent="0.25">
      <c r="A6540" s="124" t="s">
        <v>9030</v>
      </c>
      <c r="B6540" s="124" t="s">
        <v>11736</v>
      </c>
      <c r="C6540" s="132"/>
      <c r="D6540" s="125">
        <f>COUNTIF(A1185:A6539,A6540)</f>
        <v>0</v>
      </c>
      <c r="E6540" s="124" t="s">
        <v>8367</v>
      </c>
      <c r="F6540" s="126">
        <v>1</v>
      </c>
      <c r="G6540" s="127">
        <v>99.6</v>
      </c>
      <c r="H6540" s="124" t="s">
        <v>8368</v>
      </c>
      <c r="I6540" s="127">
        <v>300.60000000000002</v>
      </c>
      <c r="J6540" s="128">
        <v>1503</v>
      </c>
    </row>
    <row r="6541" spans="1:10" hidden="1" x14ac:dyDescent="0.25">
      <c r="A6541" s="124" t="s">
        <v>9031</v>
      </c>
      <c r="B6541" s="124" t="s">
        <v>11736</v>
      </c>
      <c r="C6541" s="132"/>
      <c r="D6541" s="125">
        <f>COUNTIF(A1186:A6540,A6541)</f>
        <v>0</v>
      </c>
      <c r="E6541" s="124" t="s">
        <v>8367</v>
      </c>
      <c r="F6541" s="129">
        <v>1000</v>
      </c>
      <c r="G6541" s="128">
        <v>2659.07</v>
      </c>
      <c r="H6541" s="124" t="s">
        <v>8368</v>
      </c>
      <c r="I6541" s="127">
        <v>265.60000000000002</v>
      </c>
      <c r="J6541" s="128">
        <v>1328</v>
      </c>
    </row>
    <row r="6542" spans="1:10" hidden="1" x14ac:dyDescent="0.25">
      <c r="A6542" s="124" t="s">
        <v>965</v>
      </c>
      <c r="B6542" s="124" t="s">
        <v>11736</v>
      </c>
      <c r="C6542" s="132"/>
      <c r="D6542" s="125">
        <f>COUNTIF(A1189:A6541,A6542)</f>
        <v>0</v>
      </c>
      <c r="E6542" s="124" t="s">
        <v>8367</v>
      </c>
      <c r="F6542" s="126">
        <v>3</v>
      </c>
      <c r="G6542" s="128">
        <v>1189.47</v>
      </c>
      <c r="H6542" s="124" t="s">
        <v>8368</v>
      </c>
      <c r="I6542" s="128">
        <v>11348.76</v>
      </c>
      <c r="J6542" s="128">
        <v>56743.78</v>
      </c>
    </row>
    <row r="6543" spans="1:10" hidden="1" x14ac:dyDescent="0.25">
      <c r="A6543" s="124" t="s">
        <v>9032</v>
      </c>
      <c r="B6543" s="124" t="s">
        <v>11736</v>
      </c>
      <c r="C6543" s="132"/>
      <c r="D6543" s="125">
        <f>COUNTIF(A1190:A6542,A6543)</f>
        <v>0</v>
      </c>
      <c r="E6543" s="124" t="s">
        <v>8367</v>
      </c>
      <c r="F6543" s="126">
        <v>1</v>
      </c>
      <c r="G6543" s="128">
        <v>1803.6</v>
      </c>
      <c r="H6543" s="124" t="s">
        <v>8368</v>
      </c>
      <c r="I6543" s="128">
        <v>7354.6</v>
      </c>
      <c r="J6543" s="128">
        <v>36773</v>
      </c>
    </row>
    <row r="6544" spans="1:10" hidden="1" x14ac:dyDescent="0.25">
      <c r="A6544" s="124" t="s">
        <v>9033</v>
      </c>
      <c r="B6544" s="124" t="s">
        <v>11736</v>
      </c>
      <c r="C6544" s="132"/>
      <c r="D6544" s="125">
        <f>COUNTIF(A1191:A6543,A6544)</f>
        <v>0</v>
      </c>
      <c r="E6544" s="124" t="s">
        <v>8367</v>
      </c>
      <c r="F6544" s="126">
        <v>3</v>
      </c>
      <c r="G6544" s="128">
        <v>1593.6</v>
      </c>
      <c r="H6544" s="124" t="s">
        <v>8368</v>
      </c>
      <c r="I6544" s="128">
        <v>1812.17</v>
      </c>
      <c r="J6544" s="128">
        <v>9060.83</v>
      </c>
    </row>
    <row r="6545" spans="1:10" hidden="1" x14ac:dyDescent="0.25">
      <c r="A6545" s="124" t="s">
        <v>9034</v>
      </c>
      <c r="B6545" s="124" t="s">
        <v>11736</v>
      </c>
      <c r="C6545" s="132"/>
      <c r="D6545" s="125">
        <f>COUNTIF(A1192:A6544,A6545)</f>
        <v>0</v>
      </c>
      <c r="E6545" s="124" t="s">
        <v>8367</v>
      </c>
      <c r="F6545" s="126">
        <v>4</v>
      </c>
      <c r="G6545" s="128">
        <v>68092.539999999994</v>
      </c>
      <c r="H6545" s="124" t="s">
        <v>8368</v>
      </c>
      <c r="I6545" s="127">
        <v>750</v>
      </c>
      <c r="J6545" s="128">
        <v>3750</v>
      </c>
    </row>
    <row r="6546" spans="1:10" hidden="1" x14ac:dyDescent="0.25">
      <c r="A6546" s="124" t="s">
        <v>9035</v>
      </c>
      <c r="B6546" s="124" t="s">
        <v>11736</v>
      </c>
      <c r="C6546" s="132"/>
      <c r="D6546" s="125">
        <f>COUNTIF(A1195:A6545,A6546)</f>
        <v>0</v>
      </c>
      <c r="E6546" s="124" t="s">
        <v>8367</v>
      </c>
      <c r="F6546" s="126">
        <v>1</v>
      </c>
      <c r="G6546" s="128">
        <v>44127.6</v>
      </c>
      <c r="H6546" s="124" t="s">
        <v>8368</v>
      </c>
      <c r="I6546" s="128">
        <v>1066.5</v>
      </c>
      <c r="J6546" s="128">
        <v>5332.5</v>
      </c>
    </row>
    <row r="6547" spans="1:10" hidden="1" x14ac:dyDescent="0.25">
      <c r="A6547" s="124" t="s">
        <v>9036</v>
      </c>
      <c r="B6547" s="124" t="s">
        <v>11736</v>
      </c>
      <c r="C6547" s="132"/>
      <c r="D6547" s="125">
        <f>COUNTIF(A1203:A6546,A6547)</f>
        <v>0</v>
      </c>
      <c r="E6547" s="124" t="s">
        <v>8367</v>
      </c>
      <c r="F6547" s="126">
        <v>5</v>
      </c>
      <c r="G6547" s="128">
        <v>10873</v>
      </c>
      <c r="H6547" s="124" t="s">
        <v>8368</v>
      </c>
      <c r="I6547" s="127">
        <v>352.06</v>
      </c>
      <c r="J6547" s="128">
        <v>1760.28</v>
      </c>
    </row>
    <row r="6548" spans="1:10" hidden="1" x14ac:dyDescent="0.25">
      <c r="A6548" s="124" t="s">
        <v>9037</v>
      </c>
      <c r="B6548" s="124" t="s">
        <v>11736</v>
      </c>
      <c r="C6548" s="132"/>
      <c r="D6548" s="125">
        <f>COUNTIF(A1204:A6547,A6548)</f>
        <v>0</v>
      </c>
      <c r="E6548" s="124" t="s">
        <v>8367</v>
      </c>
      <c r="F6548" s="126">
        <v>12</v>
      </c>
      <c r="G6548" s="128">
        <v>4500</v>
      </c>
      <c r="H6548" s="124" t="s">
        <v>8368</v>
      </c>
      <c r="I6548" s="128">
        <v>21060.21</v>
      </c>
      <c r="J6548" s="128">
        <v>105301.05</v>
      </c>
    </row>
    <row r="6549" spans="1:10" hidden="1" x14ac:dyDescent="0.25">
      <c r="A6549" s="124" t="s">
        <v>9038</v>
      </c>
      <c r="B6549" s="124" t="s">
        <v>11736</v>
      </c>
      <c r="C6549" s="132"/>
      <c r="D6549" s="125">
        <f>COUNTIF(A1205:A6548,A6549)</f>
        <v>0</v>
      </c>
      <c r="E6549" s="124" t="s">
        <v>8367</v>
      </c>
      <c r="F6549" s="126">
        <v>6</v>
      </c>
      <c r="G6549" s="128">
        <v>6399</v>
      </c>
      <c r="H6549" s="124" t="s">
        <v>8368</v>
      </c>
      <c r="I6549" s="127">
        <v>377</v>
      </c>
      <c r="J6549" s="128">
        <v>1885</v>
      </c>
    </row>
    <row r="6550" spans="1:10" hidden="1" x14ac:dyDescent="0.25">
      <c r="A6550" s="124" t="s">
        <v>9039</v>
      </c>
      <c r="B6550" s="124" t="s">
        <v>11736</v>
      </c>
      <c r="C6550" s="132"/>
      <c r="D6550" s="125">
        <f>COUNTIF(A1206:A6549,A6550)</f>
        <v>0</v>
      </c>
      <c r="E6550" s="124" t="s">
        <v>8367</v>
      </c>
      <c r="F6550" s="126">
        <v>2</v>
      </c>
      <c r="G6550" s="128">
        <v>2112.34</v>
      </c>
      <c r="H6550" s="124" t="s">
        <v>8368</v>
      </c>
      <c r="I6550" s="127">
        <v>110.6</v>
      </c>
      <c r="J6550" s="127">
        <v>553</v>
      </c>
    </row>
    <row r="6551" spans="1:10" hidden="1" x14ac:dyDescent="0.25">
      <c r="A6551" s="124" t="s">
        <v>9040</v>
      </c>
      <c r="B6551" s="124" t="s">
        <v>11736</v>
      </c>
      <c r="C6551" s="132"/>
      <c r="D6551" s="125">
        <f>COUNTIF(A1214:A6550,A6551)</f>
        <v>0</v>
      </c>
      <c r="E6551" s="124" t="s">
        <v>8367</v>
      </c>
      <c r="F6551" s="126">
        <v>600</v>
      </c>
      <c r="G6551" s="128">
        <v>126361.26</v>
      </c>
      <c r="H6551" s="124" t="s">
        <v>8368</v>
      </c>
      <c r="I6551" s="127">
        <v>195</v>
      </c>
      <c r="J6551" s="127">
        <v>975</v>
      </c>
    </row>
    <row r="6552" spans="1:10" hidden="1" x14ac:dyDescent="0.25">
      <c r="A6552" s="124" t="s">
        <v>9041</v>
      </c>
      <c r="B6552" s="124" t="s">
        <v>11736</v>
      </c>
      <c r="C6552" s="132"/>
      <c r="D6552" s="125">
        <f t="shared" ref="D6552:D6568" si="52">COUNTIF(A1217:A6551,A6552)</f>
        <v>0</v>
      </c>
      <c r="E6552" s="124" t="s">
        <v>8367</v>
      </c>
      <c r="F6552" s="126">
        <v>6</v>
      </c>
      <c r="G6552" s="128">
        <v>2262</v>
      </c>
      <c r="H6552" s="124" t="s">
        <v>8368</v>
      </c>
      <c r="I6552" s="127">
        <v>555</v>
      </c>
      <c r="J6552" s="128">
        <v>2775</v>
      </c>
    </row>
    <row r="6553" spans="1:10" hidden="1" x14ac:dyDescent="0.25">
      <c r="A6553" s="124" t="s">
        <v>9042</v>
      </c>
      <c r="B6553" s="124" t="s">
        <v>11736</v>
      </c>
      <c r="C6553" s="132"/>
      <c r="D6553" s="125">
        <f t="shared" si="52"/>
        <v>0</v>
      </c>
      <c r="E6553" s="124" t="s">
        <v>8367</v>
      </c>
      <c r="F6553" s="126">
        <v>3</v>
      </c>
      <c r="G6553" s="127">
        <v>663.6</v>
      </c>
      <c r="H6553" s="124" t="s">
        <v>8368</v>
      </c>
      <c r="I6553" s="127">
        <v>221.6</v>
      </c>
      <c r="J6553" s="128">
        <v>1108</v>
      </c>
    </row>
    <row r="6554" spans="1:10" hidden="1" x14ac:dyDescent="0.25">
      <c r="A6554" s="124" t="s">
        <v>9043</v>
      </c>
      <c r="B6554" s="124" t="s">
        <v>11736</v>
      </c>
      <c r="C6554" s="132"/>
      <c r="D6554" s="125">
        <f t="shared" si="52"/>
        <v>0</v>
      </c>
      <c r="E6554" s="124" t="s">
        <v>8367</v>
      </c>
      <c r="F6554" s="126">
        <v>10</v>
      </c>
      <c r="G6554" s="128">
        <v>1170</v>
      </c>
      <c r="H6554" s="124" t="s">
        <v>8368</v>
      </c>
      <c r="I6554" s="128">
        <v>1301</v>
      </c>
      <c r="J6554" s="128">
        <v>6505</v>
      </c>
    </row>
    <row r="6555" spans="1:10" hidden="1" x14ac:dyDescent="0.25">
      <c r="A6555" s="124" t="s">
        <v>9044</v>
      </c>
      <c r="B6555" s="124" t="s">
        <v>11736</v>
      </c>
      <c r="C6555" s="132"/>
      <c r="D6555" s="125">
        <f t="shared" si="52"/>
        <v>0</v>
      </c>
      <c r="E6555" s="124" t="s">
        <v>8367</v>
      </c>
      <c r="F6555" s="126">
        <v>10</v>
      </c>
      <c r="G6555" s="128">
        <v>3330</v>
      </c>
      <c r="H6555" s="124" t="s">
        <v>8368</v>
      </c>
      <c r="I6555" s="128">
        <v>12470</v>
      </c>
      <c r="J6555" s="128">
        <v>62350</v>
      </c>
    </row>
    <row r="6556" spans="1:10" hidden="1" x14ac:dyDescent="0.25">
      <c r="A6556" s="124" t="s">
        <v>9045</v>
      </c>
      <c r="B6556" s="124" t="s">
        <v>11736</v>
      </c>
      <c r="C6556" s="132"/>
      <c r="D6556" s="125">
        <f t="shared" si="52"/>
        <v>0</v>
      </c>
      <c r="E6556" s="124" t="s">
        <v>8367</v>
      </c>
      <c r="F6556" s="126">
        <v>5</v>
      </c>
      <c r="G6556" s="128">
        <v>1329.6</v>
      </c>
      <c r="H6556" s="124" t="s">
        <v>8368</v>
      </c>
      <c r="I6556" s="127">
        <v>28.2</v>
      </c>
      <c r="J6556" s="127">
        <v>141</v>
      </c>
    </row>
    <row r="6557" spans="1:10" hidden="1" x14ac:dyDescent="0.25">
      <c r="A6557" s="124" t="s">
        <v>9046</v>
      </c>
      <c r="B6557" s="124" t="s">
        <v>11736</v>
      </c>
      <c r="C6557" s="132"/>
      <c r="D6557" s="125">
        <f t="shared" si="52"/>
        <v>0</v>
      </c>
      <c r="E6557" s="124" t="s">
        <v>8367</v>
      </c>
      <c r="F6557" s="126">
        <v>1</v>
      </c>
      <c r="G6557" s="128">
        <v>7806</v>
      </c>
      <c r="H6557" s="124" t="s">
        <v>8368</v>
      </c>
      <c r="I6557" s="127">
        <v>382</v>
      </c>
      <c r="J6557" s="128">
        <v>1910</v>
      </c>
    </row>
    <row r="6558" spans="1:10" hidden="1" x14ac:dyDescent="0.25">
      <c r="A6558" s="124" t="s">
        <v>9047</v>
      </c>
      <c r="B6558" s="124" t="s">
        <v>11736</v>
      </c>
      <c r="C6558" s="132"/>
      <c r="D6558" s="125">
        <f t="shared" si="52"/>
        <v>0</v>
      </c>
      <c r="E6558" s="124" t="s">
        <v>8367</v>
      </c>
      <c r="F6558" s="126">
        <v>2</v>
      </c>
      <c r="G6558" s="128">
        <v>74820</v>
      </c>
      <c r="H6558" s="124" t="s">
        <v>8368</v>
      </c>
      <c r="I6558" s="127">
        <v>20.6</v>
      </c>
      <c r="J6558" s="127">
        <v>103</v>
      </c>
    </row>
    <row r="6559" spans="1:10" hidden="1" x14ac:dyDescent="0.25">
      <c r="A6559" s="124" t="s">
        <v>9048</v>
      </c>
      <c r="B6559" s="124" t="s">
        <v>11736</v>
      </c>
      <c r="C6559" s="132"/>
      <c r="D6559" s="125">
        <f t="shared" si="52"/>
        <v>0</v>
      </c>
      <c r="E6559" s="124" t="s">
        <v>8367</v>
      </c>
      <c r="F6559" s="126">
        <v>4</v>
      </c>
      <c r="G6559" s="127">
        <v>169.2</v>
      </c>
      <c r="H6559" s="124" t="s">
        <v>8368</v>
      </c>
      <c r="I6559" s="127">
        <v>49</v>
      </c>
      <c r="J6559" s="127">
        <v>245</v>
      </c>
    </row>
    <row r="6560" spans="1:10" hidden="1" x14ac:dyDescent="0.25">
      <c r="A6560" s="124" t="s">
        <v>9049</v>
      </c>
      <c r="B6560" s="124" t="s">
        <v>11736</v>
      </c>
      <c r="C6560" s="132"/>
      <c r="D6560" s="125">
        <f t="shared" si="52"/>
        <v>0</v>
      </c>
      <c r="E6560" s="124" t="s">
        <v>8367</v>
      </c>
      <c r="F6560" s="126">
        <v>18</v>
      </c>
      <c r="G6560" s="128">
        <v>2292</v>
      </c>
      <c r="H6560" s="124" t="s">
        <v>8368</v>
      </c>
      <c r="I6560" s="127">
        <v>33.4</v>
      </c>
      <c r="J6560" s="127">
        <v>167</v>
      </c>
    </row>
    <row r="6561" spans="1:10" hidden="1" x14ac:dyDescent="0.25">
      <c r="A6561" s="124" t="s">
        <v>9050</v>
      </c>
      <c r="B6561" s="124" t="s">
        <v>11736</v>
      </c>
      <c r="C6561" s="132"/>
      <c r="D6561" s="125">
        <f t="shared" si="52"/>
        <v>0</v>
      </c>
      <c r="E6561" s="124" t="s">
        <v>8367</v>
      </c>
      <c r="F6561" s="126">
        <v>4</v>
      </c>
      <c r="G6561" s="127">
        <v>123.6</v>
      </c>
      <c r="H6561" s="124" t="s">
        <v>8368</v>
      </c>
      <c r="I6561" s="127">
        <v>340</v>
      </c>
      <c r="J6561" s="128">
        <v>1700</v>
      </c>
    </row>
    <row r="6562" spans="1:10" hidden="1" x14ac:dyDescent="0.25">
      <c r="A6562" s="124" t="s">
        <v>758</v>
      </c>
      <c r="B6562" s="124" t="s">
        <v>11736</v>
      </c>
      <c r="C6562" s="132"/>
      <c r="D6562" s="125">
        <f t="shared" si="52"/>
        <v>0</v>
      </c>
      <c r="E6562" s="124" t="s">
        <v>8367</v>
      </c>
      <c r="F6562" s="126">
        <v>2</v>
      </c>
      <c r="G6562" s="127">
        <v>294</v>
      </c>
      <c r="H6562" s="124" t="s">
        <v>8368</v>
      </c>
      <c r="I6562" s="127">
        <v>169.2</v>
      </c>
      <c r="J6562" s="127">
        <v>846</v>
      </c>
    </row>
    <row r="6563" spans="1:10" hidden="1" x14ac:dyDescent="0.25">
      <c r="A6563" s="124" t="s">
        <v>9051</v>
      </c>
      <c r="B6563" s="124" t="s">
        <v>11736</v>
      </c>
      <c r="C6563" s="132"/>
      <c r="D6563" s="125">
        <f t="shared" si="52"/>
        <v>0</v>
      </c>
      <c r="E6563" s="124" t="s">
        <v>8367</v>
      </c>
      <c r="F6563" s="126">
        <v>2</v>
      </c>
      <c r="G6563" s="127">
        <v>200.4</v>
      </c>
      <c r="H6563" s="124" t="s">
        <v>8368</v>
      </c>
      <c r="I6563" s="128">
        <v>4198</v>
      </c>
      <c r="J6563" s="128">
        <v>20990</v>
      </c>
    </row>
    <row r="6564" spans="1:10" hidden="1" x14ac:dyDescent="0.25">
      <c r="A6564" s="124" t="s">
        <v>9052</v>
      </c>
      <c r="B6564" s="124" t="s">
        <v>11736</v>
      </c>
      <c r="C6564" s="132"/>
      <c r="D6564" s="125">
        <f t="shared" si="52"/>
        <v>0</v>
      </c>
      <c r="E6564" s="124" t="s">
        <v>8367</v>
      </c>
      <c r="F6564" s="126">
        <v>5</v>
      </c>
      <c r="G6564" s="128">
        <v>2040</v>
      </c>
      <c r="H6564" s="124" t="s">
        <v>8368</v>
      </c>
      <c r="I6564" s="128">
        <v>13075.6</v>
      </c>
      <c r="J6564" s="128">
        <v>65378</v>
      </c>
    </row>
    <row r="6565" spans="1:10" hidden="1" x14ac:dyDescent="0.25">
      <c r="A6565" s="124" t="s">
        <v>9053</v>
      </c>
      <c r="B6565" s="124" t="s">
        <v>11736</v>
      </c>
      <c r="C6565" s="132"/>
      <c r="D6565" s="125">
        <f t="shared" si="52"/>
        <v>0</v>
      </c>
      <c r="E6565" s="124" t="s">
        <v>8367</v>
      </c>
      <c r="F6565" s="126">
        <v>5</v>
      </c>
      <c r="G6565" s="128">
        <v>1015.2</v>
      </c>
      <c r="H6565" s="124" t="s">
        <v>8368</v>
      </c>
      <c r="I6565" s="128">
        <v>7857.36</v>
      </c>
      <c r="J6565" s="128">
        <v>39286.769999999997</v>
      </c>
    </row>
    <row r="6566" spans="1:10" hidden="1" x14ac:dyDescent="0.25">
      <c r="A6566" s="124" t="s">
        <v>9054</v>
      </c>
      <c r="B6566" s="124" t="s">
        <v>11736</v>
      </c>
      <c r="C6566" s="132"/>
      <c r="D6566" s="125">
        <f t="shared" si="52"/>
        <v>0</v>
      </c>
      <c r="E6566" s="124" t="s">
        <v>8367</v>
      </c>
      <c r="F6566" s="126">
        <v>1</v>
      </c>
      <c r="G6566" s="128">
        <v>25188</v>
      </c>
      <c r="H6566" s="124" t="s">
        <v>8368</v>
      </c>
      <c r="I6566" s="128">
        <v>23370</v>
      </c>
      <c r="J6566" s="128">
        <v>116850</v>
      </c>
    </row>
    <row r="6567" spans="1:10" hidden="1" x14ac:dyDescent="0.25">
      <c r="A6567" s="124" t="s">
        <v>9055</v>
      </c>
      <c r="B6567" s="124" t="s">
        <v>11736</v>
      </c>
      <c r="C6567" s="132"/>
      <c r="D6567" s="125">
        <f t="shared" si="52"/>
        <v>0</v>
      </c>
      <c r="E6567" s="124" t="s">
        <v>8367</v>
      </c>
      <c r="F6567" s="126">
        <v>2</v>
      </c>
      <c r="G6567" s="128">
        <v>78453.600000000006</v>
      </c>
      <c r="H6567" s="124" t="s">
        <v>8368</v>
      </c>
      <c r="I6567" s="128">
        <v>6105</v>
      </c>
      <c r="J6567" s="128">
        <v>30525</v>
      </c>
    </row>
    <row r="6568" spans="1:10" hidden="1" x14ac:dyDescent="0.25">
      <c r="A6568" s="124" t="s">
        <v>9056</v>
      </c>
      <c r="B6568" s="124" t="s">
        <v>11736</v>
      </c>
      <c r="C6568" s="132"/>
      <c r="D6568" s="125">
        <f t="shared" si="52"/>
        <v>0</v>
      </c>
      <c r="E6568" s="124" t="s">
        <v>8367</v>
      </c>
      <c r="F6568" s="126">
        <v>1</v>
      </c>
      <c r="G6568" s="128">
        <v>47144.13</v>
      </c>
      <c r="H6568" s="124" t="s">
        <v>8368</v>
      </c>
      <c r="I6568" s="128">
        <v>4210</v>
      </c>
      <c r="J6568" s="128">
        <v>21050</v>
      </c>
    </row>
    <row r="6569" spans="1:10" hidden="1" x14ac:dyDescent="0.25">
      <c r="A6569" s="124" t="s">
        <v>9057</v>
      </c>
      <c r="B6569" s="124" t="s">
        <v>11736</v>
      </c>
      <c r="C6569" s="132"/>
      <c r="D6569" s="125">
        <f t="shared" ref="D6569:D6575" si="53">COUNTIF(A1235:A6568,A6569)</f>
        <v>0</v>
      </c>
      <c r="E6569" s="124" t="s">
        <v>8367</v>
      </c>
      <c r="F6569" s="126">
        <v>100</v>
      </c>
      <c r="G6569" s="128">
        <v>140220</v>
      </c>
      <c r="H6569" s="124" t="s">
        <v>8368</v>
      </c>
      <c r="I6569" s="128">
        <v>10500</v>
      </c>
      <c r="J6569" s="128">
        <v>52500</v>
      </c>
    </row>
    <row r="6570" spans="1:10" hidden="1" x14ac:dyDescent="0.25">
      <c r="A6570" s="124" t="s">
        <v>9058</v>
      </c>
      <c r="B6570" s="124" t="s">
        <v>11736</v>
      </c>
      <c r="C6570" s="132"/>
      <c r="D6570" s="125">
        <f t="shared" si="53"/>
        <v>0</v>
      </c>
      <c r="E6570" s="124" t="s">
        <v>8367</v>
      </c>
      <c r="F6570" s="126">
        <v>2</v>
      </c>
      <c r="G6570" s="128">
        <v>36630</v>
      </c>
      <c r="H6570" s="124" t="s">
        <v>8368</v>
      </c>
      <c r="I6570" s="128">
        <v>2268.8000000000002</v>
      </c>
      <c r="J6570" s="128">
        <v>11344</v>
      </c>
    </row>
    <row r="6571" spans="1:10" hidden="1" x14ac:dyDescent="0.25">
      <c r="A6571" s="124" t="s">
        <v>9059</v>
      </c>
      <c r="B6571" s="124" t="s">
        <v>11736</v>
      </c>
      <c r="C6571" s="132"/>
      <c r="D6571" s="125">
        <f t="shared" si="53"/>
        <v>0</v>
      </c>
      <c r="E6571" s="124" t="s">
        <v>8367</v>
      </c>
      <c r="F6571" s="126">
        <v>4</v>
      </c>
      <c r="G6571" s="128">
        <v>25260</v>
      </c>
      <c r="H6571" s="124" t="s">
        <v>8368</v>
      </c>
      <c r="I6571" s="127">
        <v>700</v>
      </c>
      <c r="J6571" s="128">
        <v>3500</v>
      </c>
    </row>
    <row r="6572" spans="1:10" hidden="1" x14ac:dyDescent="0.25">
      <c r="A6572" s="124" t="s">
        <v>9060</v>
      </c>
      <c r="B6572" s="124" t="s">
        <v>11736</v>
      </c>
      <c r="C6572" s="132"/>
      <c r="D6572" s="125">
        <f t="shared" si="53"/>
        <v>0</v>
      </c>
      <c r="E6572" s="124" t="s">
        <v>8367</v>
      </c>
      <c r="F6572" s="126">
        <v>100</v>
      </c>
      <c r="G6572" s="128">
        <v>63000</v>
      </c>
      <c r="H6572" s="124" t="s">
        <v>8368</v>
      </c>
      <c r="I6572" s="127">
        <v>259.8</v>
      </c>
      <c r="J6572" s="128">
        <v>1299</v>
      </c>
    </row>
    <row r="6573" spans="1:10" hidden="1" x14ac:dyDescent="0.25">
      <c r="A6573" s="124" t="s">
        <v>9061</v>
      </c>
      <c r="B6573" s="124" t="s">
        <v>11736</v>
      </c>
      <c r="C6573" s="132"/>
      <c r="D6573" s="125">
        <f t="shared" si="53"/>
        <v>0</v>
      </c>
      <c r="E6573" s="124" t="s">
        <v>8367</v>
      </c>
      <c r="F6573" s="126">
        <v>25</v>
      </c>
      <c r="G6573" s="128">
        <v>13612.8</v>
      </c>
      <c r="H6573" s="124" t="s">
        <v>8368</v>
      </c>
      <c r="I6573" s="127">
        <v>277</v>
      </c>
      <c r="J6573" s="128">
        <v>1385</v>
      </c>
    </row>
    <row r="6574" spans="1:10" hidden="1" x14ac:dyDescent="0.25">
      <c r="A6574" s="124" t="s">
        <v>9062</v>
      </c>
      <c r="B6574" s="124" t="s">
        <v>11736</v>
      </c>
      <c r="C6574" s="132"/>
      <c r="D6574" s="125">
        <f t="shared" si="53"/>
        <v>0</v>
      </c>
      <c r="E6574" s="124" t="s">
        <v>8367</v>
      </c>
      <c r="F6574" s="126">
        <v>6</v>
      </c>
      <c r="G6574" s="128">
        <v>4200</v>
      </c>
      <c r="H6574" s="124" t="s">
        <v>8368</v>
      </c>
      <c r="I6574" s="128">
        <v>17343.259999999998</v>
      </c>
      <c r="J6574" s="128">
        <v>86716.3</v>
      </c>
    </row>
    <row r="6575" spans="1:10" hidden="1" x14ac:dyDescent="0.25">
      <c r="A6575" s="124" t="s">
        <v>9063</v>
      </c>
      <c r="B6575" s="124" t="s">
        <v>11736</v>
      </c>
      <c r="C6575" s="132"/>
      <c r="D6575" s="125">
        <f t="shared" si="53"/>
        <v>0</v>
      </c>
      <c r="E6575" s="124" t="s">
        <v>8367</v>
      </c>
      <c r="F6575" s="126">
        <v>1</v>
      </c>
      <c r="G6575" s="128">
        <v>1558.8</v>
      </c>
      <c r="H6575" s="124" t="s">
        <v>8368</v>
      </c>
      <c r="I6575" s="127">
        <v>292</v>
      </c>
      <c r="J6575" s="128">
        <v>1460</v>
      </c>
    </row>
    <row r="6576" spans="1:10" hidden="1" x14ac:dyDescent="0.25">
      <c r="A6576" s="124" t="s">
        <v>9064</v>
      </c>
      <c r="B6576" s="124" t="s">
        <v>11736</v>
      </c>
      <c r="C6576" s="132"/>
      <c r="D6576" s="125">
        <f>COUNTIF(A1243:A6575,A6576)</f>
        <v>0</v>
      </c>
      <c r="E6576" s="124" t="s">
        <v>8367</v>
      </c>
      <c r="F6576" s="126">
        <v>1</v>
      </c>
      <c r="G6576" s="128">
        <v>1662</v>
      </c>
      <c r="H6576" s="124" t="s">
        <v>8368</v>
      </c>
      <c r="I6576" s="128">
        <v>1950</v>
      </c>
      <c r="J6576" s="128">
        <v>9750</v>
      </c>
    </row>
    <row r="6577" spans="1:10" hidden="1" x14ac:dyDescent="0.25">
      <c r="A6577" s="124" t="s">
        <v>9065</v>
      </c>
      <c r="B6577" s="124" t="s">
        <v>11736</v>
      </c>
      <c r="C6577" s="132"/>
      <c r="D6577" s="125">
        <f>COUNTIF(A1245:A6576,A6577)</f>
        <v>0</v>
      </c>
      <c r="E6577" s="124" t="s">
        <v>8367</v>
      </c>
      <c r="F6577" s="126">
        <v>15</v>
      </c>
      <c r="G6577" s="128">
        <v>104059.56</v>
      </c>
      <c r="H6577" s="124" t="s">
        <v>8368</v>
      </c>
      <c r="I6577" s="127">
        <v>288</v>
      </c>
      <c r="J6577" s="128">
        <v>1440</v>
      </c>
    </row>
    <row r="6578" spans="1:10" hidden="1" x14ac:dyDescent="0.25">
      <c r="A6578" s="124" t="s">
        <v>9066</v>
      </c>
      <c r="B6578" s="124" t="s">
        <v>11736</v>
      </c>
      <c r="C6578" s="132"/>
      <c r="D6578" s="125">
        <f t="shared" ref="D6578:D6586" si="54">COUNTIF(A1250:A6577,A6578)</f>
        <v>0</v>
      </c>
      <c r="E6578" s="124" t="s">
        <v>8367</v>
      </c>
      <c r="F6578" s="126">
        <v>3</v>
      </c>
      <c r="G6578" s="128">
        <v>1752</v>
      </c>
      <c r="H6578" s="124" t="s">
        <v>8368</v>
      </c>
      <c r="I6578" s="127">
        <v>702.6</v>
      </c>
      <c r="J6578" s="128">
        <v>3513</v>
      </c>
    </row>
    <row r="6579" spans="1:10" hidden="1" x14ac:dyDescent="0.25">
      <c r="A6579" s="124" t="s">
        <v>9067</v>
      </c>
      <c r="B6579" s="124" t="s">
        <v>11736</v>
      </c>
      <c r="C6579" s="132"/>
      <c r="D6579" s="125">
        <f t="shared" si="54"/>
        <v>0</v>
      </c>
      <c r="E6579" s="124" t="s">
        <v>8367</v>
      </c>
      <c r="F6579" s="126">
        <v>12</v>
      </c>
      <c r="G6579" s="128">
        <v>11700</v>
      </c>
      <c r="H6579" s="124" t="s">
        <v>8368</v>
      </c>
      <c r="I6579" s="127">
        <v>911.6</v>
      </c>
      <c r="J6579" s="128">
        <v>4558</v>
      </c>
    </row>
    <row r="6580" spans="1:10" hidden="1" x14ac:dyDescent="0.25">
      <c r="A6580" s="124" t="s">
        <v>9068</v>
      </c>
      <c r="B6580" s="124" t="s">
        <v>11736</v>
      </c>
      <c r="C6580" s="132"/>
      <c r="D6580" s="125">
        <f t="shared" si="54"/>
        <v>0</v>
      </c>
      <c r="E6580" s="124" t="s">
        <v>8367</v>
      </c>
      <c r="F6580" s="126">
        <v>4</v>
      </c>
      <c r="G6580" s="128">
        <v>1728</v>
      </c>
      <c r="H6580" s="124" t="s">
        <v>8368</v>
      </c>
      <c r="I6580" s="127">
        <v>145</v>
      </c>
      <c r="J6580" s="127">
        <v>725</v>
      </c>
    </row>
    <row r="6581" spans="1:10" hidden="1" x14ac:dyDescent="0.25">
      <c r="A6581" s="124" t="s">
        <v>9069</v>
      </c>
      <c r="B6581" s="124" t="s">
        <v>11736</v>
      </c>
      <c r="C6581" s="132"/>
      <c r="D6581" s="125">
        <f t="shared" si="54"/>
        <v>0</v>
      </c>
      <c r="E6581" s="124" t="s">
        <v>8367</v>
      </c>
      <c r="F6581" s="126">
        <v>1</v>
      </c>
      <c r="G6581" s="128">
        <v>4215.6000000000004</v>
      </c>
      <c r="H6581" s="124" t="s">
        <v>8368</v>
      </c>
      <c r="I6581" s="128">
        <v>1905.6</v>
      </c>
      <c r="J6581" s="128">
        <v>9528</v>
      </c>
    </row>
    <row r="6582" spans="1:10" hidden="1" x14ac:dyDescent="0.25">
      <c r="A6582" s="124" t="s">
        <v>9070</v>
      </c>
      <c r="B6582" s="124" t="s">
        <v>11736</v>
      </c>
      <c r="C6582" s="132"/>
      <c r="D6582" s="125">
        <f t="shared" si="54"/>
        <v>0</v>
      </c>
      <c r="E6582" s="124" t="s">
        <v>8367</v>
      </c>
      <c r="F6582" s="126">
        <v>2</v>
      </c>
      <c r="G6582" s="128">
        <v>5469.6</v>
      </c>
      <c r="H6582" s="124" t="s">
        <v>8368</v>
      </c>
      <c r="I6582" s="127">
        <v>212.14</v>
      </c>
      <c r="J6582" s="128">
        <v>1060.72</v>
      </c>
    </row>
    <row r="6583" spans="1:10" hidden="1" x14ac:dyDescent="0.25">
      <c r="A6583" s="124" t="s">
        <v>9071</v>
      </c>
      <c r="B6583" s="124" t="s">
        <v>11736</v>
      </c>
      <c r="C6583" s="132"/>
      <c r="D6583" s="125">
        <f t="shared" si="54"/>
        <v>0</v>
      </c>
      <c r="E6583" s="124" t="s">
        <v>8367</v>
      </c>
      <c r="F6583" s="126">
        <v>2</v>
      </c>
      <c r="G6583" s="127">
        <v>870</v>
      </c>
      <c r="H6583" s="124" t="s">
        <v>8368</v>
      </c>
      <c r="I6583" s="128">
        <v>1240</v>
      </c>
      <c r="J6583" s="128">
        <v>6200</v>
      </c>
    </row>
    <row r="6584" spans="1:10" hidden="1" x14ac:dyDescent="0.25">
      <c r="A6584" s="124" t="s">
        <v>9072</v>
      </c>
      <c r="B6584" s="124" t="s">
        <v>11736</v>
      </c>
      <c r="C6584" s="132"/>
      <c r="D6584" s="125">
        <f t="shared" si="54"/>
        <v>0</v>
      </c>
      <c r="E6584" s="124" t="s">
        <v>8451</v>
      </c>
      <c r="F6584" s="126">
        <v>2</v>
      </c>
      <c r="G6584" s="128">
        <v>11433.6</v>
      </c>
      <c r="H6584" s="124" t="s">
        <v>8368</v>
      </c>
      <c r="I6584" s="128">
        <v>4119</v>
      </c>
      <c r="J6584" s="128">
        <v>20595</v>
      </c>
    </row>
    <row r="6585" spans="1:10" hidden="1" x14ac:dyDescent="0.25">
      <c r="A6585" s="124" t="s">
        <v>9073</v>
      </c>
      <c r="B6585" s="124" t="s">
        <v>11736</v>
      </c>
      <c r="C6585" s="132"/>
      <c r="D6585" s="125">
        <f t="shared" si="54"/>
        <v>0</v>
      </c>
      <c r="E6585" s="124" t="s">
        <v>8367</v>
      </c>
      <c r="F6585" s="126">
        <v>30</v>
      </c>
      <c r="G6585" s="128">
        <v>1272.8599999999999</v>
      </c>
      <c r="H6585" s="124" t="s">
        <v>8368</v>
      </c>
      <c r="I6585" s="128">
        <v>39219.08</v>
      </c>
      <c r="J6585" s="128">
        <v>196095.37</v>
      </c>
    </row>
    <row r="6586" spans="1:10" hidden="1" x14ac:dyDescent="0.25">
      <c r="A6586" s="124" t="s">
        <v>9074</v>
      </c>
      <c r="B6586" s="124" t="s">
        <v>11736</v>
      </c>
      <c r="C6586" s="132"/>
      <c r="D6586" s="125">
        <f t="shared" si="54"/>
        <v>0</v>
      </c>
      <c r="E6586" s="124" t="s">
        <v>8367</v>
      </c>
      <c r="F6586" s="126">
        <v>20</v>
      </c>
      <c r="G6586" s="128">
        <v>7440</v>
      </c>
      <c r="H6586" s="124" t="s">
        <v>8368</v>
      </c>
      <c r="I6586" s="128">
        <v>1338333.3999999999</v>
      </c>
      <c r="J6586" s="128">
        <v>6691666.9900000002</v>
      </c>
    </row>
    <row r="6587" spans="1:10" hidden="1" x14ac:dyDescent="0.25">
      <c r="A6587" s="124" t="s">
        <v>9075</v>
      </c>
      <c r="B6587" s="124" t="s">
        <v>11736</v>
      </c>
      <c r="C6587" s="132"/>
      <c r="D6587" s="125">
        <f>COUNTIF(A1260:A6586,A6587)</f>
        <v>0</v>
      </c>
      <c r="E6587" s="124" t="s">
        <v>8367</v>
      </c>
      <c r="F6587" s="126">
        <v>3</v>
      </c>
      <c r="G6587" s="128">
        <v>24714</v>
      </c>
      <c r="H6587" s="124" t="s">
        <v>8368</v>
      </c>
      <c r="I6587" s="128">
        <v>5048333.53</v>
      </c>
      <c r="J6587" s="128">
        <v>25241667.629999999</v>
      </c>
    </row>
    <row r="6588" spans="1:10" hidden="1" x14ac:dyDescent="0.25">
      <c r="A6588" s="124" t="s">
        <v>9076</v>
      </c>
      <c r="B6588" s="124" t="s">
        <v>11736</v>
      </c>
      <c r="C6588" s="132"/>
      <c r="D6588" s="125">
        <f>COUNTIF(A1261:A6587,A6588)</f>
        <v>0</v>
      </c>
      <c r="E6588" s="124" t="s">
        <v>8367</v>
      </c>
      <c r="F6588" s="126">
        <v>37</v>
      </c>
      <c r="G6588" s="128">
        <v>235314.45</v>
      </c>
      <c r="H6588" s="124" t="s">
        <v>8368</v>
      </c>
      <c r="I6588" s="127">
        <v>113.4</v>
      </c>
      <c r="J6588" s="127">
        <v>567</v>
      </c>
    </row>
    <row r="6589" spans="1:10" hidden="1" x14ac:dyDescent="0.25">
      <c r="A6589" s="124" t="s">
        <v>9077</v>
      </c>
      <c r="B6589" s="124" t="s">
        <v>11736</v>
      </c>
      <c r="C6589" s="132"/>
      <c r="D6589" s="125">
        <f>COUNTIF(A1268:A6588,A6589)</f>
        <v>0</v>
      </c>
      <c r="E6589" s="124" t="s">
        <v>8367</v>
      </c>
      <c r="F6589" s="129">
        <v>16060</v>
      </c>
      <c r="G6589" s="128">
        <v>8030000.3899999997</v>
      </c>
      <c r="H6589" s="124" t="s">
        <v>8368</v>
      </c>
      <c r="I6589" s="127">
        <v>132.6</v>
      </c>
      <c r="J6589" s="127">
        <v>663</v>
      </c>
    </row>
    <row r="6590" spans="1:10" hidden="1" x14ac:dyDescent="0.25">
      <c r="A6590" s="124" t="s">
        <v>9078</v>
      </c>
      <c r="B6590" s="124" t="s">
        <v>11736</v>
      </c>
      <c r="C6590" s="132"/>
      <c r="D6590" s="125">
        <f>COUNTIF(A1269:A6589,A6590)</f>
        <v>0</v>
      </c>
      <c r="E6590" s="124" t="s">
        <v>8367</v>
      </c>
      <c r="F6590" s="129">
        <v>11650</v>
      </c>
      <c r="G6590" s="128">
        <v>30290001.16</v>
      </c>
      <c r="H6590" s="124" t="s">
        <v>8368</v>
      </c>
      <c r="I6590" s="127">
        <v>8</v>
      </c>
      <c r="J6590" s="127">
        <v>40</v>
      </c>
    </row>
    <row r="6591" spans="1:10" hidden="1" x14ac:dyDescent="0.25">
      <c r="A6591" s="124" t="s">
        <v>9079</v>
      </c>
      <c r="B6591" s="124" t="s">
        <v>11736</v>
      </c>
      <c r="C6591" s="132"/>
      <c r="D6591" s="125">
        <f>COUNTIF(A1293:A6590,A6591)</f>
        <v>0</v>
      </c>
      <c r="E6591" s="124" t="s">
        <v>8367</v>
      </c>
      <c r="F6591" s="126">
        <v>5</v>
      </c>
      <c r="G6591" s="127">
        <v>680.4</v>
      </c>
      <c r="H6591" s="124" t="s">
        <v>8368</v>
      </c>
      <c r="I6591" s="127">
        <v>200</v>
      </c>
      <c r="J6591" s="128">
        <v>1000</v>
      </c>
    </row>
    <row r="6592" spans="1:10" hidden="1" x14ac:dyDescent="0.25">
      <c r="A6592" s="124" t="s">
        <v>9080</v>
      </c>
      <c r="B6592" s="124" t="s">
        <v>11736</v>
      </c>
      <c r="C6592" s="132"/>
      <c r="D6592" s="125">
        <f>COUNTIF(A1294:A6591,A6592)</f>
        <v>0</v>
      </c>
      <c r="E6592" s="124" t="s">
        <v>8367</v>
      </c>
      <c r="F6592" s="126">
        <v>5</v>
      </c>
      <c r="G6592" s="127">
        <v>795.6</v>
      </c>
      <c r="H6592" s="124" t="s">
        <v>8368</v>
      </c>
      <c r="I6592" s="127">
        <v>373.4</v>
      </c>
      <c r="J6592" s="128">
        <v>1867</v>
      </c>
    </row>
    <row r="6593" spans="1:10" hidden="1" x14ac:dyDescent="0.25">
      <c r="A6593" s="124" t="s">
        <v>9081</v>
      </c>
      <c r="B6593" s="124" t="s">
        <v>11736</v>
      </c>
      <c r="C6593" s="132"/>
      <c r="D6593" s="125">
        <f>COUNTIF(A1295:A6592,A6593)</f>
        <v>0</v>
      </c>
      <c r="E6593" s="124" t="s">
        <v>8367</v>
      </c>
      <c r="F6593" s="126">
        <v>2</v>
      </c>
      <c r="G6593" s="127">
        <v>48</v>
      </c>
      <c r="H6593" s="124" t="s">
        <v>8368</v>
      </c>
      <c r="I6593" s="127">
        <v>573.79999999999995</v>
      </c>
      <c r="J6593" s="128">
        <v>2869</v>
      </c>
    </row>
    <row r="6594" spans="1:10" hidden="1" x14ac:dyDescent="0.25">
      <c r="A6594" s="124" t="s">
        <v>9082</v>
      </c>
      <c r="B6594" s="124" t="s">
        <v>11736</v>
      </c>
      <c r="C6594" s="132"/>
      <c r="D6594" s="125">
        <f>COUNTIF(A1297:A6593,A6594)</f>
        <v>0</v>
      </c>
      <c r="E6594" s="124" t="s">
        <v>8367</v>
      </c>
      <c r="F6594" s="126">
        <v>50</v>
      </c>
      <c r="G6594" s="128">
        <v>1200</v>
      </c>
      <c r="H6594" s="124" t="s">
        <v>8368</v>
      </c>
      <c r="I6594" s="128">
        <v>1091</v>
      </c>
      <c r="J6594" s="128">
        <v>5455</v>
      </c>
    </row>
    <row r="6595" spans="1:10" hidden="1" x14ac:dyDescent="0.25">
      <c r="A6595" s="124" t="s">
        <v>9083</v>
      </c>
      <c r="B6595" s="124" t="s">
        <v>11736</v>
      </c>
      <c r="C6595" s="132"/>
      <c r="D6595" s="125">
        <f>COUNTIF(A1299:A6594,A6595)</f>
        <v>0</v>
      </c>
      <c r="E6595" s="124" t="s">
        <v>8367</v>
      </c>
      <c r="F6595" s="126">
        <v>2</v>
      </c>
      <c r="G6595" s="128">
        <v>2240.4</v>
      </c>
      <c r="H6595" s="124" t="s">
        <v>8368</v>
      </c>
      <c r="I6595" s="127">
        <v>437.6</v>
      </c>
      <c r="J6595" s="128">
        <v>2188</v>
      </c>
    </row>
    <row r="6596" spans="1:10" hidden="1" x14ac:dyDescent="0.25">
      <c r="A6596" s="124" t="s">
        <v>9084</v>
      </c>
      <c r="B6596" s="124" t="s">
        <v>11736</v>
      </c>
      <c r="C6596" s="132"/>
      <c r="D6596" s="125">
        <f>COUNTIF(A1300:A6595,A6596)</f>
        <v>0</v>
      </c>
      <c r="E6596" s="124" t="s">
        <v>8367</v>
      </c>
      <c r="F6596" s="126">
        <v>1</v>
      </c>
      <c r="G6596" s="128">
        <v>3442.8</v>
      </c>
      <c r="H6596" s="124" t="s">
        <v>8368</v>
      </c>
      <c r="I6596" s="127">
        <v>707.75</v>
      </c>
      <c r="J6596" s="128">
        <v>3538.75</v>
      </c>
    </row>
    <row r="6597" spans="1:10" hidden="1" x14ac:dyDescent="0.25">
      <c r="A6597" s="124" t="s">
        <v>9085</v>
      </c>
      <c r="B6597" s="124" t="s">
        <v>11736</v>
      </c>
      <c r="C6597" s="132"/>
      <c r="D6597" s="125">
        <f>COUNTIF(A1301:A6596,A6597)</f>
        <v>0</v>
      </c>
      <c r="E6597" s="124" t="s">
        <v>8367</v>
      </c>
      <c r="F6597" s="126">
        <v>2</v>
      </c>
      <c r="G6597" s="128">
        <v>6546</v>
      </c>
      <c r="H6597" s="124" t="s">
        <v>8368</v>
      </c>
      <c r="I6597" s="127">
        <v>55.6</v>
      </c>
      <c r="J6597" s="127">
        <v>278</v>
      </c>
    </row>
    <row r="6598" spans="1:10" hidden="1" x14ac:dyDescent="0.25">
      <c r="A6598" s="124" t="s">
        <v>9086</v>
      </c>
      <c r="B6598" s="124" t="s">
        <v>11736</v>
      </c>
      <c r="C6598" s="132"/>
      <c r="D6598" s="125">
        <f>COUNTIF(A1302:A6597,A6598)</f>
        <v>0</v>
      </c>
      <c r="E6598" s="124" t="s">
        <v>8367</v>
      </c>
      <c r="F6598" s="126">
        <v>1</v>
      </c>
      <c r="G6598" s="128">
        <v>2625.6</v>
      </c>
      <c r="H6598" s="124" t="s">
        <v>8368</v>
      </c>
      <c r="I6598" s="127">
        <v>300.60000000000002</v>
      </c>
      <c r="J6598" s="128">
        <v>1503</v>
      </c>
    </row>
    <row r="6599" spans="1:10" hidden="1" x14ac:dyDescent="0.25">
      <c r="A6599" s="124" t="s">
        <v>757</v>
      </c>
      <c r="B6599" s="124" t="s">
        <v>11736</v>
      </c>
      <c r="C6599" s="132"/>
      <c r="D6599" s="125">
        <f>COUNTIF(A1303:A6598,A6599)</f>
        <v>0</v>
      </c>
      <c r="E6599" s="124" t="s">
        <v>8367</v>
      </c>
      <c r="F6599" s="126">
        <v>1</v>
      </c>
      <c r="G6599" s="128">
        <v>4246.5</v>
      </c>
      <c r="H6599" s="124" t="s">
        <v>8368</v>
      </c>
      <c r="I6599" s="128">
        <v>4071.4</v>
      </c>
      <c r="J6599" s="128">
        <v>20357</v>
      </c>
    </row>
    <row r="6600" spans="1:10" hidden="1" x14ac:dyDescent="0.25">
      <c r="A6600" s="124" t="s">
        <v>9087</v>
      </c>
      <c r="B6600" s="124" t="s">
        <v>11736</v>
      </c>
      <c r="C6600" s="132"/>
      <c r="D6600" s="125">
        <f>COUNTIF(A1305:A6599,A6600)</f>
        <v>0</v>
      </c>
      <c r="E6600" s="124" t="s">
        <v>8367</v>
      </c>
      <c r="F6600" s="126">
        <v>2</v>
      </c>
      <c r="G6600" s="127">
        <v>333.6</v>
      </c>
      <c r="H6600" s="124" t="s">
        <v>8368</v>
      </c>
      <c r="I6600" s="127">
        <v>117</v>
      </c>
      <c r="J6600" s="127">
        <v>585</v>
      </c>
    </row>
    <row r="6601" spans="1:10" hidden="1" x14ac:dyDescent="0.25">
      <c r="A6601" s="124" t="s">
        <v>867</v>
      </c>
      <c r="B6601" s="124" t="s">
        <v>11736</v>
      </c>
      <c r="C6601" s="132"/>
      <c r="D6601" s="125">
        <f>COUNTIF(A1306:A6600,A6601)</f>
        <v>0</v>
      </c>
      <c r="E6601" s="124" t="s">
        <v>8367</v>
      </c>
      <c r="F6601" s="126">
        <v>3</v>
      </c>
      <c r="G6601" s="128">
        <v>1803.6</v>
      </c>
      <c r="H6601" s="124" t="s">
        <v>8368</v>
      </c>
      <c r="I6601" s="127">
        <v>104</v>
      </c>
      <c r="J6601" s="127">
        <v>520</v>
      </c>
    </row>
    <row r="6602" spans="1:10" hidden="1" x14ac:dyDescent="0.25">
      <c r="A6602" s="124" t="s">
        <v>9088</v>
      </c>
      <c r="B6602" s="124" t="s">
        <v>11736</v>
      </c>
      <c r="C6602" s="132"/>
      <c r="D6602" s="125">
        <f t="shared" ref="D6602:D6615" si="55">COUNTIF(A1308:A6601,A6602)</f>
        <v>0</v>
      </c>
      <c r="E6602" s="124" t="s">
        <v>8367</v>
      </c>
      <c r="F6602" s="126">
        <v>1</v>
      </c>
      <c r="G6602" s="128">
        <v>24428.400000000001</v>
      </c>
      <c r="H6602" s="124" t="s">
        <v>8368</v>
      </c>
      <c r="I6602" s="127">
        <v>467.8</v>
      </c>
      <c r="J6602" s="128">
        <v>2339</v>
      </c>
    </row>
    <row r="6603" spans="1:10" hidden="1" x14ac:dyDescent="0.25">
      <c r="A6603" s="124" t="s">
        <v>9089</v>
      </c>
      <c r="B6603" s="124" t="s">
        <v>11736</v>
      </c>
      <c r="C6603" s="132"/>
      <c r="D6603" s="125">
        <f t="shared" si="55"/>
        <v>0</v>
      </c>
      <c r="E6603" s="124" t="s">
        <v>8367</v>
      </c>
      <c r="F6603" s="126">
        <v>2</v>
      </c>
      <c r="G6603" s="127">
        <v>702</v>
      </c>
      <c r="H6603" s="124" t="s">
        <v>8368</v>
      </c>
      <c r="I6603" s="127">
        <v>186.6</v>
      </c>
      <c r="J6603" s="127">
        <v>933</v>
      </c>
    </row>
    <row r="6604" spans="1:10" hidden="1" x14ac:dyDescent="0.25">
      <c r="A6604" s="124" t="s">
        <v>9090</v>
      </c>
      <c r="B6604" s="124" t="s">
        <v>11736</v>
      </c>
      <c r="C6604" s="132"/>
      <c r="D6604" s="125">
        <f t="shared" si="55"/>
        <v>0</v>
      </c>
      <c r="E6604" s="124" t="s">
        <v>8367</v>
      </c>
      <c r="F6604" s="126">
        <v>4</v>
      </c>
      <c r="G6604" s="127">
        <v>624</v>
      </c>
      <c r="H6604" s="124" t="s">
        <v>8368</v>
      </c>
      <c r="I6604" s="127">
        <v>104.6</v>
      </c>
      <c r="J6604" s="127">
        <v>523</v>
      </c>
    </row>
    <row r="6605" spans="1:10" hidden="1" x14ac:dyDescent="0.25">
      <c r="A6605" s="124" t="s">
        <v>9091</v>
      </c>
      <c r="B6605" s="124" t="s">
        <v>11736</v>
      </c>
      <c r="C6605" s="132"/>
      <c r="D6605" s="125">
        <f t="shared" si="55"/>
        <v>0</v>
      </c>
      <c r="E6605" s="124" t="s">
        <v>8367</v>
      </c>
      <c r="F6605" s="126">
        <v>1</v>
      </c>
      <c r="G6605" s="128">
        <v>2806.8</v>
      </c>
      <c r="H6605" s="124" t="s">
        <v>8368</v>
      </c>
      <c r="I6605" s="128">
        <v>1374.8</v>
      </c>
      <c r="J6605" s="128">
        <v>6874</v>
      </c>
    </row>
    <row r="6606" spans="1:10" hidden="1" x14ac:dyDescent="0.25">
      <c r="A6606" s="124" t="s">
        <v>9092</v>
      </c>
      <c r="B6606" s="124" t="s">
        <v>11736</v>
      </c>
      <c r="C6606" s="132"/>
      <c r="D6606" s="125">
        <f t="shared" si="55"/>
        <v>0</v>
      </c>
      <c r="E6606" s="124" t="s">
        <v>8367</v>
      </c>
      <c r="F6606" s="126">
        <v>2</v>
      </c>
      <c r="G6606" s="128">
        <v>1119.5999999999999</v>
      </c>
      <c r="H6606" s="124" t="s">
        <v>8368</v>
      </c>
      <c r="I6606" s="127">
        <v>205.6</v>
      </c>
      <c r="J6606" s="128">
        <v>1028</v>
      </c>
    </row>
    <row r="6607" spans="1:10" hidden="1" x14ac:dyDescent="0.25">
      <c r="A6607" s="124" t="s">
        <v>9093</v>
      </c>
      <c r="B6607" s="124" t="s">
        <v>11736</v>
      </c>
      <c r="C6607" s="132"/>
      <c r="D6607" s="125">
        <f t="shared" si="55"/>
        <v>0</v>
      </c>
      <c r="E6607" s="124" t="s">
        <v>8367</v>
      </c>
      <c r="F6607" s="126">
        <v>4</v>
      </c>
      <c r="G6607" s="127">
        <v>627.6</v>
      </c>
      <c r="H6607" s="124" t="s">
        <v>8368</v>
      </c>
      <c r="I6607" s="127">
        <v>171.6</v>
      </c>
      <c r="J6607" s="127">
        <v>858</v>
      </c>
    </row>
    <row r="6608" spans="1:10" hidden="1" x14ac:dyDescent="0.25">
      <c r="A6608" s="124" t="s">
        <v>9094</v>
      </c>
      <c r="B6608" s="124" t="s">
        <v>11736</v>
      </c>
      <c r="C6608" s="132"/>
      <c r="D6608" s="125">
        <f t="shared" si="55"/>
        <v>0</v>
      </c>
      <c r="E6608" s="124" t="s">
        <v>8367</v>
      </c>
      <c r="F6608" s="126">
        <v>1</v>
      </c>
      <c r="G6608" s="128">
        <v>8248.7999999999993</v>
      </c>
      <c r="H6608" s="124" t="s">
        <v>8368</v>
      </c>
      <c r="I6608" s="127">
        <v>171.6</v>
      </c>
      <c r="J6608" s="127">
        <v>858</v>
      </c>
    </row>
    <row r="6609" spans="1:10" hidden="1" x14ac:dyDescent="0.25">
      <c r="A6609" s="124" t="s">
        <v>9095</v>
      </c>
      <c r="B6609" s="124" t="s">
        <v>11736</v>
      </c>
      <c r="C6609" s="132"/>
      <c r="D6609" s="125">
        <f t="shared" si="55"/>
        <v>0</v>
      </c>
      <c r="E6609" s="124" t="s">
        <v>8367</v>
      </c>
      <c r="F6609" s="126">
        <v>1</v>
      </c>
      <c r="G6609" s="128">
        <v>1233.5999999999999</v>
      </c>
      <c r="H6609" s="124" t="s">
        <v>8368</v>
      </c>
      <c r="I6609" s="127">
        <v>171.6</v>
      </c>
      <c r="J6609" s="127">
        <v>858</v>
      </c>
    </row>
    <row r="6610" spans="1:10" hidden="1" x14ac:dyDescent="0.25">
      <c r="A6610" s="124" t="s">
        <v>9096</v>
      </c>
      <c r="B6610" s="124" t="s">
        <v>11736</v>
      </c>
      <c r="C6610" s="132"/>
      <c r="D6610" s="125">
        <f t="shared" si="55"/>
        <v>0</v>
      </c>
      <c r="E6610" s="124" t="s">
        <v>8367</v>
      </c>
      <c r="F6610" s="126">
        <v>1</v>
      </c>
      <c r="G6610" s="128">
        <v>1029.5999999999999</v>
      </c>
      <c r="H6610" s="124" t="s">
        <v>8368</v>
      </c>
      <c r="I6610" s="127">
        <v>218.6</v>
      </c>
      <c r="J6610" s="128">
        <v>1093</v>
      </c>
    </row>
    <row r="6611" spans="1:10" hidden="1" x14ac:dyDescent="0.25">
      <c r="A6611" s="124" t="s">
        <v>9097</v>
      </c>
      <c r="B6611" s="124" t="s">
        <v>11736</v>
      </c>
      <c r="C6611" s="132"/>
      <c r="D6611" s="125">
        <f t="shared" si="55"/>
        <v>0</v>
      </c>
      <c r="E6611" s="124" t="s">
        <v>8367</v>
      </c>
      <c r="F6611" s="126">
        <v>1</v>
      </c>
      <c r="G6611" s="128">
        <v>1029.5999999999999</v>
      </c>
      <c r="H6611" s="124" t="s">
        <v>8368</v>
      </c>
      <c r="I6611" s="127">
        <v>216.3</v>
      </c>
      <c r="J6611" s="128">
        <v>1081.5</v>
      </c>
    </row>
    <row r="6612" spans="1:10" hidden="1" x14ac:dyDescent="0.25">
      <c r="A6612" s="124" t="s">
        <v>9098</v>
      </c>
      <c r="B6612" s="124" t="s">
        <v>11736</v>
      </c>
      <c r="C6612" s="132"/>
      <c r="D6612" s="125">
        <f t="shared" si="55"/>
        <v>0</v>
      </c>
      <c r="E6612" s="124" t="s">
        <v>8367</v>
      </c>
      <c r="F6612" s="126">
        <v>1</v>
      </c>
      <c r="G6612" s="128">
        <v>1029.5999999999999</v>
      </c>
      <c r="H6612" s="124" t="s">
        <v>8368</v>
      </c>
      <c r="I6612" s="127">
        <v>206.6</v>
      </c>
      <c r="J6612" s="128">
        <v>1033</v>
      </c>
    </row>
    <row r="6613" spans="1:10" hidden="1" x14ac:dyDescent="0.25">
      <c r="A6613" s="124" t="s">
        <v>9099</v>
      </c>
      <c r="B6613" s="124" t="s">
        <v>11736</v>
      </c>
      <c r="C6613" s="132"/>
      <c r="D6613" s="125">
        <f t="shared" si="55"/>
        <v>0</v>
      </c>
      <c r="E6613" s="124" t="s">
        <v>8367</v>
      </c>
      <c r="F6613" s="126">
        <v>1</v>
      </c>
      <c r="G6613" s="128">
        <v>1311.6</v>
      </c>
      <c r="H6613" s="124" t="s">
        <v>8368</v>
      </c>
      <c r="I6613" s="128">
        <v>140355.20000000001</v>
      </c>
      <c r="J6613" s="128">
        <v>701776</v>
      </c>
    </row>
    <row r="6614" spans="1:10" hidden="1" x14ac:dyDescent="0.25">
      <c r="A6614" s="124" t="s">
        <v>9100</v>
      </c>
      <c r="B6614" s="124" t="s">
        <v>11736</v>
      </c>
      <c r="C6614" s="132"/>
      <c r="D6614" s="125">
        <f t="shared" si="55"/>
        <v>0</v>
      </c>
      <c r="E6614" s="124" t="s">
        <v>8367</v>
      </c>
      <c r="F6614" s="126">
        <v>3</v>
      </c>
      <c r="G6614" s="128">
        <v>1297.8</v>
      </c>
      <c r="H6614" s="124" t="s">
        <v>8368</v>
      </c>
      <c r="I6614" s="128">
        <v>66000</v>
      </c>
      <c r="J6614" s="128">
        <v>330000</v>
      </c>
    </row>
    <row r="6615" spans="1:10" hidden="1" x14ac:dyDescent="0.25">
      <c r="A6615" s="124" t="s">
        <v>9101</v>
      </c>
      <c r="B6615" s="124" t="s">
        <v>11736</v>
      </c>
      <c r="C6615" s="132"/>
      <c r="D6615" s="125">
        <f t="shared" si="55"/>
        <v>0</v>
      </c>
      <c r="E6615" s="124" t="s">
        <v>8367</v>
      </c>
      <c r="F6615" s="126">
        <v>3</v>
      </c>
      <c r="G6615" s="128">
        <v>1239.5999999999999</v>
      </c>
      <c r="H6615" s="124" t="s">
        <v>8368</v>
      </c>
      <c r="I6615" s="128">
        <v>1012.27</v>
      </c>
      <c r="J6615" s="128">
        <v>5061.37</v>
      </c>
    </row>
    <row r="6616" spans="1:10" hidden="1" x14ac:dyDescent="0.25">
      <c r="A6616" s="124" t="s">
        <v>9102</v>
      </c>
      <c r="B6616" s="124" t="s">
        <v>11736</v>
      </c>
      <c r="C6616" s="132"/>
      <c r="D6616" s="125">
        <f>COUNTIF(A1323:A6615,A6616)</f>
        <v>0</v>
      </c>
      <c r="E6616" s="124" t="s">
        <v>8367</v>
      </c>
      <c r="F6616" s="126">
        <v>1</v>
      </c>
      <c r="G6616" s="128">
        <v>842131.2</v>
      </c>
      <c r="H6616" s="124" t="s">
        <v>8368</v>
      </c>
      <c r="I6616" s="128">
        <v>6224.2</v>
      </c>
      <c r="J6616" s="128">
        <v>31121</v>
      </c>
    </row>
    <row r="6617" spans="1:10" hidden="1" x14ac:dyDescent="0.25">
      <c r="A6617" s="124" t="s">
        <v>9103</v>
      </c>
      <c r="B6617" s="124" t="s">
        <v>11736</v>
      </c>
      <c r="C6617" s="132"/>
      <c r="D6617" s="125">
        <f>COUNTIF(A1324:A6616,A6617)</f>
        <v>0</v>
      </c>
      <c r="E6617" s="124" t="s">
        <v>8367</v>
      </c>
      <c r="F6617" s="126">
        <v>6</v>
      </c>
      <c r="G6617" s="128">
        <v>396000</v>
      </c>
      <c r="H6617" s="124" t="s">
        <v>8368</v>
      </c>
      <c r="I6617" s="128">
        <v>24713.4</v>
      </c>
      <c r="J6617" s="128">
        <v>123567</v>
      </c>
    </row>
    <row r="6618" spans="1:10" hidden="1" x14ac:dyDescent="0.25">
      <c r="A6618" s="124" t="s">
        <v>9104</v>
      </c>
      <c r="B6618" s="124" t="s">
        <v>11736</v>
      </c>
      <c r="C6618" s="132"/>
      <c r="D6618" s="125">
        <f>COUNTIF(A1325:A6617,A6618)</f>
        <v>0</v>
      </c>
      <c r="E6618" s="124" t="s">
        <v>8367</v>
      </c>
      <c r="F6618" s="126">
        <v>1</v>
      </c>
      <c r="G6618" s="128">
        <v>6073.64</v>
      </c>
      <c r="H6618" s="124" t="s">
        <v>8368</v>
      </c>
      <c r="I6618" s="128">
        <v>43867.8</v>
      </c>
      <c r="J6618" s="128">
        <v>219339</v>
      </c>
    </row>
    <row r="6619" spans="1:10" hidden="1" x14ac:dyDescent="0.25">
      <c r="A6619" s="124" t="s">
        <v>9105</v>
      </c>
      <c r="B6619" s="124" t="s">
        <v>11736</v>
      </c>
      <c r="C6619" s="132"/>
      <c r="D6619" s="125">
        <f>COUNTIF(A1327:A6618,A6619)</f>
        <v>0</v>
      </c>
      <c r="E6619" s="124" t="s">
        <v>8367</v>
      </c>
      <c r="F6619" s="126">
        <v>1</v>
      </c>
      <c r="G6619" s="128">
        <v>37345.199999999997</v>
      </c>
      <c r="H6619" s="124" t="s">
        <v>8368</v>
      </c>
      <c r="I6619" s="128">
        <v>1163.3900000000001</v>
      </c>
      <c r="J6619" s="128">
        <v>5816.93</v>
      </c>
    </row>
    <row r="6620" spans="1:10" hidden="1" x14ac:dyDescent="0.25">
      <c r="A6620" s="124" t="s">
        <v>9106</v>
      </c>
      <c r="B6620" s="124" t="s">
        <v>11736</v>
      </c>
      <c r="C6620" s="132"/>
      <c r="D6620" s="125">
        <f>COUNTIF(A1328:A6619,A6620)</f>
        <v>0</v>
      </c>
      <c r="E6620" s="124" t="s">
        <v>8367</v>
      </c>
      <c r="F6620" s="126">
        <v>4</v>
      </c>
      <c r="G6620" s="128">
        <v>148280.4</v>
      </c>
      <c r="H6620" s="124" t="s">
        <v>8368</v>
      </c>
      <c r="I6620" s="127">
        <v>100.52</v>
      </c>
      <c r="J6620" s="127">
        <v>502.6</v>
      </c>
    </row>
    <row r="6621" spans="1:10" hidden="1" x14ac:dyDescent="0.25">
      <c r="A6621" s="124" t="s">
        <v>9107</v>
      </c>
      <c r="B6621" s="124" t="s">
        <v>11736</v>
      </c>
      <c r="C6621" s="132"/>
      <c r="D6621" s="125">
        <f>COUNTIF(A1332:A6620,A6621)</f>
        <v>0</v>
      </c>
      <c r="E6621" s="124" t="s">
        <v>8367</v>
      </c>
      <c r="F6621" s="126">
        <v>7</v>
      </c>
      <c r="G6621" s="128">
        <v>263206.8</v>
      </c>
      <c r="H6621" s="124" t="s">
        <v>8368</v>
      </c>
      <c r="I6621" s="128">
        <v>8715.7999999999993</v>
      </c>
      <c r="J6621" s="128">
        <v>43579</v>
      </c>
    </row>
    <row r="6622" spans="1:10" hidden="1" x14ac:dyDescent="0.25">
      <c r="A6622" s="124" t="s">
        <v>9108</v>
      </c>
      <c r="B6622" s="124" t="s">
        <v>11736</v>
      </c>
      <c r="C6622" s="132"/>
      <c r="D6622" s="125">
        <f>COUNTIF(A1333:A6621,A6622)</f>
        <v>0</v>
      </c>
      <c r="E6622" s="124" t="s">
        <v>8367</v>
      </c>
      <c r="F6622" s="126">
        <v>20</v>
      </c>
      <c r="G6622" s="128">
        <v>6980.32</v>
      </c>
      <c r="H6622" s="124" t="s">
        <v>8368</v>
      </c>
      <c r="I6622" s="127">
        <v>352</v>
      </c>
      <c r="J6622" s="128">
        <v>1760</v>
      </c>
    </row>
    <row r="6623" spans="1:10" hidden="1" x14ac:dyDescent="0.25">
      <c r="A6623" s="124" t="s">
        <v>9109</v>
      </c>
      <c r="B6623" s="124" t="s">
        <v>11736</v>
      </c>
      <c r="C6623" s="132"/>
      <c r="D6623" s="125">
        <f>COUNTIF(A1336:A6622,A6623)</f>
        <v>0</v>
      </c>
      <c r="E6623" s="124" t="s">
        <v>8367</v>
      </c>
      <c r="F6623" s="126">
        <v>1</v>
      </c>
      <c r="G6623" s="127">
        <v>603.12</v>
      </c>
      <c r="H6623" s="124" t="s">
        <v>8368</v>
      </c>
      <c r="I6623" s="127">
        <v>85.11</v>
      </c>
      <c r="J6623" s="127">
        <v>425.57</v>
      </c>
    </row>
    <row r="6624" spans="1:10" hidden="1" x14ac:dyDescent="0.25">
      <c r="A6624" s="124" t="s">
        <v>9110</v>
      </c>
      <c r="B6624" s="124" t="s">
        <v>11736</v>
      </c>
      <c r="C6624" s="132"/>
      <c r="D6624" s="125">
        <f>COUNTIF(A1338:A6623,A6624)</f>
        <v>0</v>
      </c>
      <c r="E6624" s="124" t="s">
        <v>8367</v>
      </c>
      <c r="F6624" s="126">
        <v>5</v>
      </c>
      <c r="G6624" s="128">
        <v>52294.8</v>
      </c>
      <c r="H6624" s="124" t="s">
        <v>8368</v>
      </c>
      <c r="I6624" s="128">
        <v>5090.75</v>
      </c>
      <c r="J6624" s="128">
        <v>25453.75</v>
      </c>
    </row>
    <row r="6625" spans="1:10" hidden="1" x14ac:dyDescent="0.25">
      <c r="A6625" s="124" t="s">
        <v>9111</v>
      </c>
      <c r="B6625" s="124" t="s">
        <v>11736</v>
      </c>
      <c r="C6625" s="132"/>
      <c r="D6625" s="125">
        <f>COUNTIF(A1339:A6624,A6625)</f>
        <v>0</v>
      </c>
      <c r="E6625" s="124" t="s">
        <v>8367</v>
      </c>
      <c r="F6625" s="126">
        <v>64</v>
      </c>
      <c r="G6625" s="128">
        <v>2112</v>
      </c>
      <c r="H6625" s="124" t="s">
        <v>8368</v>
      </c>
      <c r="I6625" s="127">
        <v>40</v>
      </c>
      <c r="J6625" s="127">
        <v>200</v>
      </c>
    </row>
    <row r="6626" spans="1:10" hidden="1" x14ac:dyDescent="0.25">
      <c r="A6626" s="124" t="s">
        <v>9112</v>
      </c>
      <c r="B6626" s="124" t="s">
        <v>11736</v>
      </c>
      <c r="C6626" s="132"/>
      <c r="D6626" s="125">
        <f>COUNTIF(A1344:A6625,A6626)</f>
        <v>0</v>
      </c>
      <c r="E6626" s="124" t="s">
        <v>8367</v>
      </c>
      <c r="F6626" s="126">
        <v>20</v>
      </c>
      <c r="G6626" s="127">
        <v>510.68</v>
      </c>
      <c r="H6626" s="124" t="s">
        <v>8368</v>
      </c>
      <c r="I6626" s="127">
        <v>55.8</v>
      </c>
      <c r="J6626" s="127">
        <v>279</v>
      </c>
    </row>
    <row r="6627" spans="1:10" hidden="1" x14ac:dyDescent="0.25">
      <c r="A6627" s="124" t="s">
        <v>9113</v>
      </c>
      <c r="B6627" s="124" t="s">
        <v>11736</v>
      </c>
      <c r="C6627" s="132"/>
      <c r="D6627" s="125">
        <f>COUNTIF(A1352:A6626,A6627)</f>
        <v>0</v>
      </c>
      <c r="E6627" s="124" t="s">
        <v>8367</v>
      </c>
      <c r="F6627" s="126">
        <v>14</v>
      </c>
      <c r="G6627" s="128">
        <v>30544.5</v>
      </c>
      <c r="H6627" s="124" t="s">
        <v>8368</v>
      </c>
      <c r="I6627" s="127">
        <v>143.4</v>
      </c>
      <c r="J6627" s="127">
        <v>717</v>
      </c>
    </row>
    <row r="6628" spans="1:10" hidden="1" x14ac:dyDescent="0.25">
      <c r="A6628" s="124" t="s">
        <v>9114</v>
      </c>
      <c r="B6628" s="124" t="s">
        <v>11736</v>
      </c>
      <c r="C6628" s="132"/>
      <c r="D6628" s="125">
        <f>COUNTIF(A1357:A6627,A6628)</f>
        <v>0</v>
      </c>
      <c r="E6628" s="124" t="s">
        <v>8367</v>
      </c>
      <c r="F6628" s="126">
        <v>1</v>
      </c>
      <c r="G6628" s="127">
        <v>240</v>
      </c>
      <c r="H6628" s="124" t="s">
        <v>8368</v>
      </c>
      <c r="I6628" s="127">
        <v>265.2</v>
      </c>
      <c r="J6628" s="128">
        <v>1326</v>
      </c>
    </row>
    <row r="6629" spans="1:10" hidden="1" x14ac:dyDescent="0.25">
      <c r="A6629" s="124" t="s">
        <v>9115</v>
      </c>
      <c r="B6629" s="124" t="s">
        <v>11736</v>
      </c>
      <c r="C6629" s="132"/>
      <c r="D6629" s="125">
        <f>COUNTIF(A1358:A6628,A6629)</f>
        <v>0</v>
      </c>
      <c r="E6629" s="124" t="s">
        <v>8367</v>
      </c>
      <c r="F6629" s="126">
        <v>1</v>
      </c>
      <c r="G6629" s="127">
        <v>334.8</v>
      </c>
      <c r="H6629" s="124" t="s">
        <v>8368</v>
      </c>
      <c r="I6629" s="128">
        <v>41894.199999999997</v>
      </c>
      <c r="J6629" s="128">
        <v>209471</v>
      </c>
    </row>
    <row r="6630" spans="1:10" hidden="1" x14ac:dyDescent="0.25">
      <c r="A6630" s="124" t="s">
        <v>9116</v>
      </c>
      <c r="B6630" s="124" t="s">
        <v>11736</v>
      </c>
      <c r="C6630" s="132"/>
      <c r="D6630" s="125">
        <f>COUNTIF(A1359:A6629,A6630)</f>
        <v>0</v>
      </c>
      <c r="E6630" s="124" t="s">
        <v>8367</v>
      </c>
      <c r="F6630" s="126">
        <v>5</v>
      </c>
      <c r="G6630" s="127">
        <v>860.4</v>
      </c>
      <c r="H6630" s="124" t="s">
        <v>8368</v>
      </c>
      <c r="I6630" s="127">
        <v>161.32</v>
      </c>
      <c r="J6630" s="127">
        <v>806.6</v>
      </c>
    </row>
    <row r="6631" spans="1:10" hidden="1" x14ac:dyDescent="0.25">
      <c r="A6631" s="124" t="s">
        <v>9117</v>
      </c>
      <c r="B6631" s="124" t="s">
        <v>11736</v>
      </c>
      <c r="C6631" s="132"/>
      <c r="D6631" s="125">
        <f>COUNTIF(A1361:A6630,A6631)</f>
        <v>0</v>
      </c>
      <c r="E6631" s="124" t="s">
        <v>8367</v>
      </c>
      <c r="F6631" s="126">
        <v>1</v>
      </c>
      <c r="G6631" s="128">
        <v>1591.2</v>
      </c>
      <c r="H6631" s="124" t="s">
        <v>8368</v>
      </c>
      <c r="I6631" s="127">
        <v>101.8</v>
      </c>
      <c r="J6631" s="127">
        <v>509</v>
      </c>
    </row>
    <row r="6632" spans="1:10" hidden="1" x14ac:dyDescent="0.25">
      <c r="A6632" s="124" t="s">
        <v>9118</v>
      </c>
      <c r="B6632" s="124" t="s">
        <v>11736</v>
      </c>
      <c r="C6632" s="132"/>
      <c r="D6632" s="125">
        <f>COUNTIF(A1362:A6631,A6632)</f>
        <v>0</v>
      </c>
      <c r="E6632" s="124" t="s">
        <v>8367</v>
      </c>
      <c r="F6632" s="126">
        <v>5</v>
      </c>
      <c r="G6632" s="128">
        <v>251365.2</v>
      </c>
      <c r="H6632" s="124" t="s">
        <v>8368</v>
      </c>
      <c r="I6632" s="128">
        <v>56375</v>
      </c>
      <c r="J6632" s="128">
        <v>281875</v>
      </c>
    </row>
    <row r="6633" spans="1:10" hidden="1" x14ac:dyDescent="0.25">
      <c r="A6633" s="124" t="s">
        <v>9119</v>
      </c>
      <c r="B6633" s="124" t="s">
        <v>11736</v>
      </c>
      <c r="C6633" s="132"/>
      <c r="D6633" s="125">
        <f>COUNTIF(A1363:A6632,A6633)</f>
        <v>0</v>
      </c>
      <c r="E6633" s="124" t="s">
        <v>8367</v>
      </c>
      <c r="F6633" s="126">
        <v>1</v>
      </c>
      <c r="G6633" s="127">
        <v>967.92</v>
      </c>
      <c r="H6633" s="124" t="s">
        <v>8368</v>
      </c>
      <c r="I6633" s="128">
        <v>1595</v>
      </c>
      <c r="J6633" s="128">
        <v>7975</v>
      </c>
    </row>
    <row r="6634" spans="1:10" hidden="1" x14ac:dyDescent="0.25">
      <c r="A6634" s="124" t="s">
        <v>9120</v>
      </c>
      <c r="B6634" s="124" t="s">
        <v>11736</v>
      </c>
      <c r="C6634" s="132"/>
      <c r="D6634" s="125">
        <f t="shared" ref="D6634:D6647" si="56">COUNTIF(A1367:A6633,A6634)</f>
        <v>0</v>
      </c>
      <c r="E6634" s="124" t="s">
        <v>8367</v>
      </c>
      <c r="F6634" s="126">
        <v>1</v>
      </c>
      <c r="G6634" s="127">
        <v>610.79999999999995</v>
      </c>
      <c r="H6634" s="124" t="s">
        <v>8368</v>
      </c>
      <c r="I6634" s="128">
        <v>1723.4</v>
      </c>
      <c r="J6634" s="128">
        <v>8617</v>
      </c>
    </row>
    <row r="6635" spans="1:10" hidden="1" x14ac:dyDescent="0.25">
      <c r="A6635" s="124" t="s">
        <v>9121</v>
      </c>
      <c r="B6635" s="124" t="s">
        <v>11736</v>
      </c>
      <c r="C6635" s="132"/>
      <c r="D6635" s="125">
        <f t="shared" si="56"/>
        <v>0</v>
      </c>
      <c r="E6635" s="124" t="s">
        <v>8367</v>
      </c>
      <c r="F6635" s="126">
        <v>1</v>
      </c>
      <c r="G6635" s="128">
        <v>338250</v>
      </c>
      <c r="H6635" s="124" t="s">
        <v>8368</v>
      </c>
      <c r="I6635" s="128">
        <v>1723.4</v>
      </c>
      <c r="J6635" s="128">
        <v>8617</v>
      </c>
    </row>
    <row r="6636" spans="1:10" hidden="1" x14ac:dyDescent="0.25">
      <c r="A6636" s="124" t="s">
        <v>9122</v>
      </c>
      <c r="B6636" s="124" t="s">
        <v>11736</v>
      </c>
      <c r="C6636" s="132"/>
      <c r="D6636" s="125">
        <f t="shared" si="56"/>
        <v>0</v>
      </c>
      <c r="E6636" s="124" t="s">
        <v>8367</v>
      </c>
      <c r="F6636" s="126">
        <v>1</v>
      </c>
      <c r="G6636" s="128">
        <v>9570</v>
      </c>
      <c r="H6636" s="124" t="s">
        <v>8368</v>
      </c>
      <c r="I6636" s="128">
        <v>1723.4</v>
      </c>
      <c r="J6636" s="128">
        <v>8617</v>
      </c>
    </row>
    <row r="6637" spans="1:10" hidden="1" x14ac:dyDescent="0.25">
      <c r="A6637" s="124" t="s">
        <v>9123</v>
      </c>
      <c r="B6637" s="124" t="s">
        <v>11736</v>
      </c>
      <c r="C6637" s="132"/>
      <c r="D6637" s="125">
        <f t="shared" si="56"/>
        <v>0</v>
      </c>
      <c r="E6637" s="124" t="s">
        <v>8367</v>
      </c>
      <c r="F6637" s="126">
        <v>1</v>
      </c>
      <c r="G6637" s="128">
        <v>10340.4</v>
      </c>
      <c r="H6637" s="124" t="s">
        <v>8368</v>
      </c>
      <c r="I6637" s="127">
        <v>101.4</v>
      </c>
      <c r="J6637" s="127">
        <v>507</v>
      </c>
    </row>
    <row r="6638" spans="1:10" hidden="1" x14ac:dyDescent="0.25">
      <c r="A6638" s="124" t="s">
        <v>9124</v>
      </c>
      <c r="B6638" s="124" t="s">
        <v>11736</v>
      </c>
      <c r="C6638" s="132"/>
      <c r="D6638" s="125">
        <f t="shared" si="56"/>
        <v>0</v>
      </c>
      <c r="E6638" s="124" t="s">
        <v>8367</v>
      </c>
      <c r="F6638" s="126">
        <v>1</v>
      </c>
      <c r="G6638" s="128">
        <v>10340.4</v>
      </c>
      <c r="H6638" s="124" t="s">
        <v>8368</v>
      </c>
      <c r="I6638" s="128">
        <v>2211.6</v>
      </c>
      <c r="J6638" s="128">
        <v>11058</v>
      </c>
    </row>
    <row r="6639" spans="1:10" hidden="1" x14ac:dyDescent="0.25">
      <c r="A6639" s="124" t="s">
        <v>9125</v>
      </c>
      <c r="B6639" s="124" t="s">
        <v>11736</v>
      </c>
      <c r="C6639" s="132"/>
      <c r="D6639" s="125">
        <f t="shared" si="56"/>
        <v>0</v>
      </c>
      <c r="E6639" s="124" t="s">
        <v>8367</v>
      </c>
      <c r="F6639" s="126">
        <v>1</v>
      </c>
      <c r="G6639" s="128">
        <v>10340.4</v>
      </c>
      <c r="H6639" s="124" t="s">
        <v>8368</v>
      </c>
      <c r="I6639" s="127">
        <v>391.7</v>
      </c>
      <c r="J6639" s="128">
        <v>1958.5</v>
      </c>
    </row>
    <row r="6640" spans="1:10" hidden="1" x14ac:dyDescent="0.25">
      <c r="A6640" s="124" t="s">
        <v>9126</v>
      </c>
      <c r="B6640" s="124" t="s">
        <v>11736</v>
      </c>
      <c r="C6640" s="132"/>
      <c r="D6640" s="125">
        <f t="shared" si="56"/>
        <v>0</v>
      </c>
      <c r="E6640" s="124" t="s">
        <v>8367</v>
      </c>
      <c r="F6640" s="126">
        <v>1</v>
      </c>
      <c r="G6640" s="127">
        <v>608.4</v>
      </c>
      <c r="H6640" s="124" t="s">
        <v>8368</v>
      </c>
      <c r="I6640" s="128">
        <v>2176.6</v>
      </c>
      <c r="J6640" s="128">
        <v>10883</v>
      </c>
    </row>
    <row r="6641" spans="1:10" hidden="1" x14ac:dyDescent="0.25">
      <c r="A6641" s="124" t="s">
        <v>9127</v>
      </c>
      <c r="B6641" s="124" t="s">
        <v>11736</v>
      </c>
      <c r="C6641" s="132"/>
      <c r="D6641" s="125">
        <f t="shared" si="56"/>
        <v>0</v>
      </c>
      <c r="E6641" s="124" t="s">
        <v>8367</v>
      </c>
      <c r="F6641" s="126">
        <v>1</v>
      </c>
      <c r="G6641" s="128">
        <v>13269.6</v>
      </c>
      <c r="H6641" s="124" t="s">
        <v>8368</v>
      </c>
      <c r="I6641" s="128">
        <v>4400</v>
      </c>
      <c r="J6641" s="128">
        <v>22000</v>
      </c>
    </row>
    <row r="6642" spans="1:10" hidden="1" x14ac:dyDescent="0.25">
      <c r="A6642" s="124" t="s">
        <v>9128</v>
      </c>
      <c r="B6642" s="124" t="s">
        <v>11736</v>
      </c>
      <c r="C6642" s="132"/>
      <c r="D6642" s="125">
        <f t="shared" si="56"/>
        <v>0</v>
      </c>
      <c r="E6642" s="124" t="s">
        <v>8367</v>
      </c>
      <c r="F6642" s="126">
        <v>5</v>
      </c>
      <c r="G6642" s="128">
        <v>2350.1999999999998</v>
      </c>
      <c r="H6642" s="124" t="s">
        <v>8368</v>
      </c>
      <c r="I6642" s="128">
        <v>1157.5999999999999</v>
      </c>
      <c r="J6642" s="128">
        <v>5788</v>
      </c>
    </row>
    <row r="6643" spans="1:10" hidden="1" x14ac:dyDescent="0.25">
      <c r="A6643" s="124" t="s">
        <v>9129</v>
      </c>
      <c r="B6643" s="124" t="s">
        <v>11736</v>
      </c>
      <c r="C6643" s="132"/>
      <c r="D6643" s="125">
        <f t="shared" si="56"/>
        <v>0</v>
      </c>
      <c r="E6643" s="124" t="s">
        <v>8367</v>
      </c>
      <c r="F6643" s="126">
        <v>5</v>
      </c>
      <c r="G6643" s="128">
        <v>13059.6</v>
      </c>
      <c r="H6643" s="124" t="s">
        <v>8368</v>
      </c>
      <c r="I6643" s="128">
        <v>1152.2</v>
      </c>
      <c r="J6643" s="128">
        <v>5760.99</v>
      </c>
    </row>
    <row r="6644" spans="1:10" hidden="1" x14ac:dyDescent="0.25">
      <c r="A6644" s="124" t="s">
        <v>9130</v>
      </c>
      <c r="B6644" s="124" t="s">
        <v>11736</v>
      </c>
      <c r="C6644" s="132"/>
      <c r="D6644" s="125">
        <f t="shared" si="56"/>
        <v>0</v>
      </c>
      <c r="E6644" s="124" t="s">
        <v>8367</v>
      </c>
      <c r="F6644" s="126">
        <v>30</v>
      </c>
      <c r="G6644" s="128">
        <v>26400</v>
      </c>
      <c r="H6644" s="124" t="s">
        <v>8368</v>
      </c>
      <c r="I6644" s="128">
        <v>5949.5</v>
      </c>
      <c r="J6644" s="128">
        <v>29747.5</v>
      </c>
    </row>
    <row r="6645" spans="1:10" hidden="1" x14ac:dyDescent="0.25">
      <c r="A6645" s="124" t="s">
        <v>9131</v>
      </c>
      <c r="B6645" s="124" t="s">
        <v>11736</v>
      </c>
      <c r="C6645" s="132"/>
      <c r="D6645" s="125">
        <f t="shared" si="56"/>
        <v>0</v>
      </c>
      <c r="E6645" s="124" t="s">
        <v>8367</v>
      </c>
      <c r="F6645" s="126">
        <v>3</v>
      </c>
      <c r="G6645" s="128">
        <v>6945.6</v>
      </c>
      <c r="H6645" s="124" t="s">
        <v>8368</v>
      </c>
      <c r="I6645" s="127">
        <v>217.6</v>
      </c>
      <c r="J6645" s="128">
        <v>1088</v>
      </c>
    </row>
    <row r="6646" spans="1:10" hidden="1" x14ac:dyDescent="0.25">
      <c r="A6646" s="124" t="s">
        <v>9132</v>
      </c>
      <c r="B6646" s="124" t="s">
        <v>11736</v>
      </c>
      <c r="C6646" s="132"/>
      <c r="D6646" s="125">
        <f t="shared" si="56"/>
        <v>0</v>
      </c>
      <c r="E6646" s="124" t="s">
        <v>8367</v>
      </c>
      <c r="F6646" s="126">
        <v>2.9860000000000002</v>
      </c>
      <c r="G6646" s="128">
        <v>6913.19</v>
      </c>
      <c r="H6646" s="124" t="s">
        <v>8368</v>
      </c>
      <c r="I6646" s="128">
        <v>7847.4</v>
      </c>
      <c r="J6646" s="128">
        <v>39237</v>
      </c>
    </row>
    <row r="6647" spans="1:10" hidden="1" x14ac:dyDescent="0.25">
      <c r="A6647" s="124" t="s">
        <v>9133</v>
      </c>
      <c r="B6647" s="124" t="s">
        <v>11736</v>
      </c>
      <c r="C6647" s="132"/>
      <c r="D6647" s="125">
        <f t="shared" si="56"/>
        <v>0</v>
      </c>
      <c r="E6647" s="124" t="s">
        <v>9134</v>
      </c>
      <c r="F6647" s="126">
        <v>9</v>
      </c>
      <c r="G6647" s="128">
        <v>35697</v>
      </c>
      <c r="H6647" s="124" t="s">
        <v>8368</v>
      </c>
      <c r="I6647" s="127">
        <v>7.6</v>
      </c>
      <c r="J6647" s="127">
        <v>38</v>
      </c>
    </row>
    <row r="6648" spans="1:10" hidden="1" x14ac:dyDescent="0.25">
      <c r="A6648" s="124" t="s">
        <v>9135</v>
      </c>
      <c r="B6648" s="124" t="s">
        <v>11736</v>
      </c>
      <c r="C6648" s="132"/>
      <c r="D6648" s="125">
        <f t="shared" ref="D6648:D6655" si="57">COUNTIF(A1383:A6647,A6648)</f>
        <v>0</v>
      </c>
      <c r="E6648" s="124" t="s">
        <v>8367</v>
      </c>
      <c r="F6648" s="126">
        <v>5</v>
      </c>
      <c r="G6648" s="128">
        <v>1305.5999999999999</v>
      </c>
      <c r="H6648" s="124" t="s">
        <v>8368</v>
      </c>
      <c r="I6648" s="128">
        <v>2233.6</v>
      </c>
      <c r="J6648" s="128">
        <v>11168</v>
      </c>
    </row>
    <row r="6649" spans="1:10" hidden="1" x14ac:dyDescent="0.25">
      <c r="A6649" s="124" t="s">
        <v>9136</v>
      </c>
      <c r="B6649" s="124" t="s">
        <v>11736</v>
      </c>
      <c r="C6649" s="132"/>
      <c r="D6649" s="125">
        <f t="shared" si="57"/>
        <v>0</v>
      </c>
      <c r="E6649" s="124" t="s">
        <v>8367</v>
      </c>
      <c r="F6649" s="126">
        <v>4</v>
      </c>
      <c r="G6649" s="128">
        <v>47084.4</v>
      </c>
      <c r="H6649" s="124" t="s">
        <v>8368</v>
      </c>
      <c r="I6649" s="128">
        <v>2547</v>
      </c>
      <c r="J6649" s="128">
        <v>12735</v>
      </c>
    </row>
    <row r="6650" spans="1:10" hidden="1" x14ac:dyDescent="0.25">
      <c r="A6650" s="124" t="s">
        <v>9137</v>
      </c>
      <c r="B6650" s="124" t="s">
        <v>11736</v>
      </c>
      <c r="C6650" s="132"/>
      <c r="D6650" s="125">
        <f t="shared" si="57"/>
        <v>0</v>
      </c>
      <c r="E6650" s="124" t="s">
        <v>8367</v>
      </c>
      <c r="F6650" s="126">
        <v>2</v>
      </c>
      <c r="G6650" s="127">
        <v>45.6</v>
      </c>
      <c r="H6650" s="124" t="s">
        <v>8368</v>
      </c>
      <c r="I6650" s="128">
        <v>2602.6</v>
      </c>
      <c r="J6650" s="128">
        <v>13013</v>
      </c>
    </row>
    <row r="6651" spans="1:10" hidden="1" x14ac:dyDescent="0.25">
      <c r="A6651" s="124" t="s">
        <v>9138</v>
      </c>
      <c r="B6651" s="124" t="s">
        <v>11736</v>
      </c>
      <c r="C6651" s="132"/>
      <c r="D6651" s="125">
        <f t="shared" si="57"/>
        <v>0</v>
      </c>
      <c r="E6651" s="124" t="s">
        <v>8367</v>
      </c>
      <c r="F6651" s="126">
        <v>1</v>
      </c>
      <c r="G6651" s="128">
        <v>13401.6</v>
      </c>
      <c r="H6651" s="124" t="s">
        <v>8368</v>
      </c>
      <c r="I6651" s="128">
        <v>8561.6</v>
      </c>
      <c r="J6651" s="128">
        <v>42808</v>
      </c>
    </row>
    <row r="6652" spans="1:10" hidden="1" x14ac:dyDescent="0.25">
      <c r="A6652" s="124" t="s">
        <v>9139</v>
      </c>
      <c r="B6652" s="124" t="s">
        <v>11736</v>
      </c>
      <c r="C6652" s="132"/>
      <c r="D6652" s="125">
        <f t="shared" si="57"/>
        <v>0</v>
      </c>
      <c r="E6652" s="124" t="s">
        <v>8367</v>
      </c>
      <c r="F6652" s="126">
        <v>6</v>
      </c>
      <c r="G6652" s="128">
        <v>15282</v>
      </c>
      <c r="H6652" s="124" t="s">
        <v>8368</v>
      </c>
      <c r="I6652" s="127">
        <v>193.6</v>
      </c>
      <c r="J6652" s="127">
        <v>968</v>
      </c>
    </row>
    <row r="6653" spans="1:10" hidden="1" x14ac:dyDescent="0.25">
      <c r="A6653" s="124" t="s">
        <v>9140</v>
      </c>
      <c r="B6653" s="124" t="s">
        <v>11736</v>
      </c>
      <c r="C6653" s="132"/>
      <c r="D6653" s="125">
        <f t="shared" si="57"/>
        <v>0</v>
      </c>
      <c r="E6653" s="124" t="s">
        <v>8367</v>
      </c>
      <c r="F6653" s="126">
        <v>5</v>
      </c>
      <c r="G6653" s="128">
        <v>15615.6</v>
      </c>
      <c r="H6653" s="124" t="s">
        <v>8368</v>
      </c>
      <c r="I6653" s="127">
        <v>628.28</v>
      </c>
      <c r="J6653" s="128">
        <v>3141.41</v>
      </c>
    </row>
    <row r="6654" spans="1:10" hidden="1" x14ac:dyDescent="0.25">
      <c r="A6654" s="124" t="s">
        <v>9141</v>
      </c>
      <c r="B6654" s="124" t="s">
        <v>11736</v>
      </c>
      <c r="C6654" s="132"/>
      <c r="D6654" s="125">
        <f t="shared" si="57"/>
        <v>0</v>
      </c>
      <c r="E6654" s="124" t="s">
        <v>8367</v>
      </c>
      <c r="F6654" s="126">
        <v>1</v>
      </c>
      <c r="G6654" s="128">
        <v>51369.599999999999</v>
      </c>
      <c r="H6654" s="124" t="s">
        <v>8368</v>
      </c>
      <c r="I6654" s="128">
        <v>32548.42</v>
      </c>
      <c r="J6654" s="128">
        <v>162742.12</v>
      </c>
    </row>
    <row r="6655" spans="1:10" hidden="1" x14ac:dyDescent="0.25">
      <c r="A6655" s="124" t="s">
        <v>9142</v>
      </c>
      <c r="B6655" s="124" t="s">
        <v>11736</v>
      </c>
      <c r="C6655" s="132"/>
      <c r="D6655" s="125">
        <f t="shared" si="57"/>
        <v>0</v>
      </c>
      <c r="E6655" s="124" t="s">
        <v>8367</v>
      </c>
      <c r="F6655" s="126">
        <v>1</v>
      </c>
      <c r="G6655" s="128">
        <v>1161.5999999999999</v>
      </c>
      <c r="H6655" s="124" t="s">
        <v>8368</v>
      </c>
      <c r="I6655" s="128">
        <v>11333.4</v>
      </c>
      <c r="J6655" s="128">
        <v>56667</v>
      </c>
    </row>
    <row r="6656" spans="1:10" hidden="1" x14ac:dyDescent="0.25">
      <c r="A6656" s="124" t="s">
        <v>9143</v>
      </c>
      <c r="B6656" s="124" t="s">
        <v>11736</v>
      </c>
      <c r="C6656" s="132"/>
      <c r="D6656" s="125">
        <f>COUNTIF(A1392:A6655,A6656)</f>
        <v>0</v>
      </c>
      <c r="E6656" s="124" t="s">
        <v>8367</v>
      </c>
      <c r="F6656" s="126">
        <v>1</v>
      </c>
      <c r="G6656" s="128">
        <v>3769.69</v>
      </c>
      <c r="H6656" s="124" t="s">
        <v>8368</v>
      </c>
      <c r="I6656" s="128">
        <v>4716.6000000000004</v>
      </c>
      <c r="J6656" s="128">
        <v>23583</v>
      </c>
    </row>
    <row r="6657" spans="1:10" hidden="1" x14ac:dyDescent="0.25">
      <c r="A6657" s="124" t="s">
        <v>9144</v>
      </c>
      <c r="B6657" s="124" t="s">
        <v>11736</v>
      </c>
      <c r="C6657" s="132"/>
      <c r="D6657" s="125">
        <f t="shared" ref="D6657:D6663" si="58">COUNTIF(A1395:A6656,A6657)</f>
        <v>0</v>
      </c>
      <c r="E6657" s="124" t="s">
        <v>8367</v>
      </c>
      <c r="F6657" s="126">
        <v>4</v>
      </c>
      <c r="G6657" s="128">
        <v>195290.54</v>
      </c>
      <c r="H6657" s="124" t="s">
        <v>8368</v>
      </c>
      <c r="I6657" s="128">
        <v>5200.2</v>
      </c>
      <c r="J6657" s="128">
        <v>26001</v>
      </c>
    </row>
    <row r="6658" spans="1:10" hidden="1" x14ac:dyDescent="0.25">
      <c r="A6658" s="124" t="s">
        <v>9145</v>
      </c>
      <c r="B6658" s="124" t="s">
        <v>11736</v>
      </c>
      <c r="C6658" s="132"/>
      <c r="D6658" s="125">
        <f t="shared" si="58"/>
        <v>0</v>
      </c>
      <c r="E6658" s="124" t="s">
        <v>8367</v>
      </c>
      <c r="F6658" s="126">
        <v>1</v>
      </c>
      <c r="G6658" s="128">
        <v>68000.399999999994</v>
      </c>
      <c r="H6658" s="124" t="s">
        <v>8368</v>
      </c>
      <c r="I6658" s="128">
        <v>3739</v>
      </c>
      <c r="J6658" s="128">
        <v>18695</v>
      </c>
    </row>
    <row r="6659" spans="1:10" hidden="1" x14ac:dyDescent="0.25">
      <c r="A6659" s="124" t="s">
        <v>9146</v>
      </c>
      <c r="B6659" s="124" t="s">
        <v>11736</v>
      </c>
      <c r="C6659" s="132"/>
      <c r="D6659" s="125">
        <f t="shared" si="58"/>
        <v>0</v>
      </c>
      <c r="E6659" s="124" t="s">
        <v>8367</v>
      </c>
      <c r="F6659" s="126">
        <v>7</v>
      </c>
      <c r="G6659" s="128">
        <v>28299.599999999999</v>
      </c>
      <c r="H6659" s="124" t="s">
        <v>8368</v>
      </c>
      <c r="I6659" s="128">
        <v>1184</v>
      </c>
      <c r="J6659" s="128">
        <v>5920</v>
      </c>
    </row>
    <row r="6660" spans="1:10" hidden="1" x14ac:dyDescent="0.25">
      <c r="A6660" s="124" t="s">
        <v>9147</v>
      </c>
      <c r="B6660" s="124" t="s">
        <v>11736</v>
      </c>
      <c r="C6660" s="132"/>
      <c r="D6660" s="125">
        <f t="shared" si="58"/>
        <v>0</v>
      </c>
      <c r="E6660" s="124" t="s">
        <v>8367</v>
      </c>
      <c r="F6660" s="126">
        <v>9</v>
      </c>
      <c r="G6660" s="128">
        <v>31201.200000000001</v>
      </c>
      <c r="H6660" s="124" t="s">
        <v>8368</v>
      </c>
      <c r="I6660" s="128">
        <v>6221.8</v>
      </c>
      <c r="J6660" s="128">
        <v>31109</v>
      </c>
    </row>
    <row r="6661" spans="1:10" hidden="1" x14ac:dyDescent="0.25">
      <c r="A6661" s="124" t="s">
        <v>9148</v>
      </c>
      <c r="B6661" s="124" t="s">
        <v>11736</v>
      </c>
      <c r="C6661" s="132"/>
      <c r="D6661" s="125">
        <f t="shared" si="58"/>
        <v>0</v>
      </c>
      <c r="E6661" s="124" t="s">
        <v>8367</v>
      </c>
      <c r="F6661" s="126">
        <v>6</v>
      </c>
      <c r="G6661" s="128">
        <v>22434</v>
      </c>
      <c r="H6661" s="124" t="s">
        <v>8368</v>
      </c>
      <c r="I6661" s="127">
        <v>72.400000000000006</v>
      </c>
      <c r="J6661" s="127">
        <v>362</v>
      </c>
    </row>
    <row r="6662" spans="1:10" hidden="1" x14ac:dyDescent="0.25">
      <c r="A6662" s="124" t="s">
        <v>9149</v>
      </c>
      <c r="B6662" s="124" t="s">
        <v>11736</v>
      </c>
      <c r="C6662" s="132"/>
      <c r="D6662" s="125">
        <f t="shared" si="58"/>
        <v>0</v>
      </c>
      <c r="E6662" s="124" t="s">
        <v>8367</v>
      </c>
      <c r="F6662" s="126">
        <v>1</v>
      </c>
      <c r="G6662" s="128">
        <v>7104</v>
      </c>
      <c r="H6662" s="124" t="s">
        <v>8368</v>
      </c>
      <c r="I6662" s="127">
        <v>287.60000000000002</v>
      </c>
      <c r="J6662" s="128">
        <v>1438</v>
      </c>
    </row>
    <row r="6663" spans="1:10" hidden="1" x14ac:dyDescent="0.25">
      <c r="A6663" s="124" t="s">
        <v>9150</v>
      </c>
      <c r="B6663" s="124" t="s">
        <v>11736</v>
      </c>
      <c r="C6663" s="132"/>
      <c r="D6663" s="125">
        <f t="shared" si="58"/>
        <v>0</v>
      </c>
      <c r="E6663" s="124" t="s">
        <v>8367</v>
      </c>
      <c r="F6663" s="126">
        <v>2</v>
      </c>
      <c r="G6663" s="128">
        <v>37330.800000000003</v>
      </c>
      <c r="H6663" s="124" t="s">
        <v>8368</v>
      </c>
      <c r="I6663" s="127">
        <v>77</v>
      </c>
      <c r="J6663" s="127">
        <v>385</v>
      </c>
    </row>
    <row r="6664" spans="1:10" hidden="1" x14ac:dyDescent="0.25">
      <c r="A6664" s="124" t="s">
        <v>9151</v>
      </c>
      <c r="B6664" s="124" t="s">
        <v>11736</v>
      </c>
      <c r="C6664" s="132"/>
      <c r="D6664" s="125">
        <f>COUNTIF(A1405:A6663,A6664)</f>
        <v>0</v>
      </c>
      <c r="E6664" s="124" t="s">
        <v>8367</v>
      </c>
      <c r="F6664" s="126">
        <v>2</v>
      </c>
      <c r="G6664" s="127">
        <v>434.4</v>
      </c>
      <c r="H6664" s="124" t="s">
        <v>8368</v>
      </c>
      <c r="I6664" s="127">
        <v>151.4</v>
      </c>
      <c r="J6664" s="127">
        <v>757</v>
      </c>
    </row>
    <row r="6665" spans="1:10" hidden="1" x14ac:dyDescent="0.25">
      <c r="A6665" s="124" t="s">
        <v>9152</v>
      </c>
      <c r="B6665" s="124" t="s">
        <v>11736</v>
      </c>
      <c r="C6665" s="132"/>
      <c r="D6665" s="125">
        <f>COUNTIF(A1406:A6664,A6665)</f>
        <v>0</v>
      </c>
      <c r="E6665" s="124" t="s">
        <v>8367</v>
      </c>
      <c r="F6665" s="126">
        <v>1</v>
      </c>
      <c r="G6665" s="128">
        <v>1725.6</v>
      </c>
      <c r="H6665" s="124" t="s">
        <v>8368</v>
      </c>
      <c r="I6665" s="128">
        <v>1740</v>
      </c>
      <c r="J6665" s="128">
        <v>8700</v>
      </c>
    </row>
    <row r="6666" spans="1:10" hidden="1" x14ac:dyDescent="0.25">
      <c r="A6666" s="124" t="s">
        <v>9153</v>
      </c>
      <c r="B6666" s="124" t="s">
        <v>11736</v>
      </c>
      <c r="C6666" s="132"/>
      <c r="D6666" s="125">
        <f>COUNTIF(A1408:A6665,A6666)</f>
        <v>0</v>
      </c>
      <c r="E6666" s="124" t="s">
        <v>8367</v>
      </c>
      <c r="F6666" s="126">
        <v>2</v>
      </c>
      <c r="G6666" s="127">
        <v>462</v>
      </c>
      <c r="H6666" s="124" t="s">
        <v>8368</v>
      </c>
      <c r="I6666" s="127">
        <v>747.4</v>
      </c>
      <c r="J6666" s="128">
        <v>3737</v>
      </c>
    </row>
    <row r="6667" spans="1:10" hidden="1" x14ac:dyDescent="0.25">
      <c r="A6667" s="124" t="s">
        <v>9154</v>
      </c>
      <c r="B6667" s="124" t="s">
        <v>11736</v>
      </c>
      <c r="C6667" s="132"/>
      <c r="D6667" s="125">
        <f>COUNTIF(A1409:A6666,A6667)</f>
        <v>0</v>
      </c>
      <c r="E6667" s="124" t="s">
        <v>8367</v>
      </c>
      <c r="F6667" s="126">
        <v>2</v>
      </c>
      <c r="G6667" s="127">
        <v>908.4</v>
      </c>
      <c r="H6667" s="124" t="s">
        <v>8368</v>
      </c>
      <c r="I6667" s="128">
        <v>8667.2000000000007</v>
      </c>
      <c r="J6667" s="128">
        <v>43336</v>
      </c>
    </row>
    <row r="6668" spans="1:10" hidden="1" x14ac:dyDescent="0.25">
      <c r="A6668" s="124" t="s">
        <v>9155</v>
      </c>
      <c r="B6668" s="124" t="s">
        <v>11736</v>
      </c>
      <c r="C6668" s="132"/>
      <c r="D6668" s="125">
        <f>COUNTIF(A1410:A6667,A6668)</f>
        <v>0</v>
      </c>
      <c r="E6668" s="124" t="s">
        <v>8367</v>
      </c>
      <c r="F6668" s="126">
        <v>4</v>
      </c>
      <c r="G6668" s="128">
        <v>10440</v>
      </c>
      <c r="H6668" s="124" t="s">
        <v>8368</v>
      </c>
      <c r="I6668" s="128">
        <v>1223.8</v>
      </c>
      <c r="J6668" s="128">
        <v>6119</v>
      </c>
    </row>
    <row r="6669" spans="1:10" hidden="1" x14ac:dyDescent="0.25">
      <c r="A6669" s="124" t="s">
        <v>9156</v>
      </c>
      <c r="B6669" s="124" t="s">
        <v>11736</v>
      </c>
      <c r="C6669" s="132"/>
      <c r="D6669" s="125">
        <f>COUNTIF(A1412:A6668,A6669)</f>
        <v>0</v>
      </c>
      <c r="E6669" s="124" t="s">
        <v>8367</v>
      </c>
      <c r="F6669" s="126">
        <v>1</v>
      </c>
      <c r="G6669" s="128">
        <v>4484.3999999999996</v>
      </c>
      <c r="H6669" s="124" t="s">
        <v>8368</v>
      </c>
      <c r="I6669" s="128">
        <v>16151.47</v>
      </c>
      <c r="J6669" s="128">
        <v>80757.33</v>
      </c>
    </row>
    <row r="6670" spans="1:10" hidden="1" x14ac:dyDescent="0.25">
      <c r="A6670" s="124" t="s">
        <v>9157</v>
      </c>
      <c r="B6670" s="124" t="s">
        <v>11736</v>
      </c>
      <c r="C6670" s="132"/>
      <c r="D6670" s="125">
        <f>COUNTIF(A1414:A6669,A6670)</f>
        <v>0</v>
      </c>
      <c r="E6670" s="124" t="s">
        <v>8367</v>
      </c>
      <c r="F6670" s="126">
        <v>2</v>
      </c>
      <c r="G6670" s="128">
        <v>52003.199999999997</v>
      </c>
      <c r="H6670" s="124" t="s">
        <v>8368</v>
      </c>
      <c r="I6670" s="127">
        <v>515</v>
      </c>
      <c r="J6670" s="128">
        <v>2575</v>
      </c>
    </row>
    <row r="6671" spans="1:10" hidden="1" x14ac:dyDescent="0.25">
      <c r="A6671" s="124" t="s">
        <v>9158</v>
      </c>
      <c r="B6671" s="124" t="s">
        <v>11736</v>
      </c>
      <c r="C6671" s="132"/>
      <c r="D6671" s="125">
        <f>COUNTIF(A1416:A6670,A6671)</f>
        <v>0</v>
      </c>
      <c r="E6671" s="124" t="s">
        <v>8367</v>
      </c>
      <c r="F6671" s="126">
        <v>1</v>
      </c>
      <c r="G6671" s="128">
        <v>7342.8</v>
      </c>
      <c r="H6671" s="124" t="s">
        <v>8368</v>
      </c>
      <c r="I6671" s="128">
        <v>1761.6</v>
      </c>
      <c r="J6671" s="128">
        <v>8808</v>
      </c>
    </row>
    <row r="6672" spans="1:10" hidden="1" x14ac:dyDescent="0.25">
      <c r="A6672" s="124" t="s">
        <v>9159</v>
      </c>
      <c r="B6672" s="124" t="s">
        <v>11736</v>
      </c>
      <c r="C6672" s="132"/>
      <c r="D6672" s="125">
        <f>COUNTIF(A1417:A6671,A6672)</f>
        <v>0</v>
      </c>
      <c r="E6672" s="124" t="s">
        <v>8367</v>
      </c>
      <c r="F6672" s="126">
        <v>4</v>
      </c>
      <c r="G6672" s="128">
        <v>96908.800000000003</v>
      </c>
      <c r="H6672" s="124" t="s">
        <v>8368</v>
      </c>
      <c r="I6672" s="127">
        <v>336.6</v>
      </c>
      <c r="J6672" s="128">
        <v>1683</v>
      </c>
    </row>
    <row r="6673" spans="1:10" hidden="1" x14ac:dyDescent="0.25">
      <c r="A6673" s="124" t="s">
        <v>9160</v>
      </c>
      <c r="B6673" s="124" t="s">
        <v>11736</v>
      </c>
      <c r="C6673" s="132"/>
      <c r="D6673" s="125">
        <f>COUNTIF(A1419:A6672,A6673)</f>
        <v>0</v>
      </c>
      <c r="E6673" s="124" t="s">
        <v>8367</v>
      </c>
      <c r="F6673" s="126">
        <v>15</v>
      </c>
      <c r="G6673" s="128">
        <v>3090</v>
      </c>
      <c r="H6673" s="124" t="s">
        <v>8368</v>
      </c>
      <c r="I6673" s="127">
        <v>352.6</v>
      </c>
      <c r="J6673" s="128">
        <v>1763</v>
      </c>
    </row>
    <row r="6674" spans="1:10" hidden="1" x14ac:dyDescent="0.25">
      <c r="A6674" s="124" t="s">
        <v>9161</v>
      </c>
      <c r="B6674" s="124" t="s">
        <v>11736</v>
      </c>
      <c r="C6674" s="132"/>
      <c r="D6674" s="125">
        <f>COUNTIF(A1420:A6673,A6674)</f>
        <v>0</v>
      </c>
      <c r="E6674" s="124" t="s">
        <v>8367</v>
      </c>
      <c r="F6674" s="126">
        <v>3</v>
      </c>
      <c r="G6674" s="128">
        <v>10569.6</v>
      </c>
      <c r="H6674" s="124" t="s">
        <v>8368</v>
      </c>
      <c r="I6674" s="127">
        <v>787.6</v>
      </c>
      <c r="J6674" s="128">
        <v>3938</v>
      </c>
    </row>
    <row r="6675" spans="1:10" hidden="1" x14ac:dyDescent="0.25">
      <c r="A6675" s="124" t="s">
        <v>9162</v>
      </c>
      <c r="B6675" s="124" t="s">
        <v>11736</v>
      </c>
      <c r="C6675" s="132"/>
      <c r="D6675" s="125">
        <f>COUNTIF(A1421:A6674,A6675)</f>
        <v>0</v>
      </c>
      <c r="E6675" s="124" t="s">
        <v>8367</v>
      </c>
      <c r="F6675" s="126">
        <v>5</v>
      </c>
      <c r="G6675" s="128">
        <v>2019.6</v>
      </c>
      <c r="H6675" s="124" t="s">
        <v>8368</v>
      </c>
      <c r="I6675" s="128">
        <v>1929</v>
      </c>
      <c r="J6675" s="128">
        <v>9645</v>
      </c>
    </row>
    <row r="6676" spans="1:10" hidden="1" x14ac:dyDescent="0.25">
      <c r="A6676" s="124" t="s">
        <v>9163</v>
      </c>
      <c r="B6676" s="124" t="s">
        <v>11736</v>
      </c>
      <c r="C6676" s="132"/>
      <c r="D6676" s="125">
        <f>COUNTIF(A1422:A6675,A6676)</f>
        <v>0</v>
      </c>
      <c r="E6676" s="124" t="s">
        <v>8367</v>
      </c>
      <c r="F6676" s="126">
        <v>15</v>
      </c>
      <c r="G6676" s="128">
        <v>2115.6</v>
      </c>
      <c r="H6676" s="124" t="s">
        <v>8368</v>
      </c>
      <c r="I6676" s="128">
        <v>2170.8000000000002</v>
      </c>
      <c r="J6676" s="128">
        <v>10854</v>
      </c>
    </row>
    <row r="6677" spans="1:10" hidden="1" x14ac:dyDescent="0.25">
      <c r="A6677" s="124" t="s">
        <v>9164</v>
      </c>
      <c r="B6677" s="124" t="s">
        <v>11736</v>
      </c>
      <c r="C6677" s="132"/>
      <c r="D6677" s="125">
        <f>COUNTIF(A1423:A6676,A6677)</f>
        <v>0</v>
      </c>
      <c r="E6677" s="124" t="s">
        <v>8367</v>
      </c>
      <c r="F6677" s="126">
        <v>15</v>
      </c>
      <c r="G6677" s="128">
        <v>4725.6000000000004</v>
      </c>
      <c r="H6677" s="124" t="s">
        <v>8368</v>
      </c>
      <c r="I6677" s="127">
        <v>832</v>
      </c>
      <c r="J6677" s="128">
        <v>4160</v>
      </c>
    </row>
    <row r="6678" spans="1:10" hidden="1" x14ac:dyDescent="0.25">
      <c r="A6678" s="124" t="s">
        <v>9165</v>
      </c>
      <c r="B6678" s="124" t="s">
        <v>11736</v>
      </c>
      <c r="C6678" s="132"/>
      <c r="D6678" s="125">
        <f>COUNTIF(A1425:A6677,A6678)</f>
        <v>0</v>
      </c>
      <c r="E6678" s="124" t="s">
        <v>8367</v>
      </c>
      <c r="F6678" s="126">
        <v>2</v>
      </c>
      <c r="G6678" s="128">
        <v>11574</v>
      </c>
      <c r="H6678" s="124" t="s">
        <v>8368</v>
      </c>
      <c r="I6678" s="127">
        <v>733.4</v>
      </c>
      <c r="J6678" s="128">
        <v>3667</v>
      </c>
    </row>
    <row r="6679" spans="1:10" hidden="1" x14ac:dyDescent="0.25">
      <c r="A6679" s="124" t="s">
        <v>9166</v>
      </c>
      <c r="B6679" s="124" t="s">
        <v>11736</v>
      </c>
      <c r="C6679" s="132"/>
      <c r="D6679" s="125">
        <f>COUNTIF(A1426:A6678,A6679)</f>
        <v>0</v>
      </c>
      <c r="E6679" s="124" t="s">
        <v>8367</v>
      </c>
      <c r="F6679" s="126">
        <v>5</v>
      </c>
      <c r="G6679" s="128">
        <v>13024.8</v>
      </c>
      <c r="H6679" s="124" t="s">
        <v>8368</v>
      </c>
      <c r="I6679" s="128">
        <v>1562.63</v>
      </c>
      <c r="J6679" s="128">
        <v>7813.12</v>
      </c>
    </row>
    <row r="6680" spans="1:10" hidden="1" x14ac:dyDescent="0.25">
      <c r="A6680" s="124" t="s">
        <v>9167</v>
      </c>
      <c r="B6680" s="124" t="s">
        <v>11736</v>
      </c>
      <c r="C6680" s="132"/>
      <c r="D6680" s="125">
        <f>COUNTIF(A1427:A6679,A6680)</f>
        <v>0</v>
      </c>
      <c r="E6680" s="124" t="s">
        <v>8367</v>
      </c>
      <c r="F6680" s="126">
        <v>2</v>
      </c>
      <c r="G6680" s="128">
        <v>4992</v>
      </c>
      <c r="H6680" s="124" t="s">
        <v>8368</v>
      </c>
      <c r="I6680" s="127">
        <v>322</v>
      </c>
      <c r="J6680" s="128">
        <v>1610</v>
      </c>
    </row>
    <row r="6681" spans="1:10" hidden="1" x14ac:dyDescent="0.25">
      <c r="A6681" s="124" t="s">
        <v>9168</v>
      </c>
      <c r="B6681" s="124" t="s">
        <v>11736</v>
      </c>
      <c r="C6681" s="132"/>
      <c r="D6681" s="125">
        <f>COUNTIF(A1429:A6680,A6681)</f>
        <v>0</v>
      </c>
      <c r="E6681" s="124" t="s">
        <v>8367</v>
      </c>
      <c r="F6681" s="126">
        <v>2</v>
      </c>
      <c r="G6681" s="128">
        <v>4400.3999999999996</v>
      </c>
      <c r="H6681" s="124" t="s">
        <v>8368</v>
      </c>
      <c r="I6681" s="128">
        <v>67469.399999999994</v>
      </c>
      <c r="J6681" s="128">
        <v>337347</v>
      </c>
    </row>
    <row r="6682" spans="1:10" hidden="1" x14ac:dyDescent="0.25">
      <c r="A6682" s="124" t="s">
        <v>9169</v>
      </c>
      <c r="B6682" s="124" t="s">
        <v>11736</v>
      </c>
      <c r="C6682" s="132"/>
      <c r="D6682" s="125">
        <f>COUNTIF(A1430:A6681,A6682)</f>
        <v>0</v>
      </c>
      <c r="E6682" s="124" t="s">
        <v>1</v>
      </c>
      <c r="F6682" s="126">
        <v>3.75</v>
      </c>
      <c r="G6682" s="128">
        <v>9375.75</v>
      </c>
      <c r="H6682" s="124" t="s">
        <v>8368</v>
      </c>
      <c r="I6682" s="128">
        <v>67469.399999999994</v>
      </c>
      <c r="J6682" s="128">
        <v>337347</v>
      </c>
    </row>
    <row r="6683" spans="1:10" hidden="1" x14ac:dyDescent="0.25">
      <c r="A6683" s="124" t="s">
        <v>9170</v>
      </c>
      <c r="B6683" s="124" t="s">
        <v>11736</v>
      </c>
      <c r="C6683" s="132"/>
      <c r="D6683" s="125">
        <f>COUNTIF(A1432:A6682,A6683)</f>
        <v>0</v>
      </c>
      <c r="E6683" s="124" t="s">
        <v>8367</v>
      </c>
      <c r="F6683" s="126">
        <v>2</v>
      </c>
      <c r="G6683" s="128">
        <v>1932</v>
      </c>
      <c r="H6683" s="124" t="s">
        <v>8368</v>
      </c>
      <c r="I6683" s="128">
        <v>124983</v>
      </c>
      <c r="J6683" s="128">
        <v>624915</v>
      </c>
    </row>
    <row r="6684" spans="1:10" hidden="1" x14ac:dyDescent="0.25">
      <c r="A6684" s="124" t="s">
        <v>9171</v>
      </c>
      <c r="B6684" s="124" t="s">
        <v>11736</v>
      </c>
      <c r="C6684" s="132"/>
      <c r="D6684" s="125">
        <f t="shared" ref="D6684:D6692" si="59">COUNTIF(A1457:A6683,A6684)</f>
        <v>0</v>
      </c>
      <c r="E6684" s="124" t="s">
        <v>8367</v>
      </c>
      <c r="F6684" s="126">
        <v>10</v>
      </c>
      <c r="G6684" s="128">
        <v>404816.4</v>
      </c>
      <c r="H6684" s="124" t="s">
        <v>8368</v>
      </c>
      <c r="I6684" s="127">
        <v>335.8</v>
      </c>
      <c r="J6684" s="128">
        <v>1679</v>
      </c>
    </row>
    <row r="6685" spans="1:10" hidden="1" x14ac:dyDescent="0.25">
      <c r="A6685" s="124" t="s">
        <v>9172</v>
      </c>
      <c r="B6685" s="124" t="s">
        <v>11736</v>
      </c>
      <c r="C6685" s="132"/>
      <c r="D6685" s="125">
        <f t="shared" si="59"/>
        <v>0</v>
      </c>
      <c r="E6685" s="124" t="s">
        <v>8367</v>
      </c>
      <c r="F6685" s="126">
        <v>10</v>
      </c>
      <c r="G6685" s="128">
        <v>404816.4</v>
      </c>
      <c r="H6685" s="124" t="s">
        <v>8368</v>
      </c>
      <c r="I6685" s="127">
        <v>241.2</v>
      </c>
      <c r="J6685" s="128">
        <v>1206</v>
      </c>
    </row>
    <row r="6686" spans="1:10" hidden="1" x14ac:dyDescent="0.25">
      <c r="A6686" s="124" t="s">
        <v>9173</v>
      </c>
      <c r="B6686" s="124" t="s">
        <v>11736</v>
      </c>
      <c r="C6686" s="132"/>
      <c r="D6686" s="125">
        <f t="shared" si="59"/>
        <v>0</v>
      </c>
      <c r="E6686" s="124" t="s">
        <v>8367</v>
      </c>
      <c r="F6686" s="126">
        <v>20</v>
      </c>
      <c r="G6686" s="128">
        <v>749898</v>
      </c>
      <c r="H6686" s="124" t="s">
        <v>8368</v>
      </c>
      <c r="I6686" s="127">
        <v>890.6</v>
      </c>
      <c r="J6686" s="128">
        <v>4453</v>
      </c>
    </row>
    <row r="6687" spans="1:10" hidden="1" x14ac:dyDescent="0.25">
      <c r="A6687" s="124" t="s">
        <v>9174</v>
      </c>
      <c r="B6687" s="124" t="s">
        <v>11736</v>
      </c>
      <c r="C6687" s="132"/>
      <c r="D6687" s="125">
        <f t="shared" si="59"/>
        <v>0</v>
      </c>
      <c r="E6687" s="124" t="s">
        <v>8367</v>
      </c>
      <c r="F6687" s="126">
        <v>10</v>
      </c>
      <c r="G6687" s="128">
        <v>2014.8</v>
      </c>
      <c r="H6687" s="124" t="s">
        <v>8368</v>
      </c>
      <c r="I6687" s="127">
        <v>263.2</v>
      </c>
      <c r="J6687" s="128">
        <v>1316</v>
      </c>
    </row>
    <row r="6688" spans="1:10" hidden="1" x14ac:dyDescent="0.25">
      <c r="A6688" s="124" t="s">
        <v>9175</v>
      </c>
      <c r="B6688" s="124" t="s">
        <v>11736</v>
      </c>
      <c r="C6688" s="132"/>
      <c r="D6688" s="125">
        <f t="shared" si="59"/>
        <v>0</v>
      </c>
      <c r="E6688" s="124" t="s">
        <v>8367</v>
      </c>
      <c r="F6688" s="126">
        <v>7</v>
      </c>
      <c r="G6688" s="128">
        <v>1447.2</v>
      </c>
      <c r="H6688" s="124" t="s">
        <v>8368</v>
      </c>
      <c r="I6688" s="127">
        <v>474.2</v>
      </c>
      <c r="J6688" s="128">
        <v>2371</v>
      </c>
    </row>
    <row r="6689" spans="1:10" hidden="1" x14ac:dyDescent="0.25">
      <c r="A6689" s="124" t="s">
        <v>9176</v>
      </c>
      <c r="B6689" s="124" t="s">
        <v>11736</v>
      </c>
      <c r="C6689" s="132"/>
      <c r="D6689" s="125">
        <f t="shared" si="59"/>
        <v>0</v>
      </c>
      <c r="E6689" s="124" t="s">
        <v>8367</v>
      </c>
      <c r="F6689" s="126">
        <v>4</v>
      </c>
      <c r="G6689" s="128">
        <v>5343.6</v>
      </c>
      <c r="H6689" s="124" t="s">
        <v>8368</v>
      </c>
      <c r="I6689" s="127">
        <v>973.4</v>
      </c>
      <c r="J6689" s="128">
        <v>4867</v>
      </c>
    </row>
    <row r="6690" spans="1:10" hidden="1" x14ac:dyDescent="0.25">
      <c r="A6690" s="124" t="s">
        <v>9177</v>
      </c>
      <c r="B6690" s="124" t="s">
        <v>11736</v>
      </c>
      <c r="C6690" s="132"/>
      <c r="D6690" s="125">
        <f t="shared" si="59"/>
        <v>0</v>
      </c>
      <c r="E6690" s="124" t="s">
        <v>8367</v>
      </c>
      <c r="F6690" s="126">
        <v>2</v>
      </c>
      <c r="G6690" s="128">
        <v>1579.2</v>
      </c>
      <c r="H6690" s="124" t="s">
        <v>8368</v>
      </c>
      <c r="I6690" s="128">
        <v>2611.4</v>
      </c>
      <c r="J6690" s="128">
        <v>13057</v>
      </c>
    </row>
    <row r="6691" spans="1:10" hidden="1" x14ac:dyDescent="0.25">
      <c r="A6691" s="124" t="s">
        <v>9178</v>
      </c>
      <c r="B6691" s="124" t="s">
        <v>11736</v>
      </c>
      <c r="C6691" s="132"/>
      <c r="D6691" s="125">
        <f t="shared" si="59"/>
        <v>0</v>
      </c>
      <c r="E6691" s="124" t="s">
        <v>8367</v>
      </c>
      <c r="F6691" s="126">
        <v>3</v>
      </c>
      <c r="G6691" s="128">
        <v>2845.2</v>
      </c>
      <c r="H6691" s="124" t="s">
        <v>8368</v>
      </c>
      <c r="I6691" s="127">
        <v>70.599999999999994</v>
      </c>
      <c r="J6691" s="127">
        <v>353</v>
      </c>
    </row>
    <row r="6692" spans="1:10" hidden="1" x14ac:dyDescent="0.25">
      <c r="A6692" s="124" t="s">
        <v>9179</v>
      </c>
      <c r="B6692" s="124" t="s">
        <v>11736</v>
      </c>
      <c r="C6692" s="132"/>
      <c r="D6692" s="125">
        <f t="shared" si="59"/>
        <v>0</v>
      </c>
      <c r="E6692" s="124" t="s">
        <v>8367</v>
      </c>
      <c r="F6692" s="126">
        <v>10</v>
      </c>
      <c r="G6692" s="128">
        <v>5840.4</v>
      </c>
      <c r="H6692" s="124" t="s">
        <v>8368</v>
      </c>
      <c r="I6692" s="127">
        <v>523.4</v>
      </c>
      <c r="J6692" s="128">
        <v>2617</v>
      </c>
    </row>
    <row r="6693" spans="1:10" hidden="1" x14ac:dyDescent="0.25">
      <c r="A6693" s="124" t="s">
        <v>9180</v>
      </c>
      <c r="B6693" s="124" t="s">
        <v>11736</v>
      </c>
      <c r="C6693" s="132"/>
      <c r="D6693" s="125">
        <f t="shared" ref="D6693:D6698" si="60">COUNTIF(A1470:A6692,A6693)</f>
        <v>0</v>
      </c>
      <c r="E6693" s="124" t="s">
        <v>8367</v>
      </c>
      <c r="F6693" s="126">
        <v>1</v>
      </c>
      <c r="G6693" s="128">
        <v>15668.4</v>
      </c>
      <c r="H6693" s="124" t="s">
        <v>8368</v>
      </c>
      <c r="I6693" s="127">
        <v>752.6</v>
      </c>
      <c r="J6693" s="128">
        <v>3763</v>
      </c>
    </row>
    <row r="6694" spans="1:10" hidden="1" x14ac:dyDescent="0.25">
      <c r="A6694" s="124" t="s">
        <v>9181</v>
      </c>
      <c r="B6694" s="124" t="s">
        <v>11736</v>
      </c>
      <c r="C6694" s="132"/>
      <c r="D6694" s="125">
        <f t="shared" si="60"/>
        <v>0</v>
      </c>
      <c r="E6694" s="124" t="s">
        <v>8367</v>
      </c>
      <c r="F6694" s="126">
        <v>1</v>
      </c>
      <c r="G6694" s="127">
        <v>423.6</v>
      </c>
      <c r="H6694" s="124" t="s">
        <v>8368</v>
      </c>
      <c r="I6694" s="127">
        <v>110</v>
      </c>
      <c r="J6694" s="127">
        <v>550</v>
      </c>
    </row>
    <row r="6695" spans="1:10" hidden="1" x14ac:dyDescent="0.25">
      <c r="A6695" s="124" t="s">
        <v>9182</v>
      </c>
      <c r="B6695" s="124" t="s">
        <v>11736</v>
      </c>
      <c r="C6695" s="132"/>
      <c r="D6695" s="125">
        <f t="shared" si="60"/>
        <v>0</v>
      </c>
      <c r="E6695" s="124" t="s">
        <v>8367</v>
      </c>
      <c r="F6695" s="126">
        <v>10</v>
      </c>
      <c r="G6695" s="128">
        <v>3140.4</v>
      </c>
      <c r="H6695" s="124" t="s">
        <v>8368</v>
      </c>
      <c r="I6695" s="127">
        <v>3.8</v>
      </c>
      <c r="J6695" s="127">
        <v>19</v>
      </c>
    </row>
    <row r="6696" spans="1:10" hidden="1" x14ac:dyDescent="0.25">
      <c r="A6696" s="124" t="s">
        <v>9183</v>
      </c>
      <c r="B6696" s="124" t="s">
        <v>11736</v>
      </c>
      <c r="C6696" s="132"/>
      <c r="D6696" s="125">
        <f t="shared" si="60"/>
        <v>0</v>
      </c>
      <c r="E6696" s="124" t="s">
        <v>8367</v>
      </c>
      <c r="F6696" s="126">
        <v>1</v>
      </c>
      <c r="G6696" s="128">
        <v>4515.6000000000004</v>
      </c>
      <c r="H6696" s="124" t="s">
        <v>8368</v>
      </c>
      <c r="I6696" s="127">
        <v>83</v>
      </c>
      <c r="J6696" s="127">
        <v>415</v>
      </c>
    </row>
    <row r="6697" spans="1:10" hidden="1" x14ac:dyDescent="0.25">
      <c r="A6697" s="124" t="s">
        <v>9184</v>
      </c>
      <c r="B6697" s="124" t="s">
        <v>11736</v>
      </c>
      <c r="C6697" s="132"/>
      <c r="D6697" s="125">
        <f t="shared" si="60"/>
        <v>0</v>
      </c>
      <c r="E6697" s="124" t="s">
        <v>8367</v>
      </c>
      <c r="F6697" s="126">
        <v>10</v>
      </c>
      <c r="G6697" s="127">
        <v>660</v>
      </c>
      <c r="H6697" s="124" t="s">
        <v>8368</v>
      </c>
      <c r="I6697" s="127">
        <v>2</v>
      </c>
      <c r="J6697" s="127">
        <v>10</v>
      </c>
    </row>
    <row r="6698" spans="1:10" hidden="1" x14ac:dyDescent="0.25">
      <c r="A6698" s="124" t="s">
        <v>9185</v>
      </c>
      <c r="B6698" s="124" t="s">
        <v>11736</v>
      </c>
      <c r="C6698" s="132"/>
      <c r="D6698" s="125">
        <f t="shared" si="60"/>
        <v>0</v>
      </c>
      <c r="E6698" s="124" t="s">
        <v>8367</v>
      </c>
      <c r="F6698" s="126">
        <v>1</v>
      </c>
      <c r="G6698" s="127">
        <v>22.8</v>
      </c>
      <c r="H6698" s="124" t="s">
        <v>8368</v>
      </c>
      <c r="I6698" s="127">
        <v>9.8000000000000007</v>
      </c>
      <c r="J6698" s="127">
        <v>49</v>
      </c>
    </row>
    <row r="6699" spans="1:10" hidden="1" x14ac:dyDescent="0.25">
      <c r="A6699" s="124" t="s">
        <v>9186</v>
      </c>
      <c r="B6699" s="124" t="s">
        <v>11736</v>
      </c>
      <c r="C6699" s="132"/>
      <c r="D6699" s="125">
        <f>COUNTIF(A1478:A6698,A6699)</f>
        <v>0</v>
      </c>
      <c r="E6699" s="124" t="s">
        <v>8367</v>
      </c>
      <c r="F6699" s="126">
        <v>1</v>
      </c>
      <c r="G6699" s="127">
        <v>498</v>
      </c>
      <c r="H6699" s="124" t="s">
        <v>8368</v>
      </c>
      <c r="I6699" s="127">
        <v>361.8</v>
      </c>
      <c r="J6699" s="128">
        <v>1809</v>
      </c>
    </row>
    <row r="6700" spans="1:10" hidden="1" x14ac:dyDescent="0.25">
      <c r="A6700" s="124" t="s">
        <v>9187</v>
      </c>
      <c r="B6700" s="124" t="s">
        <v>11736</v>
      </c>
      <c r="C6700" s="132"/>
      <c r="D6700" s="125">
        <f>COUNTIF(A1479:A6699,A6700)</f>
        <v>0</v>
      </c>
      <c r="E6700" s="124" t="s">
        <v>8367</v>
      </c>
      <c r="F6700" s="126">
        <v>1</v>
      </c>
      <c r="G6700" s="127">
        <v>12</v>
      </c>
      <c r="H6700" s="124" t="s">
        <v>8368</v>
      </c>
      <c r="I6700" s="128">
        <v>502090</v>
      </c>
      <c r="J6700" s="128">
        <v>2510450</v>
      </c>
    </row>
    <row r="6701" spans="1:10" hidden="1" x14ac:dyDescent="0.25">
      <c r="A6701" s="124" t="s">
        <v>9188</v>
      </c>
      <c r="B6701" s="124" t="s">
        <v>11736</v>
      </c>
      <c r="C6701" s="132"/>
      <c r="D6701" s="125">
        <f>COUNTIF(A1480:A6700,A6701)</f>
        <v>0</v>
      </c>
      <c r="E6701" s="124" t="s">
        <v>8367</v>
      </c>
      <c r="F6701" s="126">
        <v>1</v>
      </c>
      <c r="G6701" s="127">
        <v>58.8</v>
      </c>
      <c r="H6701" s="124" t="s">
        <v>8368</v>
      </c>
      <c r="I6701" s="127">
        <v>384.4</v>
      </c>
      <c r="J6701" s="128">
        <v>1922</v>
      </c>
    </row>
    <row r="6702" spans="1:10" hidden="1" x14ac:dyDescent="0.25">
      <c r="A6702" s="124" t="s">
        <v>9189</v>
      </c>
      <c r="B6702" s="124" t="s">
        <v>11736</v>
      </c>
      <c r="C6702" s="132"/>
      <c r="D6702" s="125">
        <f>COUNTIF(A1481:A6701,A6702)</f>
        <v>0</v>
      </c>
      <c r="E6702" s="124" t="s">
        <v>8451</v>
      </c>
      <c r="F6702" s="126">
        <v>1</v>
      </c>
      <c r="G6702" s="128">
        <v>2170.8000000000002</v>
      </c>
      <c r="H6702" s="124" t="s">
        <v>8368</v>
      </c>
      <c r="I6702" s="127">
        <v>221.87</v>
      </c>
      <c r="J6702" s="128">
        <v>1109.3499999999999</v>
      </c>
    </row>
    <row r="6703" spans="1:10" hidden="1" x14ac:dyDescent="0.25">
      <c r="A6703" s="124" t="s">
        <v>9190</v>
      </c>
      <c r="B6703" s="124" t="s">
        <v>11736</v>
      </c>
      <c r="C6703" s="132"/>
      <c r="D6703" s="125">
        <f>COUNTIF(A1482:A6702,A6703)</f>
        <v>0</v>
      </c>
      <c r="E6703" s="124" t="s">
        <v>8367</v>
      </c>
      <c r="F6703" s="126">
        <v>370</v>
      </c>
      <c r="G6703" s="128">
        <v>3012540</v>
      </c>
      <c r="H6703" s="124" t="s">
        <v>8368</v>
      </c>
      <c r="I6703" s="127">
        <v>256.68</v>
      </c>
      <c r="J6703" s="128">
        <v>1283.4000000000001</v>
      </c>
    </row>
    <row r="6704" spans="1:10" hidden="1" x14ac:dyDescent="0.25">
      <c r="A6704" s="124" t="s">
        <v>9191</v>
      </c>
      <c r="B6704" s="124" t="s">
        <v>11736</v>
      </c>
      <c r="C6704" s="132"/>
      <c r="D6704" s="125">
        <f>COUNTIF(A1485:A6703,A6704)</f>
        <v>0</v>
      </c>
      <c r="E6704" s="124" t="s">
        <v>8367</v>
      </c>
      <c r="F6704" s="129">
        <v>4000</v>
      </c>
      <c r="G6704" s="128">
        <v>2306.4</v>
      </c>
      <c r="H6704" s="124" t="s">
        <v>8368</v>
      </c>
      <c r="I6704" s="127">
        <v>496.6</v>
      </c>
      <c r="J6704" s="128">
        <v>2483</v>
      </c>
    </row>
    <row r="6705" spans="1:10" hidden="1" x14ac:dyDescent="0.25">
      <c r="A6705" s="124" t="s">
        <v>9192</v>
      </c>
      <c r="B6705" s="124" t="s">
        <v>11736</v>
      </c>
      <c r="C6705" s="132"/>
      <c r="D6705" s="125">
        <f>COUNTIF(A1497:A6704,A6705)</f>
        <v>0</v>
      </c>
      <c r="E6705" s="124" t="s">
        <v>8367</v>
      </c>
      <c r="F6705" s="129">
        <v>1000</v>
      </c>
      <c r="G6705" s="128">
        <v>1331.22</v>
      </c>
      <c r="H6705" s="124" t="s">
        <v>8368</v>
      </c>
      <c r="I6705" s="127">
        <v>413.34</v>
      </c>
      <c r="J6705" s="128">
        <v>2066.71</v>
      </c>
    </row>
    <row r="6706" spans="1:10" hidden="1" x14ac:dyDescent="0.25">
      <c r="A6706" s="124" t="s">
        <v>9193</v>
      </c>
      <c r="B6706" s="124" t="s">
        <v>11736</v>
      </c>
      <c r="C6706" s="132"/>
      <c r="D6706" s="125">
        <f>COUNTIF(A1549:A6705,A6706)</f>
        <v>0</v>
      </c>
      <c r="E6706" s="124" t="s">
        <v>8367</v>
      </c>
      <c r="F6706" s="129">
        <v>1000</v>
      </c>
      <c r="G6706" s="128">
        <v>1540.08</v>
      </c>
      <c r="H6706" s="124" t="s">
        <v>8368</v>
      </c>
      <c r="I6706" s="128">
        <v>142780</v>
      </c>
      <c r="J6706" s="128">
        <v>713900</v>
      </c>
    </row>
    <row r="6707" spans="1:10" hidden="1" x14ac:dyDescent="0.25">
      <c r="A6707" s="124" t="s">
        <v>9194</v>
      </c>
      <c r="B6707" s="124" t="s">
        <v>11736</v>
      </c>
      <c r="C6707" s="132"/>
      <c r="D6707" s="125">
        <f>COUNTIF(A1552:A6706,A6707)</f>
        <v>0</v>
      </c>
      <c r="E6707" s="124" t="s">
        <v>8367</v>
      </c>
      <c r="F6707" s="129">
        <v>2000</v>
      </c>
      <c r="G6707" s="128">
        <v>2979.6</v>
      </c>
      <c r="H6707" s="124" t="s">
        <v>8368</v>
      </c>
      <c r="I6707" s="128">
        <v>124944.96000000001</v>
      </c>
      <c r="J6707" s="128">
        <v>624724.78</v>
      </c>
    </row>
    <row r="6708" spans="1:10" hidden="1" x14ac:dyDescent="0.25">
      <c r="A6708" s="124" t="s">
        <v>9195</v>
      </c>
      <c r="B6708" s="124" t="s">
        <v>11736</v>
      </c>
      <c r="C6708" s="132"/>
      <c r="D6708" s="125">
        <f>COUNTIF(A1553:A6707,A6708)</f>
        <v>0</v>
      </c>
      <c r="E6708" s="124" t="s">
        <v>8367</v>
      </c>
      <c r="F6708" s="129">
        <v>2488</v>
      </c>
      <c r="G6708" s="128">
        <v>2480.0500000000002</v>
      </c>
      <c r="H6708" s="124" t="s">
        <v>8368</v>
      </c>
      <c r="I6708" s="128">
        <v>829629.69</v>
      </c>
      <c r="J6708" s="128">
        <v>4148148.45</v>
      </c>
    </row>
    <row r="6709" spans="1:10" hidden="1" x14ac:dyDescent="0.25">
      <c r="A6709" s="124" t="s">
        <v>9196</v>
      </c>
      <c r="B6709" s="124" t="s">
        <v>11736</v>
      </c>
      <c r="C6709" s="132"/>
      <c r="D6709" s="125">
        <f>COUNTIF(A1557:A6708,A6709)</f>
        <v>0</v>
      </c>
      <c r="E6709" s="124" t="s">
        <v>8367</v>
      </c>
      <c r="F6709" s="126">
        <v>363</v>
      </c>
      <c r="G6709" s="128">
        <v>856680</v>
      </c>
      <c r="H6709" s="124" t="s">
        <v>8368</v>
      </c>
      <c r="I6709" s="128">
        <v>19008670.82</v>
      </c>
      <c r="J6709" s="128">
        <v>95043354.120000005</v>
      </c>
    </row>
    <row r="6710" spans="1:10" hidden="1" x14ac:dyDescent="0.25">
      <c r="A6710" s="124" t="s">
        <v>9197</v>
      </c>
      <c r="B6710" s="124" t="s">
        <v>11736</v>
      </c>
      <c r="C6710" s="132"/>
      <c r="D6710" s="125">
        <f>COUNTIF(A1584:A6709,A6710)</f>
        <v>0</v>
      </c>
      <c r="E6710" s="124" t="s">
        <v>8367</v>
      </c>
      <c r="F6710" s="129">
        <v>6824</v>
      </c>
      <c r="G6710" s="128">
        <v>749669.74</v>
      </c>
      <c r="H6710" s="124" t="s">
        <v>8368</v>
      </c>
      <c r="I6710" s="128">
        <v>2649</v>
      </c>
      <c r="J6710" s="128">
        <v>13245</v>
      </c>
    </row>
    <row r="6711" spans="1:10" hidden="1" x14ac:dyDescent="0.25">
      <c r="A6711" s="124" t="s">
        <v>9198</v>
      </c>
      <c r="B6711" s="124" t="s">
        <v>11736</v>
      </c>
      <c r="C6711" s="132"/>
      <c r="D6711" s="125">
        <f>COUNTIF(A1585:A6710,A6711)</f>
        <v>0</v>
      </c>
      <c r="E6711" s="124" t="s">
        <v>8367</v>
      </c>
      <c r="F6711" s="129">
        <v>4000</v>
      </c>
      <c r="G6711" s="128">
        <v>4977778.1399999997</v>
      </c>
      <c r="H6711" s="124" t="s">
        <v>8368</v>
      </c>
      <c r="I6711" s="128">
        <v>42935.64</v>
      </c>
      <c r="J6711" s="128">
        <v>214678.18</v>
      </c>
    </row>
    <row r="6712" spans="1:10" hidden="1" x14ac:dyDescent="0.25">
      <c r="A6712" s="124" t="s">
        <v>9199</v>
      </c>
      <c r="B6712" s="124" t="s">
        <v>11736</v>
      </c>
      <c r="C6712" s="132"/>
      <c r="D6712" s="125">
        <f>COUNTIF(A1619:A6711,A6712)</f>
        <v>0</v>
      </c>
      <c r="E6712" s="124" t="s">
        <v>8367</v>
      </c>
      <c r="F6712" s="129">
        <v>5592</v>
      </c>
      <c r="G6712" s="128">
        <v>114052024.94</v>
      </c>
      <c r="H6712" s="124" t="s">
        <v>8368</v>
      </c>
      <c r="I6712" s="128">
        <v>2360.8000000000002</v>
      </c>
      <c r="J6712" s="128">
        <v>11804</v>
      </c>
    </row>
    <row r="6713" spans="1:10" hidden="1" x14ac:dyDescent="0.25">
      <c r="A6713" s="124" t="s">
        <v>9200</v>
      </c>
      <c r="B6713" s="124" t="s">
        <v>11736</v>
      </c>
      <c r="C6713" s="132"/>
      <c r="D6713" s="125">
        <f>COUNTIF(A1631:A6712,A6713)</f>
        <v>0</v>
      </c>
      <c r="E6713" s="124" t="s">
        <v>8367</v>
      </c>
      <c r="F6713" s="126">
        <v>39</v>
      </c>
      <c r="G6713" s="128">
        <v>15894</v>
      </c>
      <c r="H6713" s="124" t="s">
        <v>8368</v>
      </c>
      <c r="I6713" s="128">
        <v>8087.2</v>
      </c>
      <c r="J6713" s="128">
        <v>40436</v>
      </c>
    </row>
    <row r="6714" spans="1:10" hidden="1" x14ac:dyDescent="0.25">
      <c r="A6714" s="124" t="s">
        <v>9201</v>
      </c>
      <c r="B6714" s="124" t="s">
        <v>11736</v>
      </c>
      <c r="C6714" s="132"/>
      <c r="D6714" s="125">
        <f>COUNTIF(A1632:A6713,A6714)</f>
        <v>0</v>
      </c>
      <c r="E6714" s="124" t="s">
        <v>8367</v>
      </c>
      <c r="F6714" s="126">
        <v>500</v>
      </c>
      <c r="G6714" s="128">
        <v>257613.82</v>
      </c>
      <c r="H6714" s="124" t="s">
        <v>8368</v>
      </c>
      <c r="I6714" s="128">
        <v>1741.2</v>
      </c>
      <c r="J6714" s="128">
        <v>8706</v>
      </c>
    </row>
    <row r="6715" spans="1:10" hidden="1" x14ac:dyDescent="0.25">
      <c r="A6715" s="124" t="s">
        <v>9202</v>
      </c>
      <c r="B6715" s="124" t="s">
        <v>11736</v>
      </c>
      <c r="C6715" s="132"/>
      <c r="D6715" s="125">
        <f>COUNTIF(A1634:A6714,A6715)</f>
        <v>0</v>
      </c>
      <c r="E6715" s="124" t="s">
        <v>8367</v>
      </c>
      <c r="F6715" s="126">
        <v>5</v>
      </c>
      <c r="G6715" s="128">
        <v>14164.8</v>
      </c>
      <c r="H6715" s="124" t="s">
        <v>8368</v>
      </c>
      <c r="I6715" s="128">
        <v>2762.3</v>
      </c>
      <c r="J6715" s="128">
        <v>13811.5</v>
      </c>
    </row>
    <row r="6716" spans="1:10" hidden="1" x14ac:dyDescent="0.25">
      <c r="A6716" s="124" t="s">
        <v>9203</v>
      </c>
      <c r="B6716" s="124" t="s">
        <v>11736</v>
      </c>
      <c r="C6716" s="132"/>
      <c r="D6716" s="125">
        <f>COUNTIF(A1635:A6715,A6716)</f>
        <v>0</v>
      </c>
      <c r="E6716" s="124" t="s">
        <v>8367</v>
      </c>
      <c r="F6716" s="126">
        <v>1</v>
      </c>
      <c r="G6716" s="128">
        <v>48523.199999999997</v>
      </c>
      <c r="H6716" s="124" t="s">
        <v>8368</v>
      </c>
      <c r="I6716" s="128">
        <v>10548.6</v>
      </c>
      <c r="J6716" s="128">
        <v>52743</v>
      </c>
    </row>
    <row r="6717" spans="1:10" hidden="1" x14ac:dyDescent="0.25">
      <c r="A6717" s="124" t="s">
        <v>9204</v>
      </c>
      <c r="B6717" s="124" t="s">
        <v>11736</v>
      </c>
      <c r="C6717" s="132"/>
      <c r="D6717" s="125">
        <f>COUNTIF(A1636:A6716,A6717)</f>
        <v>0</v>
      </c>
      <c r="E6717" s="124" t="s">
        <v>8367</v>
      </c>
      <c r="F6717" s="126">
        <v>1</v>
      </c>
      <c r="G6717" s="128">
        <v>10447.200000000001</v>
      </c>
      <c r="H6717" s="124" t="s">
        <v>8368</v>
      </c>
      <c r="I6717" s="127">
        <v>443.7</v>
      </c>
      <c r="J6717" s="128">
        <v>2218.5</v>
      </c>
    </row>
    <row r="6718" spans="1:10" hidden="1" x14ac:dyDescent="0.25">
      <c r="A6718" s="124" t="s">
        <v>9205</v>
      </c>
      <c r="B6718" s="124" t="s">
        <v>11736</v>
      </c>
      <c r="C6718" s="132"/>
      <c r="D6718" s="125">
        <f>COUNTIF(A1637:A6717,A6718)</f>
        <v>0</v>
      </c>
      <c r="E6718" s="124" t="s">
        <v>8367</v>
      </c>
      <c r="F6718" s="126">
        <v>3</v>
      </c>
      <c r="G6718" s="128">
        <v>16573.8</v>
      </c>
      <c r="H6718" s="124" t="s">
        <v>8368</v>
      </c>
      <c r="I6718" s="128">
        <v>4353.3</v>
      </c>
      <c r="J6718" s="128">
        <v>21766.5</v>
      </c>
    </row>
    <row r="6719" spans="1:10" hidden="1" x14ac:dyDescent="0.25">
      <c r="A6719" s="124" t="s">
        <v>9206</v>
      </c>
      <c r="B6719" s="124" t="s">
        <v>11736</v>
      </c>
      <c r="C6719" s="132"/>
      <c r="D6719" s="125">
        <f t="shared" ref="D6719:D6724" si="61">COUNTIF(A1639:A6718,A6719)</f>
        <v>0</v>
      </c>
      <c r="E6719" s="124" t="s">
        <v>8367</v>
      </c>
      <c r="F6719" s="126">
        <v>1</v>
      </c>
      <c r="G6719" s="128">
        <v>63291.6</v>
      </c>
      <c r="H6719" s="124" t="s">
        <v>8368</v>
      </c>
      <c r="I6719" s="127">
        <v>66.7</v>
      </c>
      <c r="J6719" s="127">
        <v>333.5</v>
      </c>
    </row>
    <row r="6720" spans="1:10" hidden="1" x14ac:dyDescent="0.25">
      <c r="A6720" s="124" t="s">
        <v>9207</v>
      </c>
      <c r="B6720" s="124" t="s">
        <v>11736</v>
      </c>
      <c r="C6720" s="132"/>
      <c r="D6720" s="125">
        <f t="shared" si="61"/>
        <v>0</v>
      </c>
      <c r="E6720" s="124" t="s">
        <v>8367</v>
      </c>
      <c r="F6720" s="126">
        <v>1</v>
      </c>
      <c r="G6720" s="128">
        <v>2662.2</v>
      </c>
      <c r="H6720" s="124" t="s">
        <v>8368</v>
      </c>
      <c r="I6720" s="127">
        <v>209.4</v>
      </c>
      <c r="J6720" s="128">
        <v>1047</v>
      </c>
    </row>
    <row r="6721" spans="1:10" hidden="1" x14ac:dyDescent="0.25">
      <c r="A6721" s="124" t="s">
        <v>9208</v>
      </c>
      <c r="B6721" s="124" t="s">
        <v>11736</v>
      </c>
      <c r="C6721" s="132"/>
      <c r="D6721" s="125">
        <f t="shared" si="61"/>
        <v>0</v>
      </c>
      <c r="E6721" s="124" t="s">
        <v>8367</v>
      </c>
      <c r="F6721" s="126">
        <v>1</v>
      </c>
      <c r="G6721" s="128">
        <v>26119.8</v>
      </c>
      <c r="H6721" s="124" t="s">
        <v>8368</v>
      </c>
      <c r="I6721" s="127">
        <v>293</v>
      </c>
      <c r="J6721" s="128">
        <v>1465</v>
      </c>
    </row>
    <row r="6722" spans="1:10" hidden="1" x14ac:dyDescent="0.25">
      <c r="A6722" s="124" t="s">
        <v>9209</v>
      </c>
      <c r="B6722" s="124" t="s">
        <v>11736</v>
      </c>
      <c r="C6722" s="132"/>
      <c r="D6722" s="125">
        <f t="shared" si="61"/>
        <v>0</v>
      </c>
      <c r="E6722" s="124" t="s">
        <v>8367</v>
      </c>
      <c r="F6722" s="126">
        <v>2</v>
      </c>
      <c r="G6722" s="127">
        <v>400.2</v>
      </c>
      <c r="H6722" s="124" t="s">
        <v>8368</v>
      </c>
      <c r="I6722" s="127">
        <v>23.8</v>
      </c>
      <c r="J6722" s="127">
        <v>119</v>
      </c>
    </row>
    <row r="6723" spans="1:10" hidden="1" x14ac:dyDescent="0.25">
      <c r="A6723" s="124" t="s">
        <v>9210</v>
      </c>
      <c r="B6723" s="124" t="s">
        <v>11736</v>
      </c>
      <c r="C6723" s="132"/>
      <c r="D6723" s="125">
        <f t="shared" si="61"/>
        <v>0</v>
      </c>
      <c r="E6723" s="124" t="s">
        <v>8367</v>
      </c>
      <c r="F6723" s="126">
        <v>5</v>
      </c>
      <c r="G6723" s="128">
        <v>1256.4000000000001</v>
      </c>
      <c r="H6723" s="124" t="s">
        <v>8368</v>
      </c>
      <c r="I6723" s="128">
        <v>31083.33</v>
      </c>
      <c r="J6723" s="128">
        <v>155416.67000000001</v>
      </c>
    </row>
    <row r="6724" spans="1:10" hidden="1" x14ac:dyDescent="0.25">
      <c r="A6724" s="124" t="s">
        <v>9211</v>
      </c>
      <c r="B6724" s="124" t="s">
        <v>11736</v>
      </c>
      <c r="C6724" s="132"/>
      <c r="D6724" s="125">
        <f t="shared" si="61"/>
        <v>0</v>
      </c>
      <c r="E6724" s="124" t="s">
        <v>8367</v>
      </c>
      <c r="F6724" s="126">
        <v>5</v>
      </c>
      <c r="G6724" s="128">
        <v>1758</v>
      </c>
      <c r="H6724" s="124" t="s">
        <v>8368</v>
      </c>
      <c r="I6724" s="127">
        <v>765</v>
      </c>
      <c r="J6724" s="128">
        <v>3825</v>
      </c>
    </row>
    <row r="6725" spans="1:10" hidden="1" x14ac:dyDescent="0.25">
      <c r="A6725" s="124" t="s">
        <v>9212</v>
      </c>
      <c r="B6725" s="124" t="s">
        <v>11736</v>
      </c>
      <c r="C6725" s="132"/>
      <c r="D6725" s="125">
        <f>COUNTIF(A1646:A6724,A6725)</f>
        <v>0</v>
      </c>
      <c r="E6725" s="124" t="s">
        <v>8367</v>
      </c>
      <c r="F6725" s="126">
        <v>5</v>
      </c>
      <c r="G6725" s="127">
        <v>142.80000000000001</v>
      </c>
      <c r="H6725" s="124" t="s">
        <v>8368</v>
      </c>
      <c r="I6725" s="127">
        <v>346.8</v>
      </c>
      <c r="J6725" s="128">
        <v>1734</v>
      </c>
    </row>
    <row r="6726" spans="1:10" hidden="1" x14ac:dyDescent="0.25">
      <c r="A6726" s="124" t="s">
        <v>9213</v>
      </c>
      <c r="B6726" s="124" t="s">
        <v>11736</v>
      </c>
      <c r="C6726" s="132"/>
      <c r="D6726" s="125">
        <f>COUNTIF(A1653:A6725,A6726)</f>
        <v>0</v>
      </c>
      <c r="E6726" s="124" t="s">
        <v>8627</v>
      </c>
      <c r="F6726" s="126">
        <v>1</v>
      </c>
      <c r="G6726" s="128">
        <v>186500</v>
      </c>
      <c r="H6726" s="124" t="s">
        <v>8368</v>
      </c>
      <c r="I6726" s="127">
        <v>366.7</v>
      </c>
      <c r="J6726" s="128">
        <v>1833.5</v>
      </c>
    </row>
    <row r="6727" spans="1:10" hidden="1" x14ac:dyDescent="0.25">
      <c r="A6727" s="124" t="s">
        <v>9214</v>
      </c>
      <c r="B6727" s="124" t="s">
        <v>11736</v>
      </c>
      <c r="C6727" s="132"/>
      <c r="D6727" s="125">
        <f>COUNTIF(A1654:A6726,A6727)</f>
        <v>0</v>
      </c>
      <c r="E6727" s="124" t="s">
        <v>8367</v>
      </c>
      <c r="F6727" s="126">
        <v>1</v>
      </c>
      <c r="G6727" s="128">
        <v>4590</v>
      </c>
      <c r="H6727" s="124" t="s">
        <v>8368</v>
      </c>
      <c r="I6727" s="127">
        <v>187</v>
      </c>
      <c r="J6727" s="127">
        <v>935</v>
      </c>
    </row>
    <row r="6728" spans="1:10" hidden="1" x14ac:dyDescent="0.25">
      <c r="A6728" s="124" t="s">
        <v>9215</v>
      </c>
      <c r="B6728" s="124" t="s">
        <v>11736</v>
      </c>
      <c r="C6728" s="132"/>
      <c r="D6728" s="125">
        <f>COUNTIF(A1655:A6727,A6728)</f>
        <v>0</v>
      </c>
      <c r="E6728" s="124" t="s">
        <v>8367</v>
      </c>
      <c r="F6728" s="126">
        <v>1</v>
      </c>
      <c r="G6728" s="128">
        <v>2080.8000000000002</v>
      </c>
      <c r="H6728" s="124" t="s">
        <v>8368</v>
      </c>
      <c r="I6728" s="128">
        <v>1180.8</v>
      </c>
      <c r="J6728" s="128">
        <v>5904</v>
      </c>
    </row>
    <row r="6729" spans="1:10" hidden="1" x14ac:dyDescent="0.25">
      <c r="A6729" s="124" t="s">
        <v>9216</v>
      </c>
      <c r="B6729" s="124" t="s">
        <v>11736</v>
      </c>
      <c r="C6729" s="132"/>
      <c r="D6729" s="125">
        <f t="shared" ref="D6729:D6739" si="62">COUNTIF(A1657:A6728,A6729)</f>
        <v>0</v>
      </c>
      <c r="E6729" s="124" t="s">
        <v>8367</v>
      </c>
      <c r="F6729" s="126">
        <v>2</v>
      </c>
      <c r="G6729" s="128">
        <v>2200.1999999999998</v>
      </c>
      <c r="H6729" s="124" t="s">
        <v>8368</v>
      </c>
      <c r="I6729" s="127">
        <v>204.4</v>
      </c>
      <c r="J6729" s="128">
        <v>1022</v>
      </c>
    </row>
    <row r="6730" spans="1:10" hidden="1" x14ac:dyDescent="0.25">
      <c r="A6730" s="124" t="s">
        <v>9217</v>
      </c>
      <c r="B6730" s="124" t="s">
        <v>11736</v>
      </c>
      <c r="C6730" s="132"/>
      <c r="D6730" s="125">
        <f t="shared" si="62"/>
        <v>0</v>
      </c>
      <c r="E6730" s="124" t="s">
        <v>8367</v>
      </c>
      <c r="F6730" s="126">
        <v>1</v>
      </c>
      <c r="G6730" s="128">
        <v>1122</v>
      </c>
      <c r="H6730" s="124" t="s">
        <v>8368</v>
      </c>
      <c r="I6730" s="127">
        <v>241.2</v>
      </c>
      <c r="J6730" s="128">
        <v>1206</v>
      </c>
    </row>
    <row r="6731" spans="1:10" hidden="1" x14ac:dyDescent="0.25">
      <c r="A6731" s="124" t="s">
        <v>9218</v>
      </c>
      <c r="B6731" s="124" t="s">
        <v>11736</v>
      </c>
      <c r="C6731" s="132"/>
      <c r="D6731" s="125">
        <f t="shared" si="62"/>
        <v>0</v>
      </c>
      <c r="E6731" s="124" t="s">
        <v>8367</v>
      </c>
      <c r="F6731" s="126">
        <v>1</v>
      </c>
      <c r="G6731" s="128">
        <v>7084.8</v>
      </c>
      <c r="H6731" s="124" t="s">
        <v>8368</v>
      </c>
      <c r="I6731" s="128">
        <v>1224</v>
      </c>
      <c r="J6731" s="128">
        <v>6120</v>
      </c>
    </row>
    <row r="6732" spans="1:10" hidden="1" x14ac:dyDescent="0.25">
      <c r="A6732" s="124" t="s">
        <v>9219</v>
      </c>
      <c r="B6732" s="124" t="s">
        <v>11736</v>
      </c>
      <c r="C6732" s="132"/>
      <c r="D6732" s="125">
        <f t="shared" si="62"/>
        <v>0</v>
      </c>
      <c r="E6732" s="124" t="s">
        <v>8367</v>
      </c>
      <c r="F6732" s="126">
        <v>2</v>
      </c>
      <c r="G6732" s="128">
        <v>1226.4000000000001</v>
      </c>
      <c r="H6732" s="124" t="s">
        <v>8368</v>
      </c>
      <c r="I6732" s="127">
        <v>144.80000000000001</v>
      </c>
      <c r="J6732" s="127">
        <v>724</v>
      </c>
    </row>
    <row r="6733" spans="1:10" hidden="1" x14ac:dyDescent="0.25">
      <c r="A6733" s="124" t="s">
        <v>9220</v>
      </c>
      <c r="B6733" s="124" t="s">
        <v>11736</v>
      </c>
      <c r="C6733" s="132"/>
      <c r="D6733" s="125">
        <f t="shared" si="62"/>
        <v>0</v>
      </c>
      <c r="E6733" s="124" t="s">
        <v>8367</v>
      </c>
      <c r="F6733" s="126">
        <v>2</v>
      </c>
      <c r="G6733" s="128">
        <v>1447.2</v>
      </c>
      <c r="H6733" s="124" t="s">
        <v>8368</v>
      </c>
      <c r="I6733" s="127">
        <v>122.4</v>
      </c>
      <c r="J6733" s="127">
        <v>612</v>
      </c>
    </row>
    <row r="6734" spans="1:10" hidden="1" x14ac:dyDescent="0.25">
      <c r="A6734" s="124" t="s">
        <v>9221</v>
      </c>
      <c r="B6734" s="124" t="s">
        <v>11736</v>
      </c>
      <c r="C6734" s="132"/>
      <c r="D6734" s="125">
        <f t="shared" si="62"/>
        <v>0</v>
      </c>
      <c r="E6734" s="124" t="s">
        <v>8367</v>
      </c>
      <c r="F6734" s="126">
        <v>2</v>
      </c>
      <c r="G6734" s="128">
        <v>7344</v>
      </c>
      <c r="H6734" s="124" t="s">
        <v>8368</v>
      </c>
      <c r="I6734" s="127">
        <v>95.2</v>
      </c>
      <c r="J6734" s="127">
        <v>476</v>
      </c>
    </row>
    <row r="6735" spans="1:10" hidden="1" x14ac:dyDescent="0.25">
      <c r="A6735" s="124" t="s">
        <v>9222</v>
      </c>
      <c r="B6735" s="124" t="s">
        <v>11736</v>
      </c>
      <c r="C6735" s="132"/>
      <c r="D6735" s="125">
        <f t="shared" si="62"/>
        <v>0</v>
      </c>
      <c r="E6735" s="124" t="s">
        <v>8367</v>
      </c>
      <c r="F6735" s="126">
        <v>1</v>
      </c>
      <c r="G6735" s="127">
        <v>868.8</v>
      </c>
      <c r="H6735" s="124" t="s">
        <v>8368</v>
      </c>
      <c r="I6735" s="127">
        <v>105</v>
      </c>
      <c r="J6735" s="127">
        <v>525</v>
      </c>
    </row>
    <row r="6736" spans="1:10" hidden="1" x14ac:dyDescent="0.25">
      <c r="A6736" s="124" t="s">
        <v>9223</v>
      </c>
      <c r="B6736" s="124" t="s">
        <v>11736</v>
      </c>
      <c r="C6736" s="132"/>
      <c r="D6736" s="125">
        <f t="shared" si="62"/>
        <v>0</v>
      </c>
      <c r="E6736" s="124" t="s">
        <v>8367</v>
      </c>
      <c r="F6736" s="126">
        <v>1</v>
      </c>
      <c r="G6736" s="127">
        <v>734.4</v>
      </c>
      <c r="H6736" s="124" t="s">
        <v>8368</v>
      </c>
      <c r="I6736" s="127">
        <v>235.05</v>
      </c>
      <c r="J6736" s="128">
        <v>1175.25</v>
      </c>
    </row>
    <row r="6737" spans="1:10" hidden="1" x14ac:dyDescent="0.25">
      <c r="A6737" s="124" t="s">
        <v>9224</v>
      </c>
      <c r="B6737" s="124" t="s">
        <v>11736</v>
      </c>
      <c r="C6737" s="132"/>
      <c r="D6737" s="125">
        <f t="shared" si="62"/>
        <v>0</v>
      </c>
      <c r="E6737" s="124" t="s">
        <v>8367</v>
      </c>
      <c r="F6737" s="126">
        <v>1</v>
      </c>
      <c r="G6737" s="127">
        <v>571.20000000000005</v>
      </c>
      <c r="H6737" s="124" t="s">
        <v>8368</v>
      </c>
      <c r="I6737" s="127">
        <v>655.6</v>
      </c>
      <c r="J6737" s="128">
        <v>3278</v>
      </c>
    </row>
    <row r="6738" spans="1:10" hidden="1" x14ac:dyDescent="0.25">
      <c r="A6738" s="124" t="s">
        <v>9225</v>
      </c>
      <c r="B6738" s="124" t="s">
        <v>11736</v>
      </c>
      <c r="C6738" s="132"/>
      <c r="D6738" s="125">
        <f t="shared" si="62"/>
        <v>0</v>
      </c>
      <c r="E6738" s="124" t="s">
        <v>8367</v>
      </c>
      <c r="F6738" s="126">
        <v>8</v>
      </c>
      <c r="G6738" s="127">
        <v>630</v>
      </c>
      <c r="H6738" s="124" t="s">
        <v>8368</v>
      </c>
      <c r="I6738" s="127">
        <v>333.2</v>
      </c>
      <c r="J6738" s="128">
        <v>1666</v>
      </c>
    </row>
    <row r="6739" spans="1:10" hidden="1" x14ac:dyDescent="0.25">
      <c r="A6739" s="124" t="s">
        <v>9226</v>
      </c>
      <c r="B6739" s="124" t="s">
        <v>11736</v>
      </c>
      <c r="C6739" s="132"/>
      <c r="D6739" s="125">
        <f t="shared" si="62"/>
        <v>0</v>
      </c>
      <c r="E6739" s="124" t="s">
        <v>8367</v>
      </c>
      <c r="F6739" s="126">
        <v>6</v>
      </c>
      <c r="G6739" s="128">
        <v>1410.3</v>
      </c>
      <c r="H6739" s="124" t="s">
        <v>8368</v>
      </c>
      <c r="I6739" s="127">
        <v>17.600000000000001</v>
      </c>
      <c r="J6739" s="127">
        <v>88</v>
      </c>
    </row>
    <row r="6740" spans="1:10" hidden="1" x14ac:dyDescent="0.25">
      <c r="A6740" s="124" t="s">
        <v>9227</v>
      </c>
      <c r="B6740" s="124" t="s">
        <v>11736</v>
      </c>
      <c r="C6740" s="132"/>
      <c r="D6740" s="125">
        <f>COUNTIF(A1669:A6739,A6740)</f>
        <v>0</v>
      </c>
      <c r="E6740" s="124" t="s">
        <v>8367</v>
      </c>
      <c r="F6740" s="126">
        <v>7</v>
      </c>
      <c r="G6740" s="128">
        <v>3933.6</v>
      </c>
      <c r="H6740" s="124" t="s">
        <v>8368</v>
      </c>
      <c r="I6740" s="127">
        <v>10.199999999999999</v>
      </c>
      <c r="J6740" s="127">
        <v>51</v>
      </c>
    </row>
    <row r="6741" spans="1:10" hidden="1" x14ac:dyDescent="0.25">
      <c r="A6741" s="124" t="s">
        <v>9228</v>
      </c>
      <c r="B6741" s="124" t="s">
        <v>11736</v>
      </c>
      <c r="C6741" s="132"/>
      <c r="D6741" s="125">
        <f>COUNTIF(A1670:A6740,A6741)</f>
        <v>0</v>
      </c>
      <c r="E6741" s="124" t="s">
        <v>8367</v>
      </c>
      <c r="F6741" s="126">
        <v>6</v>
      </c>
      <c r="G6741" s="128">
        <v>1999.2</v>
      </c>
      <c r="H6741" s="124" t="s">
        <v>8368</v>
      </c>
      <c r="I6741" s="127">
        <v>6.9</v>
      </c>
      <c r="J6741" s="127">
        <v>34.5</v>
      </c>
    </row>
    <row r="6742" spans="1:10" hidden="1" x14ac:dyDescent="0.25">
      <c r="A6742" s="124" t="s">
        <v>9229</v>
      </c>
      <c r="B6742" s="124" t="s">
        <v>11736</v>
      </c>
      <c r="C6742" s="132"/>
      <c r="D6742" s="125">
        <f>COUNTIF(A1671:A6741,A6742)</f>
        <v>0</v>
      </c>
      <c r="E6742" s="124" t="s">
        <v>8367</v>
      </c>
      <c r="F6742" s="126">
        <v>4</v>
      </c>
      <c r="G6742" s="127">
        <v>105.6</v>
      </c>
      <c r="H6742" s="124" t="s">
        <v>8368</v>
      </c>
      <c r="I6742" s="127">
        <v>29</v>
      </c>
      <c r="J6742" s="127">
        <v>145</v>
      </c>
    </row>
    <row r="6743" spans="1:10" hidden="1" x14ac:dyDescent="0.25">
      <c r="A6743" s="124" t="s">
        <v>9230</v>
      </c>
      <c r="B6743" s="124" t="s">
        <v>11736</v>
      </c>
      <c r="C6743" s="132"/>
      <c r="D6743" s="125">
        <f t="shared" ref="D6743:D6749" si="63">COUNTIF(A1673:A6742,A6743)</f>
        <v>0</v>
      </c>
      <c r="E6743" s="124" t="s">
        <v>8367</v>
      </c>
      <c r="F6743" s="126">
        <v>8</v>
      </c>
      <c r="G6743" s="127">
        <v>61.2</v>
      </c>
      <c r="H6743" s="124" t="s">
        <v>8368</v>
      </c>
      <c r="I6743" s="127">
        <v>23.2</v>
      </c>
      <c r="J6743" s="127">
        <v>116</v>
      </c>
    </row>
    <row r="6744" spans="1:10" hidden="1" x14ac:dyDescent="0.25">
      <c r="A6744" s="124" t="s">
        <v>9231</v>
      </c>
      <c r="B6744" s="124" t="s">
        <v>11736</v>
      </c>
      <c r="C6744" s="132"/>
      <c r="D6744" s="125">
        <f t="shared" si="63"/>
        <v>0</v>
      </c>
      <c r="E6744" s="124" t="s">
        <v>8367</v>
      </c>
      <c r="F6744" s="126">
        <v>3</v>
      </c>
      <c r="G6744" s="127">
        <v>41.4</v>
      </c>
      <c r="H6744" s="124" t="s">
        <v>8368</v>
      </c>
      <c r="I6744" s="127">
        <v>53.4</v>
      </c>
      <c r="J6744" s="127">
        <v>267</v>
      </c>
    </row>
    <row r="6745" spans="1:10" hidden="1" x14ac:dyDescent="0.25">
      <c r="A6745" s="124" t="s">
        <v>9232</v>
      </c>
      <c r="B6745" s="124" t="s">
        <v>11736</v>
      </c>
      <c r="C6745" s="132"/>
      <c r="D6745" s="125">
        <f t="shared" si="63"/>
        <v>0</v>
      </c>
      <c r="E6745" s="124" t="s">
        <v>8367</v>
      </c>
      <c r="F6745" s="126">
        <v>3</v>
      </c>
      <c r="G6745" s="127">
        <v>174</v>
      </c>
      <c r="H6745" s="124" t="s">
        <v>8368</v>
      </c>
      <c r="I6745" s="127">
        <v>82.2</v>
      </c>
      <c r="J6745" s="127">
        <v>411</v>
      </c>
    </row>
    <row r="6746" spans="1:10" hidden="1" x14ac:dyDescent="0.25">
      <c r="A6746" s="124" t="s">
        <v>9233</v>
      </c>
      <c r="B6746" s="124" t="s">
        <v>11736</v>
      </c>
      <c r="C6746" s="132"/>
      <c r="D6746" s="125">
        <f t="shared" si="63"/>
        <v>0</v>
      </c>
      <c r="E6746" s="124" t="s">
        <v>8367</v>
      </c>
      <c r="F6746" s="126">
        <v>21</v>
      </c>
      <c r="G6746" s="127">
        <v>139.19999999999999</v>
      </c>
      <c r="H6746" s="124" t="s">
        <v>8368</v>
      </c>
      <c r="I6746" s="127">
        <v>9.6</v>
      </c>
      <c r="J6746" s="127">
        <v>48</v>
      </c>
    </row>
    <row r="6747" spans="1:10" hidden="1" x14ac:dyDescent="0.25">
      <c r="A6747" s="124" t="s">
        <v>9234</v>
      </c>
      <c r="B6747" s="124" t="s">
        <v>11736</v>
      </c>
      <c r="C6747" s="132"/>
      <c r="D6747" s="125">
        <f t="shared" si="63"/>
        <v>0</v>
      </c>
      <c r="E6747" s="124" t="s">
        <v>8367</v>
      </c>
      <c r="F6747" s="126">
        <v>8</v>
      </c>
      <c r="G6747" s="127">
        <v>320.39999999999998</v>
      </c>
      <c r="H6747" s="124" t="s">
        <v>8368</v>
      </c>
      <c r="I6747" s="127">
        <v>16.8</v>
      </c>
      <c r="J6747" s="127">
        <v>84</v>
      </c>
    </row>
    <row r="6748" spans="1:10" hidden="1" x14ac:dyDescent="0.25">
      <c r="A6748" s="124" t="s">
        <v>9235</v>
      </c>
      <c r="B6748" s="124" t="s">
        <v>11736</v>
      </c>
      <c r="C6748" s="132"/>
      <c r="D6748" s="125">
        <f t="shared" si="63"/>
        <v>0</v>
      </c>
      <c r="E6748" s="124" t="s">
        <v>8367</v>
      </c>
      <c r="F6748" s="126">
        <v>26</v>
      </c>
      <c r="G6748" s="127">
        <v>493.2</v>
      </c>
      <c r="H6748" s="124" t="s">
        <v>8368</v>
      </c>
      <c r="I6748" s="127">
        <v>88.1</v>
      </c>
      <c r="J6748" s="127">
        <v>440.5</v>
      </c>
    </row>
    <row r="6749" spans="1:10" hidden="1" x14ac:dyDescent="0.25">
      <c r="A6749" s="124" t="s">
        <v>9236</v>
      </c>
      <c r="B6749" s="124" t="s">
        <v>11736</v>
      </c>
      <c r="C6749" s="132"/>
      <c r="D6749" s="125">
        <f t="shared" si="63"/>
        <v>0</v>
      </c>
      <c r="E6749" s="124" t="s">
        <v>8367</v>
      </c>
      <c r="F6749" s="126">
        <v>11</v>
      </c>
      <c r="G6749" s="127">
        <v>57.6</v>
      </c>
      <c r="H6749" s="124" t="s">
        <v>8368</v>
      </c>
      <c r="I6749" s="127">
        <v>28.6</v>
      </c>
      <c r="J6749" s="127">
        <v>143</v>
      </c>
    </row>
    <row r="6750" spans="1:10" hidden="1" x14ac:dyDescent="0.25">
      <c r="A6750" s="124" t="s">
        <v>9237</v>
      </c>
      <c r="B6750" s="124" t="s">
        <v>11736</v>
      </c>
      <c r="C6750" s="132"/>
      <c r="D6750" s="125">
        <f>COUNTIF(A1681:A6749,A6750)</f>
        <v>0</v>
      </c>
      <c r="E6750" s="124" t="s">
        <v>8367</v>
      </c>
      <c r="F6750" s="126">
        <v>4</v>
      </c>
      <c r="G6750" s="127">
        <v>100.8</v>
      </c>
      <c r="H6750" s="124" t="s">
        <v>8368</v>
      </c>
      <c r="I6750" s="127">
        <v>274.2</v>
      </c>
      <c r="J6750" s="128">
        <v>1371</v>
      </c>
    </row>
    <row r="6751" spans="1:10" hidden="1" x14ac:dyDescent="0.25">
      <c r="A6751" s="124" t="s">
        <v>9238</v>
      </c>
      <c r="B6751" s="124" t="s">
        <v>11736</v>
      </c>
      <c r="C6751" s="132"/>
      <c r="D6751" s="125">
        <f>COUNTIF(A1682:A6750,A6751)</f>
        <v>0</v>
      </c>
      <c r="E6751" s="124" t="s">
        <v>8367</v>
      </c>
      <c r="F6751" s="126">
        <v>1</v>
      </c>
      <c r="G6751" s="127">
        <v>528.6</v>
      </c>
      <c r="H6751" s="124" t="s">
        <v>8368</v>
      </c>
      <c r="I6751" s="127">
        <v>259.2</v>
      </c>
      <c r="J6751" s="128">
        <v>1296</v>
      </c>
    </row>
    <row r="6752" spans="1:10" hidden="1" x14ac:dyDescent="0.25">
      <c r="A6752" s="124" t="s">
        <v>9239</v>
      </c>
      <c r="B6752" s="124" t="s">
        <v>11736</v>
      </c>
      <c r="C6752" s="132"/>
      <c r="D6752" s="125">
        <f>COUNTIF(A1683:A6751,A6752)</f>
        <v>0</v>
      </c>
      <c r="E6752" s="124" t="s">
        <v>8367</v>
      </c>
      <c r="F6752" s="126">
        <v>1</v>
      </c>
      <c r="G6752" s="127">
        <v>171.6</v>
      </c>
      <c r="H6752" s="124" t="s">
        <v>8368</v>
      </c>
      <c r="I6752" s="127">
        <v>102.6</v>
      </c>
      <c r="J6752" s="127">
        <v>513</v>
      </c>
    </row>
    <row r="6753" spans="1:10" hidden="1" x14ac:dyDescent="0.25">
      <c r="A6753" s="124" t="s">
        <v>9240</v>
      </c>
      <c r="B6753" s="124" t="s">
        <v>11736</v>
      </c>
      <c r="C6753" s="132"/>
      <c r="D6753" s="125">
        <f t="shared" ref="D6753:D6759" si="64">COUNTIF(A1685:A6752,A6753)</f>
        <v>0</v>
      </c>
      <c r="E6753" s="124" t="s">
        <v>8367</v>
      </c>
      <c r="F6753" s="126">
        <v>5</v>
      </c>
      <c r="G6753" s="128">
        <v>1645.2</v>
      </c>
      <c r="H6753" s="124" t="s">
        <v>8368</v>
      </c>
      <c r="I6753" s="127">
        <v>715.2</v>
      </c>
      <c r="J6753" s="128">
        <v>3576</v>
      </c>
    </row>
    <row r="6754" spans="1:10" hidden="1" x14ac:dyDescent="0.25">
      <c r="A6754" s="124" t="s">
        <v>9241</v>
      </c>
      <c r="B6754" s="124" t="s">
        <v>11736</v>
      </c>
      <c r="C6754" s="132"/>
      <c r="D6754" s="125">
        <f t="shared" si="64"/>
        <v>0</v>
      </c>
      <c r="E6754" s="124" t="s">
        <v>8367</v>
      </c>
      <c r="F6754" s="126">
        <v>5</v>
      </c>
      <c r="G6754" s="128">
        <v>1555.2</v>
      </c>
      <c r="H6754" s="124" t="s">
        <v>8368</v>
      </c>
      <c r="I6754" s="127">
        <v>96.6</v>
      </c>
      <c r="J6754" s="127">
        <v>483</v>
      </c>
    </row>
    <row r="6755" spans="1:10" hidden="1" x14ac:dyDescent="0.25">
      <c r="A6755" s="124" t="s">
        <v>9242</v>
      </c>
      <c r="B6755" s="124" t="s">
        <v>11736</v>
      </c>
      <c r="C6755" s="132"/>
      <c r="D6755" s="125">
        <f t="shared" si="64"/>
        <v>0</v>
      </c>
      <c r="E6755" s="124" t="s">
        <v>8367</v>
      </c>
      <c r="F6755" s="126">
        <v>1</v>
      </c>
      <c r="G6755" s="127">
        <v>615.6</v>
      </c>
      <c r="H6755" s="124" t="s">
        <v>8368</v>
      </c>
      <c r="I6755" s="127">
        <v>459.6</v>
      </c>
      <c r="J6755" s="128">
        <v>2298</v>
      </c>
    </row>
    <row r="6756" spans="1:10" hidden="1" x14ac:dyDescent="0.25">
      <c r="A6756" s="124" t="s">
        <v>9243</v>
      </c>
      <c r="B6756" s="124" t="s">
        <v>11736</v>
      </c>
      <c r="C6756" s="132"/>
      <c r="D6756" s="125">
        <f t="shared" si="64"/>
        <v>0</v>
      </c>
      <c r="E6756" s="124" t="s">
        <v>8367</v>
      </c>
      <c r="F6756" s="126">
        <v>10</v>
      </c>
      <c r="G6756" s="128">
        <v>4291.2</v>
      </c>
      <c r="H6756" s="124" t="s">
        <v>8368</v>
      </c>
      <c r="I6756" s="127">
        <v>86.8</v>
      </c>
      <c r="J6756" s="127">
        <v>434</v>
      </c>
    </row>
    <row r="6757" spans="1:10" hidden="1" x14ac:dyDescent="0.25">
      <c r="A6757" s="124" t="s">
        <v>9244</v>
      </c>
      <c r="B6757" s="124" t="s">
        <v>11736</v>
      </c>
      <c r="C6757" s="132"/>
      <c r="D6757" s="125">
        <f t="shared" si="64"/>
        <v>0</v>
      </c>
      <c r="E6757" s="124" t="s">
        <v>8367</v>
      </c>
      <c r="F6757" s="126">
        <v>1</v>
      </c>
      <c r="G6757" s="127">
        <v>579.6</v>
      </c>
      <c r="H6757" s="124" t="s">
        <v>8368</v>
      </c>
      <c r="I6757" s="127">
        <v>165.6</v>
      </c>
      <c r="J6757" s="127">
        <v>828</v>
      </c>
    </row>
    <row r="6758" spans="1:10" hidden="1" x14ac:dyDescent="0.25">
      <c r="A6758" s="124" t="s">
        <v>9245</v>
      </c>
      <c r="B6758" s="124" t="s">
        <v>11736</v>
      </c>
      <c r="C6758" s="132"/>
      <c r="D6758" s="125">
        <f t="shared" si="64"/>
        <v>0</v>
      </c>
      <c r="E6758" s="124" t="s">
        <v>8367</v>
      </c>
      <c r="F6758" s="126">
        <v>3</v>
      </c>
      <c r="G6758" s="128">
        <v>2757.6</v>
      </c>
      <c r="H6758" s="124" t="s">
        <v>8368</v>
      </c>
      <c r="I6758" s="127">
        <v>119.6</v>
      </c>
      <c r="J6758" s="127">
        <v>598</v>
      </c>
    </row>
    <row r="6759" spans="1:10" hidden="1" x14ac:dyDescent="0.25">
      <c r="A6759" s="124" t="s">
        <v>9246</v>
      </c>
      <c r="B6759" s="124" t="s">
        <v>11736</v>
      </c>
      <c r="C6759" s="132"/>
      <c r="D6759" s="125">
        <f t="shared" si="64"/>
        <v>0</v>
      </c>
      <c r="E6759" s="124" t="s">
        <v>8367</v>
      </c>
      <c r="F6759" s="126">
        <v>1</v>
      </c>
      <c r="G6759" s="127">
        <v>520.79999999999995</v>
      </c>
      <c r="H6759" s="124" t="s">
        <v>8368</v>
      </c>
      <c r="I6759" s="127">
        <v>253.6</v>
      </c>
      <c r="J6759" s="128">
        <v>1268</v>
      </c>
    </row>
    <row r="6760" spans="1:10" hidden="1" x14ac:dyDescent="0.25">
      <c r="A6760" s="124" t="s">
        <v>9247</v>
      </c>
      <c r="B6760" s="124" t="s">
        <v>11736</v>
      </c>
      <c r="C6760" s="132"/>
      <c r="D6760" s="125">
        <f>COUNTIF(A1693:A6759,A6760)</f>
        <v>0</v>
      </c>
      <c r="E6760" s="124" t="s">
        <v>8367</v>
      </c>
      <c r="F6760" s="126">
        <v>1</v>
      </c>
      <c r="G6760" s="127">
        <v>993.6</v>
      </c>
      <c r="H6760" s="124" t="s">
        <v>8368</v>
      </c>
      <c r="I6760" s="127">
        <v>739.6</v>
      </c>
      <c r="J6760" s="128">
        <v>3698</v>
      </c>
    </row>
    <row r="6761" spans="1:10" hidden="1" x14ac:dyDescent="0.25">
      <c r="A6761" s="124" t="s">
        <v>9248</v>
      </c>
      <c r="B6761" s="124" t="s">
        <v>11736</v>
      </c>
      <c r="C6761" s="132"/>
      <c r="D6761" s="125">
        <f>COUNTIF(A1694:A6760,A6761)</f>
        <v>0</v>
      </c>
      <c r="E6761" s="124" t="s">
        <v>8367</v>
      </c>
      <c r="F6761" s="126">
        <v>1</v>
      </c>
      <c r="G6761" s="127">
        <v>717.6</v>
      </c>
      <c r="H6761" s="124" t="s">
        <v>8368</v>
      </c>
      <c r="I6761" s="127">
        <v>402.4</v>
      </c>
      <c r="J6761" s="128">
        <v>2012</v>
      </c>
    </row>
    <row r="6762" spans="1:10" hidden="1" x14ac:dyDescent="0.25">
      <c r="A6762" s="124" t="s">
        <v>9249</v>
      </c>
      <c r="B6762" s="124" t="s">
        <v>11736</v>
      </c>
      <c r="C6762" s="132"/>
      <c r="D6762" s="125">
        <f>COUNTIF(A1695:A6761,A6762)</f>
        <v>0</v>
      </c>
      <c r="E6762" s="124" t="s">
        <v>8367</v>
      </c>
      <c r="F6762" s="126">
        <v>1</v>
      </c>
      <c r="G6762" s="128">
        <v>1521.6</v>
      </c>
      <c r="H6762" s="124" t="s">
        <v>8368</v>
      </c>
      <c r="I6762" s="128">
        <v>1848.4</v>
      </c>
      <c r="J6762" s="128">
        <v>9242</v>
      </c>
    </row>
    <row r="6763" spans="1:10" hidden="1" x14ac:dyDescent="0.25">
      <c r="A6763" s="124" t="s">
        <v>2379</v>
      </c>
      <c r="B6763" s="124" t="s">
        <v>11736</v>
      </c>
      <c r="C6763" s="132"/>
      <c r="D6763" s="125">
        <f>COUNTIF(A1696:A6762,A6763)</f>
        <v>0</v>
      </c>
      <c r="E6763" s="124" t="s">
        <v>8367</v>
      </c>
      <c r="F6763" s="126">
        <v>3</v>
      </c>
      <c r="G6763" s="128">
        <v>4437.6000000000004</v>
      </c>
      <c r="H6763" s="124" t="s">
        <v>8368</v>
      </c>
      <c r="I6763" s="128">
        <v>9014</v>
      </c>
      <c r="J6763" s="128">
        <v>45070</v>
      </c>
    </row>
    <row r="6764" spans="1:10" hidden="1" x14ac:dyDescent="0.25">
      <c r="A6764" s="124" t="s">
        <v>9250</v>
      </c>
      <c r="B6764" s="124" t="s">
        <v>11736</v>
      </c>
      <c r="C6764" s="132"/>
      <c r="D6764" s="125">
        <f t="shared" ref="D6764:D6775" si="65">COUNTIF(A1698:A6763,A6764)</f>
        <v>0</v>
      </c>
      <c r="E6764" s="124" t="s">
        <v>8367</v>
      </c>
      <c r="F6764" s="126">
        <v>1</v>
      </c>
      <c r="G6764" s="128">
        <v>2414.4</v>
      </c>
      <c r="H6764" s="124" t="s">
        <v>8368</v>
      </c>
      <c r="I6764" s="128">
        <v>1550.4</v>
      </c>
      <c r="J6764" s="128">
        <v>7752</v>
      </c>
    </row>
    <row r="6765" spans="1:10" hidden="1" x14ac:dyDescent="0.25">
      <c r="A6765" s="124" t="s">
        <v>9251</v>
      </c>
      <c r="B6765" s="124" t="s">
        <v>11736</v>
      </c>
      <c r="C6765" s="132"/>
      <c r="D6765" s="125">
        <f t="shared" si="65"/>
        <v>0</v>
      </c>
      <c r="E6765" s="124" t="s">
        <v>8367</v>
      </c>
      <c r="F6765" s="126">
        <v>1</v>
      </c>
      <c r="G6765" s="128">
        <v>11090.4</v>
      </c>
      <c r="H6765" s="124" t="s">
        <v>8368</v>
      </c>
      <c r="I6765" s="128">
        <v>16570.8</v>
      </c>
      <c r="J6765" s="128">
        <v>82854</v>
      </c>
    </row>
    <row r="6766" spans="1:10" hidden="1" x14ac:dyDescent="0.25">
      <c r="A6766" s="124" t="s">
        <v>9252</v>
      </c>
      <c r="B6766" s="124" t="s">
        <v>11736</v>
      </c>
      <c r="C6766" s="132"/>
      <c r="D6766" s="125">
        <f t="shared" si="65"/>
        <v>0</v>
      </c>
      <c r="E6766" s="124" t="s">
        <v>8367</v>
      </c>
      <c r="F6766" s="126">
        <v>1</v>
      </c>
      <c r="G6766" s="128">
        <v>54084</v>
      </c>
      <c r="H6766" s="124" t="s">
        <v>8368</v>
      </c>
      <c r="I6766" s="128">
        <v>1932.4</v>
      </c>
      <c r="J6766" s="128">
        <v>9662</v>
      </c>
    </row>
    <row r="6767" spans="1:10" hidden="1" x14ac:dyDescent="0.25">
      <c r="A6767" s="124" t="s">
        <v>9253</v>
      </c>
      <c r="B6767" s="124" t="s">
        <v>11736</v>
      </c>
      <c r="C6767" s="132"/>
      <c r="D6767" s="125">
        <f t="shared" si="65"/>
        <v>0</v>
      </c>
      <c r="E6767" s="124" t="s">
        <v>8367</v>
      </c>
      <c r="F6767" s="126">
        <v>1</v>
      </c>
      <c r="G6767" s="128">
        <v>9302.4</v>
      </c>
      <c r="H6767" s="124" t="s">
        <v>8368</v>
      </c>
      <c r="I6767" s="128">
        <v>18496.400000000001</v>
      </c>
      <c r="J6767" s="128">
        <v>92482</v>
      </c>
    </row>
    <row r="6768" spans="1:10" hidden="1" x14ac:dyDescent="0.25">
      <c r="A6768" s="124" t="s">
        <v>9254</v>
      </c>
      <c r="B6768" s="124" t="s">
        <v>11736</v>
      </c>
      <c r="C6768" s="132"/>
      <c r="D6768" s="125">
        <f t="shared" si="65"/>
        <v>0</v>
      </c>
      <c r="E6768" s="124" t="s">
        <v>8367</v>
      </c>
      <c r="F6768" s="126">
        <v>1</v>
      </c>
      <c r="G6768" s="128">
        <v>99424.8</v>
      </c>
      <c r="H6768" s="124" t="s">
        <v>8368</v>
      </c>
      <c r="I6768" s="128">
        <v>6041.4</v>
      </c>
      <c r="J6768" s="128">
        <v>30207</v>
      </c>
    </row>
    <row r="6769" spans="1:10" hidden="1" x14ac:dyDescent="0.25">
      <c r="A6769" s="124" t="s">
        <v>9255</v>
      </c>
      <c r="B6769" s="124" t="s">
        <v>11736</v>
      </c>
      <c r="C6769" s="132"/>
      <c r="D6769" s="125">
        <f t="shared" si="65"/>
        <v>0</v>
      </c>
      <c r="E6769" s="124" t="s">
        <v>8367</v>
      </c>
      <c r="F6769" s="126">
        <v>1</v>
      </c>
      <c r="G6769" s="128">
        <v>11594.4</v>
      </c>
      <c r="H6769" s="124" t="s">
        <v>8368</v>
      </c>
      <c r="I6769" s="128">
        <v>2106.4</v>
      </c>
      <c r="J6769" s="128">
        <v>10532</v>
      </c>
    </row>
    <row r="6770" spans="1:10" hidden="1" x14ac:dyDescent="0.25">
      <c r="A6770" s="124" t="s">
        <v>9256</v>
      </c>
      <c r="B6770" s="124" t="s">
        <v>11736</v>
      </c>
      <c r="C6770" s="132"/>
      <c r="D6770" s="125">
        <f t="shared" si="65"/>
        <v>0</v>
      </c>
      <c r="E6770" s="124" t="s">
        <v>8367</v>
      </c>
      <c r="F6770" s="126">
        <v>2</v>
      </c>
      <c r="G6770" s="128">
        <v>110978.4</v>
      </c>
      <c r="H6770" s="124" t="s">
        <v>8368</v>
      </c>
      <c r="I6770" s="128">
        <v>1074.5999999999999</v>
      </c>
      <c r="J6770" s="128">
        <v>5373</v>
      </c>
    </row>
    <row r="6771" spans="1:10" hidden="1" x14ac:dyDescent="0.25">
      <c r="A6771" s="124" t="s">
        <v>9257</v>
      </c>
      <c r="B6771" s="124" t="s">
        <v>11736</v>
      </c>
      <c r="C6771" s="132"/>
      <c r="D6771" s="125">
        <f t="shared" si="65"/>
        <v>0</v>
      </c>
      <c r="E6771" s="124" t="s">
        <v>8367</v>
      </c>
      <c r="F6771" s="126">
        <v>1</v>
      </c>
      <c r="G6771" s="128">
        <v>36248.400000000001</v>
      </c>
      <c r="H6771" s="124" t="s">
        <v>8368</v>
      </c>
      <c r="I6771" s="127">
        <v>215.4</v>
      </c>
      <c r="J6771" s="128">
        <v>1077</v>
      </c>
    </row>
    <row r="6772" spans="1:10" hidden="1" x14ac:dyDescent="0.25">
      <c r="A6772" s="124" t="s">
        <v>9258</v>
      </c>
      <c r="B6772" s="124" t="s">
        <v>11736</v>
      </c>
      <c r="C6772" s="132"/>
      <c r="D6772" s="125">
        <f t="shared" si="65"/>
        <v>0</v>
      </c>
      <c r="E6772" s="124" t="s">
        <v>8367</v>
      </c>
      <c r="F6772" s="126">
        <v>3</v>
      </c>
      <c r="G6772" s="128">
        <v>12638.4</v>
      </c>
      <c r="H6772" s="124" t="s">
        <v>8368</v>
      </c>
      <c r="I6772" s="127">
        <v>437.8</v>
      </c>
      <c r="J6772" s="128">
        <v>2189</v>
      </c>
    </row>
    <row r="6773" spans="1:10" hidden="1" x14ac:dyDescent="0.25">
      <c r="A6773" s="124" t="s">
        <v>9259</v>
      </c>
      <c r="B6773" s="124" t="s">
        <v>11736</v>
      </c>
      <c r="C6773" s="132"/>
      <c r="D6773" s="125">
        <f t="shared" si="65"/>
        <v>0</v>
      </c>
      <c r="E6773" s="124" t="s">
        <v>8367</v>
      </c>
      <c r="F6773" s="126">
        <v>3</v>
      </c>
      <c r="G6773" s="128">
        <v>6447.6</v>
      </c>
      <c r="H6773" s="124" t="s">
        <v>8368</v>
      </c>
      <c r="I6773" s="127">
        <v>202.6</v>
      </c>
      <c r="J6773" s="128">
        <v>1013</v>
      </c>
    </row>
    <row r="6774" spans="1:10" hidden="1" x14ac:dyDescent="0.25">
      <c r="A6774" s="124" t="s">
        <v>9260</v>
      </c>
      <c r="B6774" s="124" t="s">
        <v>11736</v>
      </c>
      <c r="C6774" s="132"/>
      <c r="D6774" s="125">
        <f t="shared" si="65"/>
        <v>0</v>
      </c>
      <c r="E6774" s="124" t="s">
        <v>8367</v>
      </c>
      <c r="F6774" s="126">
        <v>2</v>
      </c>
      <c r="G6774" s="128">
        <v>1292.4000000000001</v>
      </c>
      <c r="H6774" s="124" t="s">
        <v>8368</v>
      </c>
      <c r="I6774" s="127">
        <v>251.6</v>
      </c>
      <c r="J6774" s="128">
        <v>1258</v>
      </c>
    </row>
    <row r="6775" spans="1:10" hidden="1" x14ac:dyDescent="0.25">
      <c r="A6775" s="124" t="s">
        <v>9261</v>
      </c>
      <c r="B6775" s="124" t="s">
        <v>11736</v>
      </c>
      <c r="C6775" s="132"/>
      <c r="D6775" s="125">
        <f t="shared" si="65"/>
        <v>0</v>
      </c>
      <c r="E6775" s="124" t="s">
        <v>8367</v>
      </c>
      <c r="F6775" s="126">
        <v>3</v>
      </c>
      <c r="G6775" s="128">
        <v>2626.8</v>
      </c>
      <c r="H6775" s="124" t="s">
        <v>8368</v>
      </c>
      <c r="I6775" s="127">
        <v>137.19999999999999</v>
      </c>
      <c r="J6775" s="127">
        <v>686</v>
      </c>
    </row>
    <row r="6776" spans="1:10" hidden="1" x14ac:dyDescent="0.25">
      <c r="A6776" s="124" t="s">
        <v>9262</v>
      </c>
      <c r="B6776" s="124" t="s">
        <v>11736</v>
      </c>
      <c r="C6776" s="132"/>
      <c r="D6776" s="125">
        <f>COUNTIF(A1711:A6775,A6776)</f>
        <v>0</v>
      </c>
      <c r="E6776" s="124" t="s">
        <v>8367</v>
      </c>
      <c r="F6776" s="126">
        <v>3</v>
      </c>
      <c r="G6776" s="128">
        <v>1215.5999999999999</v>
      </c>
      <c r="H6776" s="124" t="s">
        <v>8368</v>
      </c>
      <c r="I6776" s="127">
        <v>501.4</v>
      </c>
      <c r="J6776" s="128">
        <v>2507</v>
      </c>
    </row>
    <row r="6777" spans="1:10" hidden="1" x14ac:dyDescent="0.25">
      <c r="A6777" s="124" t="s">
        <v>9263</v>
      </c>
      <c r="B6777" s="124" t="s">
        <v>11736</v>
      </c>
      <c r="C6777" s="132"/>
      <c r="D6777" s="125">
        <f>COUNTIF(A1712:A6776,A6777)</f>
        <v>0</v>
      </c>
      <c r="E6777" s="124" t="s">
        <v>8367</v>
      </c>
      <c r="F6777" s="126">
        <v>2</v>
      </c>
      <c r="G6777" s="128">
        <v>1509.6</v>
      </c>
      <c r="H6777" s="124" t="s">
        <v>8368</v>
      </c>
      <c r="I6777" s="128">
        <v>4296.6000000000004</v>
      </c>
      <c r="J6777" s="128">
        <v>21483</v>
      </c>
    </row>
    <row r="6778" spans="1:10" hidden="1" x14ac:dyDescent="0.25">
      <c r="A6778" s="124" t="s">
        <v>9264</v>
      </c>
      <c r="B6778" s="124" t="s">
        <v>11736</v>
      </c>
      <c r="C6778" s="132"/>
      <c r="D6778" s="125">
        <f>COUNTIF(A1713:A6777,A6778)</f>
        <v>0</v>
      </c>
      <c r="E6778" s="124" t="s">
        <v>8367</v>
      </c>
      <c r="F6778" s="126">
        <v>1</v>
      </c>
      <c r="G6778" s="127">
        <v>823.2</v>
      </c>
      <c r="H6778" s="124" t="s">
        <v>8368</v>
      </c>
      <c r="I6778" s="128">
        <v>8365.7999999999993</v>
      </c>
      <c r="J6778" s="128">
        <v>41829</v>
      </c>
    </row>
    <row r="6779" spans="1:10" hidden="1" x14ac:dyDescent="0.25">
      <c r="A6779" s="124" t="s">
        <v>9265</v>
      </c>
      <c r="B6779" s="124" t="s">
        <v>11736</v>
      </c>
      <c r="C6779" s="132"/>
      <c r="D6779" s="125">
        <f>COUNTIF(A1714:A6778,A6779)</f>
        <v>0</v>
      </c>
      <c r="E6779" s="124" t="s">
        <v>8367</v>
      </c>
      <c r="F6779" s="126">
        <v>1</v>
      </c>
      <c r="G6779" s="128">
        <v>3008.4</v>
      </c>
      <c r="H6779" s="124" t="s">
        <v>8368</v>
      </c>
      <c r="I6779" s="127">
        <v>784.2</v>
      </c>
      <c r="J6779" s="128">
        <v>3921</v>
      </c>
    </row>
    <row r="6780" spans="1:10" hidden="1" x14ac:dyDescent="0.25">
      <c r="A6780" s="124" t="s">
        <v>9266</v>
      </c>
      <c r="B6780" s="124" t="s">
        <v>11736</v>
      </c>
      <c r="C6780" s="132"/>
      <c r="D6780" s="125">
        <f>COUNTIF(A1717:A6779,A6780)</f>
        <v>0</v>
      </c>
      <c r="E6780" s="124" t="s">
        <v>8367</v>
      </c>
      <c r="F6780" s="126">
        <v>900</v>
      </c>
      <c r="G6780" s="128">
        <v>25779.599999999999</v>
      </c>
      <c r="H6780" s="124" t="s">
        <v>8368</v>
      </c>
      <c r="I6780" s="128">
        <v>30666.6</v>
      </c>
      <c r="J6780" s="128">
        <v>153333</v>
      </c>
    </row>
    <row r="6781" spans="1:10" hidden="1" x14ac:dyDescent="0.25">
      <c r="A6781" s="124" t="s">
        <v>9267</v>
      </c>
      <c r="B6781" s="124" t="s">
        <v>11736</v>
      </c>
      <c r="C6781" s="132"/>
      <c r="D6781" s="125">
        <f t="shared" ref="D6781:D6786" si="66">COUNTIF(A1728:A6780,A6781)</f>
        <v>0</v>
      </c>
      <c r="E6781" s="124" t="s">
        <v>8367</v>
      </c>
      <c r="F6781" s="126">
        <v>2</v>
      </c>
      <c r="G6781" s="128">
        <v>50194.8</v>
      </c>
      <c r="H6781" s="124" t="s">
        <v>8368</v>
      </c>
      <c r="I6781" s="128">
        <v>10000</v>
      </c>
      <c r="J6781" s="128">
        <v>50000</v>
      </c>
    </row>
    <row r="6782" spans="1:10" hidden="1" x14ac:dyDescent="0.25">
      <c r="A6782" s="124" t="s">
        <v>9268</v>
      </c>
      <c r="B6782" s="124" t="s">
        <v>11736</v>
      </c>
      <c r="C6782" s="132"/>
      <c r="D6782" s="125">
        <f t="shared" si="66"/>
        <v>0</v>
      </c>
      <c r="E6782" s="124" t="s">
        <v>8367</v>
      </c>
      <c r="F6782" s="126">
        <v>2</v>
      </c>
      <c r="G6782" s="128">
        <v>4705.2</v>
      </c>
      <c r="H6782" s="124" t="s">
        <v>8368</v>
      </c>
      <c r="I6782" s="128">
        <v>22666.6</v>
      </c>
      <c r="J6782" s="128">
        <v>113333</v>
      </c>
    </row>
    <row r="6783" spans="1:10" hidden="1" x14ac:dyDescent="0.25">
      <c r="A6783" s="124" t="s">
        <v>9269</v>
      </c>
      <c r="B6783" s="124" t="s">
        <v>11736</v>
      </c>
      <c r="C6783" s="132"/>
      <c r="D6783" s="125">
        <f t="shared" si="66"/>
        <v>0</v>
      </c>
      <c r="E6783" s="124" t="s">
        <v>9270</v>
      </c>
      <c r="F6783" s="126">
        <v>8</v>
      </c>
      <c r="G6783" s="128">
        <v>183999.6</v>
      </c>
      <c r="H6783" s="124" t="s">
        <v>8368</v>
      </c>
      <c r="I6783" s="128">
        <v>10000</v>
      </c>
      <c r="J6783" s="128">
        <v>50000</v>
      </c>
    </row>
    <row r="6784" spans="1:10" hidden="1" x14ac:dyDescent="0.25">
      <c r="A6784" s="124" t="s">
        <v>9271</v>
      </c>
      <c r="B6784" s="124" t="s">
        <v>11736</v>
      </c>
      <c r="C6784" s="132"/>
      <c r="D6784" s="125">
        <f t="shared" si="66"/>
        <v>0</v>
      </c>
      <c r="E6784" s="124" t="s">
        <v>9270</v>
      </c>
      <c r="F6784" s="126">
        <v>4</v>
      </c>
      <c r="G6784" s="128">
        <v>60000</v>
      </c>
      <c r="H6784" s="124" t="s">
        <v>8368</v>
      </c>
      <c r="I6784" s="128">
        <v>1750</v>
      </c>
      <c r="J6784" s="128">
        <v>8750</v>
      </c>
    </row>
    <row r="6785" spans="1:10" hidden="1" x14ac:dyDescent="0.25">
      <c r="A6785" s="124" t="s">
        <v>9272</v>
      </c>
      <c r="B6785" s="124" t="s">
        <v>11736</v>
      </c>
      <c r="C6785" s="132"/>
      <c r="D6785" s="125">
        <f t="shared" si="66"/>
        <v>0</v>
      </c>
      <c r="E6785" s="124" t="s">
        <v>8367</v>
      </c>
      <c r="F6785" s="126">
        <v>8</v>
      </c>
      <c r="G6785" s="128">
        <v>135999.6</v>
      </c>
      <c r="H6785" s="124" t="s">
        <v>8368</v>
      </c>
      <c r="I6785" s="127">
        <v>850.6</v>
      </c>
      <c r="J6785" s="128">
        <v>4253</v>
      </c>
    </row>
    <row r="6786" spans="1:10" hidden="1" x14ac:dyDescent="0.25">
      <c r="A6786" s="124" t="s">
        <v>9273</v>
      </c>
      <c r="B6786" s="124" t="s">
        <v>11736</v>
      </c>
      <c r="C6786" s="132"/>
      <c r="D6786" s="125">
        <f t="shared" si="66"/>
        <v>0</v>
      </c>
      <c r="E6786" s="124" t="s">
        <v>9270</v>
      </c>
      <c r="F6786" s="126">
        <v>4</v>
      </c>
      <c r="G6786" s="128">
        <v>60000</v>
      </c>
      <c r="H6786" s="124" t="s">
        <v>8368</v>
      </c>
      <c r="I6786" s="127">
        <v>132</v>
      </c>
      <c r="J6786" s="127">
        <v>660</v>
      </c>
    </row>
    <row r="6787" spans="1:10" hidden="1" x14ac:dyDescent="0.25">
      <c r="A6787" s="124" t="s">
        <v>9274</v>
      </c>
      <c r="B6787" s="124" t="s">
        <v>11736</v>
      </c>
      <c r="C6787" s="132"/>
      <c r="D6787" s="125">
        <f t="shared" ref="D6787:D6794" si="67">COUNTIF(A1736:A6786,A6787)</f>
        <v>0</v>
      </c>
      <c r="E6787" s="124" t="s">
        <v>9270</v>
      </c>
      <c r="F6787" s="126">
        <v>3</v>
      </c>
      <c r="G6787" s="128">
        <v>10500</v>
      </c>
      <c r="H6787" s="124" t="s">
        <v>8368</v>
      </c>
      <c r="I6787" s="127">
        <v>17</v>
      </c>
      <c r="J6787" s="127">
        <v>85</v>
      </c>
    </row>
    <row r="6788" spans="1:10" hidden="1" x14ac:dyDescent="0.25">
      <c r="A6788" s="124" t="s">
        <v>9275</v>
      </c>
      <c r="B6788" s="124" t="s">
        <v>11736</v>
      </c>
      <c r="C6788" s="132"/>
      <c r="D6788" s="125">
        <f t="shared" si="67"/>
        <v>0</v>
      </c>
      <c r="E6788" s="124" t="s">
        <v>8367</v>
      </c>
      <c r="F6788" s="126">
        <v>3</v>
      </c>
      <c r="G6788" s="128">
        <v>5103.6000000000004</v>
      </c>
      <c r="H6788" s="124" t="s">
        <v>8368</v>
      </c>
      <c r="I6788" s="127">
        <v>219.4</v>
      </c>
      <c r="J6788" s="128">
        <v>1097</v>
      </c>
    </row>
    <row r="6789" spans="1:10" hidden="1" x14ac:dyDescent="0.25">
      <c r="A6789" s="124" t="s">
        <v>9276</v>
      </c>
      <c r="B6789" s="124" t="s">
        <v>11736</v>
      </c>
      <c r="C6789" s="132"/>
      <c r="D6789" s="125">
        <f t="shared" si="67"/>
        <v>0</v>
      </c>
      <c r="E6789" s="124" t="s">
        <v>8367</v>
      </c>
      <c r="F6789" s="126">
        <v>3</v>
      </c>
      <c r="G6789" s="127">
        <v>792</v>
      </c>
      <c r="H6789" s="124" t="s">
        <v>8368</v>
      </c>
      <c r="I6789" s="127">
        <v>159</v>
      </c>
      <c r="J6789" s="127">
        <v>795</v>
      </c>
    </row>
    <row r="6790" spans="1:10" hidden="1" x14ac:dyDescent="0.25">
      <c r="A6790" s="124" t="s">
        <v>9277</v>
      </c>
      <c r="B6790" s="124" t="s">
        <v>11736</v>
      </c>
      <c r="C6790" s="132"/>
      <c r="D6790" s="125">
        <f t="shared" si="67"/>
        <v>0</v>
      </c>
      <c r="E6790" s="124" t="s">
        <v>8367</v>
      </c>
      <c r="F6790" s="126">
        <v>2</v>
      </c>
      <c r="G6790" s="127">
        <v>102</v>
      </c>
      <c r="H6790" s="124" t="s">
        <v>8368</v>
      </c>
      <c r="I6790" s="127">
        <v>560</v>
      </c>
      <c r="J6790" s="128">
        <v>2800</v>
      </c>
    </row>
    <row r="6791" spans="1:10" hidden="1" x14ac:dyDescent="0.25">
      <c r="A6791" s="124" t="s">
        <v>9278</v>
      </c>
      <c r="B6791" s="124" t="s">
        <v>11736</v>
      </c>
      <c r="C6791" s="132"/>
      <c r="D6791" s="125">
        <f t="shared" si="67"/>
        <v>0</v>
      </c>
      <c r="E6791" s="124" t="s">
        <v>8367</v>
      </c>
      <c r="F6791" s="126">
        <v>2</v>
      </c>
      <c r="G6791" s="128">
        <v>1316.4</v>
      </c>
      <c r="H6791" s="124" t="s">
        <v>8368</v>
      </c>
      <c r="I6791" s="127">
        <v>351.6</v>
      </c>
      <c r="J6791" s="128">
        <v>1758</v>
      </c>
    </row>
    <row r="6792" spans="1:10" hidden="1" x14ac:dyDescent="0.25">
      <c r="A6792" s="124" t="s">
        <v>9279</v>
      </c>
      <c r="B6792" s="124" t="s">
        <v>11736</v>
      </c>
      <c r="C6792" s="132"/>
      <c r="D6792" s="125">
        <f t="shared" si="67"/>
        <v>0</v>
      </c>
      <c r="E6792" s="124" t="s">
        <v>8367</v>
      </c>
      <c r="F6792" s="126">
        <v>3</v>
      </c>
      <c r="G6792" s="127">
        <v>954</v>
      </c>
      <c r="H6792" s="124" t="s">
        <v>8368</v>
      </c>
      <c r="I6792" s="127">
        <v>101.8</v>
      </c>
      <c r="J6792" s="127">
        <v>509</v>
      </c>
    </row>
    <row r="6793" spans="1:10" hidden="1" x14ac:dyDescent="0.25">
      <c r="A6793" s="124" t="s">
        <v>9280</v>
      </c>
      <c r="B6793" s="124" t="s">
        <v>11736</v>
      </c>
      <c r="C6793" s="132"/>
      <c r="D6793" s="125">
        <f t="shared" si="67"/>
        <v>0</v>
      </c>
      <c r="E6793" s="124" t="s">
        <v>8367</v>
      </c>
      <c r="F6793" s="126">
        <v>5</v>
      </c>
      <c r="G6793" s="128">
        <v>3360</v>
      </c>
      <c r="H6793" s="124" t="s">
        <v>8368</v>
      </c>
      <c r="I6793" s="128">
        <v>1614.6</v>
      </c>
      <c r="J6793" s="128">
        <v>8073</v>
      </c>
    </row>
    <row r="6794" spans="1:10" hidden="1" x14ac:dyDescent="0.25">
      <c r="A6794" s="124" t="s">
        <v>9281</v>
      </c>
      <c r="B6794" s="124" t="s">
        <v>11736</v>
      </c>
      <c r="C6794" s="132"/>
      <c r="D6794" s="125">
        <f t="shared" si="67"/>
        <v>0</v>
      </c>
      <c r="E6794" s="124" t="s">
        <v>8367</v>
      </c>
      <c r="F6794" s="126">
        <v>3</v>
      </c>
      <c r="G6794" s="128">
        <v>2109.6</v>
      </c>
      <c r="H6794" s="124" t="s">
        <v>8368</v>
      </c>
      <c r="I6794" s="127">
        <v>156.6</v>
      </c>
      <c r="J6794" s="127">
        <v>783</v>
      </c>
    </row>
    <row r="6795" spans="1:10" hidden="1" x14ac:dyDescent="0.25">
      <c r="A6795" s="124" t="s">
        <v>9282</v>
      </c>
      <c r="B6795" s="124" t="s">
        <v>11736</v>
      </c>
      <c r="C6795" s="132"/>
      <c r="D6795" s="125">
        <f>COUNTIF(A1745:A6794,A6795)</f>
        <v>0</v>
      </c>
      <c r="E6795" s="124" t="s">
        <v>8451</v>
      </c>
      <c r="F6795" s="126">
        <v>1</v>
      </c>
      <c r="G6795" s="127">
        <v>610.79999999999995</v>
      </c>
      <c r="H6795" s="124" t="s">
        <v>8368</v>
      </c>
      <c r="I6795" s="127">
        <v>221.6</v>
      </c>
      <c r="J6795" s="128">
        <v>1108</v>
      </c>
    </row>
    <row r="6796" spans="1:10" hidden="1" x14ac:dyDescent="0.25">
      <c r="A6796" s="124" t="s">
        <v>9283</v>
      </c>
      <c r="B6796" s="124" t="s">
        <v>11736</v>
      </c>
      <c r="C6796" s="132"/>
      <c r="D6796" s="125">
        <f>COUNTIF(A1746:A6795,A6796)</f>
        <v>0</v>
      </c>
      <c r="E6796" s="124" t="s">
        <v>8367</v>
      </c>
      <c r="F6796" s="126">
        <v>1</v>
      </c>
      <c r="G6796" s="128">
        <v>9687.6</v>
      </c>
      <c r="H6796" s="124" t="s">
        <v>8368</v>
      </c>
      <c r="I6796" s="127">
        <v>380</v>
      </c>
      <c r="J6796" s="128">
        <v>1900</v>
      </c>
    </row>
    <row r="6797" spans="1:10" hidden="1" x14ac:dyDescent="0.25">
      <c r="A6797" s="124" t="s">
        <v>9284</v>
      </c>
      <c r="B6797" s="124" t="s">
        <v>11736</v>
      </c>
      <c r="C6797" s="132"/>
      <c r="D6797" s="125">
        <f>COUNTIF(A1747:A6796,A6797)</f>
        <v>0</v>
      </c>
      <c r="E6797" s="124" t="s">
        <v>8367</v>
      </c>
      <c r="F6797" s="126">
        <v>5</v>
      </c>
      <c r="G6797" s="127">
        <v>939.6</v>
      </c>
      <c r="H6797" s="124" t="s">
        <v>8368</v>
      </c>
      <c r="I6797" s="127">
        <v>37</v>
      </c>
      <c r="J6797" s="127">
        <v>185</v>
      </c>
    </row>
    <row r="6798" spans="1:10" hidden="1" x14ac:dyDescent="0.25">
      <c r="A6798" s="124" t="s">
        <v>1749</v>
      </c>
      <c r="B6798" s="124" t="s">
        <v>11736</v>
      </c>
      <c r="C6798" s="132"/>
      <c r="D6798" s="125">
        <f>COUNTIF(A1749:A6797,A6798)</f>
        <v>0</v>
      </c>
      <c r="E6798" s="124" t="s">
        <v>8367</v>
      </c>
      <c r="F6798" s="126">
        <v>1</v>
      </c>
      <c r="G6798" s="128">
        <v>1329.6</v>
      </c>
      <c r="H6798" s="124" t="s">
        <v>8368</v>
      </c>
      <c r="I6798" s="127">
        <v>39.799999999999997</v>
      </c>
      <c r="J6798" s="127">
        <v>199</v>
      </c>
    </row>
    <row r="6799" spans="1:10" hidden="1" x14ac:dyDescent="0.25">
      <c r="A6799" s="124" t="s">
        <v>9285</v>
      </c>
      <c r="B6799" s="124" t="s">
        <v>11736</v>
      </c>
      <c r="C6799" s="132"/>
      <c r="D6799" s="125">
        <f>COUNTIF(A1751:A6798,A6799)</f>
        <v>0</v>
      </c>
      <c r="E6799" s="124" t="s">
        <v>8367</v>
      </c>
      <c r="F6799" s="126">
        <v>20</v>
      </c>
      <c r="G6799" s="128">
        <v>2280</v>
      </c>
      <c r="H6799" s="124" t="s">
        <v>8368</v>
      </c>
      <c r="I6799" s="127">
        <v>480</v>
      </c>
      <c r="J6799" s="128">
        <v>2400</v>
      </c>
    </row>
    <row r="6800" spans="1:10" hidden="1" x14ac:dyDescent="0.25">
      <c r="A6800" s="124" t="s">
        <v>9286</v>
      </c>
      <c r="B6800" s="124" t="s">
        <v>11736</v>
      </c>
      <c r="C6800" s="132"/>
      <c r="D6800" s="125">
        <f>COUNTIF(A1752:A6799,A6800)</f>
        <v>0</v>
      </c>
      <c r="E6800" s="124" t="s">
        <v>8367</v>
      </c>
      <c r="F6800" s="126">
        <v>1</v>
      </c>
      <c r="G6800" s="127">
        <v>222</v>
      </c>
      <c r="H6800" s="124" t="s">
        <v>8368</v>
      </c>
      <c r="I6800" s="127">
        <v>114.6</v>
      </c>
      <c r="J6800" s="127">
        <v>573</v>
      </c>
    </row>
    <row r="6801" spans="1:10" hidden="1" x14ac:dyDescent="0.25">
      <c r="A6801" s="124" t="s">
        <v>9287</v>
      </c>
      <c r="B6801" s="124" t="s">
        <v>11736</v>
      </c>
      <c r="C6801" s="132"/>
      <c r="D6801" s="125">
        <f>COUNTIF(A1753:A6800,A6801)</f>
        <v>0</v>
      </c>
      <c r="E6801" s="124" t="s">
        <v>8367</v>
      </c>
      <c r="F6801" s="126">
        <v>1</v>
      </c>
      <c r="G6801" s="127">
        <v>238.8</v>
      </c>
      <c r="H6801" s="124" t="s">
        <v>8368</v>
      </c>
      <c r="I6801" s="127">
        <v>93.4</v>
      </c>
      <c r="J6801" s="127">
        <v>467</v>
      </c>
    </row>
    <row r="6802" spans="1:10" hidden="1" x14ac:dyDescent="0.25">
      <c r="A6802" s="124" t="s">
        <v>9288</v>
      </c>
      <c r="B6802" s="124" t="s">
        <v>11736</v>
      </c>
      <c r="C6802" s="132"/>
      <c r="D6802" s="125">
        <f>COUNTIF(A1754:A6801,A6802)</f>
        <v>0</v>
      </c>
      <c r="E6802" s="124" t="s">
        <v>8367</v>
      </c>
      <c r="F6802" s="126">
        <v>10</v>
      </c>
      <c r="G6802" s="128">
        <v>2880</v>
      </c>
      <c r="H6802" s="124" t="s">
        <v>8368</v>
      </c>
      <c r="I6802" s="128">
        <v>2999</v>
      </c>
      <c r="J6802" s="128">
        <v>14995</v>
      </c>
    </row>
    <row r="6803" spans="1:10" hidden="1" x14ac:dyDescent="0.25">
      <c r="A6803" s="124" t="s">
        <v>9289</v>
      </c>
      <c r="B6803" s="124" t="s">
        <v>11736</v>
      </c>
      <c r="C6803" s="132"/>
      <c r="D6803" s="125">
        <f>COUNTIF(A1759:A6802,A6803)</f>
        <v>0</v>
      </c>
      <c r="E6803" s="124" t="s">
        <v>8367</v>
      </c>
      <c r="F6803" s="126">
        <v>1</v>
      </c>
      <c r="G6803" s="127">
        <v>687.6</v>
      </c>
      <c r="H6803" s="124" t="s">
        <v>8368</v>
      </c>
      <c r="I6803" s="127">
        <v>486.6</v>
      </c>
      <c r="J6803" s="128">
        <v>2433</v>
      </c>
    </row>
    <row r="6804" spans="1:10" hidden="1" x14ac:dyDescent="0.25">
      <c r="A6804" s="124" t="s">
        <v>9290</v>
      </c>
      <c r="B6804" s="124" t="s">
        <v>11736</v>
      </c>
      <c r="C6804" s="132"/>
      <c r="D6804" s="125">
        <f>COUNTIF(A1760:A6803,A6804)</f>
        <v>0</v>
      </c>
      <c r="E6804" s="124" t="s">
        <v>8367</v>
      </c>
      <c r="F6804" s="126">
        <v>8</v>
      </c>
      <c r="G6804" s="127">
        <v>560.4</v>
      </c>
      <c r="H6804" s="124" t="s">
        <v>8368</v>
      </c>
      <c r="I6804" s="128">
        <v>1088</v>
      </c>
      <c r="J6804" s="128">
        <v>5440</v>
      </c>
    </row>
    <row r="6805" spans="1:10" hidden="1" x14ac:dyDescent="0.25">
      <c r="A6805" s="124" t="s">
        <v>9291</v>
      </c>
      <c r="B6805" s="124" t="s">
        <v>11736</v>
      </c>
      <c r="C6805" s="132"/>
      <c r="D6805" s="125">
        <f>COUNTIF(A1761:A6804,A6805)</f>
        <v>0</v>
      </c>
      <c r="E6805" s="124" t="s">
        <v>8367</v>
      </c>
      <c r="F6805" s="126">
        <v>3</v>
      </c>
      <c r="G6805" s="128">
        <v>17994</v>
      </c>
      <c r="H6805" s="124" t="s">
        <v>8368</v>
      </c>
      <c r="I6805" s="128">
        <v>2250.4</v>
      </c>
      <c r="J6805" s="128">
        <v>11252</v>
      </c>
    </row>
    <row r="6806" spans="1:10" hidden="1" x14ac:dyDescent="0.25">
      <c r="A6806" s="124" t="s">
        <v>9292</v>
      </c>
      <c r="B6806" s="124" t="s">
        <v>11736</v>
      </c>
      <c r="C6806" s="132"/>
      <c r="D6806" s="125">
        <f>COUNTIF(A1763:A6805,A6806)</f>
        <v>0</v>
      </c>
      <c r="E6806" s="124" t="s">
        <v>8367</v>
      </c>
      <c r="F6806" s="126">
        <v>4</v>
      </c>
      <c r="G6806" s="128">
        <v>2919.6</v>
      </c>
      <c r="H6806" s="124" t="s">
        <v>8368</v>
      </c>
      <c r="I6806" s="128">
        <v>1912.6</v>
      </c>
      <c r="J6806" s="128">
        <v>9563</v>
      </c>
    </row>
    <row r="6807" spans="1:10" hidden="1" x14ac:dyDescent="0.25">
      <c r="A6807" s="124" t="s">
        <v>9293</v>
      </c>
      <c r="B6807" s="124" t="s">
        <v>11736</v>
      </c>
      <c r="C6807" s="132"/>
      <c r="D6807" s="125">
        <f>COUNTIF(A1764:A6806,A6807)</f>
        <v>0</v>
      </c>
      <c r="E6807" s="124" t="s">
        <v>8367</v>
      </c>
      <c r="F6807" s="126">
        <v>3</v>
      </c>
      <c r="G6807" s="128">
        <v>6528</v>
      </c>
      <c r="H6807" s="124" t="s">
        <v>8368</v>
      </c>
      <c r="I6807" s="127">
        <v>159.6</v>
      </c>
      <c r="J6807" s="127">
        <v>798</v>
      </c>
    </row>
    <row r="6808" spans="1:10" hidden="1" x14ac:dyDescent="0.25">
      <c r="A6808" s="124" t="s">
        <v>9294</v>
      </c>
      <c r="B6808" s="124" t="s">
        <v>11736</v>
      </c>
      <c r="C6808" s="132"/>
      <c r="D6808" s="125">
        <f>COUNTIF(A1765:A6807,A6808)</f>
        <v>0</v>
      </c>
      <c r="E6808" s="124" t="s">
        <v>8367</v>
      </c>
      <c r="F6808" s="126">
        <v>2</v>
      </c>
      <c r="G6808" s="128">
        <v>13502.4</v>
      </c>
      <c r="H6808" s="124" t="s">
        <v>8368</v>
      </c>
      <c r="I6808" s="127">
        <v>692</v>
      </c>
      <c r="J6808" s="128">
        <v>3460</v>
      </c>
    </row>
    <row r="6809" spans="1:10" hidden="1" x14ac:dyDescent="0.25">
      <c r="A6809" s="124" t="s">
        <v>9295</v>
      </c>
      <c r="B6809" s="124" t="s">
        <v>11736</v>
      </c>
      <c r="C6809" s="132"/>
      <c r="D6809" s="125">
        <f>COUNTIF(A1766:A6808,A6809)</f>
        <v>0</v>
      </c>
      <c r="E6809" s="124" t="s">
        <v>8367</v>
      </c>
      <c r="F6809" s="126">
        <v>4</v>
      </c>
      <c r="G6809" s="128">
        <v>11475.6</v>
      </c>
      <c r="H6809" s="124" t="s">
        <v>8368</v>
      </c>
      <c r="I6809" s="127">
        <v>482.4</v>
      </c>
      <c r="J6809" s="128">
        <v>2412</v>
      </c>
    </row>
    <row r="6810" spans="1:10" hidden="1" x14ac:dyDescent="0.25">
      <c r="A6810" s="124" t="s">
        <v>9296</v>
      </c>
      <c r="B6810" s="124" t="s">
        <v>11736</v>
      </c>
      <c r="C6810" s="132"/>
      <c r="D6810" s="125">
        <f>COUNTIF(A1769:A6809,A6810)</f>
        <v>0</v>
      </c>
      <c r="E6810" s="124" t="s">
        <v>8367</v>
      </c>
      <c r="F6810" s="126">
        <v>1</v>
      </c>
      <c r="G6810" s="127">
        <v>957.6</v>
      </c>
      <c r="H6810" s="124" t="s">
        <v>8368</v>
      </c>
      <c r="I6810" s="127">
        <v>102</v>
      </c>
      <c r="J6810" s="127">
        <v>510</v>
      </c>
    </row>
    <row r="6811" spans="1:10" hidden="1" x14ac:dyDescent="0.25">
      <c r="A6811" s="124" t="s">
        <v>9297</v>
      </c>
      <c r="B6811" s="124" t="s">
        <v>11736</v>
      </c>
      <c r="C6811" s="132"/>
      <c r="D6811" s="125">
        <f>COUNTIF(A1770:A6810,A6811)</f>
        <v>0</v>
      </c>
      <c r="E6811" s="124" t="s">
        <v>8579</v>
      </c>
      <c r="F6811" s="126">
        <v>6</v>
      </c>
      <c r="G6811" s="128">
        <v>4152</v>
      </c>
      <c r="H6811" s="124" t="s">
        <v>8368</v>
      </c>
      <c r="I6811" s="127">
        <v>80.2</v>
      </c>
      <c r="J6811" s="127">
        <v>401</v>
      </c>
    </row>
    <row r="6812" spans="1:10" hidden="1" x14ac:dyDescent="0.25">
      <c r="A6812" s="124" t="s">
        <v>9298</v>
      </c>
      <c r="B6812" s="124" t="s">
        <v>11736</v>
      </c>
      <c r="C6812" s="132"/>
      <c r="D6812" s="125">
        <f>COUNTIF(A1774:A6811,A6812)</f>
        <v>0</v>
      </c>
      <c r="E6812" s="124" t="s">
        <v>8451</v>
      </c>
      <c r="F6812" s="126">
        <v>2</v>
      </c>
      <c r="G6812" s="128">
        <v>2894.4</v>
      </c>
      <c r="H6812" s="124" t="s">
        <v>8368</v>
      </c>
      <c r="I6812" s="127">
        <v>92</v>
      </c>
      <c r="J6812" s="127">
        <v>460</v>
      </c>
    </row>
    <row r="6813" spans="1:10" hidden="1" x14ac:dyDescent="0.25">
      <c r="A6813" s="124" t="s">
        <v>9299</v>
      </c>
      <c r="B6813" s="124" t="s">
        <v>11736</v>
      </c>
      <c r="C6813" s="132"/>
      <c r="D6813" s="125">
        <f>COUNTIF(A1779:A6812,A6813)</f>
        <v>0</v>
      </c>
      <c r="E6813" s="124" t="s">
        <v>8367</v>
      </c>
      <c r="F6813" s="126">
        <v>1</v>
      </c>
      <c r="G6813" s="127">
        <v>612</v>
      </c>
      <c r="H6813" s="124" t="s">
        <v>8368</v>
      </c>
      <c r="I6813" s="128">
        <v>384237.2</v>
      </c>
      <c r="J6813" s="128">
        <v>1921185.98</v>
      </c>
    </row>
    <row r="6814" spans="1:10" hidden="1" x14ac:dyDescent="0.25">
      <c r="A6814" s="124" t="s">
        <v>9300</v>
      </c>
      <c r="B6814" s="124" t="s">
        <v>11736</v>
      </c>
      <c r="C6814" s="132"/>
      <c r="D6814" s="125">
        <f>COUNTIF(A1780:A6813,A6814)</f>
        <v>0</v>
      </c>
      <c r="E6814" s="124" t="s">
        <v>8367</v>
      </c>
      <c r="F6814" s="126">
        <v>1</v>
      </c>
      <c r="G6814" s="127">
        <v>481.2</v>
      </c>
      <c r="H6814" s="124" t="s">
        <v>8368</v>
      </c>
      <c r="I6814" s="128">
        <v>93984.23</v>
      </c>
      <c r="J6814" s="128">
        <v>469921.16</v>
      </c>
    </row>
    <row r="6815" spans="1:10" hidden="1" x14ac:dyDescent="0.25">
      <c r="A6815" s="124" t="s">
        <v>9301</v>
      </c>
      <c r="B6815" s="124" t="s">
        <v>11736</v>
      </c>
      <c r="C6815" s="132"/>
      <c r="D6815" s="125">
        <f>COUNTIF(A1781:A6814,A6815)</f>
        <v>0</v>
      </c>
      <c r="E6815" s="124" t="s">
        <v>8367</v>
      </c>
      <c r="F6815" s="126">
        <v>1</v>
      </c>
      <c r="G6815" s="127">
        <v>552</v>
      </c>
      <c r="H6815" s="124" t="s">
        <v>8368</v>
      </c>
      <c r="I6815" s="127">
        <v>44</v>
      </c>
      <c r="J6815" s="127">
        <v>220</v>
      </c>
    </row>
    <row r="6816" spans="1:10" hidden="1" x14ac:dyDescent="0.25">
      <c r="A6816" s="124" t="s">
        <v>9302</v>
      </c>
      <c r="B6816" s="124" t="s">
        <v>11736</v>
      </c>
      <c r="C6816" s="132"/>
      <c r="D6816" s="125">
        <f>COUNTIF(A1782:A6815,A6816)</f>
        <v>0</v>
      </c>
      <c r="E6816" s="124" t="s">
        <v>8367</v>
      </c>
      <c r="F6816" s="126">
        <v>231</v>
      </c>
      <c r="G6816" s="128">
        <v>2305423.1800000002</v>
      </c>
      <c r="H6816" s="124" t="s">
        <v>8368</v>
      </c>
      <c r="I6816" s="128">
        <v>14911.6</v>
      </c>
      <c r="J6816" s="128">
        <v>74558</v>
      </c>
    </row>
    <row r="6817" spans="1:10" hidden="1" x14ac:dyDescent="0.25">
      <c r="A6817" s="124" t="s">
        <v>9303</v>
      </c>
      <c r="B6817" s="124" t="s">
        <v>11736</v>
      </c>
      <c r="C6817" s="132"/>
      <c r="D6817" s="125">
        <f>COUNTIF(A1786:A6816,A6817)</f>
        <v>0</v>
      </c>
      <c r="E6817" s="124" t="s">
        <v>8367</v>
      </c>
      <c r="F6817" s="129">
        <v>1429</v>
      </c>
      <c r="G6817" s="128">
        <v>563905.39</v>
      </c>
      <c r="H6817" s="124" t="s">
        <v>8368</v>
      </c>
      <c r="I6817" s="128">
        <v>6750</v>
      </c>
      <c r="J6817" s="128">
        <v>33750</v>
      </c>
    </row>
    <row r="6818" spans="1:10" hidden="1" x14ac:dyDescent="0.25">
      <c r="A6818" s="124" t="s">
        <v>9304</v>
      </c>
      <c r="B6818" s="124" t="s">
        <v>11736</v>
      </c>
      <c r="C6818" s="132"/>
      <c r="D6818" s="125">
        <f t="shared" ref="D6818:D6823" si="68">COUNTIF(A1792:A6817,A6818)</f>
        <v>0</v>
      </c>
      <c r="E6818" s="124" t="s">
        <v>8367</v>
      </c>
      <c r="F6818" s="126">
        <v>20</v>
      </c>
      <c r="G6818" s="127">
        <v>264</v>
      </c>
      <c r="H6818" s="124" t="s">
        <v>8368</v>
      </c>
      <c r="I6818" s="128">
        <v>7883.3</v>
      </c>
      <c r="J6818" s="128">
        <v>39416.5</v>
      </c>
    </row>
    <row r="6819" spans="1:10" hidden="1" x14ac:dyDescent="0.25">
      <c r="A6819" s="124" t="s">
        <v>9305</v>
      </c>
      <c r="B6819" s="124" t="s">
        <v>11736</v>
      </c>
      <c r="C6819" s="132"/>
      <c r="D6819" s="125">
        <f t="shared" si="68"/>
        <v>0</v>
      </c>
      <c r="E6819" s="124" t="s">
        <v>8367</v>
      </c>
      <c r="F6819" s="126">
        <v>5</v>
      </c>
      <c r="G6819" s="128">
        <v>89469.6</v>
      </c>
      <c r="H6819" s="124" t="s">
        <v>8368</v>
      </c>
      <c r="I6819" s="127">
        <v>615.79999999999995</v>
      </c>
      <c r="J6819" s="128">
        <v>3079</v>
      </c>
    </row>
    <row r="6820" spans="1:10" hidden="1" x14ac:dyDescent="0.25">
      <c r="A6820" s="124" t="s">
        <v>9306</v>
      </c>
      <c r="B6820" s="124" t="s">
        <v>11736</v>
      </c>
      <c r="C6820" s="132"/>
      <c r="D6820" s="125">
        <f t="shared" si="68"/>
        <v>0</v>
      </c>
      <c r="E6820" s="124" t="s">
        <v>8367</v>
      </c>
      <c r="F6820" s="126">
        <v>10</v>
      </c>
      <c r="G6820" s="128">
        <v>40500</v>
      </c>
      <c r="H6820" s="124" t="s">
        <v>8368</v>
      </c>
      <c r="I6820" s="127">
        <v>534.20000000000005</v>
      </c>
      <c r="J6820" s="128">
        <v>2671</v>
      </c>
    </row>
    <row r="6821" spans="1:10" hidden="1" x14ac:dyDescent="0.25">
      <c r="A6821" s="124" t="s">
        <v>9307</v>
      </c>
      <c r="B6821" s="124" t="s">
        <v>11736</v>
      </c>
      <c r="C6821" s="132"/>
      <c r="D6821" s="125">
        <f t="shared" si="68"/>
        <v>0</v>
      </c>
      <c r="E6821" s="124" t="s">
        <v>8367</v>
      </c>
      <c r="F6821" s="126">
        <v>15</v>
      </c>
      <c r="G6821" s="128">
        <v>47299.8</v>
      </c>
      <c r="H6821" s="124" t="s">
        <v>8368</v>
      </c>
      <c r="I6821" s="127">
        <v>984</v>
      </c>
      <c r="J6821" s="128">
        <v>4920</v>
      </c>
    </row>
    <row r="6822" spans="1:10" hidden="1" x14ac:dyDescent="0.25">
      <c r="A6822" s="124" t="s">
        <v>9308</v>
      </c>
      <c r="B6822" s="124" t="s">
        <v>11736</v>
      </c>
      <c r="C6822" s="132"/>
      <c r="D6822" s="125">
        <f t="shared" si="68"/>
        <v>0</v>
      </c>
      <c r="E6822" s="124" t="s">
        <v>8367</v>
      </c>
      <c r="F6822" s="126">
        <v>5</v>
      </c>
      <c r="G6822" s="128">
        <v>3694.8</v>
      </c>
      <c r="H6822" s="124" t="s">
        <v>8368</v>
      </c>
      <c r="I6822" s="128">
        <v>4608</v>
      </c>
      <c r="J6822" s="128">
        <v>23040</v>
      </c>
    </row>
    <row r="6823" spans="1:10" hidden="1" x14ac:dyDescent="0.25">
      <c r="A6823" s="124" t="s">
        <v>9309</v>
      </c>
      <c r="B6823" s="124" t="s">
        <v>11736</v>
      </c>
      <c r="C6823" s="132"/>
      <c r="D6823" s="125">
        <f t="shared" si="68"/>
        <v>0</v>
      </c>
      <c r="E6823" s="124" t="s">
        <v>8367</v>
      </c>
      <c r="F6823" s="126">
        <v>5</v>
      </c>
      <c r="G6823" s="128">
        <v>3205.2</v>
      </c>
      <c r="H6823" s="124" t="s">
        <v>8368</v>
      </c>
      <c r="I6823" s="127">
        <v>728</v>
      </c>
      <c r="J6823" s="128">
        <v>3640</v>
      </c>
    </row>
    <row r="6824" spans="1:10" hidden="1" x14ac:dyDescent="0.25">
      <c r="A6824" s="124" t="s">
        <v>9310</v>
      </c>
      <c r="B6824" s="124" t="s">
        <v>11736</v>
      </c>
      <c r="C6824" s="132"/>
      <c r="D6824" s="125">
        <f>COUNTIF(A1799:A6823,A6824)</f>
        <v>0</v>
      </c>
      <c r="E6824" s="124" t="s">
        <v>8367</v>
      </c>
      <c r="F6824" s="126">
        <v>8</v>
      </c>
      <c r="G6824" s="128">
        <v>5904</v>
      </c>
      <c r="H6824" s="124" t="s">
        <v>8368</v>
      </c>
      <c r="I6824" s="127">
        <v>15.52</v>
      </c>
      <c r="J6824" s="127">
        <v>77.599999999999994</v>
      </c>
    </row>
    <row r="6825" spans="1:10" hidden="1" x14ac:dyDescent="0.25">
      <c r="A6825" s="124" t="s">
        <v>2202</v>
      </c>
      <c r="B6825" s="124" t="s">
        <v>11736</v>
      </c>
      <c r="C6825" s="132"/>
      <c r="D6825" s="125">
        <f>COUNTIF(A1803:A6824,A6825)</f>
        <v>0</v>
      </c>
      <c r="E6825" s="124" t="s">
        <v>8367</v>
      </c>
      <c r="F6825" s="126">
        <v>8</v>
      </c>
      <c r="G6825" s="128">
        <v>27648</v>
      </c>
      <c r="H6825" s="124" t="s">
        <v>8368</v>
      </c>
      <c r="I6825" s="127">
        <v>408.6</v>
      </c>
      <c r="J6825" s="128">
        <v>2043</v>
      </c>
    </row>
    <row r="6826" spans="1:10" hidden="1" x14ac:dyDescent="0.25">
      <c r="A6826" s="124" t="s">
        <v>9311</v>
      </c>
      <c r="B6826" s="124" t="s">
        <v>11736</v>
      </c>
      <c r="C6826" s="132"/>
      <c r="D6826" s="125">
        <f>COUNTIF(A1804:A6825,A6826)</f>
        <v>0</v>
      </c>
      <c r="E6826" s="124" t="s">
        <v>8367</v>
      </c>
      <c r="F6826" s="126">
        <v>4</v>
      </c>
      <c r="G6826" s="128">
        <v>4368</v>
      </c>
      <c r="H6826" s="124" t="s">
        <v>8368</v>
      </c>
      <c r="I6826" s="127">
        <v>23.45</v>
      </c>
      <c r="J6826" s="127">
        <v>117.23</v>
      </c>
    </row>
    <row r="6827" spans="1:10" hidden="1" x14ac:dyDescent="0.25">
      <c r="A6827" s="124" t="s">
        <v>9312</v>
      </c>
      <c r="B6827" s="124" t="s">
        <v>11736</v>
      </c>
      <c r="C6827" s="132"/>
      <c r="D6827" s="125">
        <f>COUNTIF(A1806:A6826,A6827)</f>
        <v>0</v>
      </c>
      <c r="E6827" s="124" t="s">
        <v>8367</v>
      </c>
      <c r="F6827" s="126">
        <v>1</v>
      </c>
      <c r="G6827" s="127">
        <v>93.12</v>
      </c>
      <c r="H6827" s="124" t="s">
        <v>8368</v>
      </c>
      <c r="I6827" s="128">
        <v>1280</v>
      </c>
      <c r="J6827" s="128">
        <v>6400</v>
      </c>
    </row>
    <row r="6828" spans="1:10" hidden="1" x14ac:dyDescent="0.25">
      <c r="A6828" s="124" t="s">
        <v>9313</v>
      </c>
      <c r="B6828" s="124" t="s">
        <v>11736</v>
      </c>
      <c r="C6828" s="132"/>
      <c r="D6828" s="125">
        <f>COUNTIF(A1808:A6827,A6828)</f>
        <v>0</v>
      </c>
      <c r="E6828" s="124" t="s">
        <v>8367</v>
      </c>
      <c r="F6828" s="126">
        <v>2</v>
      </c>
      <c r="G6828" s="128">
        <v>2451.6</v>
      </c>
      <c r="H6828" s="124" t="s">
        <v>8368</v>
      </c>
      <c r="I6828" s="128">
        <v>1500</v>
      </c>
      <c r="J6828" s="128">
        <v>7500</v>
      </c>
    </row>
    <row r="6829" spans="1:10" hidden="1" x14ac:dyDescent="0.25">
      <c r="A6829" s="124" t="s">
        <v>9314</v>
      </c>
      <c r="B6829" s="124" t="s">
        <v>11736</v>
      </c>
      <c r="C6829" s="132"/>
      <c r="D6829" s="125">
        <f>COUNTIF(A1813:A6828,A6829)</f>
        <v>0</v>
      </c>
      <c r="E6829" s="124" t="s">
        <v>8367</v>
      </c>
      <c r="F6829" s="126">
        <v>2</v>
      </c>
      <c r="G6829" s="127">
        <v>140.68</v>
      </c>
      <c r="H6829" s="124" t="s">
        <v>8368</v>
      </c>
      <c r="I6829" s="128">
        <v>1400</v>
      </c>
      <c r="J6829" s="128">
        <v>7000</v>
      </c>
    </row>
    <row r="6830" spans="1:10" hidden="1" x14ac:dyDescent="0.25">
      <c r="A6830" s="124" t="s">
        <v>9315</v>
      </c>
      <c r="B6830" s="124" t="s">
        <v>11736</v>
      </c>
      <c r="C6830" s="132"/>
      <c r="D6830" s="125">
        <f>COUNTIF(A1815:A6829,A6830)</f>
        <v>0</v>
      </c>
      <c r="E6830" s="124" t="s">
        <v>8367</v>
      </c>
      <c r="F6830" s="126">
        <v>100</v>
      </c>
      <c r="G6830" s="128">
        <v>7680</v>
      </c>
      <c r="H6830" s="124" t="s">
        <v>8368</v>
      </c>
      <c r="I6830" s="127">
        <v>400</v>
      </c>
      <c r="J6830" s="128">
        <v>2000</v>
      </c>
    </row>
    <row r="6831" spans="1:10" hidden="1" x14ac:dyDescent="0.25">
      <c r="A6831" s="124" t="s">
        <v>9316</v>
      </c>
      <c r="B6831" s="124" t="s">
        <v>11736</v>
      </c>
      <c r="C6831" s="132"/>
      <c r="D6831" s="125">
        <f>COUNTIF(A1816:A6830,A6831)</f>
        <v>0</v>
      </c>
      <c r="E6831" s="124" t="s">
        <v>8367</v>
      </c>
      <c r="F6831" s="126">
        <v>100</v>
      </c>
      <c r="G6831" s="128">
        <v>9000</v>
      </c>
      <c r="H6831" s="124" t="s">
        <v>8368</v>
      </c>
      <c r="I6831" s="127">
        <v>480</v>
      </c>
      <c r="J6831" s="128">
        <v>2400</v>
      </c>
    </row>
    <row r="6832" spans="1:10" hidden="1" x14ac:dyDescent="0.25">
      <c r="A6832" s="124" t="s">
        <v>9317</v>
      </c>
      <c r="B6832" s="124" t="s">
        <v>11736</v>
      </c>
      <c r="C6832" s="132"/>
      <c r="D6832" s="125">
        <f>COUNTIF(A1817:A6831,A6832)</f>
        <v>0</v>
      </c>
      <c r="E6832" s="124" t="s">
        <v>8367</v>
      </c>
      <c r="F6832" s="126">
        <v>100</v>
      </c>
      <c r="G6832" s="128">
        <v>8400</v>
      </c>
      <c r="H6832" s="124" t="s">
        <v>8368</v>
      </c>
      <c r="I6832" s="127">
        <v>560</v>
      </c>
      <c r="J6832" s="128">
        <v>2800</v>
      </c>
    </row>
    <row r="6833" spans="1:10" hidden="1" x14ac:dyDescent="0.25">
      <c r="A6833" s="124" t="s">
        <v>9318</v>
      </c>
      <c r="B6833" s="124" t="s">
        <v>11736</v>
      </c>
      <c r="C6833" s="132"/>
      <c r="D6833" s="125">
        <f t="shared" ref="D6833:D6840" si="69">COUNTIF(A1821:A6832,A6833)</f>
        <v>0</v>
      </c>
      <c r="E6833" s="124" t="s">
        <v>8367</v>
      </c>
      <c r="F6833" s="126">
        <v>100</v>
      </c>
      <c r="G6833" s="128">
        <v>2400</v>
      </c>
      <c r="H6833" s="124" t="s">
        <v>8368</v>
      </c>
      <c r="I6833" s="127">
        <v>640</v>
      </c>
      <c r="J6833" s="128">
        <v>3200</v>
      </c>
    </row>
    <row r="6834" spans="1:10" hidden="1" x14ac:dyDescent="0.25">
      <c r="A6834" s="124" t="s">
        <v>9319</v>
      </c>
      <c r="B6834" s="124" t="s">
        <v>11736</v>
      </c>
      <c r="C6834" s="132"/>
      <c r="D6834" s="125">
        <f t="shared" si="69"/>
        <v>0</v>
      </c>
      <c r="E6834" s="124" t="s">
        <v>8367</v>
      </c>
      <c r="F6834" s="126">
        <v>100</v>
      </c>
      <c r="G6834" s="128">
        <v>2880</v>
      </c>
      <c r="H6834" s="124" t="s">
        <v>8368</v>
      </c>
      <c r="I6834" s="128">
        <v>13833.8</v>
      </c>
      <c r="J6834" s="128">
        <v>69169</v>
      </c>
    </row>
    <row r="6835" spans="1:10" hidden="1" x14ac:dyDescent="0.25">
      <c r="A6835" s="124" t="s">
        <v>9320</v>
      </c>
      <c r="B6835" s="124" t="s">
        <v>11736</v>
      </c>
      <c r="C6835" s="132"/>
      <c r="D6835" s="125">
        <f t="shared" si="69"/>
        <v>0</v>
      </c>
      <c r="E6835" s="124" t="s">
        <v>8367</v>
      </c>
      <c r="F6835" s="126">
        <v>100</v>
      </c>
      <c r="G6835" s="128">
        <v>3360</v>
      </c>
      <c r="H6835" s="124" t="s">
        <v>8368</v>
      </c>
      <c r="I6835" s="128">
        <v>1384.4</v>
      </c>
      <c r="J6835" s="128">
        <v>6922</v>
      </c>
    </row>
    <row r="6836" spans="1:10" hidden="1" x14ac:dyDescent="0.25">
      <c r="A6836" s="124" t="s">
        <v>9321</v>
      </c>
      <c r="B6836" s="124" t="s">
        <v>11736</v>
      </c>
      <c r="C6836" s="132"/>
      <c r="D6836" s="125">
        <f t="shared" si="69"/>
        <v>0</v>
      </c>
      <c r="E6836" s="124" t="s">
        <v>8367</v>
      </c>
      <c r="F6836" s="126">
        <v>100</v>
      </c>
      <c r="G6836" s="128">
        <v>3840</v>
      </c>
      <c r="H6836" s="124" t="s">
        <v>8368</v>
      </c>
      <c r="I6836" s="128">
        <v>9516</v>
      </c>
      <c r="J6836" s="128">
        <v>47580</v>
      </c>
    </row>
    <row r="6837" spans="1:10" hidden="1" x14ac:dyDescent="0.25">
      <c r="A6837" s="124" t="s">
        <v>9322</v>
      </c>
      <c r="B6837" s="124" t="s">
        <v>11736</v>
      </c>
      <c r="C6837" s="132"/>
      <c r="D6837" s="125">
        <f t="shared" si="69"/>
        <v>0</v>
      </c>
      <c r="E6837" s="124" t="s">
        <v>8367</v>
      </c>
      <c r="F6837" s="126">
        <v>2</v>
      </c>
      <c r="G6837" s="128">
        <v>83002.8</v>
      </c>
      <c r="H6837" s="124" t="s">
        <v>8368</v>
      </c>
      <c r="I6837" s="128">
        <v>7280</v>
      </c>
      <c r="J6837" s="128">
        <v>36400</v>
      </c>
    </row>
    <row r="6838" spans="1:10" hidden="1" x14ac:dyDescent="0.25">
      <c r="A6838" s="124" t="s">
        <v>9323</v>
      </c>
      <c r="B6838" s="124" t="s">
        <v>11736</v>
      </c>
      <c r="C6838" s="132"/>
      <c r="D6838" s="125">
        <f t="shared" si="69"/>
        <v>0</v>
      </c>
      <c r="E6838" s="124" t="s">
        <v>8579</v>
      </c>
      <c r="F6838" s="126">
        <v>10</v>
      </c>
      <c r="G6838" s="128">
        <v>8306.4</v>
      </c>
      <c r="H6838" s="124" t="s">
        <v>8368</v>
      </c>
      <c r="I6838" s="127">
        <v>154.16999999999999</v>
      </c>
      <c r="J6838" s="127">
        <v>770.82</v>
      </c>
    </row>
    <row r="6839" spans="1:10" hidden="1" x14ac:dyDescent="0.25">
      <c r="A6839" s="124" t="s">
        <v>9324</v>
      </c>
      <c r="B6839" s="124" t="s">
        <v>11736</v>
      </c>
      <c r="C6839" s="132"/>
      <c r="D6839" s="125">
        <f t="shared" si="69"/>
        <v>0</v>
      </c>
      <c r="E6839" s="124" t="s">
        <v>8367</v>
      </c>
      <c r="F6839" s="126">
        <v>1</v>
      </c>
      <c r="G6839" s="128">
        <v>57096</v>
      </c>
      <c r="H6839" s="124" t="s">
        <v>8368</v>
      </c>
      <c r="I6839" s="128">
        <v>3600</v>
      </c>
      <c r="J6839" s="128">
        <v>18000</v>
      </c>
    </row>
    <row r="6840" spans="1:10" hidden="1" x14ac:dyDescent="0.25">
      <c r="A6840" s="124" t="s">
        <v>9325</v>
      </c>
      <c r="B6840" s="124" t="s">
        <v>11736</v>
      </c>
      <c r="C6840" s="132"/>
      <c r="D6840" s="125">
        <f t="shared" si="69"/>
        <v>0</v>
      </c>
      <c r="E6840" s="124" t="s">
        <v>8367</v>
      </c>
      <c r="F6840" s="129">
        <v>3500</v>
      </c>
      <c r="G6840" s="128">
        <v>43680</v>
      </c>
      <c r="H6840" s="124" t="s">
        <v>8368</v>
      </c>
      <c r="I6840" s="128">
        <v>41452.76</v>
      </c>
      <c r="J6840" s="128">
        <v>207263.79</v>
      </c>
    </row>
    <row r="6841" spans="1:10" hidden="1" x14ac:dyDescent="0.25">
      <c r="A6841" s="124" t="s">
        <v>2500</v>
      </c>
      <c r="B6841" s="124" t="s">
        <v>11736</v>
      </c>
      <c r="C6841" s="132"/>
      <c r="D6841" s="125">
        <f>COUNTIF(A1830:A6840,A6841)</f>
        <v>0</v>
      </c>
      <c r="E6841" s="124" t="s">
        <v>8367</v>
      </c>
      <c r="F6841" s="126">
        <v>500</v>
      </c>
      <c r="G6841" s="127">
        <v>924.99</v>
      </c>
      <c r="H6841" s="124" t="s">
        <v>8368</v>
      </c>
      <c r="I6841" s="127">
        <v>799.91</v>
      </c>
      <c r="J6841" s="128">
        <v>3999.55</v>
      </c>
    </row>
    <row r="6842" spans="1:10" hidden="1" x14ac:dyDescent="0.25">
      <c r="A6842" s="124" t="s">
        <v>9326</v>
      </c>
      <c r="B6842" s="124" t="s">
        <v>11736</v>
      </c>
      <c r="C6842" s="132"/>
      <c r="D6842" s="125">
        <f>COUNTIF(A1833:A6841,A6842)</f>
        <v>0</v>
      </c>
      <c r="E6842" s="124" t="s">
        <v>8367</v>
      </c>
      <c r="F6842" s="129">
        <v>4000</v>
      </c>
      <c r="G6842" s="128">
        <v>21600</v>
      </c>
      <c r="H6842" s="124" t="s">
        <v>8368</v>
      </c>
      <c r="I6842" s="127">
        <v>93.34</v>
      </c>
      <c r="J6842" s="127">
        <v>466.68</v>
      </c>
    </row>
    <row r="6843" spans="1:10" hidden="1" x14ac:dyDescent="0.25">
      <c r="A6843" s="124" t="s">
        <v>2553</v>
      </c>
      <c r="B6843" s="124" t="s">
        <v>11736</v>
      </c>
      <c r="C6843" s="132"/>
      <c r="D6843" s="125">
        <f>COUNTIF(A1834:A6842,A6843)</f>
        <v>0</v>
      </c>
      <c r="E6843" s="124" t="s">
        <v>8367</v>
      </c>
      <c r="F6843" s="129">
        <v>47600</v>
      </c>
      <c r="G6843" s="128">
        <v>248716.55</v>
      </c>
      <c r="H6843" s="124" t="s">
        <v>8368</v>
      </c>
      <c r="I6843" s="128">
        <v>1070</v>
      </c>
      <c r="J6843" s="128">
        <v>5350</v>
      </c>
    </row>
    <row r="6844" spans="1:10" hidden="1" x14ac:dyDescent="0.25">
      <c r="A6844" s="124" t="s">
        <v>9327</v>
      </c>
      <c r="B6844" s="124" t="s">
        <v>11736</v>
      </c>
      <c r="C6844" s="132"/>
      <c r="D6844" s="125">
        <f>COUNTIF(A1840:A6843,A6844)</f>
        <v>0</v>
      </c>
      <c r="E6844" s="124" t="s">
        <v>8367</v>
      </c>
      <c r="F6844" s="129">
        <v>1408</v>
      </c>
      <c r="G6844" s="128">
        <v>4799.46</v>
      </c>
      <c r="H6844" s="124" t="s">
        <v>8368</v>
      </c>
      <c r="I6844" s="127">
        <v>883.4</v>
      </c>
      <c r="J6844" s="128">
        <v>4417</v>
      </c>
    </row>
    <row r="6845" spans="1:10" hidden="1" x14ac:dyDescent="0.25">
      <c r="A6845" s="124" t="s">
        <v>9328</v>
      </c>
      <c r="B6845" s="124" t="s">
        <v>11736</v>
      </c>
      <c r="C6845" s="132"/>
      <c r="D6845" s="125">
        <f>COUNTIF(A1842:A6844,A6845)</f>
        <v>0</v>
      </c>
      <c r="E6845" s="124" t="s">
        <v>8367</v>
      </c>
      <c r="F6845" s="126">
        <v>100</v>
      </c>
      <c r="G6845" s="127">
        <v>560.02</v>
      </c>
      <c r="H6845" s="124" t="s">
        <v>8368</v>
      </c>
      <c r="I6845" s="128">
        <v>32380</v>
      </c>
      <c r="J6845" s="128">
        <v>161900</v>
      </c>
    </row>
    <row r="6846" spans="1:10" hidden="1" x14ac:dyDescent="0.25">
      <c r="A6846" s="124" t="s">
        <v>9329</v>
      </c>
      <c r="B6846" s="124" t="s">
        <v>11736</v>
      </c>
      <c r="C6846" s="132"/>
      <c r="D6846" s="125">
        <f>COUNTIF(A1845:A6845,A6846)</f>
        <v>0</v>
      </c>
      <c r="E6846" s="124" t="s">
        <v>8367</v>
      </c>
      <c r="F6846" s="129">
        <v>2000</v>
      </c>
      <c r="G6846" s="128">
        <v>6420</v>
      </c>
      <c r="H6846" s="124" t="s">
        <v>8368</v>
      </c>
      <c r="I6846" s="128">
        <v>1328.4</v>
      </c>
      <c r="J6846" s="128">
        <v>6642</v>
      </c>
    </row>
    <row r="6847" spans="1:10" hidden="1" x14ac:dyDescent="0.25">
      <c r="A6847" s="124" t="s">
        <v>9330</v>
      </c>
      <c r="B6847" s="124" t="s">
        <v>11736</v>
      </c>
      <c r="C6847" s="132"/>
      <c r="D6847" s="125">
        <f>COUNTIF(A1846:A6846,A6847)</f>
        <v>0</v>
      </c>
      <c r="E6847" s="124" t="s">
        <v>8367</v>
      </c>
      <c r="F6847" s="129">
        <v>10000</v>
      </c>
      <c r="G6847" s="128">
        <v>5300.4</v>
      </c>
      <c r="H6847" s="124" t="s">
        <v>8368</v>
      </c>
      <c r="I6847" s="128">
        <v>22539.200000000001</v>
      </c>
      <c r="J6847" s="128">
        <v>112696</v>
      </c>
    </row>
    <row r="6848" spans="1:10" hidden="1" x14ac:dyDescent="0.25">
      <c r="A6848" s="124" t="s">
        <v>9331</v>
      </c>
      <c r="B6848" s="124" t="s">
        <v>11736</v>
      </c>
      <c r="C6848" s="132"/>
      <c r="D6848" s="125">
        <f>COUNTIF(A1848:A6847,A6848)</f>
        <v>0</v>
      </c>
      <c r="E6848" s="124" t="s">
        <v>8367</v>
      </c>
      <c r="F6848" s="126">
        <v>4</v>
      </c>
      <c r="G6848" s="128">
        <v>194280</v>
      </c>
      <c r="H6848" s="124" t="s">
        <v>8368</v>
      </c>
      <c r="I6848" s="127">
        <v>32.93</v>
      </c>
      <c r="J6848" s="127">
        <v>164.67</v>
      </c>
    </row>
    <row r="6849" spans="1:10" hidden="1" x14ac:dyDescent="0.25">
      <c r="A6849" s="124" t="s">
        <v>9332</v>
      </c>
      <c r="B6849" s="124" t="s">
        <v>11736</v>
      </c>
      <c r="C6849" s="132"/>
      <c r="D6849" s="125">
        <f>COUNTIF(A1849:A6848,A6849)</f>
        <v>0</v>
      </c>
      <c r="E6849" s="124" t="s">
        <v>8367</v>
      </c>
      <c r="F6849" s="126">
        <v>2</v>
      </c>
      <c r="G6849" s="128">
        <v>7970.4</v>
      </c>
      <c r="H6849" s="124" t="s">
        <v>8368</v>
      </c>
      <c r="I6849" s="128">
        <v>116425</v>
      </c>
      <c r="J6849" s="128">
        <v>582125</v>
      </c>
    </row>
    <row r="6850" spans="1:10" hidden="1" x14ac:dyDescent="0.25">
      <c r="A6850" s="124" t="s">
        <v>9333</v>
      </c>
      <c r="B6850" s="124" t="s">
        <v>11736</v>
      </c>
      <c r="C6850" s="132"/>
      <c r="D6850" s="125">
        <f>COUNTIF(A1851:A6849,A6850)</f>
        <v>0</v>
      </c>
      <c r="E6850" s="124" t="s">
        <v>8367</v>
      </c>
      <c r="F6850" s="126">
        <v>10</v>
      </c>
      <c r="G6850" s="128">
        <v>135235.20000000001</v>
      </c>
      <c r="H6850" s="124" t="s">
        <v>8368</v>
      </c>
      <c r="I6850" s="128">
        <v>3083.4</v>
      </c>
      <c r="J6850" s="128">
        <v>15417</v>
      </c>
    </row>
    <row r="6851" spans="1:10" hidden="1" x14ac:dyDescent="0.25">
      <c r="A6851" s="124" t="s">
        <v>9334</v>
      </c>
      <c r="B6851" s="124" t="s">
        <v>11736</v>
      </c>
      <c r="C6851" s="132"/>
      <c r="D6851" s="125">
        <f>COUNTIF(A1852:A6850,A6851)</f>
        <v>0</v>
      </c>
      <c r="E6851" s="124" t="s">
        <v>8451</v>
      </c>
      <c r="F6851" s="126">
        <v>2</v>
      </c>
      <c r="G6851" s="127">
        <v>197.6</v>
      </c>
      <c r="H6851" s="124" t="s">
        <v>8368</v>
      </c>
      <c r="I6851" s="128">
        <v>12750.01</v>
      </c>
      <c r="J6851" s="128">
        <v>63750.05</v>
      </c>
    </row>
    <row r="6852" spans="1:10" hidden="1" x14ac:dyDescent="0.25">
      <c r="A6852" s="124" t="s">
        <v>9335</v>
      </c>
      <c r="B6852" s="124" t="s">
        <v>11736</v>
      </c>
      <c r="C6852" s="132"/>
      <c r="D6852" s="125">
        <f>COUNTIF(A1855:A6851,A6852)</f>
        <v>0</v>
      </c>
      <c r="E6852" s="124" t="s">
        <v>8367</v>
      </c>
      <c r="F6852" s="126">
        <v>10</v>
      </c>
      <c r="G6852" s="128">
        <v>698550</v>
      </c>
      <c r="H6852" s="124" t="s">
        <v>8368</v>
      </c>
      <c r="I6852" s="128">
        <v>1502525.96</v>
      </c>
      <c r="J6852" s="128">
        <v>7512629.7800000003</v>
      </c>
    </row>
    <row r="6853" spans="1:10" hidden="1" x14ac:dyDescent="0.25">
      <c r="A6853" s="124" t="s">
        <v>9336</v>
      </c>
      <c r="B6853" s="124" t="s">
        <v>11736</v>
      </c>
      <c r="C6853" s="132"/>
      <c r="D6853" s="125">
        <f>COUNTIF(A1858:A6852,A6853)</f>
        <v>0</v>
      </c>
      <c r="E6853" s="124" t="s">
        <v>8367</v>
      </c>
      <c r="F6853" s="126">
        <v>50</v>
      </c>
      <c r="G6853" s="128">
        <v>18500.400000000001</v>
      </c>
      <c r="H6853" s="124" t="s">
        <v>8368</v>
      </c>
      <c r="I6853" s="127">
        <v>332.2</v>
      </c>
      <c r="J6853" s="128">
        <v>1661</v>
      </c>
    </row>
    <row r="6854" spans="1:10" hidden="1" x14ac:dyDescent="0.25">
      <c r="A6854" s="124" t="s">
        <v>9337</v>
      </c>
      <c r="B6854" s="124" t="s">
        <v>11736</v>
      </c>
      <c r="C6854" s="132"/>
      <c r="D6854" s="125">
        <f>COUNTIF(A1859:A6853,A6854)</f>
        <v>0</v>
      </c>
      <c r="E6854" s="124" t="s">
        <v>8367</v>
      </c>
      <c r="F6854" s="126">
        <v>90</v>
      </c>
      <c r="G6854" s="128">
        <v>76500.06</v>
      </c>
      <c r="H6854" s="124" t="s">
        <v>8368</v>
      </c>
      <c r="I6854" s="127">
        <v>365</v>
      </c>
      <c r="J6854" s="128">
        <v>1825</v>
      </c>
    </row>
    <row r="6855" spans="1:10" hidden="1" x14ac:dyDescent="0.25">
      <c r="A6855" s="124" t="s">
        <v>9338</v>
      </c>
      <c r="B6855" s="124" t="s">
        <v>11736</v>
      </c>
      <c r="C6855" s="132"/>
      <c r="D6855" s="125">
        <f>COUNTIF(A1860:A6854,A6855)</f>
        <v>0</v>
      </c>
      <c r="E6855" s="124" t="s">
        <v>8367</v>
      </c>
      <c r="F6855" s="126">
        <v>849</v>
      </c>
      <c r="G6855" s="128">
        <v>9015155.7400000002</v>
      </c>
      <c r="H6855" s="124" t="s">
        <v>8368</v>
      </c>
      <c r="I6855" s="127">
        <v>185</v>
      </c>
      <c r="J6855" s="127">
        <v>925</v>
      </c>
    </row>
    <row r="6856" spans="1:10" hidden="1" x14ac:dyDescent="0.25">
      <c r="A6856" s="124" t="s">
        <v>9339</v>
      </c>
      <c r="B6856" s="124" t="s">
        <v>11736</v>
      </c>
      <c r="C6856" s="132"/>
      <c r="D6856" s="125">
        <f>COUNTIF(A1865:A6855,A6856)</f>
        <v>0</v>
      </c>
      <c r="E6856" s="124" t="s">
        <v>8367</v>
      </c>
      <c r="F6856" s="126">
        <v>1</v>
      </c>
      <c r="G6856" s="128">
        <v>1993.2</v>
      </c>
      <c r="H6856" s="124" t="s">
        <v>8368</v>
      </c>
      <c r="I6856" s="127">
        <v>360</v>
      </c>
      <c r="J6856" s="128">
        <v>1800</v>
      </c>
    </row>
    <row r="6857" spans="1:10" hidden="1" x14ac:dyDescent="0.25">
      <c r="A6857" s="124" t="s">
        <v>9340</v>
      </c>
      <c r="B6857" s="124" t="s">
        <v>11736</v>
      </c>
      <c r="C6857" s="132"/>
      <c r="D6857" s="125">
        <f>COUNTIF(A1866:A6856,A6857)</f>
        <v>0</v>
      </c>
      <c r="E6857" s="124" t="s">
        <v>8367</v>
      </c>
      <c r="F6857" s="126">
        <v>2</v>
      </c>
      <c r="G6857" s="128">
        <v>2190</v>
      </c>
      <c r="H6857" s="124" t="s">
        <v>8368</v>
      </c>
      <c r="I6857" s="128">
        <v>1298.55</v>
      </c>
      <c r="J6857" s="128">
        <v>6492.75</v>
      </c>
    </row>
    <row r="6858" spans="1:10" hidden="1" x14ac:dyDescent="0.25">
      <c r="A6858" s="124" t="s">
        <v>9341</v>
      </c>
      <c r="B6858" s="124" t="s">
        <v>11736</v>
      </c>
      <c r="C6858" s="132"/>
      <c r="D6858" s="125">
        <f>COUNTIF(A1867:A6857,A6858)</f>
        <v>0</v>
      </c>
      <c r="E6858" s="124" t="s">
        <v>8367</v>
      </c>
      <c r="F6858" s="126">
        <v>5</v>
      </c>
      <c r="G6858" s="128">
        <v>1110</v>
      </c>
      <c r="H6858" s="124" t="s">
        <v>8368</v>
      </c>
      <c r="I6858" s="128">
        <v>19994.2</v>
      </c>
      <c r="J6858" s="128">
        <v>99971</v>
      </c>
    </row>
    <row r="6859" spans="1:10" hidden="1" x14ac:dyDescent="0.25">
      <c r="A6859" s="124" t="s">
        <v>9342</v>
      </c>
      <c r="B6859" s="124" t="s">
        <v>11736</v>
      </c>
      <c r="C6859" s="132"/>
      <c r="D6859" s="125">
        <f>COUNTIF(A1868:A6858,A6859)</f>
        <v>0</v>
      </c>
      <c r="E6859" s="124" t="s">
        <v>8367</v>
      </c>
      <c r="F6859" s="126">
        <v>10</v>
      </c>
      <c r="G6859" s="128">
        <v>2160</v>
      </c>
      <c r="H6859" s="124" t="s">
        <v>8368</v>
      </c>
      <c r="I6859" s="127">
        <v>355.6</v>
      </c>
      <c r="J6859" s="128">
        <v>1778</v>
      </c>
    </row>
    <row r="6860" spans="1:10" hidden="1" x14ac:dyDescent="0.25">
      <c r="A6860" s="124" t="s">
        <v>9343</v>
      </c>
      <c r="B6860" s="124" t="s">
        <v>11736</v>
      </c>
      <c r="C6860" s="132"/>
      <c r="D6860" s="125">
        <f>COUNTIF(A1870:A6859,A6860)</f>
        <v>0</v>
      </c>
      <c r="E6860" s="124" t="s">
        <v>8367</v>
      </c>
      <c r="F6860" s="126">
        <v>3</v>
      </c>
      <c r="G6860" s="128">
        <v>7791.3</v>
      </c>
      <c r="H6860" s="124" t="s">
        <v>8368</v>
      </c>
      <c r="I6860" s="127">
        <v>229.72</v>
      </c>
      <c r="J6860" s="128">
        <v>1148.57</v>
      </c>
    </row>
    <row r="6861" spans="1:10" hidden="1" x14ac:dyDescent="0.25">
      <c r="A6861" s="124" t="s">
        <v>9344</v>
      </c>
      <c r="B6861" s="124" t="s">
        <v>11736</v>
      </c>
      <c r="C6861" s="132"/>
      <c r="D6861" s="125">
        <f t="shared" ref="D6861:D6869" si="70">COUNTIF(A1872:A6860,A6861)</f>
        <v>0</v>
      </c>
      <c r="E6861" s="124" t="s">
        <v>8367</v>
      </c>
      <c r="F6861" s="126">
        <v>5</v>
      </c>
      <c r="G6861" s="128">
        <v>119965.2</v>
      </c>
      <c r="H6861" s="124" t="s">
        <v>8368</v>
      </c>
      <c r="I6861" s="127">
        <v>126.4</v>
      </c>
      <c r="J6861" s="127">
        <v>632</v>
      </c>
    </row>
    <row r="6862" spans="1:10" hidden="1" x14ac:dyDescent="0.25">
      <c r="A6862" s="124" t="s">
        <v>9345</v>
      </c>
      <c r="B6862" s="124" t="s">
        <v>11736</v>
      </c>
      <c r="C6862" s="132"/>
      <c r="D6862" s="125">
        <f t="shared" si="70"/>
        <v>0</v>
      </c>
      <c r="E6862" s="124" t="s">
        <v>8367</v>
      </c>
      <c r="F6862" s="126">
        <v>1</v>
      </c>
      <c r="G6862" s="128">
        <v>2133.6</v>
      </c>
      <c r="H6862" s="124" t="s">
        <v>8368</v>
      </c>
      <c r="I6862" s="127">
        <v>136.4</v>
      </c>
      <c r="J6862" s="127">
        <v>682</v>
      </c>
    </row>
    <row r="6863" spans="1:10" hidden="1" x14ac:dyDescent="0.25">
      <c r="A6863" s="124" t="s">
        <v>9346</v>
      </c>
      <c r="B6863" s="124" t="s">
        <v>11736</v>
      </c>
      <c r="C6863" s="132"/>
      <c r="D6863" s="125">
        <f t="shared" si="70"/>
        <v>0</v>
      </c>
      <c r="E6863" s="124" t="s">
        <v>8367</v>
      </c>
      <c r="F6863" s="126">
        <v>4</v>
      </c>
      <c r="G6863" s="128">
        <v>1378.29</v>
      </c>
      <c r="H6863" s="124" t="s">
        <v>8368</v>
      </c>
      <c r="I6863" s="127">
        <v>367</v>
      </c>
      <c r="J6863" s="128">
        <v>1835</v>
      </c>
    </row>
    <row r="6864" spans="1:10" hidden="1" x14ac:dyDescent="0.25">
      <c r="A6864" s="124" t="s">
        <v>9347</v>
      </c>
      <c r="B6864" s="124" t="s">
        <v>11736</v>
      </c>
      <c r="C6864" s="132"/>
      <c r="D6864" s="125">
        <f t="shared" si="70"/>
        <v>0</v>
      </c>
      <c r="E6864" s="124" t="s">
        <v>8367</v>
      </c>
      <c r="F6864" s="126">
        <v>2</v>
      </c>
      <c r="G6864" s="127">
        <v>758.4</v>
      </c>
      <c r="H6864" s="124" t="s">
        <v>8368</v>
      </c>
      <c r="I6864" s="127">
        <v>338.33</v>
      </c>
      <c r="J6864" s="128">
        <v>1691.67</v>
      </c>
    </row>
    <row r="6865" spans="1:10" hidden="1" x14ac:dyDescent="0.25">
      <c r="A6865" s="124" t="s">
        <v>9348</v>
      </c>
      <c r="B6865" s="124" t="s">
        <v>11736</v>
      </c>
      <c r="C6865" s="132"/>
      <c r="D6865" s="125">
        <f t="shared" si="70"/>
        <v>0</v>
      </c>
      <c r="E6865" s="124" t="s">
        <v>8367</v>
      </c>
      <c r="F6865" s="126">
        <v>2</v>
      </c>
      <c r="G6865" s="127">
        <v>818.4</v>
      </c>
      <c r="H6865" s="124" t="s">
        <v>8368</v>
      </c>
      <c r="I6865" s="127">
        <v>176.6</v>
      </c>
      <c r="J6865" s="127">
        <v>883</v>
      </c>
    </row>
    <row r="6866" spans="1:10" hidden="1" x14ac:dyDescent="0.25">
      <c r="A6866" s="124" t="s">
        <v>9349</v>
      </c>
      <c r="B6866" s="124" t="s">
        <v>11736</v>
      </c>
      <c r="C6866" s="132"/>
      <c r="D6866" s="125">
        <f t="shared" si="70"/>
        <v>0</v>
      </c>
      <c r="E6866" s="124" t="s">
        <v>8367</v>
      </c>
      <c r="F6866" s="126">
        <v>1</v>
      </c>
      <c r="G6866" s="128">
        <v>2202</v>
      </c>
      <c r="H6866" s="124" t="s">
        <v>8368</v>
      </c>
      <c r="I6866" s="128">
        <v>2198</v>
      </c>
      <c r="J6866" s="128">
        <v>10990</v>
      </c>
    </row>
    <row r="6867" spans="1:10" hidden="1" x14ac:dyDescent="0.25">
      <c r="A6867" s="124" t="s">
        <v>9350</v>
      </c>
      <c r="B6867" s="124" t="s">
        <v>11736</v>
      </c>
      <c r="C6867" s="132"/>
      <c r="D6867" s="125">
        <f t="shared" si="70"/>
        <v>0</v>
      </c>
      <c r="E6867" s="124" t="s">
        <v>8367</v>
      </c>
      <c r="F6867" s="126">
        <v>10</v>
      </c>
      <c r="G6867" s="128">
        <v>2030</v>
      </c>
      <c r="H6867" s="124" t="s">
        <v>8368</v>
      </c>
      <c r="I6867" s="128">
        <v>23580</v>
      </c>
      <c r="J6867" s="128">
        <v>117900</v>
      </c>
    </row>
    <row r="6868" spans="1:10" hidden="1" x14ac:dyDescent="0.25">
      <c r="A6868" s="124" t="s">
        <v>9351</v>
      </c>
      <c r="B6868" s="124" t="s">
        <v>11736</v>
      </c>
      <c r="C6868" s="132"/>
      <c r="D6868" s="125">
        <f t="shared" si="70"/>
        <v>0</v>
      </c>
      <c r="E6868" s="124" t="s">
        <v>8367</v>
      </c>
      <c r="F6868" s="126">
        <v>4</v>
      </c>
      <c r="G6868" s="128">
        <v>1059.5999999999999</v>
      </c>
      <c r="H6868" s="124" t="s">
        <v>8368</v>
      </c>
      <c r="I6868" s="127">
        <v>109.4</v>
      </c>
      <c r="J6868" s="127">
        <v>547</v>
      </c>
    </row>
    <row r="6869" spans="1:10" hidden="1" x14ac:dyDescent="0.25">
      <c r="A6869" s="124" t="s">
        <v>2005</v>
      </c>
      <c r="B6869" s="124" t="s">
        <v>11736</v>
      </c>
      <c r="C6869" s="132"/>
      <c r="D6869" s="125">
        <f t="shared" si="70"/>
        <v>0</v>
      </c>
      <c r="E6869" s="124" t="s">
        <v>8632</v>
      </c>
      <c r="F6869" s="126">
        <v>7</v>
      </c>
      <c r="G6869" s="128">
        <v>13188</v>
      </c>
      <c r="H6869" s="124" t="s">
        <v>8368</v>
      </c>
      <c r="I6869" s="127">
        <v>555</v>
      </c>
      <c r="J6869" s="128">
        <v>2775</v>
      </c>
    </row>
    <row r="6870" spans="1:10" hidden="1" x14ac:dyDescent="0.25">
      <c r="A6870" s="124" t="s">
        <v>9352</v>
      </c>
      <c r="B6870" s="124" t="s">
        <v>11736</v>
      </c>
      <c r="C6870" s="132"/>
      <c r="D6870" s="125">
        <f>COUNTIF(A1882:A6869,A6870)</f>
        <v>0</v>
      </c>
      <c r="E6870" s="124" t="s">
        <v>8367</v>
      </c>
      <c r="F6870" s="126">
        <v>40</v>
      </c>
      <c r="G6870" s="128">
        <v>141480</v>
      </c>
      <c r="H6870" s="124" t="s">
        <v>8368</v>
      </c>
      <c r="I6870" s="128">
        <v>2090.8000000000002</v>
      </c>
      <c r="J6870" s="128">
        <v>10454</v>
      </c>
    </row>
    <row r="6871" spans="1:10" hidden="1" x14ac:dyDescent="0.25">
      <c r="A6871" s="124" t="s">
        <v>9353</v>
      </c>
      <c r="B6871" s="124" t="s">
        <v>11736</v>
      </c>
      <c r="C6871" s="132"/>
      <c r="D6871" s="125">
        <f t="shared" ref="D6871:D6883" si="71">COUNTIF(A1885:A6870,A6871)</f>
        <v>0</v>
      </c>
      <c r="E6871" s="124" t="s">
        <v>8367</v>
      </c>
      <c r="F6871" s="126">
        <v>2</v>
      </c>
      <c r="G6871" s="127">
        <v>656.4</v>
      </c>
      <c r="H6871" s="124" t="s">
        <v>8368</v>
      </c>
      <c r="I6871" s="127">
        <v>37</v>
      </c>
      <c r="J6871" s="127">
        <v>185</v>
      </c>
    </row>
    <row r="6872" spans="1:10" hidden="1" x14ac:dyDescent="0.25">
      <c r="A6872" s="124" t="s">
        <v>9354</v>
      </c>
      <c r="B6872" s="124" t="s">
        <v>11736</v>
      </c>
      <c r="C6872" s="132"/>
      <c r="D6872" s="125">
        <f t="shared" si="71"/>
        <v>0</v>
      </c>
      <c r="E6872" s="124" t="s">
        <v>8367</v>
      </c>
      <c r="F6872" s="126">
        <v>5</v>
      </c>
      <c r="G6872" s="128">
        <v>3330</v>
      </c>
      <c r="H6872" s="124" t="s">
        <v>8368</v>
      </c>
      <c r="I6872" s="128">
        <v>6115</v>
      </c>
      <c r="J6872" s="128">
        <v>30575</v>
      </c>
    </row>
    <row r="6873" spans="1:10" hidden="1" x14ac:dyDescent="0.25">
      <c r="A6873" s="124" t="s">
        <v>9355</v>
      </c>
      <c r="B6873" s="124" t="s">
        <v>11736</v>
      </c>
      <c r="C6873" s="132"/>
      <c r="D6873" s="125">
        <f t="shared" si="71"/>
        <v>0</v>
      </c>
      <c r="E6873" s="124" t="s">
        <v>8367</v>
      </c>
      <c r="F6873" s="126">
        <v>5</v>
      </c>
      <c r="G6873" s="128">
        <v>12544.8</v>
      </c>
      <c r="H6873" s="124" t="s">
        <v>8368</v>
      </c>
      <c r="I6873" s="127">
        <v>322.5</v>
      </c>
      <c r="J6873" s="128">
        <v>1612.5</v>
      </c>
    </row>
    <row r="6874" spans="1:10" hidden="1" x14ac:dyDescent="0.25">
      <c r="A6874" s="124" t="s">
        <v>9356</v>
      </c>
      <c r="B6874" s="124" t="s">
        <v>11736</v>
      </c>
      <c r="C6874" s="132"/>
      <c r="D6874" s="125">
        <f t="shared" si="71"/>
        <v>0</v>
      </c>
      <c r="E6874" s="124" t="s">
        <v>8367</v>
      </c>
      <c r="F6874" s="126">
        <v>1</v>
      </c>
      <c r="G6874" s="127">
        <v>222</v>
      </c>
      <c r="H6874" s="124" t="s">
        <v>8368</v>
      </c>
      <c r="I6874" s="128">
        <v>2257.64</v>
      </c>
      <c r="J6874" s="128">
        <v>11288.2</v>
      </c>
    </row>
    <row r="6875" spans="1:10" hidden="1" x14ac:dyDescent="0.25">
      <c r="A6875" s="124" t="s">
        <v>9357</v>
      </c>
      <c r="B6875" s="124" t="s">
        <v>11736</v>
      </c>
      <c r="C6875" s="132"/>
      <c r="D6875" s="125">
        <f t="shared" si="71"/>
        <v>0</v>
      </c>
      <c r="E6875" s="124" t="s">
        <v>8367</v>
      </c>
      <c r="F6875" s="126">
        <v>2</v>
      </c>
      <c r="G6875" s="128">
        <v>36690</v>
      </c>
      <c r="H6875" s="124" t="s">
        <v>8368</v>
      </c>
      <c r="I6875" s="127">
        <v>322.60000000000002</v>
      </c>
      <c r="J6875" s="128">
        <v>1613</v>
      </c>
    </row>
    <row r="6876" spans="1:10" hidden="1" x14ac:dyDescent="0.25">
      <c r="A6876" s="124" t="s">
        <v>9358</v>
      </c>
      <c r="B6876" s="124" t="s">
        <v>11736</v>
      </c>
      <c r="C6876" s="132"/>
      <c r="D6876" s="125">
        <f t="shared" si="71"/>
        <v>0</v>
      </c>
      <c r="E6876" s="124" t="s">
        <v>8367</v>
      </c>
      <c r="F6876" s="126">
        <v>1</v>
      </c>
      <c r="G6876" s="128">
        <v>1935</v>
      </c>
      <c r="H6876" s="124" t="s">
        <v>8368</v>
      </c>
      <c r="I6876" s="127">
        <v>278.60000000000002</v>
      </c>
      <c r="J6876" s="128">
        <v>1393</v>
      </c>
    </row>
    <row r="6877" spans="1:10" hidden="1" x14ac:dyDescent="0.25">
      <c r="A6877" s="124" t="s">
        <v>9359</v>
      </c>
      <c r="B6877" s="124" t="s">
        <v>11736</v>
      </c>
      <c r="C6877" s="132"/>
      <c r="D6877" s="125">
        <f t="shared" si="71"/>
        <v>0</v>
      </c>
      <c r="E6877" s="124" t="s">
        <v>8367</v>
      </c>
      <c r="F6877" s="126">
        <v>7</v>
      </c>
      <c r="G6877" s="128">
        <v>13545.84</v>
      </c>
      <c r="H6877" s="124" t="s">
        <v>8368</v>
      </c>
      <c r="I6877" s="127">
        <v>278.60000000000002</v>
      </c>
      <c r="J6877" s="128">
        <v>1393</v>
      </c>
    </row>
    <row r="6878" spans="1:10" hidden="1" x14ac:dyDescent="0.25">
      <c r="A6878" s="124" t="s">
        <v>9360</v>
      </c>
      <c r="B6878" s="124" t="s">
        <v>11736</v>
      </c>
      <c r="C6878" s="132"/>
      <c r="D6878" s="125">
        <f t="shared" si="71"/>
        <v>0</v>
      </c>
      <c r="E6878" s="124" t="s">
        <v>8367</v>
      </c>
      <c r="F6878" s="126">
        <v>1</v>
      </c>
      <c r="G6878" s="128">
        <v>1935.6</v>
      </c>
      <c r="H6878" s="124" t="s">
        <v>8368</v>
      </c>
      <c r="I6878" s="127">
        <v>338.8</v>
      </c>
      <c r="J6878" s="128">
        <v>1694</v>
      </c>
    </row>
    <row r="6879" spans="1:10" hidden="1" x14ac:dyDescent="0.25">
      <c r="A6879" s="124" t="s">
        <v>9361</v>
      </c>
      <c r="B6879" s="124" t="s">
        <v>11736</v>
      </c>
      <c r="C6879" s="132"/>
      <c r="D6879" s="125">
        <f t="shared" si="71"/>
        <v>0</v>
      </c>
      <c r="E6879" s="124" t="s">
        <v>8367</v>
      </c>
      <c r="F6879" s="126">
        <v>1</v>
      </c>
      <c r="G6879" s="128">
        <v>1671.6</v>
      </c>
      <c r="H6879" s="124" t="s">
        <v>8368</v>
      </c>
      <c r="I6879" s="127">
        <v>567.44000000000005</v>
      </c>
      <c r="J6879" s="128">
        <v>2837.2</v>
      </c>
    </row>
    <row r="6880" spans="1:10" hidden="1" x14ac:dyDescent="0.25">
      <c r="A6880" s="124" t="s">
        <v>9362</v>
      </c>
      <c r="B6880" s="124" t="s">
        <v>11736</v>
      </c>
      <c r="C6880" s="132"/>
      <c r="D6880" s="125">
        <f t="shared" si="71"/>
        <v>0</v>
      </c>
      <c r="E6880" s="124" t="s">
        <v>8367</v>
      </c>
      <c r="F6880" s="126">
        <v>1</v>
      </c>
      <c r="G6880" s="128">
        <v>1671.6</v>
      </c>
      <c r="H6880" s="124" t="s">
        <v>8368</v>
      </c>
      <c r="I6880" s="127">
        <v>214.6</v>
      </c>
      <c r="J6880" s="128">
        <v>1073</v>
      </c>
    </row>
    <row r="6881" spans="1:10" hidden="1" x14ac:dyDescent="0.25">
      <c r="A6881" s="124" t="s">
        <v>9363</v>
      </c>
      <c r="B6881" s="124" t="s">
        <v>11736</v>
      </c>
      <c r="C6881" s="132"/>
      <c r="D6881" s="125">
        <f t="shared" si="71"/>
        <v>0</v>
      </c>
      <c r="E6881" s="124" t="s">
        <v>8367</v>
      </c>
      <c r="F6881" s="126">
        <v>2</v>
      </c>
      <c r="G6881" s="128">
        <v>2032.8</v>
      </c>
      <c r="H6881" s="124" t="s">
        <v>8368</v>
      </c>
      <c r="I6881" s="127">
        <v>866.15</v>
      </c>
      <c r="J6881" s="128">
        <v>4330.72</v>
      </c>
    </row>
    <row r="6882" spans="1:10" hidden="1" x14ac:dyDescent="0.25">
      <c r="A6882" s="124" t="s">
        <v>9364</v>
      </c>
      <c r="B6882" s="124" t="s">
        <v>11736</v>
      </c>
      <c r="C6882" s="132"/>
      <c r="D6882" s="125">
        <f t="shared" si="71"/>
        <v>0</v>
      </c>
      <c r="E6882" s="124" t="s">
        <v>8367</v>
      </c>
      <c r="F6882" s="126">
        <v>4</v>
      </c>
      <c r="G6882" s="128">
        <v>3404.64</v>
      </c>
      <c r="H6882" s="124" t="s">
        <v>8368</v>
      </c>
      <c r="I6882" s="127">
        <v>868.94</v>
      </c>
      <c r="J6882" s="128">
        <v>4344.6899999999996</v>
      </c>
    </row>
    <row r="6883" spans="1:10" hidden="1" x14ac:dyDescent="0.25">
      <c r="A6883" s="124" t="s">
        <v>9365</v>
      </c>
      <c r="B6883" s="124" t="s">
        <v>11736</v>
      </c>
      <c r="C6883" s="132"/>
      <c r="D6883" s="125">
        <f t="shared" si="71"/>
        <v>0</v>
      </c>
      <c r="E6883" s="124" t="s">
        <v>8367</v>
      </c>
      <c r="F6883" s="126">
        <v>1</v>
      </c>
      <c r="G6883" s="128">
        <v>1287.5999999999999</v>
      </c>
      <c r="H6883" s="124" t="s">
        <v>8368</v>
      </c>
      <c r="I6883" s="127">
        <v>872.1</v>
      </c>
      <c r="J6883" s="128">
        <v>4360.5</v>
      </c>
    </row>
    <row r="6884" spans="1:10" hidden="1" x14ac:dyDescent="0.25">
      <c r="A6884" s="124" t="s">
        <v>9366</v>
      </c>
      <c r="B6884" s="124" t="s">
        <v>11736</v>
      </c>
      <c r="C6884" s="132"/>
      <c r="D6884" s="125">
        <f>COUNTIF(A1901:A6883,A6884)</f>
        <v>0</v>
      </c>
      <c r="E6884" s="124" t="s">
        <v>9270</v>
      </c>
      <c r="F6884" s="126">
        <v>1</v>
      </c>
      <c r="G6884" s="128">
        <v>5196.87</v>
      </c>
      <c r="H6884" s="124" t="s">
        <v>8368</v>
      </c>
      <c r="I6884" s="127">
        <v>872.1</v>
      </c>
      <c r="J6884" s="128">
        <v>4360.5</v>
      </c>
    </row>
    <row r="6885" spans="1:10" hidden="1" x14ac:dyDescent="0.25">
      <c r="A6885" s="124" t="s">
        <v>9367</v>
      </c>
      <c r="B6885" s="124" t="s">
        <v>11736</v>
      </c>
      <c r="C6885" s="132"/>
      <c r="D6885" s="125">
        <f>COUNTIF(A1908:A6884,A6885)</f>
        <v>0</v>
      </c>
      <c r="E6885" s="124" t="s">
        <v>9270</v>
      </c>
      <c r="F6885" s="126">
        <v>1</v>
      </c>
      <c r="G6885" s="128">
        <v>5213.63</v>
      </c>
      <c r="H6885" s="124" t="s">
        <v>8368</v>
      </c>
      <c r="I6885" s="128">
        <v>2601</v>
      </c>
      <c r="J6885" s="128">
        <v>13005</v>
      </c>
    </row>
    <row r="6886" spans="1:10" hidden="1" x14ac:dyDescent="0.25">
      <c r="A6886" s="124" t="s">
        <v>9368</v>
      </c>
      <c r="B6886" s="124" t="s">
        <v>11736</v>
      </c>
      <c r="C6886" s="132"/>
      <c r="D6886" s="125">
        <f>COUNTIF(A1910:A6885,A6886)</f>
        <v>0</v>
      </c>
      <c r="E6886" s="124" t="s">
        <v>9270</v>
      </c>
      <c r="F6886" s="126">
        <v>1</v>
      </c>
      <c r="G6886" s="128">
        <v>5232.6000000000004</v>
      </c>
      <c r="H6886" s="124" t="s">
        <v>8368</v>
      </c>
      <c r="I6886" s="127">
        <v>774</v>
      </c>
      <c r="J6886" s="128">
        <v>3870</v>
      </c>
    </row>
    <row r="6887" spans="1:10" hidden="1" x14ac:dyDescent="0.25">
      <c r="A6887" s="124" t="s">
        <v>9369</v>
      </c>
      <c r="B6887" s="124" t="s">
        <v>11736</v>
      </c>
      <c r="C6887" s="132"/>
      <c r="D6887" s="125">
        <f>COUNTIF(A1911:A6886,A6887)</f>
        <v>0</v>
      </c>
      <c r="E6887" s="124" t="s">
        <v>9270</v>
      </c>
      <c r="F6887" s="126">
        <v>1</v>
      </c>
      <c r="G6887" s="128">
        <v>5232.6000000000004</v>
      </c>
      <c r="H6887" s="124" t="s">
        <v>8368</v>
      </c>
      <c r="I6887" s="127">
        <v>286.39999999999998</v>
      </c>
      <c r="J6887" s="128">
        <v>1432</v>
      </c>
    </row>
    <row r="6888" spans="1:10" hidden="1" x14ac:dyDescent="0.25">
      <c r="A6888" s="124" t="s">
        <v>9370</v>
      </c>
      <c r="B6888" s="124" t="s">
        <v>11736</v>
      </c>
      <c r="C6888" s="132"/>
      <c r="D6888" s="125">
        <f>COUNTIF(A1912:A6887,A6888)</f>
        <v>0</v>
      </c>
      <c r="E6888" s="124" t="s">
        <v>9270</v>
      </c>
      <c r="F6888" s="126">
        <v>3</v>
      </c>
      <c r="G6888" s="128">
        <v>15606</v>
      </c>
      <c r="H6888" s="124" t="s">
        <v>8368</v>
      </c>
      <c r="I6888" s="127">
        <v>143.19999999999999</v>
      </c>
      <c r="J6888" s="127">
        <v>716</v>
      </c>
    </row>
    <row r="6889" spans="1:10" hidden="1" x14ac:dyDescent="0.25">
      <c r="A6889" s="124" t="s">
        <v>9371</v>
      </c>
      <c r="B6889" s="124" t="s">
        <v>11736</v>
      </c>
      <c r="C6889" s="132"/>
      <c r="D6889" s="125">
        <f>COUNTIF(A1913:A6888,A6889)</f>
        <v>0</v>
      </c>
      <c r="E6889" s="124" t="s">
        <v>9270</v>
      </c>
      <c r="F6889" s="126">
        <v>1</v>
      </c>
      <c r="G6889" s="128">
        <v>4644</v>
      </c>
      <c r="H6889" s="124" t="s">
        <v>8368</v>
      </c>
      <c r="I6889" s="128">
        <v>8165</v>
      </c>
      <c r="J6889" s="128">
        <v>40825</v>
      </c>
    </row>
    <row r="6890" spans="1:10" hidden="1" x14ac:dyDescent="0.25">
      <c r="A6890" s="124" t="s">
        <v>9372</v>
      </c>
      <c r="B6890" s="124" t="s">
        <v>11736</v>
      </c>
      <c r="C6890" s="132"/>
      <c r="D6890" s="125">
        <f>COUNTIF(A1919:A6889,A6890)</f>
        <v>0</v>
      </c>
      <c r="E6890" s="124" t="s">
        <v>8367</v>
      </c>
      <c r="F6890" s="126">
        <v>2</v>
      </c>
      <c r="G6890" s="128">
        <v>1718.4</v>
      </c>
      <c r="H6890" s="124" t="s">
        <v>8368</v>
      </c>
      <c r="I6890" s="128">
        <v>1400</v>
      </c>
      <c r="J6890" s="128">
        <v>7000</v>
      </c>
    </row>
    <row r="6891" spans="1:10" hidden="1" x14ac:dyDescent="0.25">
      <c r="A6891" s="124" t="s">
        <v>9373</v>
      </c>
      <c r="B6891" s="124" t="s">
        <v>11736</v>
      </c>
      <c r="C6891" s="132"/>
      <c r="D6891" s="125">
        <f>COUNTIF(A1920:A6890,A6891)</f>
        <v>0</v>
      </c>
      <c r="E6891" s="124" t="s">
        <v>8367</v>
      </c>
      <c r="F6891" s="126">
        <v>1</v>
      </c>
      <c r="G6891" s="127">
        <v>859.2</v>
      </c>
      <c r="H6891" s="124" t="s">
        <v>8368</v>
      </c>
      <c r="I6891" s="128">
        <v>3360</v>
      </c>
      <c r="J6891" s="128">
        <v>16800</v>
      </c>
    </row>
    <row r="6892" spans="1:10" hidden="1" x14ac:dyDescent="0.25">
      <c r="A6892" s="124" t="s">
        <v>9374</v>
      </c>
      <c r="B6892" s="124" t="s">
        <v>11736</v>
      </c>
      <c r="C6892" s="132"/>
      <c r="D6892" s="125">
        <f>COUNTIF(A1921:A6891,A6892)</f>
        <v>0</v>
      </c>
      <c r="E6892" s="124" t="s">
        <v>8367</v>
      </c>
      <c r="F6892" s="126">
        <v>1</v>
      </c>
      <c r="G6892" s="128">
        <v>48990</v>
      </c>
      <c r="H6892" s="124" t="s">
        <v>8368</v>
      </c>
      <c r="I6892" s="128">
        <v>3187.15</v>
      </c>
      <c r="J6892" s="128">
        <v>15935.72</v>
      </c>
    </row>
    <row r="6893" spans="1:10" hidden="1" x14ac:dyDescent="0.25">
      <c r="A6893" s="124" t="s">
        <v>9375</v>
      </c>
      <c r="B6893" s="124" t="s">
        <v>11736</v>
      </c>
      <c r="C6893" s="132"/>
      <c r="D6893" s="125">
        <f>COUNTIF(A1922:A6892,A6893)</f>
        <v>0</v>
      </c>
      <c r="E6893" s="124" t="s">
        <v>8367</v>
      </c>
      <c r="F6893" s="126">
        <v>20</v>
      </c>
      <c r="G6893" s="128">
        <v>8400</v>
      </c>
      <c r="H6893" s="124" t="s">
        <v>8368</v>
      </c>
      <c r="I6893" s="128">
        <v>31871.45</v>
      </c>
      <c r="J6893" s="128">
        <v>159357.22</v>
      </c>
    </row>
    <row r="6894" spans="1:10" hidden="1" x14ac:dyDescent="0.25">
      <c r="A6894" s="124" t="s">
        <v>9376</v>
      </c>
      <c r="B6894" s="124" t="s">
        <v>11736</v>
      </c>
      <c r="C6894" s="132"/>
      <c r="D6894" s="125">
        <f>COUNTIF(A1923:A6893,A6894)</f>
        <v>0</v>
      </c>
      <c r="E6894" s="124" t="s">
        <v>8367</v>
      </c>
      <c r="F6894" s="126">
        <v>40</v>
      </c>
      <c r="G6894" s="128">
        <v>20160</v>
      </c>
      <c r="H6894" s="124" t="s">
        <v>8368</v>
      </c>
      <c r="I6894" s="128">
        <v>1626.23</v>
      </c>
      <c r="J6894" s="128">
        <v>8131.15</v>
      </c>
    </row>
    <row r="6895" spans="1:10" hidden="1" x14ac:dyDescent="0.25">
      <c r="A6895" s="124" t="s">
        <v>9377</v>
      </c>
      <c r="B6895" s="124" t="s">
        <v>11736</v>
      </c>
      <c r="C6895" s="132"/>
      <c r="D6895" s="125">
        <f>COUNTIF(A1925:A6894,A6895)</f>
        <v>0</v>
      </c>
      <c r="E6895" s="124" t="s">
        <v>8367</v>
      </c>
      <c r="F6895" s="126">
        <v>20</v>
      </c>
      <c r="G6895" s="128">
        <v>19122.87</v>
      </c>
      <c r="H6895" s="124" t="s">
        <v>8368</v>
      </c>
      <c r="I6895" s="128">
        <v>32524.59</v>
      </c>
      <c r="J6895" s="128">
        <v>162622.93</v>
      </c>
    </row>
    <row r="6896" spans="1:10" hidden="1" x14ac:dyDescent="0.25">
      <c r="A6896" s="124" t="s">
        <v>9378</v>
      </c>
      <c r="B6896" s="124" t="s">
        <v>11736</v>
      </c>
      <c r="C6896" s="132"/>
      <c r="D6896" s="125">
        <f>COUNTIF(A1928:A6895,A6896)</f>
        <v>0</v>
      </c>
      <c r="E6896" s="124" t="s">
        <v>8367</v>
      </c>
      <c r="F6896" s="126">
        <v>200</v>
      </c>
      <c r="G6896" s="128">
        <v>191228.67</v>
      </c>
      <c r="H6896" s="124" t="s">
        <v>8368</v>
      </c>
      <c r="I6896" s="127">
        <v>812.98</v>
      </c>
      <c r="J6896" s="128">
        <v>4064.91</v>
      </c>
    </row>
    <row r="6897" spans="1:10" hidden="1" x14ac:dyDescent="0.25">
      <c r="A6897" s="124" t="s">
        <v>9379</v>
      </c>
      <c r="B6897" s="124" t="s">
        <v>11736</v>
      </c>
      <c r="C6897" s="132"/>
      <c r="D6897" s="125">
        <f>COUNTIF(A1930:A6896,A6897)</f>
        <v>0</v>
      </c>
      <c r="E6897" s="124" t="s">
        <v>8367</v>
      </c>
      <c r="F6897" s="126">
        <v>20</v>
      </c>
      <c r="G6897" s="128">
        <v>9757.3799999999992</v>
      </c>
      <c r="H6897" s="124" t="s">
        <v>8368</v>
      </c>
      <c r="I6897" s="127">
        <v>432.87</v>
      </c>
      <c r="J6897" s="128">
        <v>2164.35</v>
      </c>
    </row>
    <row r="6898" spans="1:10" hidden="1" x14ac:dyDescent="0.25">
      <c r="A6898" s="124" t="s">
        <v>9380</v>
      </c>
      <c r="B6898" s="124" t="s">
        <v>11736</v>
      </c>
      <c r="C6898" s="132"/>
      <c r="D6898" s="125">
        <f>COUNTIF(A1933:A6897,A6898)</f>
        <v>0</v>
      </c>
      <c r="E6898" s="124" t="s">
        <v>8367</v>
      </c>
      <c r="F6898" s="126">
        <v>400</v>
      </c>
      <c r="G6898" s="128">
        <v>195147.51999999999</v>
      </c>
      <c r="H6898" s="124" t="s">
        <v>8368</v>
      </c>
      <c r="I6898" s="127">
        <v>480.05</v>
      </c>
      <c r="J6898" s="128">
        <v>2400.25</v>
      </c>
    </row>
    <row r="6899" spans="1:10" hidden="1" x14ac:dyDescent="0.25">
      <c r="A6899" s="124" t="s">
        <v>9381</v>
      </c>
      <c r="B6899" s="124" t="s">
        <v>11736</v>
      </c>
      <c r="C6899" s="132"/>
      <c r="D6899" s="125">
        <f>COUNTIF(A1935:A6898,A6899)</f>
        <v>0</v>
      </c>
      <c r="E6899" s="124" t="s">
        <v>8367</v>
      </c>
      <c r="F6899" s="126">
        <v>20</v>
      </c>
      <c r="G6899" s="128">
        <v>4877.8900000000003</v>
      </c>
      <c r="H6899" s="124" t="s">
        <v>8368</v>
      </c>
      <c r="I6899" s="128">
        <v>8030.77</v>
      </c>
      <c r="J6899" s="128">
        <v>40153.85</v>
      </c>
    </row>
    <row r="6900" spans="1:10" hidden="1" x14ac:dyDescent="0.25">
      <c r="A6900" s="124" t="s">
        <v>9382</v>
      </c>
      <c r="B6900" s="124" t="s">
        <v>11736</v>
      </c>
      <c r="C6900" s="132"/>
      <c r="D6900" s="125">
        <f>COUNTIF(A1938:A6899,A6900)</f>
        <v>0</v>
      </c>
      <c r="E6900" s="124" t="s">
        <v>8367</v>
      </c>
      <c r="F6900" s="126">
        <v>20</v>
      </c>
      <c r="G6900" s="128">
        <v>2597.2199999999998</v>
      </c>
      <c r="H6900" s="124" t="s">
        <v>8368</v>
      </c>
      <c r="I6900" s="128">
        <v>9396.33</v>
      </c>
      <c r="J6900" s="128">
        <v>46981.63</v>
      </c>
    </row>
    <row r="6901" spans="1:10" hidden="1" x14ac:dyDescent="0.25">
      <c r="A6901" s="124" t="s">
        <v>9383</v>
      </c>
      <c r="B6901" s="124" t="s">
        <v>11736</v>
      </c>
      <c r="C6901" s="132"/>
      <c r="D6901" s="125">
        <f>COUNTIF(A1941:A6900,A6901)</f>
        <v>0</v>
      </c>
      <c r="E6901" s="124" t="s">
        <v>8367</v>
      </c>
      <c r="F6901" s="126">
        <v>20</v>
      </c>
      <c r="G6901" s="128">
        <v>2880.3</v>
      </c>
      <c r="H6901" s="124" t="s">
        <v>8368</v>
      </c>
      <c r="I6901" s="128">
        <v>2280</v>
      </c>
      <c r="J6901" s="128">
        <v>11400</v>
      </c>
    </row>
    <row r="6902" spans="1:10" hidden="1" x14ac:dyDescent="0.25">
      <c r="A6902" s="124" t="s">
        <v>9384</v>
      </c>
      <c r="B6902" s="124" t="s">
        <v>11736</v>
      </c>
      <c r="C6902" s="132"/>
      <c r="D6902" s="125">
        <f>COUNTIF(A1944:A6901,A6902)</f>
        <v>0</v>
      </c>
      <c r="E6902" s="124" t="s">
        <v>8367</v>
      </c>
      <c r="F6902" s="126">
        <v>90</v>
      </c>
      <c r="G6902" s="128">
        <v>48184.62</v>
      </c>
      <c r="H6902" s="124" t="s">
        <v>8368</v>
      </c>
      <c r="I6902" s="128">
        <v>67814.63</v>
      </c>
      <c r="J6902" s="128">
        <v>339073.17</v>
      </c>
    </row>
    <row r="6903" spans="1:10" hidden="1" x14ac:dyDescent="0.25">
      <c r="A6903" s="124" t="s">
        <v>9385</v>
      </c>
      <c r="B6903" s="124" t="s">
        <v>11736</v>
      </c>
      <c r="C6903" s="132"/>
      <c r="D6903" s="125">
        <f>COUNTIF(A1946:A6902,A6903)</f>
        <v>0</v>
      </c>
      <c r="E6903" s="124" t="s">
        <v>8367</v>
      </c>
      <c r="F6903" s="126">
        <v>77</v>
      </c>
      <c r="G6903" s="128">
        <v>56377.96</v>
      </c>
      <c r="H6903" s="124" t="s">
        <v>8368</v>
      </c>
      <c r="I6903" s="128">
        <v>1247.81</v>
      </c>
      <c r="J6903" s="128">
        <v>6239.02</v>
      </c>
    </row>
    <row r="6904" spans="1:10" hidden="1" x14ac:dyDescent="0.25">
      <c r="A6904" s="124" t="s">
        <v>9386</v>
      </c>
      <c r="B6904" s="124" t="s">
        <v>11736</v>
      </c>
      <c r="C6904" s="132"/>
      <c r="D6904" s="125">
        <f>COUNTIF(A1949:A6903,A6904)</f>
        <v>0</v>
      </c>
      <c r="E6904" s="124" t="s">
        <v>8367</v>
      </c>
      <c r="F6904" s="126">
        <v>456</v>
      </c>
      <c r="G6904" s="128">
        <v>13680</v>
      </c>
      <c r="H6904" s="124" t="s">
        <v>8368</v>
      </c>
      <c r="I6904" s="128">
        <v>7396.6</v>
      </c>
      <c r="J6904" s="128">
        <v>36983</v>
      </c>
    </row>
    <row r="6905" spans="1:10" hidden="1" x14ac:dyDescent="0.25">
      <c r="A6905" s="124" t="s">
        <v>9387</v>
      </c>
      <c r="B6905" s="124" t="s">
        <v>11736</v>
      </c>
      <c r="C6905" s="132"/>
      <c r="D6905" s="125">
        <f>COUNTIF(A1950:A6904,A6905)</f>
        <v>0</v>
      </c>
      <c r="E6905" s="124" t="s">
        <v>8367</v>
      </c>
      <c r="F6905" s="126">
        <v>672</v>
      </c>
      <c r="G6905" s="128">
        <v>406887.8</v>
      </c>
      <c r="H6905" s="124" t="s">
        <v>8368</v>
      </c>
      <c r="I6905" s="128">
        <v>17718.830000000002</v>
      </c>
      <c r="J6905" s="128">
        <v>88594.13</v>
      </c>
    </row>
    <row r="6906" spans="1:10" hidden="1" x14ac:dyDescent="0.25">
      <c r="A6906" s="124" t="s">
        <v>9388</v>
      </c>
      <c r="B6906" s="124" t="s">
        <v>11736</v>
      </c>
      <c r="C6906" s="132"/>
      <c r="D6906" s="125">
        <f>COUNTIF(A1958:A6905,A6906)</f>
        <v>0</v>
      </c>
      <c r="E6906" s="124" t="s">
        <v>8367</v>
      </c>
      <c r="F6906" s="126">
        <v>10</v>
      </c>
      <c r="G6906" s="128">
        <v>7486.83</v>
      </c>
      <c r="H6906" s="124" t="s">
        <v>8368</v>
      </c>
      <c r="I6906" s="127">
        <v>379.31</v>
      </c>
      <c r="J6906" s="128">
        <v>1896.53</v>
      </c>
    </row>
    <row r="6907" spans="1:10" hidden="1" x14ac:dyDescent="0.25">
      <c r="A6907" s="124" t="s">
        <v>9389</v>
      </c>
      <c r="B6907" s="124" t="s">
        <v>11736</v>
      </c>
      <c r="C6907" s="132"/>
      <c r="D6907" s="125">
        <f>COUNTIF(A1961:A6906,A6907)</f>
        <v>0</v>
      </c>
      <c r="E6907" s="124" t="s">
        <v>8367</v>
      </c>
      <c r="F6907" s="126">
        <v>220</v>
      </c>
      <c r="G6907" s="128">
        <v>44379.6</v>
      </c>
      <c r="H6907" s="124" t="s">
        <v>8368</v>
      </c>
      <c r="I6907" s="127">
        <v>825.49</v>
      </c>
      <c r="J6907" s="128">
        <v>4127.45</v>
      </c>
    </row>
    <row r="6908" spans="1:10" hidden="1" x14ac:dyDescent="0.25">
      <c r="A6908" s="124" t="s">
        <v>9390</v>
      </c>
      <c r="B6908" s="124" t="s">
        <v>11736</v>
      </c>
      <c r="C6908" s="132"/>
      <c r="D6908" s="125">
        <f>COUNTIF(A1964:A6907,A6908)</f>
        <v>0</v>
      </c>
      <c r="E6908" s="124" t="s">
        <v>8367</v>
      </c>
      <c r="F6908" s="126">
        <v>142</v>
      </c>
      <c r="G6908" s="128">
        <v>106312.96000000001</v>
      </c>
      <c r="H6908" s="124" t="s">
        <v>8368</v>
      </c>
      <c r="I6908" s="127">
        <v>274.43</v>
      </c>
      <c r="J6908" s="128">
        <v>1372.13</v>
      </c>
    </row>
    <row r="6909" spans="1:10" hidden="1" x14ac:dyDescent="0.25">
      <c r="A6909" s="124" t="s">
        <v>9391</v>
      </c>
      <c r="B6909" s="124" t="s">
        <v>11736</v>
      </c>
      <c r="C6909" s="132"/>
      <c r="D6909" s="125">
        <f>COUNTIF(A1967:A6908,A6909)</f>
        <v>0</v>
      </c>
      <c r="E6909" s="124" t="s">
        <v>8367</v>
      </c>
      <c r="F6909" s="126">
        <v>20</v>
      </c>
      <c r="G6909" s="128">
        <v>2275.84</v>
      </c>
      <c r="H6909" s="124" t="s">
        <v>8368</v>
      </c>
      <c r="I6909" s="127">
        <v>81.59</v>
      </c>
      <c r="J6909" s="127">
        <v>407.93</v>
      </c>
    </row>
    <row r="6910" spans="1:10" hidden="1" x14ac:dyDescent="0.25">
      <c r="A6910" s="124" t="s">
        <v>9392</v>
      </c>
      <c r="B6910" s="124" t="s">
        <v>11736</v>
      </c>
      <c r="C6910" s="132"/>
      <c r="D6910" s="125">
        <f>COUNTIF(A1972:A6909,A6910)</f>
        <v>0</v>
      </c>
      <c r="E6910" s="124" t="s">
        <v>8367</v>
      </c>
      <c r="F6910" s="126">
        <v>762</v>
      </c>
      <c r="G6910" s="128">
        <v>4952.9399999999996</v>
      </c>
      <c r="H6910" s="124" t="s">
        <v>8368</v>
      </c>
      <c r="I6910" s="128">
        <v>5211.25</v>
      </c>
      <c r="J6910" s="128">
        <v>26056.27</v>
      </c>
    </row>
    <row r="6911" spans="1:10" hidden="1" x14ac:dyDescent="0.25">
      <c r="A6911" s="124" t="s">
        <v>9393</v>
      </c>
      <c r="B6911" s="124" t="s">
        <v>11736</v>
      </c>
      <c r="C6911" s="132"/>
      <c r="D6911" s="125">
        <f>COUNTIF(A1973:A6910,A6911)</f>
        <v>0</v>
      </c>
      <c r="E6911" s="124" t="s">
        <v>8367</v>
      </c>
      <c r="F6911" s="126">
        <v>37</v>
      </c>
      <c r="G6911" s="128">
        <v>1646.56</v>
      </c>
      <c r="H6911" s="124" t="s">
        <v>8368</v>
      </c>
      <c r="I6911" s="128">
        <v>12704.09</v>
      </c>
      <c r="J6911" s="128">
        <v>63520.44</v>
      </c>
    </row>
    <row r="6912" spans="1:10" hidden="1" x14ac:dyDescent="0.25">
      <c r="A6912" s="124" t="s">
        <v>9394</v>
      </c>
      <c r="B6912" s="124" t="s">
        <v>11736</v>
      </c>
      <c r="C6912" s="132"/>
      <c r="D6912" s="125">
        <f>COUNTIF(A1977:A6911,A6912)</f>
        <v>0</v>
      </c>
      <c r="E6912" s="124" t="s">
        <v>8367</v>
      </c>
      <c r="F6912" s="126">
        <v>11</v>
      </c>
      <c r="G6912" s="127">
        <v>489.52</v>
      </c>
      <c r="H6912" s="124" t="s">
        <v>8368</v>
      </c>
      <c r="I6912" s="127">
        <v>492.66</v>
      </c>
      <c r="J6912" s="128">
        <v>2463.3000000000002</v>
      </c>
    </row>
    <row r="6913" spans="1:10" hidden="1" x14ac:dyDescent="0.25">
      <c r="A6913" s="124" t="s">
        <v>9395</v>
      </c>
      <c r="B6913" s="124" t="s">
        <v>11736</v>
      </c>
      <c r="C6913" s="132"/>
      <c r="D6913" s="125">
        <f>COUNTIF(A1978:A6912,A6913)</f>
        <v>0</v>
      </c>
      <c r="E6913" s="124" t="s">
        <v>8367</v>
      </c>
      <c r="F6913" s="126">
        <v>165</v>
      </c>
      <c r="G6913" s="128">
        <v>31267.52</v>
      </c>
      <c r="H6913" s="124" t="s">
        <v>8368</v>
      </c>
      <c r="I6913" s="128">
        <v>4626.72</v>
      </c>
      <c r="J6913" s="128">
        <v>23133.599999999999</v>
      </c>
    </row>
    <row r="6914" spans="1:10" hidden="1" x14ac:dyDescent="0.25">
      <c r="A6914" s="124" t="s">
        <v>9396</v>
      </c>
      <c r="B6914" s="124" t="s">
        <v>11736</v>
      </c>
      <c r="C6914" s="132"/>
      <c r="D6914" s="125">
        <f>COUNTIF(A1985:A6913,A6914)</f>
        <v>0</v>
      </c>
      <c r="E6914" s="124" t="s">
        <v>8367</v>
      </c>
      <c r="F6914" s="126">
        <v>132</v>
      </c>
      <c r="G6914" s="128">
        <v>76224.53</v>
      </c>
      <c r="H6914" s="124" t="s">
        <v>8368</v>
      </c>
      <c r="I6914" s="128">
        <v>3781.53</v>
      </c>
      <c r="J6914" s="128">
        <v>18907.650000000001</v>
      </c>
    </row>
    <row r="6915" spans="1:10" hidden="1" x14ac:dyDescent="0.25">
      <c r="A6915" s="124" t="s">
        <v>9397</v>
      </c>
      <c r="B6915" s="124" t="s">
        <v>11736</v>
      </c>
      <c r="C6915" s="132"/>
      <c r="D6915" s="125">
        <f>COUNTIF(A1988:A6914,A6915)</f>
        <v>0</v>
      </c>
      <c r="E6915" s="124" t="s">
        <v>8367</v>
      </c>
      <c r="F6915" s="126">
        <v>23</v>
      </c>
      <c r="G6915" s="128">
        <v>2955.96</v>
      </c>
      <c r="H6915" s="124" t="s">
        <v>8368</v>
      </c>
      <c r="I6915" s="127">
        <v>2</v>
      </c>
      <c r="J6915" s="127">
        <v>10</v>
      </c>
    </row>
    <row r="6916" spans="1:10" hidden="1" x14ac:dyDescent="0.25">
      <c r="A6916" s="124" t="s">
        <v>9398</v>
      </c>
      <c r="B6916" s="124" t="s">
        <v>11736</v>
      </c>
      <c r="C6916" s="132"/>
      <c r="D6916" s="125">
        <f>COUNTIF(A1989:A6915,A6916)</f>
        <v>0</v>
      </c>
      <c r="E6916" s="124" t="s">
        <v>8367</v>
      </c>
      <c r="F6916" s="126">
        <v>216</v>
      </c>
      <c r="G6916" s="128">
        <v>27760.32</v>
      </c>
      <c r="H6916" s="124" t="s">
        <v>8368</v>
      </c>
      <c r="I6916" s="128">
        <v>649026.99</v>
      </c>
      <c r="J6916" s="128">
        <v>3245134.95</v>
      </c>
    </row>
    <row r="6917" spans="1:10" hidden="1" x14ac:dyDescent="0.25">
      <c r="A6917" s="124" t="s">
        <v>9399</v>
      </c>
      <c r="B6917" s="124" t="s">
        <v>11736</v>
      </c>
      <c r="C6917" s="132"/>
      <c r="D6917" s="125">
        <f>COUNTIF(A1991:A6916,A6917)</f>
        <v>0</v>
      </c>
      <c r="E6917" s="124" t="s">
        <v>8367</v>
      </c>
      <c r="F6917" s="126">
        <v>718</v>
      </c>
      <c r="G6917" s="128">
        <v>22689.18</v>
      </c>
      <c r="H6917" s="124" t="s">
        <v>8368</v>
      </c>
      <c r="I6917" s="127">
        <v>91.8</v>
      </c>
      <c r="J6917" s="127">
        <v>459</v>
      </c>
    </row>
    <row r="6918" spans="1:10" hidden="1" x14ac:dyDescent="0.25">
      <c r="A6918" s="124" t="s">
        <v>9400</v>
      </c>
      <c r="B6918" s="124" t="s">
        <v>11736</v>
      </c>
      <c r="C6918" s="132"/>
      <c r="D6918" s="125">
        <f>COUNTIF(A1992:A6917,A6918)</f>
        <v>0</v>
      </c>
      <c r="E6918" s="124" t="s">
        <v>8367</v>
      </c>
      <c r="F6918" s="126">
        <v>10</v>
      </c>
      <c r="G6918" s="127">
        <v>12</v>
      </c>
      <c r="H6918" s="124" t="s">
        <v>8368</v>
      </c>
      <c r="I6918" s="127">
        <v>595.15</v>
      </c>
      <c r="J6918" s="128">
        <v>2975.75</v>
      </c>
    </row>
    <row r="6919" spans="1:10" hidden="1" x14ac:dyDescent="0.25">
      <c r="A6919" s="124" t="s">
        <v>9401</v>
      </c>
      <c r="B6919" s="124" t="s">
        <v>11736</v>
      </c>
      <c r="C6919" s="132"/>
      <c r="D6919" s="125">
        <f>COUNTIF(A1996:A6918,A6919)</f>
        <v>0</v>
      </c>
      <c r="E6919" s="124" t="s">
        <v>8367</v>
      </c>
      <c r="F6919" s="126">
        <v>408</v>
      </c>
      <c r="G6919" s="128">
        <v>3894161.94</v>
      </c>
      <c r="H6919" s="124" t="s">
        <v>8368</v>
      </c>
      <c r="I6919" s="128">
        <v>1420.4</v>
      </c>
      <c r="J6919" s="128">
        <v>7102</v>
      </c>
    </row>
    <row r="6920" spans="1:10" hidden="1" x14ac:dyDescent="0.25">
      <c r="A6920" s="124" t="s">
        <v>9402</v>
      </c>
      <c r="B6920" s="124" t="s">
        <v>11736</v>
      </c>
      <c r="C6920" s="132"/>
      <c r="D6920" s="125">
        <f>COUNTIF(A1997:A6919,A6920)</f>
        <v>0</v>
      </c>
      <c r="E6920" s="124" t="s">
        <v>8367</v>
      </c>
      <c r="F6920" s="126">
        <v>1</v>
      </c>
      <c r="G6920" s="127">
        <v>550.79999999999995</v>
      </c>
      <c r="H6920" s="124" t="s">
        <v>8368</v>
      </c>
      <c r="I6920" s="127">
        <v>190.8</v>
      </c>
      <c r="J6920" s="127">
        <v>954</v>
      </c>
    </row>
    <row r="6921" spans="1:10" hidden="1" x14ac:dyDescent="0.25">
      <c r="A6921" s="124" t="s">
        <v>9403</v>
      </c>
      <c r="B6921" s="124" t="s">
        <v>11736</v>
      </c>
      <c r="C6921" s="132"/>
      <c r="D6921" s="125">
        <f>COUNTIF(A1998:A6920,A6921)</f>
        <v>0</v>
      </c>
      <c r="E6921" s="124" t="s">
        <v>8367</v>
      </c>
      <c r="F6921" s="126">
        <v>1</v>
      </c>
      <c r="G6921" s="128">
        <v>3570.9</v>
      </c>
      <c r="H6921" s="124" t="s">
        <v>8368</v>
      </c>
      <c r="I6921" s="128">
        <v>3583.2</v>
      </c>
      <c r="J6921" s="128">
        <v>17916</v>
      </c>
    </row>
    <row r="6922" spans="1:10" hidden="1" x14ac:dyDescent="0.25">
      <c r="A6922" s="124" t="s">
        <v>9404</v>
      </c>
      <c r="B6922" s="124" t="s">
        <v>11736</v>
      </c>
      <c r="C6922" s="132"/>
      <c r="D6922" s="125">
        <f>COUNTIF(A2000:A6921,A6922)</f>
        <v>0</v>
      </c>
      <c r="E6922" s="124" t="s">
        <v>8367</v>
      </c>
      <c r="F6922" s="126">
        <v>1</v>
      </c>
      <c r="G6922" s="128">
        <v>8522.4</v>
      </c>
      <c r="H6922" s="124" t="s">
        <v>8368</v>
      </c>
      <c r="I6922" s="127">
        <v>52.6</v>
      </c>
      <c r="J6922" s="127">
        <v>263</v>
      </c>
    </row>
    <row r="6923" spans="1:10" hidden="1" x14ac:dyDescent="0.25">
      <c r="A6923" s="124" t="s">
        <v>9405</v>
      </c>
      <c r="B6923" s="124" t="s">
        <v>11736</v>
      </c>
      <c r="C6923" s="132"/>
      <c r="D6923" s="125">
        <f>COUNTIF(A2002:A6922,A6923)</f>
        <v>0</v>
      </c>
      <c r="E6923" s="124" t="s">
        <v>8367</v>
      </c>
      <c r="F6923" s="126">
        <v>1</v>
      </c>
      <c r="G6923" s="128">
        <v>1144.8</v>
      </c>
      <c r="H6923" s="124" t="s">
        <v>8368</v>
      </c>
      <c r="I6923" s="127">
        <v>16.8</v>
      </c>
      <c r="J6923" s="127">
        <v>84</v>
      </c>
    </row>
    <row r="6924" spans="1:10" hidden="1" x14ac:dyDescent="0.25">
      <c r="A6924" s="124" t="s">
        <v>9406</v>
      </c>
      <c r="B6924" s="124" t="s">
        <v>11736</v>
      </c>
      <c r="C6924" s="132"/>
      <c r="D6924" s="125">
        <f>COUNTIF(A2004:A6923,A6924)</f>
        <v>0</v>
      </c>
      <c r="E6924" s="124" t="s">
        <v>8367</v>
      </c>
      <c r="F6924" s="126">
        <v>1</v>
      </c>
      <c r="G6924" s="128">
        <v>21499.200000000001</v>
      </c>
      <c r="H6924" s="124" t="s">
        <v>8368</v>
      </c>
      <c r="I6924" s="128">
        <v>401641.13</v>
      </c>
      <c r="J6924" s="128">
        <v>2008205.67</v>
      </c>
    </row>
    <row r="6925" spans="1:10" hidden="1" x14ac:dyDescent="0.25">
      <c r="A6925" s="124" t="s">
        <v>9407</v>
      </c>
      <c r="B6925" s="124" t="s">
        <v>11736</v>
      </c>
      <c r="C6925" s="132"/>
      <c r="D6925" s="125">
        <f>COUNTIF(A2005:A6924,A6925)</f>
        <v>0</v>
      </c>
      <c r="E6925" s="124" t="s">
        <v>8367</v>
      </c>
      <c r="F6925" s="126">
        <v>1</v>
      </c>
      <c r="G6925" s="127">
        <v>315.60000000000002</v>
      </c>
      <c r="H6925" s="124" t="s">
        <v>8368</v>
      </c>
      <c r="I6925" s="127">
        <v>127.2</v>
      </c>
      <c r="J6925" s="127">
        <v>636</v>
      </c>
    </row>
    <row r="6926" spans="1:10" hidden="1" x14ac:dyDescent="0.25">
      <c r="A6926" s="124" t="s">
        <v>9408</v>
      </c>
      <c r="B6926" s="124" t="s">
        <v>11736</v>
      </c>
      <c r="C6926" s="132"/>
      <c r="D6926" s="125">
        <f>COUNTIF(A2006:A6925,A6926)</f>
        <v>0</v>
      </c>
      <c r="E6926" s="124" t="s">
        <v>8367</v>
      </c>
      <c r="F6926" s="126">
        <v>1</v>
      </c>
      <c r="G6926" s="127">
        <v>100.8</v>
      </c>
      <c r="H6926" s="124" t="s">
        <v>8368</v>
      </c>
      <c r="I6926" s="127">
        <v>120.6</v>
      </c>
      <c r="J6926" s="127">
        <v>603</v>
      </c>
    </row>
    <row r="6927" spans="1:10" hidden="1" x14ac:dyDescent="0.25">
      <c r="A6927" s="124" t="s">
        <v>9409</v>
      </c>
      <c r="B6927" s="124" t="s">
        <v>11736</v>
      </c>
      <c r="C6927" s="132"/>
      <c r="D6927" s="125">
        <f>COUNTIF(A2007:A6926,A6927)</f>
        <v>0</v>
      </c>
      <c r="E6927" s="124" t="s">
        <v>8367</v>
      </c>
      <c r="F6927" s="126">
        <v>365</v>
      </c>
      <c r="G6927" s="128">
        <v>2409846.7999999998</v>
      </c>
      <c r="H6927" s="124" t="s">
        <v>8368</v>
      </c>
      <c r="I6927" s="128">
        <v>19250</v>
      </c>
      <c r="J6927" s="128">
        <v>96250</v>
      </c>
    </row>
    <row r="6928" spans="1:10" hidden="1" x14ac:dyDescent="0.25">
      <c r="A6928" s="124" t="s">
        <v>9410</v>
      </c>
      <c r="B6928" s="124" t="s">
        <v>11736</v>
      </c>
      <c r="C6928" s="132"/>
      <c r="D6928" s="125">
        <f>COUNTIF(A2012:A6927,A6928)</f>
        <v>0</v>
      </c>
      <c r="E6928" s="124" t="s">
        <v>8367</v>
      </c>
      <c r="F6928" s="126">
        <v>1</v>
      </c>
      <c r="G6928" s="127">
        <v>763.2</v>
      </c>
      <c r="H6928" s="124" t="s">
        <v>8368</v>
      </c>
      <c r="I6928" s="128">
        <v>146940</v>
      </c>
      <c r="J6928" s="128">
        <v>734700</v>
      </c>
    </row>
    <row r="6929" spans="1:10" hidden="1" x14ac:dyDescent="0.25">
      <c r="A6929" s="124" t="s">
        <v>9411</v>
      </c>
      <c r="B6929" s="124" t="s">
        <v>11736</v>
      </c>
      <c r="C6929" s="132"/>
      <c r="D6929" s="125">
        <f>COUNTIF(A2013:A6928,A6929)</f>
        <v>0</v>
      </c>
      <c r="E6929" s="124" t="s">
        <v>8367</v>
      </c>
      <c r="F6929" s="126">
        <v>2</v>
      </c>
      <c r="G6929" s="127">
        <v>723.6</v>
      </c>
      <c r="H6929" s="124" t="s">
        <v>8368</v>
      </c>
      <c r="I6929" s="127">
        <v>195.4</v>
      </c>
      <c r="J6929" s="127">
        <v>977</v>
      </c>
    </row>
    <row r="6930" spans="1:10" hidden="1" x14ac:dyDescent="0.25">
      <c r="A6930" s="124" t="s">
        <v>807</v>
      </c>
      <c r="B6930" s="124" t="s">
        <v>11736</v>
      </c>
      <c r="C6930" s="132"/>
      <c r="D6930" s="125">
        <f>COUNTIF(A2014:A6929,A6930)</f>
        <v>0</v>
      </c>
      <c r="E6930" s="124" t="s">
        <v>8367</v>
      </c>
      <c r="F6930" s="126">
        <v>11</v>
      </c>
      <c r="G6930" s="128">
        <v>115500</v>
      </c>
      <c r="H6930" s="124" t="s">
        <v>8368</v>
      </c>
      <c r="I6930" s="127">
        <v>186.6</v>
      </c>
      <c r="J6930" s="127">
        <v>933</v>
      </c>
    </row>
    <row r="6931" spans="1:10" hidden="1" x14ac:dyDescent="0.25">
      <c r="A6931" s="124" t="s">
        <v>9412</v>
      </c>
      <c r="B6931" s="124" t="s">
        <v>11736</v>
      </c>
      <c r="C6931" s="132"/>
      <c r="D6931" s="125">
        <f>COUNTIF(A2016:A6930,A6931)</f>
        <v>0</v>
      </c>
      <c r="E6931" s="124" t="s">
        <v>8367</v>
      </c>
      <c r="F6931" s="126">
        <v>186</v>
      </c>
      <c r="G6931" s="128">
        <v>881640</v>
      </c>
      <c r="H6931" s="124" t="s">
        <v>8368</v>
      </c>
      <c r="I6931" s="128">
        <v>1356</v>
      </c>
      <c r="J6931" s="128">
        <v>6780</v>
      </c>
    </row>
    <row r="6932" spans="1:10" hidden="1" x14ac:dyDescent="0.25">
      <c r="A6932" s="124" t="s">
        <v>9413</v>
      </c>
      <c r="B6932" s="124" t="s">
        <v>11736</v>
      </c>
      <c r="C6932" s="132"/>
      <c r="D6932" s="125">
        <f>COUNTIF(A2018:A6931,A6932)</f>
        <v>0</v>
      </c>
      <c r="E6932" s="124" t="s">
        <v>8367</v>
      </c>
      <c r="F6932" s="126">
        <v>2</v>
      </c>
      <c r="G6932" s="128">
        <v>1172.4000000000001</v>
      </c>
      <c r="H6932" s="124" t="s">
        <v>8368</v>
      </c>
      <c r="I6932" s="128">
        <v>1576.6</v>
      </c>
      <c r="J6932" s="128">
        <v>7883</v>
      </c>
    </row>
    <row r="6933" spans="1:10" hidden="1" x14ac:dyDescent="0.25">
      <c r="A6933" s="124" t="s">
        <v>9414</v>
      </c>
      <c r="B6933" s="124" t="s">
        <v>11736</v>
      </c>
      <c r="C6933" s="132"/>
      <c r="D6933" s="125">
        <f>COUNTIF(A2019:A6932,A6933)</f>
        <v>0</v>
      </c>
      <c r="E6933" s="124" t="s">
        <v>8367</v>
      </c>
      <c r="F6933" s="126">
        <v>10</v>
      </c>
      <c r="G6933" s="128">
        <v>1119.5999999999999</v>
      </c>
      <c r="H6933" s="124" t="s">
        <v>8368</v>
      </c>
      <c r="I6933" s="127">
        <v>586</v>
      </c>
      <c r="J6933" s="128">
        <v>2930</v>
      </c>
    </row>
    <row r="6934" spans="1:10" hidden="1" x14ac:dyDescent="0.25">
      <c r="A6934" s="124" t="s">
        <v>9415</v>
      </c>
      <c r="B6934" s="124" t="s">
        <v>11736</v>
      </c>
      <c r="C6934" s="132"/>
      <c r="D6934" s="125">
        <f>COUNTIF(A2020:A6933,A6934)</f>
        <v>0</v>
      </c>
      <c r="E6934" s="124" t="s">
        <v>8367</v>
      </c>
      <c r="F6934" s="126">
        <v>30</v>
      </c>
      <c r="G6934" s="128">
        <v>8136</v>
      </c>
      <c r="H6934" s="124" t="s">
        <v>8368</v>
      </c>
      <c r="I6934" s="127">
        <v>564.6</v>
      </c>
      <c r="J6934" s="128">
        <v>2823</v>
      </c>
    </row>
    <row r="6935" spans="1:10" hidden="1" x14ac:dyDescent="0.25">
      <c r="A6935" s="124" t="s">
        <v>9416</v>
      </c>
      <c r="B6935" s="124" t="s">
        <v>11736</v>
      </c>
      <c r="C6935" s="132"/>
      <c r="D6935" s="125">
        <f>COUNTIF(A2022:A6934,A6935)</f>
        <v>0</v>
      </c>
      <c r="E6935" s="124" t="s">
        <v>8367</v>
      </c>
      <c r="F6935" s="126">
        <v>1</v>
      </c>
      <c r="G6935" s="128">
        <v>9459.6</v>
      </c>
      <c r="H6935" s="124" t="s">
        <v>8368</v>
      </c>
      <c r="I6935" s="127">
        <v>158.07</v>
      </c>
      <c r="J6935" s="127">
        <v>790.33</v>
      </c>
    </row>
    <row r="6936" spans="1:10" hidden="1" x14ac:dyDescent="0.25">
      <c r="A6936" s="124" t="s">
        <v>9417</v>
      </c>
      <c r="B6936" s="124" t="s">
        <v>11736</v>
      </c>
      <c r="C6936" s="132"/>
      <c r="D6936" s="125">
        <f>COUNTIF(A2024:A6935,A6936)</f>
        <v>0</v>
      </c>
      <c r="E6936" s="124" t="s">
        <v>8367</v>
      </c>
      <c r="F6936" s="126">
        <v>4</v>
      </c>
      <c r="G6936" s="128">
        <v>3516</v>
      </c>
      <c r="H6936" s="124" t="s">
        <v>8368</v>
      </c>
      <c r="I6936" s="127">
        <v>280</v>
      </c>
      <c r="J6936" s="128">
        <v>1400</v>
      </c>
    </row>
    <row r="6937" spans="1:10" hidden="1" x14ac:dyDescent="0.25">
      <c r="A6937" s="124" t="s">
        <v>9418</v>
      </c>
      <c r="B6937" s="124" t="s">
        <v>11736</v>
      </c>
      <c r="C6937" s="132"/>
      <c r="D6937" s="125">
        <f>COUNTIF(A2025:A6936,A6937)</f>
        <v>0</v>
      </c>
      <c r="E6937" s="124" t="s">
        <v>8367</v>
      </c>
      <c r="F6937" s="126">
        <v>4</v>
      </c>
      <c r="G6937" s="128">
        <v>3387.6</v>
      </c>
      <c r="H6937" s="124" t="s">
        <v>8368</v>
      </c>
      <c r="I6937" s="127">
        <v>40</v>
      </c>
      <c r="J6937" s="127">
        <v>200</v>
      </c>
    </row>
    <row r="6938" spans="1:10" hidden="1" x14ac:dyDescent="0.25">
      <c r="A6938" s="124" t="s">
        <v>9419</v>
      </c>
      <c r="B6938" s="124" t="s">
        <v>11736</v>
      </c>
      <c r="C6938" s="132"/>
      <c r="D6938" s="125">
        <f>COUNTIF(A2026:A6937,A6938)</f>
        <v>0</v>
      </c>
      <c r="E6938" s="124" t="s">
        <v>8367</v>
      </c>
      <c r="F6938" s="126">
        <v>2</v>
      </c>
      <c r="G6938" s="127">
        <v>948.4</v>
      </c>
      <c r="H6938" s="124" t="s">
        <v>8368</v>
      </c>
      <c r="I6938" s="127">
        <v>46.2</v>
      </c>
      <c r="J6938" s="127">
        <v>231</v>
      </c>
    </row>
    <row r="6939" spans="1:10" hidden="1" x14ac:dyDescent="0.25">
      <c r="A6939" s="124" t="s">
        <v>9420</v>
      </c>
      <c r="B6939" s="124" t="s">
        <v>11736</v>
      </c>
      <c r="C6939" s="132"/>
      <c r="D6939" s="125">
        <f t="shared" ref="D6939:D6947" si="72">COUNTIF(A2028:A6938,A6939)</f>
        <v>0</v>
      </c>
      <c r="E6939" s="124" t="s">
        <v>8367</v>
      </c>
      <c r="F6939" s="126">
        <v>25</v>
      </c>
      <c r="G6939" s="128">
        <v>1680</v>
      </c>
      <c r="H6939" s="124" t="s">
        <v>8368</v>
      </c>
      <c r="I6939" s="127">
        <v>180.96</v>
      </c>
      <c r="J6939" s="127">
        <v>904.8</v>
      </c>
    </row>
    <row r="6940" spans="1:10" hidden="1" x14ac:dyDescent="0.25">
      <c r="A6940" s="124" t="s">
        <v>9421</v>
      </c>
      <c r="B6940" s="124" t="s">
        <v>11736</v>
      </c>
      <c r="C6940" s="132"/>
      <c r="D6940" s="125">
        <f t="shared" si="72"/>
        <v>0</v>
      </c>
      <c r="E6940" s="124" t="s">
        <v>8367</v>
      </c>
      <c r="F6940" s="126">
        <v>1</v>
      </c>
      <c r="G6940" s="127">
        <v>240</v>
      </c>
      <c r="H6940" s="124" t="s">
        <v>8368</v>
      </c>
      <c r="I6940" s="127">
        <v>496.6</v>
      </c>
      <c r="J6940" s="128">
        <v>2483</v>
      </c>
    </row>
    <row r="6941" spans="1:10" hidden="1" x14ac:dyDescent="0.25">
      <c r="A6941" s="124" t="s">
        <v>9422</v>
      </c>
      <c r="B6941" s="124" t="s">
        <v>11736</v>
      </c>
      <c r="C6941" s="132"/>
      <c r="D6941" s="125">
        <f t="shared" si="72"/>
        <v>0</v>
      </c>
      <c r="E6941" s="124" t="s">
        <v>8367</v>
      </c>
      <c r="F6941" s="126">
        <v>1</v>
      </c>
      <c r="G6941" s="127">
        <v>277.2</v>
      </c>
      <c r="H6941" s="124" t="s">
        <v>8368</v>
      </c>
      <c r="I6941" s="127">
        <v>500</v>
      </c>
      <c r="J6941" s="128">
        <v>2500</v>
      </c>
    </row>
    <row r="6942" spans="1:10" hidden="1" x14ac:dyDescent="0.25">
      <c r="A6942" s="124" t="s">
        <v>9423</v>
      </c>
      <c r="B6942" s="124" t="s">
        <v>11736</v>
      </c>
      <c r="C6942" s="132"/>
      <c r="D6942" s="125">
        <f t="shared" si="72"/>
        <v>0</v>
      </c>
      <c r="E6942" s="124" t="s">
        <v>8367</v>
      </c>
      <c r="F6942" s="126">
        <v>2</v>
      </c>
      <c r="G6942" s="128">
        <v>1085.76</v>
      </c>
      <c r="H6942" s="124" t="s">
        <v>8368</v>
      </c>
      <c r="I6942" s="127">
        <v>346</v>
      </c>
      <c r="J6942" s="128">
        <v>1730</v>
      </c>
    </row>
    <row r="6943" spans="1:10" hidden="1" x14ac:dyDescent="0.25">
      <c r="A6943" s="124" t="s">
        <v>9424</v>
      </c>
      <c r="B6943" s="124" t="s">
        <v>11736</v>
      </c>
      <c r="C6943" s="132"/>
      <c r="D6943" s="125">
        <f t="shared" si="72"/>
        <v>0</v>
      </c>
      <c r="E6943" s="124" t="s">
        <v>8367</v>
      </c>
      <c r="F6943" s="126">
        <v>10</v>
      </c>
      <c r="G6943" s="128">
        <v>2979.6</v>
      </c>
      <c r="H6943" s="124" t="s">
        <v>8368</v>
      </c>
      <c r="I6943" s="128">
        <v>1175.5999999999999</v>
      </c>
      <c r="J6943" s="128">
        <v>5878</v>
      </c>
    </row>
    <row r="6944" spans="1:10" hidden="1" x14ac:dyDescent="0.25">
      <c r="A6944" s="124" t="s">
        <v>9425</v>
      </c>
      <c r="B6944" s="124" t="s">
        <v>11736</v>
      </c>
      <c r="C6944" s="132"/>
      <c r="D6944" s="125">
        <f t="shared" si="72"/>
        <v>0</v>
      </c>
      <c r="E6944" s="124" t="s">
        <v>8367</v>
      </c>
      <c r="F6944" s="126">
        <v>3</v>
      </c>
      <c r="G6944" s="128">
        <v>3000</v>
      </c>
      <c r="H6944" s="124" t="s">
        <v>8368</v>
      </c>
      <c r="I6944" s="128">
        <v>19603.400000000001</v>
      </c>
      <c r="J6944" s="128">
        <v>98017</v>
      </c>
    </row>
    <row r="6945" spans="1:10" hidden="1" x14ac:dyDescent="0.25">
      <c r="A6945" s="124" t="s">
        <v>9426</v>
      </c>
      <c r="B6945" s="124" t="s">
        <v>11736</v>
      </c>
      <c r="C6945" s="132"/>
      <c r="D6945" s="125">
        <f t="shared" si="72"/>
        <v>0</v>
      </c>
      <c r="E6945" s="124" t="s">
        <v>8367</v>
      </c>
      <c r="F6945" s="126">
        <v>1</v>
      </c>
      <c r="G6945" s="128">
        <v>2076</v>
      </c>
      <c r="H6945" s="124" t="s">
        <v>8368</v>
      </c>
      <c r="I6945" s="128">
        <v>3076</v>
      </c>
      <c r="J6945" s="128">
        <v>15380</v>
      </c>
    </row>
    <row r="6946" spans="1:10" hidden="1" x14ac:dyDescent="0.25">
      <c r="A6946" s="124" t="s">
        <v>9427</v>
      </c>
      <c r="B6946" s="124" t="s">
        <v>11736</v>
      </c>
      <c r="C6946" s="132"/>
      <c r="D6946" s="125">
        <f t="shared" si="72"/>
        <v>0</v>
      </c>
      <c r="E6946" s="124" t="s">
        <v>8367</v>
      </c>
      <c r="F6946" s="126">
        <v>3</v>
      </c>
      <c r="G6946" s="128">
        <v>7053.6</v>
      </c>
      <c r="H6946" s="124" t="s">
        <v>8368</v>
      </c>
      <c r="I6946" s="128">
        <v>2564</v>
      </c>
      <c r="J6946" s="128">
        <v>12820</v>
      </c>
    </row>
    <row r="6947" spans="1:10" hidden="1" x14ac:dyDescent="0.25">
      <c r="A6947" s="124" t="s">
        <v>9428</v>
      </c>
      <c r="B6947" s="124" t="s">
        <v>11736</v>
      </c>
      <c r="C6947" s="132"/>
      <c r="D6947" s="125">
        <f t="shared" si="72"/>
        <v>0</v>
      </c>
      <c r="E6947" s="124" t="s">
        <v>8367</v>
      </c>
      <c r="F6947" s="126">
        <v>1</v>
      </c>
      <c r="G6947" s="128">
        <v>117620.4</v>
      </c>
      <c r="H6947" s="124" t="s">
        <v>8368</v>
      </c>
      <c r="I6947" s="127">
        <v>846.6</v>
      </c>
      <c r="J6947" s="128">
        <v>4233</v>
      </c>
    </row>
    <row r="6948" spans="1:10" hidden="1" x14ac:dyDescent="0.25">
      <c r="A6948" s="124" t="s">
        <v>9429</v>
      </c>
      <c r="B6948" s="124" t="s">
        <v>11736</v>
      </c>
      <c r="C6948" s="132"/>
      <c r="D6948" s="125">
        <f t="shared" ref="D6948:D6956" si="73">COUNTIF(A2038:A6947,A6948)</f>
        <v>0</v>
      </c>
      <c r="E6948" s="124" t="s">
        <v>8367</v>
      </c>
      <c r="F6948" s="126">
        <v>1</v>
      </c>
      <c r="G6948" s="128">
        <v>18456</v>
      </c>
      <c r="H6948" s="124" t="s">
        <v>8368</v>
      </c>
      <c r="I6948" s="128">
        <v>2666.6</v>
      </c>
      <c r="J6948" s="128">
        <v>13333</v>
      </c>
    </row>
    <row r="6949" spans="1:10" hidden="1" x14ac:dyDescent="0.25">
      <c r="A6949" s="124" t="s">
        <v>9430</v>
      </c>
      <c r="B6949" s="124" t="s">
        <v>11736</v>
      </c>
      <c r="C6949" s="132"/>
      <c r="D6949" s="125">
        <f t="shared" si="73"/>
        <v>0</v>
      </c>
      <c r="E6949" s="124" t="s">
        <v>8367</v>
      </c>
      <c r="F6949" s="126">
        <v>1</v>
      </c>
      <c r="G6949" s="128">
        <v>15384</v>
      </c>
      <c r="H6949" s="124" t="s">
        <v>8368</v>
      </c>
      <c r="I6949" s="127">
        <v>791.6</v>
      </c>
      <c r="J6949" s="128">
        <v>3958</v>
      </c>
    </row>
    <row r="6950" spans="1:10" hidden="1" x14ac:dyDescent="0.25">
      <c r="A6950" s="124" t="s">
        <v>9431</v>
      </c>
      <c r="B6950" s="124" t="s">
        <v>11736</v>
      </c>
      <c r="C6950" s="132"/>
      <c r="D6950" s="125">
        <f t="shared" si="73"/>
        <v>0</v>
      </c>
      <c r="E6950" s="124" t="s">
        <v>8367</v>
      </c>
      <c r="F6950" s="126">
        <v>1</v>
      </c>
      <c r="G6950" s="128">
        <v>5079.6000000000004</v>
      </c>
      <c r="H6950" s="124" t="s">
        <v>8368</v>
      </c>
      <c r="I6950" s="128">
        <v>4854</v>
      </c>
      <c r="J6950" s="128">
        <v>24270</v>
      </c>
    </row>
    <row r="6951" spans="1:10" hidden="1" x14ac:dyDescent="0.25">
      <c r="A6951" s="124" t="s">
        <v>9432</v>
      </c>
      <c r="B6951" s="124" t="s">
        <v>11736</v>
      </c>
      <c r="C6951" s="132"/>
      <c r="D6951" s="125">
        <f t="shared" si="73"/>
        <v>0</v>
      </c>
      <c r="E6951" s="124" t="s">
        <v>8367</v>
      </c>
      <c r="F6951" s="126">
        <v>1</v>
      </c>
      <c r="G6951" s="128">
        <v>15999.6</v>
      </c>
      <c r="H6951" s="124" t="s">
        <v>8368</v>
      </c>
      <c r="I6951" s="128">
        <v>4898</v>
      </c>
      <c r="J6951" s="128">
        <v>24490</v>
      </c>
    </row>
    <row r="6952" spans="1:10" hidden="1" x14ac:dyDescent="0.25">
      <c r="A6952" s="124" t="s">
        <v>9433</v>
      </c>
      <c r="B6952" s="124" t="s">
        <v>11736</v>
      </c>
      <c r="C6952" s="132"/>
      <c r="D6952" s="125">
        <f t="shared" si="73"/>
        <v>0</v>
      </c>
      <c r="E6952" s="124" t="s">
        <v>8367</v>
      </c>
      <c r="F6952" s="126">
        <v>5</v>
      </c>
      <c r="G6952" s="128">
        <v>4749.6000000000004</v>
      </c>
      <c r="H6952" s="124" t="s">
        <v>8368</v>
      </c>
      <c r="I6952" s="127">
        <v>199.2</v>
      </c>
      <c r="J6952" s="127">
        <v>996</v>
      </c>
    </row>
    <row r="6953" spans="1:10" hidden="1" x14ac:dyDescent="0.25">
      <c r="A6953" s="124" t="s">
        <v>9434</v>
      </c>
      <c r="B6953" s="124" t="s">
        <v>11736</v>
      </c>
      <c r="C6953" s="132"/>
      <c r="D6953" s="125">
        <f t="shared" si="73"/>
        <v>0</v>
      </c>
      <c r="E6953" s="124" t="s">
        <v>8367</v>
      </c>
      <c r="F6953" s="126">
        <v>1</v>
      </c>
      <c r="G6953" s="128">
        <v>29124</v>
      </c>
      <c r="H6953" s="124" t="s">
        <v>8368</v>
      </c>
      <c r="I6953" s="128">
        <v>369000</v>
      </c>
      <c r="J6953" s="128">
        <v>1845000</v>
      </c>
    </row>
    <row r="6954" spans="1:10" hidden="1" x14ac:dyDescent="0.25">
      <c r="A6954" s="124" t="s">
        <v>9435</v>
      </c>
      <c r="B6954" s="124" t="s">
        <v>11736</v>
      </c>
      <c r="C6954" s="132"/>
      <c r="D6954" s="125">
        <f t="shared" si="73"/>
        <v>0</v>
      </c>
      <c r="E6954" s="124" t="s">
        <v>8367</v>
      </c>
      <c r="F6954" s="126">
        <v>1</v>
      </c>
      <c r="G6954" s="128">
        <v>29388</v>
      </c>
      <c r="H6954" s="124" t="s">
        <v>8368</v>
      </c>
      <c r="I6954" s="128">
        <v>455000</v>
      </c>
      <c r="J6954" s="128">
        <v>2275000</v>
      </c>
    </row>
    <row r="6955" spans="1:10" hidden="1" x14ac:dyDescent="0.25">
      <c r="A6955" s="124" t="s">
        <v>9436</v>
      </c>
      <c r="B6955" s="124" t="s">
        <v>11736</v>
      </c>
      <c r="C6955" s="132"/>
      <c r="D6955" s="125">
        <f t="shared" si="73"/>
        <v>0</v>
      </c>
      <c r="E6955" s="124" t="s">
        <v>8367</v>
      </c>
      <c r="F6955" s="126">
        <v>5</v>
      </c>
      <c r="G6955" s="128">
        <v>1195.2</v>
      </c>
      <c r="H6955" s="124" t="s">
        <v>8368</v>
      </c>
      <c r="I6955" s="128">
        <v>92000</v>
      </c>
      <c r="J6955" s="128">
        <v>460000</v>
      </c>
    </row>
    <row r="6956" spans="1:10" hidden="1" x14ac:dyDescent="0.25">
      <c r="A6956" s="124" t="s">
        <v>9437</v>
      </c>
      <c r="B6956" s="124" t="s">
        <v>11736</v>
      </c>
      <c r="C6956" s="132"/>
      <c r="D6956" s="125">
        <f t="shared" si="73"/>
        <v>0</v>
      </c>
      <c r="E6956" s="124" t="s">
        <v>8367</v>
      </c>
      <c r="F6956" s="126">
        <v>246</v>
      </c>
      <c r="G6956" s="128">
        <v>2214000</v>
      </c>
      <c r="H6956" s="124" t="s">
        <v>8368</v>
      </c>
      <c r="I6956" s="128">
        <v>21491.4</v>
      </c>
      <c r="J6956" s="128">
        <v>107457</v>
      </c>
    </row>
    <row r="6957" spans="1:10" hidden="1" x14ac:dyDescent="0.25">
      <c r="A6957" s="124" t="s">
        <v>9438</v>
      </c>
      <c r="B6957" s="124" t="s">
        <v>11736</v>
      </c>
      <c r="C6957" s="132"/>
      <c r="D6957" s="125">
        <f>COUNTIF(A2048:A6956,A6957)</f>
        <v>0</v>
      </c>
      <c r="E6957" s="124" t="s">
        <v>9270</v>
      </c>
      <c r="F6957" s="126">
        <v>130</v>
      </c>
      <c r="G6957" s="128">
        <v>2730000</v>
      </c>
      <c r="H6957" s="124" t="s">
        <v>8368</v>
      </c>
      <c r="I6957" s="128">
        <v>1806</v>
      </c>
      <c r="J6957" s="128">
        <v>9030</v>
      </c>
    </row>
    <row r="6958" spans="1:10" hidden="1" x14ac:dyDescent="0.25">
      <c r="A6958" s="124" t="s">
        <v>9439</v>
      </c>
      <c r="B6958" s="124" t="s">
        <v>11736</v>
      </c>
      <c r="C6958" s="132"/>
      <c r="D6958" s="125">
        <f>COUNTIF(A2050:A6957,A6958)</f>
        <v>0</v>
      </c>
      <c r="E6958" s="124" t="s">
        <v>8367</v>
      </c>
      <c r="F6958" s="126">
        <v>46</v>
      </c>
      <c r="G6958" s="128">
        <v>552000</v>
      </c>
      <c r="H6958" s="124" t="s">
        <v>8368</v>
      </c>
      <c r="I6958" s="128">
        <v>7068.6</v>
      </c>
      <c r="J6958" s="128">
        <v>35343</v>
      </c>
    </row>
    <row r="6959" spans="1:10" hidden="1" x14ac:dyDescent="0.25">
      <c r="A6959" s="124" t="s">
        <v>9440</v>
      </c>
      <c r="B6959" s="124" t="s">
        <v>11736</v>
      </c>
      <c r="C6959" s="132"/>
      <c r="D6959" s="125">
        <f>COUNTIF(A2052:A6958,A6959)</f>
        <v>0</v>
      </c>
      <c r="E6959" s="124" t="s">
        <v>8367</v>
      </c>
      <c r="F6959" s="126">
        <v>119</v>
      </c>
      <c r="G6959" s="128">
        <v>128948.4</v>
      </c>
      <c r="H6959" s="124" t="s">
        <v>8368</v>
      </c>
      <c r="I6959" s="128">
        <v>13405.28</v>
      </c>
      <c r="J6959" s="128">
        <v>67026.38</v>
      </c>
    </row>
    <row r="6960" spans="1:10" hidden="1" x14ac:dyDescent="0.25">
      <c r="A6960" s="124" t="s">
        <v>9441</v>
      </c>
      <c r="B6960" s="124" t="s">
        <v>11736</v>
      </c>
      <c r="C6960" s="132"/>
      <c r="D6960" s="125">
        <f>COUNTIF(A2055:A6959,A6960)</f>
        <v>0</v>
      </c>
      <c r="E6960" s="124" t="s">
        <v>8367</v>
      </c>
      <c r="F6960" s="126">
        <v>10</v>
      </c>
      <c r="G6960" s="128">
        <v>10836</v>
      </c>
      <c r="H6960" s="124" t="s">
        <v>8368</v>
      </c>
      <c r="I6960" s="128">
        <v>3827.73</v>
      </c>
      <c r="J6960" s="128">
        <v>19138.62</v>
      </c>
    </row>
    <row r="6961" spans="1:10" hidden="1" x14ac:dyDescent="0.25">
      <c r="A6961" s="124" t="s">
        <v>9442</v>
      </c>
      <c r="B6961" s="124" t="s">
        <v>11736</v>
      </c>
      <c r="C6961" s="132"/>
      <c r="D6961" s="125">
        <f>COUNTIF(A2056:A6960,A6961)</f>
        <v>0</v>
      </c>
      <c r="E6961" s="124" t="s">
        <v>8367</v>
      </c>
      <c r="F6961" s="126">
        <v>187</v>
      </c>
      <c r="G6961" s="128">
        <v>42411.6</v>
      </c>
      <c r="H6961" s="124" t="s">
        <v>8368</v>
      </c>
      <c r="I6961" s="128">
        <v>5000</v>
      </c>
      <c r="J6961" s="128">
        <v>25000</v>
      </c>
    </row>
    <row r="6962" spans="1:10" hidden="1" x14ac:dyDescent="0.25">
      <c r="A6962" s="124" t="s">
        <v>9443</v>
      </c>
      <c r="B6962" s="124" t="s">
        <v>11736</v>
      </c>
      <c r="C6962" s="132"/>
      <c r="D6962" s="125">
        <f>COUNTIF(A2059:A6961,A6962)</f>
        <v>0</v>
      </c>
      <c r="E6962" s="124" t="s">
        <v>8367</v>
      </c>
      <c r="F6962" s="126">
        <v>426</v>
      </c>
      <c r="G6962" s="128">
        <v>80431.66</v>
      </c>
      <c r="H6962" s="124" t="s">
        <v>8368</v>
      </c>
      <c r="I6962" s="128">
        <v>44604.27</v>
      </c>
      <c r="J6962" s="128">
        <v>223021.34</v>
      </c>
    </row>
    <row r="6963" spans="1:10" hidden="1" x14ac:dyDescent="0.25">
      <c r="A6963" s="124" t="s">
        <v>9444</v>
      </c>
      <c r="B6963" s="124" t="s">
        <v>11736</v>
      </c>
      <c r="C6963" s="132"/>
      <c r="D6963" s="125">
        <f>COUNTIF(A2062:A6962,A6963)</f>
        <v>0</v>
      </c>
      <c r="E6963" s="124" t="s">
        <v>8367</v>
      </c>
      <c r="F6963" s="126">
        <v>148</v>
      </c>
      <c r="G6963" s="128">
        <v>22966.35</v>
      </c>
      <c r="H6963" s="124" t="s">
        <v>8368</v>
      </c>
      <c r="I6963" s="128">
        <v>6412.52</v>
      </c>
      <c r="J6963" s="128">
        <v>32062.62</v>
      </c>
    </row>
    <row r="6964" spans="1:10" hidden="1" x14ac:dyDescent="0.25">
      <c r="A6964" s="124" t="s">
        <v>9445</v>
      </c>
      <c r="B6964" s="124" t="s">
        <v>11736</v>
      </c>
      <c r="C6964" s="132"/>
      <c r="D6964" s="125">
        <f>COUNTIF(A2064:A6963,A6964)</f>
        <v>0</v>
      </c>
      <c r="E6964" s="124" t="s">
        <v>8367</v>
      </c>
      <c r="F6964" s="126">
        <v>16</v>
      </c>
      <c r="G6964" s="128">
        <v>30000</v>
      </c>
      <c r="H6964" s="124" t="s">
        <v>8368</v>
      </c>
      <c r="I6964" s="128">
        <v>17660.060000000001</v>
      </c>
      <c r="J6964" s="128">
        <v>88300.31</v>
      </c>
    </row>
    <row r="6965" spans="1:10" hidden="1" x14ac:dyDescent="0.25">
      <c r="A6965" s="124" t="s">
        <v>9446</v>
      </c>
      <c r="B6965" s="124" t="s">
        <v>11736</v>
      </c>
      <c r="C6965" s="132"/>
      <c r="D6965" s="125">
        <f>COUNTIF(A2065:A6964,A6965)</f>
        <v>0</v>
      </c>
      <c r="E6965" s="124" t="s">
        <v>8367</v>
      </c>
      <c r="F6965" s="126">
        <v>221</v>
      </c>
      <c r="G6965" s="128">
        <v>267625.61</v>
      </c>
      <c r="H6965" s="124" t="s">
        <v>8368</v>
      </c>
      <c r="I6965" s="128">
        <v>12145.35</v>
      </c>
      <c r="J6965" s="128">
        <v>60726.75</v>
      </c>
    </row>
    <row r="6966" spans="1:10" hidden="1" x14ac:dyDescent="0.25">
      <c r="A6966" s="124" t="s">
        <v>9447</v>
      </c>
      <c r="B6966" s="124" t="s">
        <v>11736</v>
      </c>
      <c r="C6966" s="132"/>
      <c r="D6966" s="125">
        <f>COUNTIF(A2066:A6965,A6966)</f>
        <v>0</v>
      </c>
      <c r="E6966" s="124" t="s">
        <v>8367</v>
      </c>
      <c r="F6966" s="126">
        <v>216</v>
      </c>
      <c r="G6966" s="128">
        <v>38475.14</v>
      </c>
      <c r="H6966" s="124" t="s">
        <v>8368</v>
      </c>
      <c r="I6966" s="128">
        <v>23071.65</v>
      </c>
      <c r="J6966" s="128">
        <v>115358.25</v>
      </c>
    </row>
    <row r="6967" spans="1:10" hidden="1" x14ac:dyDescent="0.25">
      <c r="A6967" s="124" t="s">
        <v>9448</v>
      </c>
      <c r="B6967" s="124" t="s">
        <v>11736</v>
      </c>
      <c r="C6967" s="132"/>
      <c r="D6967" s="125">
        <f>COUNTIF(A2067:A6966,A6967)</f>
        <v>0</v>
      </c>
      <c r="E6967" s="124" t="s">
        <v>8367</v>
      </c>
      <c r="F6967" s="126">
        <v>175</v>
      </c>
      <c r="G6967" s="128">
        <v>105960.37</v>
      </c>
      <c r="H6967" s="124" t="s">
        <v>8368</v>
      </c>
      <c r="I6967" s="128">
        <v>15153.6</v>
      </c>
      <c r="J6967" s="128">
        <v>75768</v>
      </c>
    </row>
    <row r="6968" spans="1:10" hidden="1" x14ac:dyDescent="0.25">
      <c r="A6968" s="124" t="s">
        <v>9449</v>
      </c>
      <c r="B6968" s="124" t="s">
        <v>11736</v>
      </c>
      <c r="C6968" s="132"/>
      <c r="D6968" s="125">
        <f>COUNTIF(A2068:A6967,A6968)</f>
        <v>0</v>
      </c>
      <c r="E6968" s="124" t="s">
        <v>8367</v>
      </c>
      <c r="F6968" s="126">
        <v>269</v>
      </c>
      <c r="G6968" s="128">
        <v>72872.100000000006</v>
      </c>
      <c r="H6968" s="124" t="s">
        <v>8368</v>
      </c>
      <c r="I6968" s="128">
        <v>5801.26</v>
      </c>
      <c r="J6968" s="128">
        <v>29006.29</v>
      </c>
    </row>
    <row r="6969" spans="1:10" hidden="1" x14ac:dyDescent="0.25">
      <c r="A6969" s="124" t="s">
        <v>9450</v>
      </c>
      <c r="B6969" s="124" t="s">
        <v>11736</v>
      </c>
      <c r="C6969" s="132"/>
      <c r="D6969" s="125">
        <f>COUNTIF(A2070:A6968,A6969)</f>
        <v>0</v>
      </c>
      <c r="E6969" s="124" t="s">
        <v>8367</v>
      </c>
      <c r="F6969" s="126">
        <v>511</v>
      </c>
      <c r="G6969" s="128">
        <v>138429.9</v>
      </c>
      <c r="H6969" s="124" t="s">
        <v>8368</v>
      </c>
      <c r="I6969" s="128">
        <v>9200</v>
      </c>
      <c r="J6969" s="128">
        <v>46000</v>
      </c>
    </row>
    <row r="6970" spans="1:10" hidden="1" x14ac:dyDescent="0.25">
      <c r="A6970" s="124" t="s">
        <v>9451</v>
      </c>
      <c r="B6970" s="124" t="s">
        <v>11736</v>
      </c>
      <c r="C6970" s="132"/>
      <c r="D6970" s="125">
        <f>COUNTIF(A2073:A6969,A6970)</f>
        <v>0</v>
      </c>
      <c r="E6970" s="124" t="s">
        <v>8367</v>
      </c>
      <c r="F6970" s="126">
        <v>88</v>
      </c>
      <c r="G6970" s="128">
        <v>90921.600000000006</v>
      </c>
      <c r="H6970" s="124" t="s">
        <v>8368</v>
      </c>
      <c r="I6970" s="128">
        <v>12513.42</v>
      </c>
      <c r="J6970" s="128">
        <v>62567.07</v>
      </c>
    </row>
    <row r="6971" spans="1:10" hidden="1" x14ac:dyDescent="0.25">
      <c r="A6971" s="124" t="s">
        <v>9452</v>
      </c>
      <c r="B6971" s="124" t="s">
        <v>11736</v>
      </c>
      <c r="C6971" s="132"/>
      <c r="D6971" s="125">
        <f>COUNTIF(A2075:A6970,A6971)</f>
        <v>0</v>
      </c>
      <c r="E6971" s="124" t="s">
        <v>8367</v>
      </c>
      <c r="F6971" s="126">
        <v>221</v>
      </c>
      <c r="G6971" s="128">
        <v>34807.550000000003</v>
      </c>
      <c r="H6971" s="124" t="s">
        <v>8368</v>
      </c>
      <c r="I6971" s="128">
        <v>1193.8499999999999</v>
      </c>
      <c r="J6971" s="128">
        <v>5969.25</v>
      </c>
    </row>
    <row r="6972" spans="1:10" hidden="1" x14ac:dyDescent="0.25">
      <c r="A6972" s="124" t="s">
        <v>9453</v>
      </c>
      <c r="B6972" s="124" t="s">
        <v>11736</v>
      </c>
      <c r="C6972" s="132"/>
      <c r="D6972" s="125">
        <f>COUNTIF(A2078:A6971,A6972)</f>
        <v>0</v>
      </c>
      <c r="E6972" s="124" t="s">
        <v>8367</v>
      </c>
      <c r="F6972" s="126">
        <v>92</v>
      </c>
      <c r="G6972" s="128">
        <v>55200</v>
      </c>
      <c r="H6972" s="124" t="s">
        <v>8368</v>
      </c>
      <c r="I6972" s="128">
        <v>1299.97</v>
      </c>
      <c r="J6972" s="128">
        <v>6499.85</v>
      </c>
    </row>
    <row r="6973" spans="1:10" hidden="1" x14ac:dyDescent="0.25">
      <c r="A6973" s="124" t="s">
        <v>9454</v>
      </c>
      <c r="B6973" s="124" t="s">
        <v>11736</v>
      </c>
      <c r="C6973" s="132"/>
      <c r="D6973" s="125">
        <f>COUNTIF(A2079:A6972,A6973)</f>
        <v>0</v>
      </c>
      <c r="E6973" s="124" t="s">
        <v>8367</v>
      </c>
      <c r="F6973" s="126">
        <v>62</v>
      </c>
      <c r="G6973" s="128">
        <v>75080.490000000005</v>
      </c>
      <c r="H6973" s="124" t="s">
        <v>8368</v>
      </c>
      <c r="I6973" s="128">
        <v>2288.48</v>
      </c>
      <c r="J6973" s="128">
        <v>11442.37</v>
      </c>
    </row>
    <row r="6974" spans="1:10" hidden="1" x14ac:dyDescent="0.25">
      <c r="A6974" s="124" t="s">
        <v>9455</v>
      </c>
      <c r="B6974" s="124" t="s">
        <v>11736</v>
      </c>
      <c r="C6974" s="132"/>
      <c r="D6974" s="125">
        <f>COUNTIF(A2080:A6973,A6974)</f>
        <v>0</v>
      </c>
      <c r="E6974" s="124" t="s">
        <v>8367</v>
      </c>
      <c r="F6974" s="126">
        <v>90</v>
      </c>
      <c r="G6974" s="128">
        <v>7163.1</v>
      </c>
      <c r="H6974" s="124" t="s">
        <v>8368</v>
      </c>
      <c r="I6974" s="127">
        <v>15.2</v>
      </c>
      <c r="J6974" s="127">
        <v>76</v>
      </c>
    </row>
    <row r="6975" spans="1:10" hidden="1" x14ac:dyDescent="0.25">
      <c r="A6975" s="124" t="s">
        <v>9456</v>
      </c>
      <c r="B6975" s="124" t="s">
        <v>11736</v>
      </c>
      <c r="C6975" s="132"/>
      <c r="D6975" s="125">
        <f>COUNTIF(A2081:A6974,A6975)</f>
        <v>0</v>
      </c>
      <c r="E6975" s="124" t="s">
        <v>8367</v>
      </c>
      <c r="F6975" s="126">
        <v>98</v>
      </c>
      <c r="G6975" s="128">
        <v>7799.82</v>
      </c>
      <c r="H6975" s="124" t="s">
        <v>8368</v>
      </c>
      <c r="I6975" s="128">
        <v>6778.42</v>
      </c>
      <c r="J6975" s="128">
        <v>33892.089999999997</v>
      </c>
    </row>
    <row r="6976" spans="1:10" hidden="1" x14ac:dyDescent="0.25">
      <c r="A6976" s="124" t="s">
        <v>9457</v>
      </c>
      <c r="B6976" s="124" t="s">
        <v>11736</v>
      </c>
      <c r="C6976" s="132"/>
      <c r="D6976" s="125">
        <f>COUNTIF(A2082:A6975,A6976)</f>
        <v>0</v>
      </c>
      <c r="E6976" s="124" t="s">
        <v>8367</v>
      </c>
      <c r="F6976" s="126">
        <v>226</v>
      </c>
      <c r="G6976" s="128">
        <v>13730.85</v>
      </c>
      <c r="H6976" s="124" t="s">
        <v>8368</v>
      </c>
      <c r="I6976" s="128">
        <v>13127.39</v>
      </c>
      <c r="J6976" s="128">
        <v>65636.929999999993</v>
      </c>
    </row>
    <row r="6977" spans="1:10" hidden="1" x14ac:dyDescent="0.25">
      <c r="A6977" s="124" t="s">
        <v>9458</v>
      </c>
      <c r="B6977" s="124" t="s">
        <v>11736</v>
      </c>
      <c r="C6977" s="132"/>
      <c r="D6977" s="125">
        <f t="shared" ref="D6977:D6987" si="74">COUNTIF(A2084:A6976,A6977)</f>
        <v>0</v>
      </c>
      <c r="E6977" s="124" t="s">
        <v>8367</v>
      </c>
      <c r="F6977" s="126">
        <v>76</v>
      </c>
      <c r="G6977" s="127">
        <v>91.2</v>
      </c>
      <c r="H6977" s="124" t="s">
        <v>8368</v>
      </c>
      <c r="I6977" s="128">
        <v>7228.62</v>
      </c>
      <c r="J6977" s="128">
        <v>36143.11</v>
      </c>
    </row>
    <row r="6978" spans="1:10" hidden="1" x14ac:dyDescent="0.25">
      <c r="A6978" s="124" t="s">
        <v>9459</v>
      </c>
      <c r="B6978" s="124" t="s">
        <v>11736</v>
      </c>
      <c r="C6978" s="132"/>
      <c r="D6978" s="125">
        <f t="shared" si="74"/>
        <v>0</v>
      </c>
      <c r="E6978" s="124" t="s">
        <v>8367</v>
      </c>
      <c r="F6978" s="126">
        <v>511</v>
      </c>
      <c r="G6978" s="128">
        <v>40670.51</v>
      </c>
      <c r="H6978" s="124" t="s">
        <v>8368</v>
      </c>
      <c r="I6978" s="128">
        <v>16619.79</v>
      </c>
      <c r="J6978" s="128">
        <v>83098.95</v>
      </c>
    </row>
    <row r="6979" spans="1:10" hidden="1" x14ac:dyDescent="0.25">
      <c r="A6979" s="124" t="s">
        <v>9460</v>
      </c>
      <c r="B6979" s="124" t="s">
        <v>11736</v>
      </c>
      <c r="C6979" s="132"/>
      <c r="D6979" s="125">
        <f t="shared" si="74"/>
        <v>0</v>
      </c>
      <c r="E6979" s="124" t="s">
        <v>8367</v>
      </c>
      <c r="F6979" s="126">
        <v>997</v>
      </c>
      <c r="G6979" s="128">
        <v>78764.320000000007</v>
      </c>
      <c r="H6979" s="124" t="s">
        <v>8368</v>
      </c>
      <c r="I6979" s="128">
        <v>277200</v>
      </c>
      <c r="J6979" s="128">
        <v>1386000</v>
      </c>
    </row>
    <row r="6980" spans="1:10" hidden="1" x14ac:dyDescent="0.25">
      <c r="A6980" s="124" t="s">
        <v>9461</v>
      </c>
      <c r="B6980" s="124" t="s">
        <v>11736</v>
      </c>
      <c r="C6980" s="132"/>
      <c r="D6980" s="125">
        <f t="shared" si="74"/>
        <v>0</v>
      </c>
      <c r="E6980" s="124" t="s">
        <v>8367</v>
      </c>
      <c r="F6980" s="126">
        <v>549</v>
      </c>
      <c r="G6980" s="128">
        <v>43371.73</v>
      </c>
      <c r="H6980" s="124" t="s">
        <v>8368</v>
      </c>
      <c r="I6980" s="128">
        <v>5475.61</v>
      </c>
      <c r="J6980" s="128">
        <v>27378.06</v>
      </c>
    </row>
    <row r="6981" spans="1:10" hidden="1" x14ac:dyDescent="0.25">
      <c r="A6981" s="124" t="s">
        <v>9462</v>
      </c>
      <c r="B6981" s="124" t="s">
        <v>11736</v>
      </c>
      <c r="C6981" s="132"/>
      <c r="D6981" s="125">
        <f t="shared" si="74"/>
        <v>0</v>
      </c>
      <c r="E6981" s="124" t="s">
        <v>8367</v>
      </c>
      <c r="F6981" s="126">
        <v>634</v>
      </c>
      <c r="G6981" s="128">
        <v>99718.74</v>
      </c>
      <c r="H6981" s="124" t="s">
        <v>8368</v>
      </c>
      <c r="I6981" s="127">
        <v>493.4</v>
      </c>
      <c r="J6981" s="128">
        <v>2467</v>
      </c>
    </row>
    <row r="6982" spans="1:10" hidden="1" x14ac:dyDescent="0.25">
      <c r="A6982" s="124" t="s">
        <v>9463</v>
      </c>
      <c r="B6982" s="124" t="s">
        <v>11736</v>
      </c>
      <c r="C6982" s="132"/>
      <c r="D6982" s="125">
        <f t="shared" si="74"/>
        <v>0</v>
      </c>
      <c r="E6982" s="124" t="s">
        <v>8367</v>
      </c>
      <c r="F6982" s="129">
        <v>1200</v>
      </c>
      <c r="G6982" s="128">
        <v>1663200</v>
      </c>
      <c r="H6982" s="124" t="s">
        <v>8368</v>
      </c>
      <c r="I6982" s="128">
        <v>2465</v>
      </c>
      <c r="J6982" s="128">
        <v>12325</v>
      </c>
    </row>
    <row r="6983" spans="1:10" hidden="1" x14ac:dyDescent="0.25">
      <c r="A6983" s="124" t="s">
        <v>9464</v>
      </c>
      <c r="B6983" s="124" t="s">
        <v>11736</v>
      </c>
      <c r="C6983" s="132"/>
      <c r="D6983" s="125">
        <f t="shared" si="74"/>
        <v>0</v>
      </c>
      <c r="E6983" s="124" t="s">
        <v>8367</v>
      </c>
      <c r="F6983" s="129">
        <v>1237</v>
      </c>
      <c r="G6983" s="128">
        <v>32853.67</v>
      </c>
      <c r="H6983" s="124" t="s">
        <v>8368</v>
      </c>
      <c r="I6983" s="127">
        <v>74</v>
      </c>
      <c r="J6983" s="127">
        <v>370</v>
      </c>
    </row>
    <row r="6984" spans="1:10" hidden="1" x14ac:dyDescent="0.25">
      <c r="A6984" s="124" t="s">
        <v>9465</v>
      </c>
      <c r="B6984" s="124" t="s">
        <v>11736</v>
      </c>
      <c r="C6984" s="132"/>
      <c r="D6984" s="125">
        <f t="shared" si="74"/>
        <v>0</v>
      </c>
      <c r="E6984" s="124" t="s">
        <v>8367</v>
      </c>
      <c r="F6984" s="129">
        <v>2000</v>
      </c>
      <c r="G6984" s="128">
        <v>2960.4</v>
      </c>
      <c r="H6984" s="124" t="s">
        <v>8368</v>
      </c>
      <c r="I6984" s="128">
        <v>5798.33</v>
      </c>
      <c r="J6984" s="128">
        <v>28991.67</v>
      </c>
    </row>
    <row r="6985" spans="1:10" hidden="1" x14ac:dyDescent="0.25">
      <c r="A6985" s="124" t="s">
        <v>9466</v>
      </c>
      <c r="B6985" s="124" t="s">
        <v>11736</v>
      </c>
      <c r="C6985" s="132"/>
      <c r="D6985" s="125">
        <f t="shared" si="74"/>
        <v>0</v>
      </c>
      <c r="E6985" s="124" t="s">
        <v>8367</v>
      </c>
      <c r="F6985" s="126">
        <v>30</v>
      </c>
      <c r="G6985" s="128">
        <v>14790</v>
      </c>
      <c r="H6985" s="124" t="s">
        <v>8368</v>
      </c>
      <c r="I6985" s="128">
        <v>29011.7</v>
      </c>
      <c r="J6985" s="128">
        <v>145058.5</v>
      </c>
    </row>
    <row r="6986" spans="1:10" hidden="1" x14ac:dyDescent="0.25">
      <c r="A6986" s="124" t="s">
        <v>9467</v>
      </c>
      <c r="B6986" s="124" t="s">
        <v>11736</v>
      </c>
      <c r="C6986" s="132"/>
      <c r="D6986" s="125">
        <f t="shared" si="74"/>
        <v>0</v>
      </c>
      <c r="E6986" s="124" t="s">
        <v>8367</v>
      </c>
      <c r="F6986" s="126">
        <v>2</v>
      </c>
      <c r="G6986" s="127">
        <v>444</v>
      </c>
      <c r="H6986" s="124" t="s">
        <v>8368</v>
      </c>
      <c r="I6986" s="128">
        <v>35236.480000000003</v>
      </c>
      <c r="J6986" s="128">
        <v>176182.39999999999</v>
      </c>
    </row>
    <row r="6987" spans="1:10" hidden="1" x14ac:dyDescent="0.25">
      <c r="A6987" s="124" t="s">
        <v>9468</v>
      </c>
      <c r="B6987" s="124" t="s">
        <v>11736</v>
      </c>
      <c r="C6987" s="132"/>
      <c r="D6987" s="125">
        <f t="shared" si="74"/>
        <v>0</v>
      </c>
      <c r="E6987" s="124" t="s">
        <v>8367</v>
      </c>
      <c r="F6987" s="126">
        <v>5</v>
      </c>
      <c r="G6987" s="128">
        <v>34790</v>
      </c>
      <c r="H6987" s="124" t="s">
        <v>8368</v>
      </c>
      <c r="I6987" s="127">
        <v>714</v>
      </c>
      <c r="J6987" s="128">
        <v>3570</v>
      </c>
    </row>
    <row r="6988" spans="1:10" hidden="1" x14ac:dyDescent="0.25">
      <c r="A6988" s="124" t="s">
        <v>9469</v>
      </c>
      <c r="B6988" s="124" t="s">
        <v>11736</v>
      </c>
      <c r="C6988" s="132"/>
      <c r="D6988" s="125">
        <f>COUNTIF(A2097:A6987,A6988)</f>
        <v>0</v>
      </c>
      <c r="E6988" s="124" t="s">
        <v>8367</v>
      </c>
      <c r="F6988" s="126">
        <v>100</v>
      </c>
      <c r="G6988" s="128">
        <v>174070.2</v>
      </c>
      <c r="H6988" s="124" t="s">
        <v>8368</v>
      </c>
      <c r="I6988" s="128">
        <v>16322.78</v>
      </c>
      <c r="J6988" s="128">
        <v>81613.899999999994</v>
      </c>
    </row>
    <row r="6989" spans="1:10" hidden="1" x14ac:dyDescent="0.25">
      <c r="A6989" s="124" t="s">
        <v>9470</v>
      </c>
      <c r="B6989" s="124" t="s">
        <v>11736</v>
      </c>
      <c r="C6989" s="132"/>
      <c r="D6989" s="125">
        <f>COUNTIF(A2099:A6988,A6989)</f>
        <v>0</v>
      </c>
      <c r="E6989" s="124" t="s">
        <v>8367</v>
      </c>
      <c r="F6989" s="126">
        <v>100</v>
      </c>
      <c r="G6989" s="128">
        <v>211418.88</v>
      </c>
      <c r="H6989" s="124" t="s">
        <v>8368</v>
      </c>
      <c r="I6989" s="128">
        <v>5193.3999999999996</v>
      </c>
      <c r="J6989" s="128">
        <v>25967</v>
      </c>
    </row>
    <row r="6990" spans="1:10" hidden="1" x14ac:dyDescent="0.25">
      <c r="A6990" s="124" t="s">
        <v>9471</v>
      </c>
      <c r="B6990" s="124" t="s">
        <v>11736</v>
      </c>
      <c r="C6990" s="132"/>
      <c r="D6990" s="125">
        <f>COUNTIF(A2101:A6989,A6990)</f>
        <v>0</v>
      </c>
      <c r="E6990" s="124" t="s">
        <v>8367</v>
      </c>
      <c r="F6990" s="126">
        <v>12</v>
      </c>
      <c r="G6990" s="128">
        <v>4284</v>
      </c>
      <c r="H6990" s="124" t="s">
        <v>8368</v>
      </c>
      <c r="I6990" s="128">
        <v>1166.5999999999999</v>
      </c>
      <c r="J6990" s="128">
        <v>5833</v>
      </c>
    </row>
    <row r="6991" spans="1:10" hidden="1" x14ac:dyDescent="0.25">
      <c r="A6991" s="124" t="s">
        <v>9472</v>
      </c>
      <c r="B6991" s="124" t="s">
        <v>11736</v>
      </c>
      <c r="C6991" s="132"/>
      <c r="D6991" s="125">
        <f>COUNTIF(A2102:A6990,A6991)</f>
        <v>0</v>
      </c>
      <c r="E6991" s="124" t="s">
        <v>8367</v>
      </c>
      <c r="F6991" s="126">
        <v>156</v>
      </c>
      <c r="G6991" s="128">
        <v>97936.68</v>
      </c>
      <c r="H6991" s="124" t="s">
        <v>8368</v>
      </c>
      <c r="I6991" s="127">
        <v>283.39999999999998</v>
      </c>
      <c r="J6991" s="128">
        <v>1417</v>
      </c>
    </row>
    <row r="6992" spans="1:10" hidden="1" x14ac:dyDescent="0.25">
      <c r="A6992" s="124" t="s">
        <v>9473</v>
      </c>
      <c r="B6992" s="124" t="s">
        <v>11736</v>
      </c>
      <c r="C6992" s="132"/>
      <c r="D6992" s="125">
        <f>COUNTIF(A2105:A6991,A6992)</f>
        <v>0</v>
      </c>
      <c r="E6992" s="124" t="s">
        <v>8367</v>
      </c>
      <c r="F6992" s="126">
        <v>4</v>
      </c>
      <c r="G6992" s="128">
        <v>31160.400000000001</v>
      </c>
      <c r="H6992" s="124" t="s">
        <v>8368</v>
      </c>
      <c r="I6992" s="127">
        <v>714.4</v>
      </c>
      <c r="J6992" s="128">
        <v>3572</v>
      </c>
    </row>
    <row r="6993" spans="1:10" hidden="1" x14ac:dyDescent="0.25">
      <c r="A6993" s="124" t="s">
        <v>9474</v>
      </c>
      <c r="B6993" s="124" t="s">
        <v>11736</v>
      </c>
      <c r="C6993" s="132"/>
      <c r="D6993" s="125">
        <f>COUNTIF(A2106:A6992,A6993)</f>
        <v>0</v>
      </c>
      <c r="E6993" s="124" t="s">
        <v>8367</v>
      </c>
      <c r="F6993" s="126">
        <v>20</v>
      </c>
      <c r="G6993" s="128">
        <v>6999.6</v>
      </c>
      <c r="H6993" s="124" t="s">
        <v>8368</v>
      </c>
      <c r="I6993" s="128">
        <v>3392</v>
      </c>
      <c r="J6993" s="128">
        <v>16960</v>
      </c>
    </row>
    <row r="6994" spans="1:10" hidden="1" x14ac:dyDescent="0.25">
      <c r="A6994" s="124" t="s">
        <v>9475</v>
      </c>
      <c r="B6994" s="124" t="s">
        <v>11736</v>
      </c>
      <c r="C6994" s="132"/>
      <c r="D6994" s="125">
        <f>COUNTIF(A2107:A6993,A6994)</f>
        <v>0</v>
      </c>
      <c r="E6994" s="124" t="s">
        <v>8367</v>
      </c>
      <c r="F6994" s="126">
        <v>5</v>
      </c>
      <c r="G6994" s="128">
        <v>1700.4</v>
      </c>
      <c r="H6994" s="124" t="s">
        <v>8368</v>
      </c>
      <c r="I6994" s="127">
        <v>103.2</v>
      </c>
      <c r="J6994" s="127">
        <v>516</v>
      </c>
    </row>
    <row r="6995" spans="1:10" hidden="1" x14ac:dyDescent="0.25">
      <c r="A6995" s="124" t="s">
        <v>9476</v>
      </c>
      <c r="B6995" s="124" t="s">
        <v>11736</v>
      </c>
      <c r="C6995" s="132"/>
      <c r="D6995" s="125">
        <f t="shared" ref="D6995:D7015" si="75">COUNTIF(A2109:A6994,A6995)</f>
        <v>0</v>
      </c>
      <c r="E6995" s="124" t="s">
        <v>8367</v>
      </c>
      <c r="F6995" s="126">
        <v>2</v>
      </c>
      <c r="G6995" s="128">
        <v>4286.3999999999996</v>
      </c>
      <c r="H6995" s="124" t="s">
        <v>8368</v>
      </c>
      <c r="I6995" s="127">
        <v>685</v>
      </c>
      <c r="J6995" s="128">
        <v>3425</v>
      </c>
    </row>
    <row r="6996" spans="1:10" hidden="1" x14ac:dyDescent="0.25">
      <c r="A6996" s="124" t="s">
        <v>9477</v>
      </c>
      <c r="B6996" s="124" t="s">
        <v>11736</v>
      </c>
      <c r="C6996" s="132"/>
      <c r="D6996" s="125">
        <f t="shared" si="75"/>
        <v>0</v>
      </c>
      <c r="E6996" s="124" t="s">
        <v>8367</v>
      </c>
      <c r="F6996" s="126">
        <v>2</v>
      </c>
      <c r="G6996" s="128">
        <v>20352</v>
      </c>
      <c r="H6996" s="124" t="s">
        <v>8368</v>
      </c>
      <c r="I6996" s="127">
        <v>226</v>
      </c>
      <c r="J6996" s="128">
        <v>1130</v>
      </c>
    </row>
    <row r="6997" spans="1:10" hidden="1" x14ac:dyDescent="0.25">
      <c r="A6997" s="124" t="s">
        <v>9478</v>
      </c>
      <c r="B6997" s="124" t="s">
        <v>11736</v>
      </c>
      <c r="C6997" s="132"/>
      <c r="D6997" s="125">
        <f t="shared" si="75"/>
        <v>0</v>
      </c>
      <c r="E6997" s="124" t="s">
        <v>8367</v>
      </c>
      <c r="F6997" s="126">
        <v>1</v>
      </c>
      <c r="G6997" s="127">
        <v>619.20000000000005</v>
      </c>
      <c r="H6997" s="124" t="s">
        <v>8368</v>
      </c>
      <c r="I6997" s="127">
        <v>103.4</v>
      </c>
      <c r="J6997" s="127">
        <v>517</v>
      </c>
    </row>
    <row r="6998" spans="1:10" hidden="1" x14ac:dyDescent="0.25">
      <c r="A6998" s="124" t="s">
        <v>9479</v>
      </c>
      <c r="B6998" s="124" t="s">
        <v>11736</v>
      </c>
      <c r="C6998" s="132"/>
      <c r="D6998" s="125">
        <f t="shared" si="75"/>
        <v>0</v>
      </c>
      <c r="E6998" s="124" t="s">
        <v>8367</v>
      </c>
      <c r="F6998" s="126">
        <v>2</v>
      </c>
      <c r="G6998" s="128">
        <v>4110</v>
      </c>
      <c r="H6998" s="124" t="s">
        <v>8368</v>
      </c>
      <c r="I6998" s="127">
        <v>76</v>
      </c>
      <c r="J6998" s="127">
        <v>380</v>
      </c>
    </row>
    <row r="6999" spans="1:10" hidden="1" x14ac:dyDescent="0.25">
      <c r="A6999" s="124" t="s">
        <v>9480</v>
      </c>
      <c r="B6999" s="124" t="s">
        <v>11736</v>
      </c>
      <c r="C6999" s="132"/>
      <c r="D6999" s="125">
        <f t="shared" si="75"/>
        <v>0</v>
      </c>
      <c r="E6999" s="124" t="s">
        <v>8367</v>
      </c>
      <c r="F6999" s="126">
        <v>3</v>
      </c>
      <c r="G6999" s="128">
        <v>1356</v>
      </c>
      <c r="H6999" s="124" t="s">
        <v>8368</v>
      </c>
      <c r="I6999" s="127">
        <v>49.6</v>
      </c>
      <c r="J6999" s="127">
        <v>248</v>
      </c>
    </row>
    <row r="7000" spans="1:10" hidden="1" x14ac:dyDescent="0.25">
      <c r="A7000" s="124" t="s">
        <v>9481</v>
      </c>
      <c r="B7000" s="124" t="s">
        <v>11736</v>
      </c>
      <c r="C7000" s="132"/>
      <c r="D7000" s="125">
        <f t="shared" si="75"/>
        <v>0</v>
      </c>
      <c r="E7000" s="124" t="s">
        <v>8367</v>
      </c>
      <c r="F7000" s="126">
        <v>1</v>
      </c>
      <c r="G7000" s="127">
        <v>620.4</v>
      </c>
      <c r="H7000" s="124" t="s">
        <v>8368</v>
      </c>
      <c r="I7000" s="127">
        <v>129.6</v>
      </c>
      <c r="J7000" s="127">
        <v>648</v>
      </c>
    </row>
    <row r="7001" spans="1:10" hidden="1" x14ac:dyDescent="0.25">
      <c r="A7001" s="124" t="s">
        <v>9482</v>
      </c>
      <c r="B7001" s="124" t="s">
        <v>11736</v>
      </c>
      <c r="C7001" s="132"/>
      <c r="D7001" s="125">
        <f t="shared" si="75"/>
        <v>0</v>
      </c>
      <c r="E7001" s="124" t="s">
        <v>8367</v>
      </c>
      <c r="F7001" s="126">
        <v>1</v>
      </c>
      <c r="G7001" s="127">
        <v>456</v>
      </c>
      <c r="H7001" s="124" t="s">
        <v>8368</v>
      </c>
      <c r="I7001" s="127">
        <v>20.2</v>
      </c>
      <c r="J7001" s="127">
        <v>101</v>
      </c>
    </row>
    <row r="7002" spans="1:10" hidden="1" x14ac:dyDescent="0.25">
      <c r="A7002" s="124" t="s">
        <v>9483</v>
      </c>
      <c r="B7002" s="124" t="s">
        <v>11736</v>
      </c>
      <c r="C7002" s="132"/>
      <c r="D7002" s="125">
        <f t="shared" si="75"/>
        <v>0</v>
      </c>
      <c r="E7002" s="124" t="s">
        <v>8367</v>
      </c>
      <c r="F7002" s="126">
        <v>1</v>
      </c>
      <c r="G7002" s="127">
        <v>297.60000000000002</v>
      </c>
      <c r="H7002" s="124" t="s">
        <v>8368</v>
      </c>
      <c r="I7002" s="127">
        <v>9.6</v>
      </c>
      <c r="J7002" s="127">
        <v>48</v>
      </c>
    </row>
    <row r="7003" spans="1:10" hidden="1" x14ac:dyDescent="0.25">
      <c r="A7003" s="124" t="s">
        <v>9484</v>
      </c>
      <c r="B7003" s="124" t="s">
        <v>11736</v>
      </c>
      <c r="C7003" s="132"/>
      <c r="D7003" s="125">
        <f t="shared" si="75"/>
        <v>0</v>
      </c>
      <c r="E7003" s="124" t="s">
        <v>8367</v>
      </c>
      <c r="F7003" s="126">
        <v>2</v>
      </c>
      <c r="G7003" s="127">
        <v>777.6</v>
      </c>
      <c r="H7003" s="124" t="s">
        <v>8368</v>
      </c>
      <c r="I7003" s="127">
        <v>7.4</v>
      </c>
      <c r="J7003" s="127">
        <v>37</v>
      </c>
    </row>
    <row r="7004" spans="1:10" hidden="1" x14ac:dyDescent="0.25">
      <c r="A7004" s="124" t="s">
        <v>9485</v>
      </c>
      <c r="B7004" s="124" t="s">
        <v>11736</v>
      </c>
      <c r="C7004" s="132"/>
      <c r="D7004" s="125">
        <f t="shared" si="75"/>
        <v>0</v>
      </c>
      <c r="E7004" s="124" t="s">
        <v>8367</v>
      </c>
      <c r="F7004" s="126">
        <v>1</v>
      </c>
      <c r="G7004" s="127">
        <v>121.2</v>
      </c>
      <c r="H7004" s="124" t="s">
        <v>8368</v>
      </c>
      <c r="I7004" s="127">
        <v>521.20000000000005</v>
      </c>
      <c r="J7004" s="128">
        <v>2606</v>
      </c>
    </row>
    <row r="7005" spans="1:10" hidden="1" x14ac:dyDescent="0.25">
      <c r="A7005" s="124" t="s">
        <v>9486</v>
      </c>
      <c r="B7005" s="124" t="s">
        <v>11736</v>
      </c>
      <c r="C7005" s="132"/>
      <c r="D7005" s="125">
        <f t="shared" si="75"/>
        <v>0</v>
      </c>
      <c r="E7005" s="124" t="s">
        <v>8367</v>
      </c>
      <c r="F7005" s="126">
        <v>2</v>
      </c>
      <c r="G7005" s="127">
        <v>57.6</v>
      </c>
      <c r="H7005" s="124" t="s">
        <v>8368</v>
      </c>
      <c r="I7005" s="127">
        <v>44.6</v>
      </c>
      <c r="J7005" s="127">
        <v>223</v>
      </c>
    </row>
    <row r="7006" spans="1:10" hidden="1" x14ac:dyDescent="0.25">
      <c r="A7006" s="124" t="s">
        <v>9487</v>
      </c>
      <c r="B7006" s="124" t="s">
        <v>11736</v>
      </c>
      <c r="C7006" s="132"/>
      <c r="D7006" s="125">
        <f t="shared" si="75"/>
        <v>0</v>
      </c>
      <c r="E7006" s="124" t="s">
        <v>8367</v>
      </c>
      <c r="F7006" s="126">
        <v>1</v>
      </c>
      <c r="G7006" s="127">
        <v>44.4</v>
      </c>
      <c r="H7006" s="124" t="s">
        <v>8368</v>
      </c>
      <c r="I7006" s="127">
        <v>18.600000000000001</v>
      </c>
      <c r="J7006" s="127">
        <v>93</v>
      </c>
    </row>
    <row r="7007" spans="1:10" hidden="1" x14ac:dyDescent="0.25">
      <c r="A7007" s="124" t="s">
        <v>9488</v>
      </c>
      <c r="B7007" s="124" t="s">
        <v>11736</v>
      </c>
      <c r="C7007" s="132"/>
      <c r="D7007" s="125">
        <f t="shared" si="75"/>
        <v>0</v>
      </c>
      <c r="E7007" s="124" t="s">
        <v>8367</v>
      </c>
      <c r="F7007" s="126">
        <v>1</v>
      </c>
      <c r="G7007" s="128">
        <v>3127.2</v>
      </c>
      <c r="H7007" s="124" t="s">
        <v>8368</v>
      </c>
      <c r="I7007" s="127">
        <v>98.8</v>
      </c>
      <c r="J7007" s="127">
        <v>494</v>
      </c>
    </row>
    <row r="7008" spans="1:10" hidden="1" x14ac:dyDescent="0.25">
      <c r="A7008" s="124" t="s">
        <v>9489</v>
      </c>
      <c r="B7008" s="124" t="s">
        <v>11736</v>
      </c>
      <c r="C7008" s="132"/>
      <c r="D7008" s="125">
        <f t="shared" si="75"/>
        <v>0</v>
      </c>
      <c r="E7008" s="124" t="s">
        <v>8367</v>
      </c>
      <c r="F7008" s="126">
        <v>2</v>
      </c>
      <c r="G7008" s="127">
        <v>267.60000000000002</v>
      </c>
      <c r="H7008" s="124" t="s">
        <v>8368</v>
      </c>
      <c r="I7008" s="127">
        <v>134.6</v>
      </c>
      <c r="J7008" s="127">
        <v>673</v>
      </c>
    </row>
    <row r="7009" spans="1:10" hidden="1" x14ac:dyDescent="0.25">
      <c r="A7009" s="124" t="s">
        <v>9490</v>
      </c>
      <c r="B7009" s="124" t="s">
        <v>11736</v>
      </c>
      <c r="C7009" s="132"/>
      <c r="D7009" s="125">
        <f t="shared" si="75"/>
        <v>0</v>
      </c>
      <c r="E7009" s="124" t="s">
        <v>8367</v>
      </c>
      <c r="F7009" s="126">
        <v>2</v>
      </c>
      <c r="G7009" s="127">
        <v>111.6</v>
      </c>
      <c r="H7009" s="124" t="s">
        <v>8368</v>
      </c>
      <c r="I7009" s="127">
        <v>353.4</v>
      </c>
      <c r="J7009" s="128">
        <v>1767</v>
      </c>
    </row>
    <row r="7010" spans="1:10" hidden="1" x14ac:dyDescent="0.25">
      <c r="A7010" s="124" t="s">
        <v>9491</v>
      </c>
      <c r="B7010" s="124" t="s">
        <v>11736</v>
      </c>
      <c r="C7010" s="132"/>
      <c r="D7010" s="125">
        <f t="shared" si="75"/>
        <v>0</v>
      </c>
      <c r="E7010" s="124" t="s">
        <v>8367</v>
      </c>
      <c r="F7010" s="126">
        <v>1</v>
      </c>
      <c r="G7010" s="127">
        <v>592.79999999999995</v>
      </c>
      <c r="H7010" s="124" t="s">
        <v>8368</v>
      </c>
      <c r="I7010" s="127">
        <v>199</v>
      </c>
      <c r="J7010" s="127">
        <v>995</v>
      </c>
    </row>
    <row r="7011" spans="1:10" hidden="1" x14ac:dyDescent="0.25">
      <c r="A7011" s="124" t="s">
        <v>9492</v>
      </c>
      <c r="B7011" s="124" t="s">
        <v>11736</v>
      </c>
      <c r="C7011" s="132"/>
      <c r="D7011" s="125">
        <f t="shared" si="75"/>
        <v>0</v>
      </c>
      <c r="E7011" s="124" t="s">
        <v>8367</v>
      </c>
      <c r="F7011" s="126">
        <v>2</v>
      </c>
      <c r="G7011" s="127">
        <v>807.6</v>
      </c>
      <c r="H7011" s="124" t="s">
        <v>8368</v>
      </c>
      <c r="I7011" s="127">
        <v>157.4</v>
      </c>
      <c r="J7011" s="127">
        <v>787</v>
      </c>
    </row>
    <row r="7012" spans="1:10" hidden="1" x14ac:dyDescent="0.25">
      <c r="A7012" s="124" t="s">
        <v>9493</v>
      </c>
      <c r="B7012" s="124" t="s">
        <v>11736</v>
      </c>
      <c r="C7012" s="132"/>
      <c r="D7012" s="125">
        <f t="shared" si="75"/>
        <v>0</v>
      </c>
      <c r="E7012" s="124" t="s">
        <v>8367</v>
      </c>
      <c r="F7012" s="126">
        <v>10</v>
      </c>
      <c r="G7012" s="128">
        <v>2120.4</v>
      </c>
      <c r="H7012" s="124" t="s">
        <v>8368</v>
      </c>
      <c r="I7012" s="128">
        <v>1512.55</v>
      </c>
      <c r="J7012" s="128">
        <v>7562.75</v>
      </c>
    </row>
    <row r="7013" spans="1:10" hidden="1" x14ac:dyDescent="0.25">
      <c r="A7013" s="124" t="s">
        <v>9494</v>
      </c>
      <c r="B7013" s="124" t="s">
        <v>11736</v>
      </c>
      <c r="C7013" s="132"/>
      <c r="D7013" s="125">
        <f t="shared" si="75"/>
        <v>0</v>
      </c>
      <c r="E7013" s="124" t="s">
        <v>8367</v>
      </c>
      <c r="F7013" s="126">
        <v>6</v>
      </c>
      <c r="G7013" s="128">
        <v>1194</v>
      </c>
      <c r="H7013" s="124" t="s">
        <v>8368</v>
      </c>
      <c r="I7013" s="128">
        <v>11498.4</v>
      </c>
      <c r="J7013" s="128">
        <v>57492</v>
      </c>
    </row>
    <row r="7014" spans="1:10" hidden="1" x14ac:dyDescent="0.25">
      <c r="A7014" s="124" t="s">
        <v>9495</v>
      </c>
      <c r="B7014" s="124" t="s">
        <v>11736</v>
      </c>
      <c r="C7014" s="132"/>
      <c r="D7014" s="125">
        <f t="shared" si="75"/>
        <v>0</v>
      </c>
      <c r="E7014" s="124" t="s">
        <v>8367</v>
      </c>
      <c r="F7014" s="126">
        <v>2</v>
      </c>
      <c r="G7014" s="127">
        <v>944.4</v>
      </c>
      <c r="H7014" s="124" t="s">
        <v>8368</v>
      </c>
      <c r="I7014" s="128">
        <v>56325.52</v>
      </c>
      <c r="J7014" s="128">
        <v>281627.57</v>
      </c>
    </row>
    <row r="7015" spans="1:10" hidden="1" x14ac:dyDescent="0.25">
      <c r="A7015" s="124" t="s">
        <v>9496</v>
      </c>
      <c r="B7015" s="124" t="s">
        <v>11736</v>
      </c>
      <c r="C7015" s="132"/>
      <c r="D7015" s="125">
        <f t="shared" si="75"/>
        <v>0</v>
      </c>
      <c r="E7015" s="124" t="s">
        <v>8367</v>
      </c>
      <c r="F7015" s="126">
        <v>1</v>
      </c>
      <c r="G7015" s="128">
        <v>9075.2999999999993</v>
      </c>
      <c r="H7015" s="124" t="s">
        <v>8368</v>
      </c>
      <c r="I7015" s="128">
        <v>19313.21</v>
      </c>
      <c r="J7015" s="128">
        <v>96566.04</v>
      </c>
    </row>
    <row r="7016" spans="1:10" hidden="1" x14ac:dyDescent="0.25">
      <c r="A7016" s="124" t="s">
        <v>9497</v>
      </c>
      <c r="B7016" s="124" t="s">
        <v>11736</v>
      </c>
      <c r="C7016" s="132"/>
      <c r="D7016" s="125">
        <f>COUNTIF(A2131:A7015,A7016)</f>
        <v>0</v>
      </c>
      <c r="E7016" s="124" t="s">
        <v>8</v>
      </c>
      <c r="F7016" s="126">
        <v>600</v>
      </c>
      <c r="G7016" s="128">
        <v>68990.399999999994</v>
      </c>
      <c r="H7016" s="124" t="s">
        <v>8368</v>
      </c>
      <c r="I7016" s="127">
        <v>259.60000000000002</v>
      </c>
      <c r="J7016" s="128">
        <v>1298</v>
      </c>
    </row>
    <row r="7017" spans="1:10" hidden="1" x14ac:dyDescent="0.25">
      <c r="A7017" s="124" t="s">
        <v>9498</v>
      </c>
      <c r="B7017" s="124" t="s">
        <v>11736</v>
      </c>
      <c r="C7017" s="132"/>
      <c r="D7017" s="125">
        <f>COUNTIF(A2132:A7016,A7017)</f>
        <v>0</v>
      </c>
      <c r="E7017" s="124" t="s">
        <v>9134</v>
      </c>
      <c r="F7017" s="129">
        <v>3571</v>
      </c>
      <c r="G7017" s="128">
        <v>337953.09</v>
      </c>
      <c r="H7017" s="124" t="s">
        <v>8368</v>
      </c>
      <c r="I7017" s="127">
        <v>127.4</v>
      </c>
      <c r="J7017" s="127">
        <v>637</v>
      </c>
    </row>
    <row r="7018" spans="1:10" hidden="1" x14ac:dyDescent="0.25">
      <c r="A7018" s="124" t="s">
        <v>9499</v>
      </c>
      <c r="B7018" s="124" t="s">
        <v>11736</v>
      </c>
      <c r="C7018" s="132"/>
      <c r="D7018" s="125">
        <f>COUNTIF(A2135:A7017,A7018)</f>
        <v>0</v>
      </c>
      <c r="E7018" s="124" t="s">
        <v>8367</v>
      </c>
      <c r="F7018" s="126">
        <v>78</v>
      </c>
      <c r="G7018" s="128">
        <v>115879.25</v>
      </c>
      <c r="H7018" s="124" t="s">
        <v>8368</v>
      </c>
      <c r="I7018" s="127">
        <v>26.4</v>
      </c>
      <c r="J7018" s="127">
        <v>132</v>
      </c>
    </row>
    <row r="7019" spans="1:10" hidden="1" x14ac:dyDescent="0.25">
      <c r="A7019" s="124" t="s">
        <v>9500</v>
      </c>
      <c r="B7019" s="124" t="s">
        <v>11736</v>
      </c>
      <c r="C7019" s="132"/>
      <c r="D7019" s="125">
        <f>COUNTIF(A2138:A7018,A7019)</f>
        <v>0</v>
      </c>
      <c r="E7019" s="124" t="s">
        <v>8367</v>
      </c>
      <c r="F7019" s="126">
        <v>3</v>
      </c>
      <c r="G7019" s="128">
        <v>1557.6</v>
      </c>
      <c r="H7019" s="124" t="s">
        <v>8368</v>
      </c>
      <c r="I7019" s="127">
        <v>46.6</v>
      </c>
      <c r="J7019" s="127">
        <v>233</v>
      </c>
    </row>
    <row r="7020" spans="1:10" hidden="1" x14ac:dyDescent="0.25">
      <c r="A7020" s="124" t="s">
        <v>9501</v>
      </c>
      <c r="B7020" s="124" t="s">
        <v>11736</v>
      </c>
      <c r="C7020" s="132"/>
      <c r="D7020" s="125">
        <f>COUNTIF(A2139:A7019,A7020)</f>
        <v>0</v>
      </c>
      <c r="E7020" s="124" t="s">
        <v>8367</v>
      </c>
      <c r="F7020" s="126">
        <v>1</v>
      </c>
      <c r="G7020" s="127">
        <v>764.4</v>
      </c>
      <c r="H7020" s="124" t="s">
        <v>8368</v>
      </c>
      <c r="I7020" s="127">
        <v>149.36000000000001</v>
      </c>
      <c r="J7020" s="127">
        <v>746.8</v>
      </c>
    </row>
    <row r="7021" spans="1:10" hidden="1" x14ac:dyDescent="0.25">
      <c r="A7021" s="124" t="s">
        <v>9502</v>
      </c>
      <c r="B7021" s="124" t="s">
        <v>11736</v>
      </c>
      <c r="C7021" s="132"/>
      <c r="D7021" s="125">
        <f>COUNTIF(A2141:A7020,A7021)</f>
        <v>0</v>
      </c>
      <c r="E7021" s="124" t="s">
        <v>8367</v>
      </c>
      <c r="F7021" s="126">
        <v>2</v>
      </c>
      <c r="G7021" s="127">
        <v>158.4</v>
      </c>
      <c r="H7021" s="124" t="s">
        <v>8368</v>
      </c>
      <c r="I7021" s="127">
        <v>847.4</v>
      </c>
      <c r="J7021" s="128">
        <v>4237</v>
      </c>
    </row>
    <row r="7022" spans="1:10" hidden="1" x14ac:dyDescent="0.25">
      <c r="A7022" s="124" t="s">
        <v>9503</v>
      </c>
      <c r="B7022" s="124" t="s">
        <v>11736</v>
      </c>
      <c r="C7022" s="132"/>
      <c r="D7022" s="125">
        <f>COUNTIF(A2142:A7021,A7022)</f>
        <v>0</v>
      </c>
      <c r="E7022" s="124" t="s">
        <v>8367</v>
      </c>
      <c r="F7022" s="126">
        <v>1</v>
      </c>
      <c r="G7022" s="127">
        <v>279.60000000000002</v>
      </c>
      <c r="H7022" s="124" t="s">
        <v>8368</v>
      </c>
      <c r="I7022" s="127">
        <v>121.6</v>
      </c>
      <c r="J7022" s="127">
        <v>608</v>
      </c>
    </row>
    <row r="7023" spans="1:10" hidden="1" x14ac:dyDescent="0.25">
      <c r="A7023" s="124" t="s">
        <v>9504</v>
      </c>
      <c r="B7023" s="124" t="s">
        <v>11736</v>
      </c>
      <c r="C7023" s="132"/>
      <c r="D7023" s="125">
        <f>COUNTIF(A2143:A7022,A7023)</f>
        <v>0</v>
      </c>
      <c r="E7023" s="124" t="s">
        <v>8367</v>
      </c>
      <c r="F7023" s="126">
        <v>16</v>
      </c>
      <c r="G7023" s="127">
        <v>896.16</v>
      </c>
      <c r="H7023" s="124" t="s">
        <v>8368</v>
      </c>
      <c r="I7023" s="127">
        <v>641</v>
      </c>
      <c r="J7023" s="128">
        <v>3205</v>
      </c>
    </row>
    <row r="7024" spans="1:10" hidden="1" x14ac:dyDescent="0.25">
      <c r="A7024" s="124" t="s">
        <v>9505</v>
      </c>
      <c r="B7024" s="124" t="s">
        <v>11736</v>
      </c>
      <c r="C7024" s="132"/>
      <c r="D7024" s="125">
        <f>COUNTIF(A2145:A7023,A7024)</f>
        <v>0</v>
      </c>
      <c r="E7024" s="124" t="s">
        <v>8367</v>
      </c>
      <c r="F7024" s="126">
        <v>2</v>
      </c>
      <c r="G7024" s="128">
        <v>5084.3999999999996</v>
      </c>
      <c r="H7024" s="124" t="s">
        <v>8368</v>
      </c>
      <c r="I7024" s="127">
        <v>13.6</v>
      </c>
      <c r="J7024" s="127">
        <v>68</v>
      </c>
    </row>
    <row r="7025" spans="1:10" hidden="1" x14ac:dyDescent="0.25">
      <c r="A7025" s="124" t="s">
        <v>9506</v>
      </c>
      <c r="B7025" s="124" t="s">
        <v>11736</v>
      </c>
      <c r="C7025" s="132"/>
      <c r="D7025" s="125">
        <f>COUNTIF(A2146:A7024,A7025)</f>
        <v>0</v>
      </c>
      <c r="E7025" s="124" t="s">
        <v>8367</v>
      </c>
      <c r="F7025" s="126">
        <v>2</v>
      </c>
      <c r="G7025" s="127">
        <v>729.6</v>
      </c>
      <c r="H7025" s="124" t="s">
        <v>8368</v>
      </c>
      <c r="I7025" s="127">
        <v>206.51</v>
      </c>
      <c r="J7025" s="128">
        <v>1032.53</v>
      </c>
    </row>
    <row r="7026" spans="1:10" hidden="1" x14ac:dyDescent="0.25">
      <c r="A7026" s="124" t="s">
        <v>9507</v>
      </c>
      <c r="B7026" s="124" t="s">
        <v>11736</v>
      </c>
      <c r="C7026" s="132"/>
      <c r="D7026" s="125">
        <f>COUNTIF(A2152:A7025,A7026)</f>
        <v>0</v>
      </c>
      <c r="E7026" s="124" t="s">
        <v>8367</v>
      </c>
      <c r="F7026" s="126">
        <v>6</v>
      </c>
      <c r="G7026" s="128">
        <v>3846</v>
      </c>
      <c r="H7026" s="124" t="s">
        <v>8368</v>
      </c>
      <c r="I7026" s="128">
        <v>4576</v>
      </c>
      <c r="J7026" s="128">
        <v>22880</v>
      </c>
    </row>
    <row r="7027" spans="1:10" hidden="1" x14ac:dyDescent="0.25">
      <c r="A7027" s="124" t="s">
        <v>9508</v>
      </c>
      <c r="B7027" s="124" t="s">
        <v>11736</v>
      </c>
      <c r="C7027" s="132"/>
      <c r="D7027" s="125">
        <f>COUNTIF(A2153:A7026,A7027)</f>
        <v>0</v>
      </c>
      <c r="E7027" s="124" t="s">
        <v>8367</v>
      </c>
      <c r="F7027" s="126">
        <v>2</v>
      </c>
      <c r="G7027" s="127">
        <v>81.599999999999994</v>
      </c>
      <c r="H7027" s="124" t="s">
        <v>8368</v>
      </c>
      <c r="I7027" s="127">
        <v>38.49</v>
      </c>
      <c r="J7027" s="127">
        <v>192.46</v>
      </c>
    </row>
    <row r="7028" spans="1:10" hidden="1" x14ac:dyDescent="0.25">
      <c r="A7028" s="124" t="s">
        <v>9509</v>
      </c>
      <c r="B7028" s="124" t="s">
        <v>11736</v>
      </c>
      <c r="C7028" s="132"/>
      <c r="D7028" s="125">
        <f>COUNTIF(A2158:A7027,A7028)</f>
        <v>0</v>
      </c>
      <c r="E7028" s="124" t="s">
        <v>8367</v>
      </c>
      <c r="F7028" s="126">
        <v>1</v>
      </c>
      <c r="G7028" s="128">
        <v>1239.04</v>
      </c>
      <c r="H7028" s="124" t="s">
        <v>8368</v>
      </c>
      <c r="I7028" s="128">
        <v>1943.03</v>
      </c>
      <c r="J7028" s="128">
        <v>9715.17</v>
      </c>
    </row>
    <row r="7029" spans="1:10" hidden="1" x14ac:dyDescent="0.25">
      <c r="A7029" s="124" t="s">
        <v>9510</v>
      </c>
      <c r="B7029" s="124" t="s">
        <v>11736</v>
      </c>
      <c r="C7029" s="132"/>
      <c r="D7029" s="125">
        <f>COUNTIF(A2160:A7028,A7029)</f>
        <v>0</v>
      </c>
      <c r="E7029" s="124" t="s">
        <v>8367</v>
      </c>
      <c r="F7029" s="126">
        <v>2</v>
      </c>
      <c r="G7029" s="128">
        <v>27456</v>
      </c>
      <c r="H7029" s="124" t="s">
        <v>8368</v>
      </c>
      <c r="I7029" s="127">
        <v>79.64</v>
      </c>
      <c r="J7029" s="127">
        <v>398.19</v>
      </c>
    </row>
    <row r="7030" spans="1:10" hidden="1" x14ac:dyDescent="0.25">
      <c r="A7030" s="124" t="s">
        <v>9511</v>
      </c>
      <c r="B7030" s="124" t="s">
        <v>11736</v>
      </c>
      <c r="C7030" s="132"/>
      <c r="D7030" s="125">
        <f>COUNTIF(A2161:A7029,A7030)</f>
        <v>0</v>
      </c>
      <c r="E7030" s="124" t="s">
        <v>8367</v>
      </c>
      <c r="F7030" s="126">
        <v>1</v>
      </c>
      <c r="G7030" s="127">
        <v>230.95</v>
      </c>
      <c r="H7030" s="124" t="s">
        <v>8368</v>
      </c>
      <c r="I7030" s="127">
        <v>39.590000000000003</v>
      </c>
      <c r="J7030" s="127">
        <v>197.95</v>
      </c>
    </row>
    <row r="7031" spans="1:10" hidden="1" x14ac:dyDescent="0.25">
      <c r="A7031" s="124" t="s">
        <v>9512</v>
      </c>
      <c r="B7031" s="124" t="s">
        <v>11736</v>
      </c>
      <c r="C7031" s="132"/>
      <c r="D7031" s="125">
        <f>COUNTIF(A2163:A7030,A7031)</f>
        <v>0</v>
      </c>
      <c r="E7031" s="124" t="s">
        <v>8367</v>
      </c>
      <c r="F7031" s="126">
        <v>3</v>
      </c>
      <c r="G7031" s="128">
        <v>11658.2</v>
      </c>
      <c r="H7031" s="124" t="s">
        <v>8368</v>
      </c>
      <c r="I7031" s="127">
        <v>38.479999999999997</v>
      </c>
      <c r="J7031" s="127">
        <v>192.4</v>
      </c>
    </row>
    <row r="7032" spans="1:10" hidden="1" x14ac:dyDescent="0.25">
      <c r="A7032" s="124" t="s">
        <v>9513</v>
      </c>
      <c r="B7032" s="124" t="s">
        <v>11736</v>
      </c>
      <c r="C7032" s="132"/>
      <c r="D7032" s="125">
        <f>COUNTIF(A2167:A7031,A7032)</f>
        <v>0</v>
      </c>
      <c r="E7032" s="124" t="s">
        <v>8367</v>
      </c>
      <c r="F7032" s="126">
        <v>1</v>
      </c>
      <c r="G7032" s="127">
        <v>477.83</v>
      </c>
      <c r="H7032" s="124" t="s">
        <v>8368</v>
      </c>
      <c r="I7032" s="128">
        <v>173340.2</v>
      </c>
      <c r="J7032" s="128">
        <v>866701</v>
      </c>
    </row>
    <row r="7033" spans="1:10" hidden="1" x14ac:dyDescent="0.25">
      <c r="A7033" s="124" t="s">
        <v>1062</v>
      </c>
      <c r="B7033" s="124" t="s">
        <v>11736</v>
      </c>
      <c r="C7033" s="132"/>
      <c r="D7033" s="125">
        <f>COUNTIF(A2169:A7032,A7033)</f>
        <v>0</v>
      </c>
      <c r="E7033" s="124" t="s">
        <v>8367</v>
      </c>
      <c r="F7033" s="126">
        <v>1</v>
      </c>
      <c r="G7033" s="127">
        <v>237.54</v>
      </c>
      <c r="H7033" s="124" t="s">
        <v>8368</v>
      </c>
      <c r="I7033" s="128">
        <v>8347.08</v>
      </c>
      <c r="J7033" s="128">
        <v>41735.4</v>
      </c>
    </row>
    <row r="7034" spans="1:10" hidden="1" x14ac:dyDescent="0.25">
      <c r="A7034" s="124" t="s">
        <v>9514</v>
      </c>
      <c r="B7034" s="124" t="s">
        <v>11736</v>
      </c>
      <c r="C7034" s="132"/>
      <c r="D7034" s="125">
        <f>COUNTIF(A2171:A7033,A7034)</f>
        <v>0</v>
      </c>
      <c r="E7034" s="124" t="s">
        <v>8367</v>
      </c>
      <c r="F7034" s="126">
        <v>1</v>
      </c>
      <c r="G7034" s="127">
        <v>230.88</v>
      </c>
      <c r="H7034" s="124" t="s">
        <v>8368</v>
      </c>
      <c r="I7034" s="128">
        <v>1968.98</v>
      </c>
      <c r="J7034" s="128">
        <v>9844.91</v>
      </c>
    </row>
    <row r="7035" spans="1:10" hidden="1" x14ac:dyDescent="0.25">
      <c r="A7035" s="124" t="s">
        <v>9515</v>
      </c>
      <c r="B7035" s="124" t="s">
        <v>11736</v>
      </c>
      <c r="C7035" s="132"/>
      <c r="D7035" s="125">
        <f>COUNTIF(A2175:A7034,A7035)</f>
        <v>0</v>
      </c>
      <c r="E7035" s="124" t="s">
        <v>8367</v>
      </c>
      <c r="F7035" s="126">
        <v>100</v>
      </c>
      <c r="G7035" s="128">
        <v>1040041.2</v>
      </c>
      <c r="H7035" s="124" t="s">
        <v>8368</v>
      </c>
      <c r="I7035" s="127">
        <v>511.34</v>
      </c>
      <c r="J7035" s="128">
        <v>2556.6799999999998</v>
      </c>
    </row>
    <row r="7036" spans="1:10" hidden="1" x14ac:dyDescent="0.25">
      <c r="A7036" s="124" t="s">
        <v>9516</v>
      </c>
      <c r="B7036" s="124" t="s">
        <v>11736</v>
      </c>
      <c r="C7036" s="132"/>
      <c r="D7036" s="125">
        <f>COUNTIF(A2176:A7035,A7036)</f>
        <v>0</v>
      </c>
      <c r="E7036" s="124" t="s">
        <v>8367</v>
      </c>
      <c r="F7036" s="126">
        <v>4</v>
      </c>
      <c r="G7036" s="128">
        <v>50082.48</v>
      </c>
      <c r="H7036" s="124" t="s">
        <v>8368</v>
      </c>
      <c r="I7036" s="128">
        <v>1348.49</v>
      </c>
      <c r="J7036" s="128">
        <v>6742.47</v>
      </c>
    </row>
    <row r="7037" spans="1:10" hidden="1" x14ac:dyDescent="0.25">
      <c r="A7037" s="124" t="s">
        <v>2855</v>
      </c>
      <c r="B7037" s="124" t="s">
        <v>11736</v>
      </c>
      <c r="C7037" s="132"/>
      <c r="D7037" s="125">
        <f>COUNTIF(A2178:A7036,A7037)</f>
        <v>0</v>
      </c>
      <c r="E7037" s="124" t="s">
        <v>8367</v>
      </c>
      <c r="F7037" s="126">
        <v>1</v>
      </c>
      <c r="G7037" s="128">
        <v>11813.89</v>
      </c>
      <c r="H7037" s="124" t="s">
        <v>8368</v>
      </c>
      <c r="I7037" s="127">
        <v>735.4</v>
      </c>
      <c r="J7037" s="128">
        <v>3677.01</v>
      </c>
    </row>
    <row r="7038" spans="1:10" hidden="1" x14ac:dyDescent="0.25">
      <c r="A7038" s="124" t="s">
        <v>9517</v>
      </c>
      <c r="B7038" s="124" t="s">
        <v>11736</v>
      </c>
      <c r="C7038" s="132"/>
      <c r="D7038" s="125">
        <f>COUNTIF(A2180:A7037,A7038)</f>
        <v>0</v>
      </c>
      <c r="E7038" s="124" t="s">
        <v>8367</v>
      </c>
      <c r="F7038" s="126">
        <v>1</v>
      </c>
      <c r="G7038" s="128">
        <v>3068.02</v>
      </c>
      <c r="H7038" s="124" t="s">
        <v>8368</v>
      </c>
      <c r="I7038" s="128">
        <v>7757.17</v>
      </c>
      <c r="J7038" s="128">
        <v>38785.839999999997</v>
      </c>
    </row>
    <row r="7039" spans="1:10" hidden="1" x14ac:dyDescent="0.25">
      <c r="A7039" s="124" t="s">
        <v>9518</v>
      </c>
      <c r="B7039" s="124" t="s">
        <v>11736</v>
      </c>
      <c r="C7039" s="132"/>
      <c r="D7039" s="125">
        <f>COUNTIF(A2182:A7038,A7039)</f>
        <v>0</v>
      </c>
      <c r="E7039" s="124" t="s">
        <v>8367</v>
      </c>
      <c r="F7039" s="126">
        <v>3</v>
      </c>
      <c r="G7039" s="128">
        <v>8090.96</v>
      </c>
      <c r="H7039" s="124" t="s">
        <v>8368</v>
      </c>
      <c r="I7039" s="127">
        <v>414</v>
      </c>
      <c r="J7039" s="128">
        <v>2070</v>
      </c>
    </row>
    <row r="7040" spans="1:10" hidden="1" x14ac:dyDescent="0.25">
      <c r="A7040" s="124" t="s">
        <v>9519</v>
      </c>
      <c r="B7040" s="124" t="s">
        <v>11736</v>
      </c>
      <c r="C7040" s="132"/>
      <c r="D7040" s="125">
        <f>COUNTIF(A2184:A7039,A7040)</f>
        <v>0</v>
      </c>
      <c r="E7040" s="124" t="s">
        <v>8367</v>
      </c>
      <c r="F7040" s="126">
        <v>3</v>
      </c>
      <c r="G7040" s="128">
        <v>4412.41</v>
      </c>
      <c r="H7040" s="124" t="s">
        <v>8368</v>
      </c>
      <c r="I7040" s="128">
        <v>2913.4</v>
      </c>
      <c r="J7040" s="128">
        <v>14567</v>
      </c>
    </row>
    <row r="7041" spans="1:10" hidden="1" x14ac:dyDescent="0.25">
      <c r="A7041" s="124" t="s">
        <v>9520</v>
      </c>
      <c r="B7041" s="124" t="s">
        <v>11736</v>
      </c>
      <c r="C7041" s="132"/>
      <c r="D7041" s="125">
        <f>COUNTIF(A2186:A7040,A7041)</f>
        <v>0</v>
      </c>
      <c r="E7041" s="124" t="s">
        <v>8367</v>
      </c>
      <c r="F7041" s="126">
        <v>19</v>
      </c>
      <c r="G7041" s="128">
        <v>46543.01</v>
      </c>
      <c r="H7041" s="124" t="s">
        <v>8368</v>
      </c>
      <c r="I7041" s="127">
        <v>447.68</v>
      </c>
      <c r="J7041" s="128">
        <v>2238.4</v>
      </c>
    </row>
    <row r="7042" spans="1:10" hidden="1" x14ac:dyDescent="0.25">
      <c r="A7042" s="124" t="s">
        <v>9521</v>
      </c>
      <c r="B7042" s="124" t="s">
        <v>11736</v>
      </c>
      <c r="C7042" s="132"/>
      <c r="D7042" s="125">
        <f>COUNTIF(A2193:A7041,A7042)</f>
        <v>0</v>
      </c>
      <c r="E7042" s="124" t="s">
        <v>8367</v>
      </c>
      <c r="F7042" s="126">
        <v>1</v>
      </c>
      <c r="G7042" s="128">
        <v>2484</v>
      </c>
      <c r="H7042" s="124" t="s">
        <v>8368</v>
      </c>
      <c r="I7042" s="127">
        <v>24.83</v>
      </c>
      <c r="J7042" s="127">
        <v>124.15</v>
      </c>
    </row>
    <row r="7043" spans="1:10" hidden="1" x14ac:dyDescent="0.25">
      <c r="A7043" s="124" t="s">
        <v>9522</v>
      </c>
      <c r="B7043" s="124" t="s">
        <v>11736</v>
      </c>
      <c r="C7043" s="132"/>
      <c r="D7043" s="125">
        <f>COUNTIF(A2196:A7042,A7043)</f>
        <v>0</v>
      </c>
      <c r="E7043" s="124" t="s">
        <v>8367</v>
      </c>
      <c r="F7043" s="126">
        <v>20</v>
      </c>
      <c r="G7043" s="128">
        <v>17480.400000000001</v>
      </c>
      <c r="H7043" s="124" t="s">
        <v>8368</v>
      </c>
      <c r="I7043" s="128">
        <v>4587</v>
      </c>
      <c r="J7043" s="128">
        <v>22935</v>
      </c>
    </row>
    <row r="7044" spans="1:10" hidden="1" x14ac:dyDescent="0.25">
      <c r="A7044" s="124" t="s">
        <v>9523</v>
      </c>
      <c r="B7044" s="124" t="s">
        <v>11736</v>
      </c>
      <c r="C7044" s="132"/>
      <c r="D7044" s="125">
        <f>COUNTIF(A2197:A7043,A7044)</f>
        <v>0</v>
      </c>
      <c r="E7044" s="124" t="s">
        <v>8367</v>
      </c>
      <c r="F7044" s="126">
        <v>2</v>
      </c>
      <c r="G7044" s="128">
        <v>2686.08</v>
      </c>
      <c r="H7044" s="124" t="s">
        <v>8368</v>
      </c>
      <c r="I7044" s="127">
        <v>821.4</v>
      </c>
      <c r="J7044" s="128">
        <v>4107</v>
      </c>
    </row>
    <row r="7045" spans="1:10" hidden="1" x14ac:dyDescent="0.25">
      <c r="A7045" s="124" t="s">
        <v>2813</v>
      </c>
      <c r="B7045" s="124" t="s">
        <v>11736</v>
      </c>
      <c r="C7045" s="132"/>
      <c r="D7045" s="125">
        <f>COUNTIF(A2202:A7044,A7045)</f>
        <v>0</v>
      </c>
      <c r="E7045" s="124" t="s">
        <v>8367</v>
      </c>
      <c r="F7045" s="126">
        <v>1</v>
      </c>
      <c r="G7045" s="127">
        <v>148.97999999999999</v>
      </c>
      <c r="H7045" s="124" t="s">
        <v>8368</v>
      </c>
      <c r="I7045" s="127">
        <v>80</v>
      </c>
      <c r="J7045" s="127">
        <v>400</v>
      </c>
    </row>
    <row r="7046" spans="1:10" hidden="1" x14ac:dyDescent="0.25">
      <c r="A7046" s="124" t="s">
        <v>9524</v>
      </c>
      <c r="B7046" s="124" t="s">
        <v>11736</v>
      </c>
      <c r="C7046" s="132"/>
      <c r="D7046" s="125">
        <f>COUNTIF(A2206:A7045,A7046)</f>
        <v>0</v>
      </c>
      <c r="E7046" s="124" t="s">
        <v>8367</v>
      </c>
      <c r="F7046" s="126">
        <v>22</v>
      </c>
      <c r="G7046" s="128">
        <v>27522</v>
      </c>
      <c r="H7046" s="124" t="s">
        <v>8368</v>
      </c>
      <c r="I7046" s="127">
        <v>432.6</v>
      </c>
      <c r="J7046" s="128">
        <v>2163</v>
      </c>
    </row>
    <row r="7047" spans="1:10" hidden="1" x14ac:dyDescent="0.25">
      <c r="A7047" s="124" t="s">
        <v>2203</v>
      </c>
      <c r="B7047" s="124" t="s">
        <v>11736</v>
      </c>
      <c r="C7047" s="132"/>
      <c r="D7047" s="125">
        <f>COUNTIF(A2207:A7046,A7047)</f>
        <v>0</v>
      </c>
      <c r="E7047" s="124" t="s">
        <v>8367</v>
      </c>
      <c r="F7047" s="126">
        <v>22</v>
      </c>
      <c r="G7047" s="128">
        <v>4928.3999999999996</v>
      </c>
      <c r="H7047" s="124" t="s">
        <v>8368</v>
      </c>
      <c r="I7047" s="127">
        <v>729.4</v>
      </c>
      <c r="J7047" s="128">
        <v>3647</v>
      </c>
    </row>
    <row r="7048" spans="1:10" hidden="1" x14ac:dyDescent="0.25">
      <c r="A7048" s="124" t="s">
        <v>9525</v>
      </c>
      <c r="B7048" s="124" t="s">
        <v>11736</v>
      </c>
      <c r="C7048" s="132"/>
      <c r="D7048" s="125">
        <f>COUNTIF(A2208:A7047,A7048)</f>
        <v>0</v>
      </c>
      <c r="E7048" s="124" t="s">
        <v>8367</v>
      </c>
      <c r="F7048" s="126">
        <v>5</v>
      </c>
      <c r="G7048" s="127">
        <v>480</v>
      </c>
      <c r="H7048" s="124" t="s">
        <v>8368</v>
      </c>
      <c r="I7048" s="128">
        <v>1823.4</v>
      </c>
      <c r="J7048" s="128">
        <v>9117</v>
      </c>
    </row>
    <row r="7049" spans="1:10" hidden="1" x14ac:dyDescent="0.25">
      <c r="A7049" s="124" t="s">
        <v>9526</v>
      </c>
      <c r="B7049" s="124" t="s">
        <v>11736</v>
      </c>
      <c r="C7049" s="132"/>
      <c r="D7049" s="125">
        <f>COUNTIF(A2209:A7048,A7049)</f>
        <v>0</v>
      </c>
      <c r="E7049" s="124" t="s">
        <v>8367</v>
      </c>
      <c r="F7049" s="126">
        <v>22</v>
      </c>
      <c r="G7049" s="128">
        <v>2595.6</v>
      </c>
      <c r="H7049" s="124" t="s">
        <v>8368</v>
      </c>
      <c r="I7049" s="127">
        <v>364.6</v>
      </c>
      <c r="J7049" s="128">
        <v>1823</v>
      </c>
    </row>
    <row r="7050" spans="1:10" hidden="1" x14ac:dyDescent="0.25">
      <c r="A7050" s="124" t="s">
        <v>9527</v>
      </c>
      <c r="B7050" s="124" t="s">
        <v>11736</v>
      </c>
      <c r="C7050" s="132"/>
      <c r="D7050" s="125">
        <f>COUNTIF(A2210:A7049,A7050)</f>
        <v>0</v>
      </c>
      <c r="E7050" s="124" t="s">
        <v>8367</v>
      </c>
      <c r="F7050" s="126">
        <v>2</v>
      </c>
      <c r="G7050" s="128">
        <v>4376.3999999999996</v>
      </c>
      <c r="H7050" s="124" t="s">
        <v>8368</v>
      </c>
      <c r="I7050" s="127">
        <v>75.33</v>
      </c>
      <c r="J7050" s="127">
        <v>376.67</v>
      </c>
    </row>
    <row r="7051" spans="1:10" hidden="1" x14ac:dyDescent="0.25">
      <c r="A7051" s="124" t="s">
        <v>9528</v>
      </c>
      <c r="B7051" s="124" t="s">
        <v>11736</v>
      </c>
      <c r="C7051" s="132"/>
      <c r="D7051" s="125">
        <f>COUNTIF(A2212:A7050,A7051)</f>
        <v>0</v>
      </c>
      <c r="E7051" s="124" t="s">
        <v>8367</v>
      </c>
      <c r="F7051" s="126">
        <v>5</v>
      </c>
      <c r="G7051" s="128">
        <v>10940.4</v>
      </c>
      <c r="H7051" s="124" t="s">
        <v>8368</v>
      </c>
      <c r="I7051" s="127">
        <v>86.38</v>
      </c>
      <c r="J7051" s="127">
        <v>431.9</v>
      </c>
    </row>
    <row r="7052" spans="1:10" hidden="1" x14ac:dyDescent="0.25">
      <c r="A7052" s="124" t="s">
        <v>9529</v>
      </c>
      <c r="B7052" s="124" t="s">
        <v>11736</v>
      </c>
      <c r="C7052" s="132"/>
      <c r="D7052" s="125">
        <f>COUNTIF(A2213:A7051,A7052)</f>
        <v>0</v>
      </c>
      <c r="E7052" s="124" t="s">
        <v>8367</v>
      </c>
      <c r="F7052" s="126">
        <v>1</v>
      </c>
      <c r="G7052" s="128">
        <v>2187.6</v>
      </c>
      <c r="H7052" s="124" t="s">
        <v>8368</v>
      </c>
      <c r="I7052" s="127">
        <v>947.6</v>
      </c>
      <c r="J7052" s="128">
        <v>4738</v>
      </c>
    </row>
    <row r="7053" spans="1:10" hidden="1" x14ac:dyDescent="0.25">
      <c r="A7053" s="124" t="s">
        <v>9530</v>
      </c>
      <c r="B7053" s="124" t="s">
        <v>11736</v>
      </c>
      <c r="C7053" s="132"/>
      <c r="D7053" s="125">
        <f>COUNTIF(A2214:A7052,A7053)</f>
        <v>0</v>
      </c>
      <c r="E7053" s="124" t="s">
        <v>8367</v>
      </c>
      <c r="F7053" s="126">
        <v>1</v>
      </c>
      <c r="G7053" s="127">
        <v>452</v>
      </c>
      <c r="H7053" s="124" t="s">
        <v>8368</v>
      </c>
      <c r="I7053" s="127">
        <v>247.68</v>
      </c>
      <c r="J7053" s="128">
        <v>1238.4000000000001</v>
      </c>
    </row>
    <row r="7054" spans="1:10" hidden="1" x14ac:dyDescent="0.25">
      <c r="A7054" s="124" t="s">
        <v>9531</v>
      </c>
      <c r="B7054" s="124" t="s">
        <v>11736</v>
      </c>
      <c r="C7054" s="132"/>
      <c r="D7054" s="125">
        <f>COUNTIF(A2217:A7053,A7054)</f>
        <v>0</v>
      </c>
      <c r="E7054" s="124" t="s">
        <v>8367</v>
      </c>
      <c r="F7054" s="126">
        <v>7</v>
      </c>
      <c r="G7054" s="127">
        <v>518.28</v>
      </c>
      <c r="H7054" s="124" t="s">
        <v>8368</v>
      </c>
      <c r="I7054" s="127">
        <v>465</v>
      </c>
      <c r="J7054" s="128">
        <v>2325</v>
      </c>
    </row>
    <row r="7055" spans="1:10" hidden="1" x14ac:dyDescent="0.25">
      <c r="A7055" s="124" t="s">
        <v>9532</v>
      </c>
      <c r="B7055" s="124" t="s">
        <v>11736</v>
      </c>
      <c r="C7055" s="132"/>
      <c r="D7055" s="125">
        <f>COUNTIF(A2220:A7054,A7055)</f>
        <v>0</v>
      </c>
      <c r="E7055" s="124" t="s">
        <v>8367</v>
      </c>
      <c r="F7055" s="126">
        <v>5</v>
      </c>
      <c r="G7055" s="128">
        <v>5685.6</v>
      </c>
      <c r="H7055" s="124" t="s">
        <v>8368</v>
      </c>
      <c r="I7055" s="127">
        <v>78.34</v>
      </c>
      <c r="J7055" s="127">
        <v>391.7</v>
      </c>
    </row>
    <row r="7056" spans="1:10" hidden="1" x14ac:dyDescent="0.25">
      <c r="A7056" s="124" t="s">
        <v>9533</v>
      </c>
      <c r="B7056" s="124" t="s">
        <v>11736</v>
      </c>
      <c r="C7056" s="132"/>
      <c r="D7056" s="125">
        <f>COUNTIF(A2221:A7055,A7056)</f>
        <v>0</v>
      </c>
      <c r="E7056" s="124" t="s">
        <v>8367</v>
      </c>
      <c r="F7056" s="126">
        <v>2</v>
      </c>
      <c r="G7056" s="128">
        <v>1486.08</v>
      </c>
      <c r="H7056" s="124" t="s">
        <v>8368</v>
      </c>
      <c r="I7056" s="127">
        <v>137.66</v>
      </c>
      <c r="J7056" s="127">
        <v>688.3</v>
      </c>
    </row>
    <row r="7057" spans="1:10" hidden="1" x14ac:dyDescent="0.25">
      <c r="A7057" s="124" t="s">
        <v>9534</v>
      </c>
      <c r="B7057" s="124" t="s">
        <v>11736</v>
      </c>
      <c r="C7057" s="132"/>
      <c r="D7057" s="125">
        <f>COUNTIF(A2223:A7056,A7057)</f>
        <v>0</v>
      </c>
      <c r="E7057" s="124" t="s">
        <v>8367</v>
      </c>
      <c r="F7057" s="126">
        <v>3</v>
      </c>
      <c r="G7057" s="128">
        <v>2790</v>
      </c>
      <c r="H7057" s="124" t="s">
        <v>8368</v>
      </c>
      <c r="I7057" s="127">
        <v>137.66</v>
      </c>
      <c r="J7057" s="127">
        <v>688.3</v>
      </c>
    </row>
    <row r="7058" spans="1:10" hidden="1" x14ac:dyDescent="0.25">
      <c r="A7058" s="124" t="s">
        <v>9535</v>
      </c>
      <c r="B7058" s="124" t="s">
        <v>11736</v>
      </c>
      <c r="C7058" s="132"/>
      <c r="D7058" s="125">
        <f>COUNTIF(A2229:A7057,A7058)</f>
        <v>0</v>
      </c>
      <c r="E7058" s="124" t="s">
        <v>8367</v>
      </c>
      <c r="F7058" s="126">
        <v>1</v>
      </c>
      <c r="G7058" s="127">
        <v>470.04</v>
      </c>
      <c r="H7058" s="124" t="s">
        <v>8368</v>
      </c>
      <c r="I7058" s="127">
        <v>605.36</v>
      </c>
      <c r="J7058" s="128">
        <v>3026.8</v>
      </c>
    </row>
    <row r="7059" spans="1:10" hidden="1" x14ac:dyDescent="0.25">
      <c r="A7059" s="124" t="s">
        <v>9536</v>
      </c>
      <c r="B7059" s="124" t="s">
        <v>11736</v>
      </c>
      <c r="C7059" s="132"/>
      <c r="D7059" s="125">
        <f>COUNTIF(A2231:A7058,A7059)</f>
        <v>0</v>
      </c>
      <c r="E7059" s="124" t="s">
        <v>8367</v>
      </c>
      <c r="F7059" s="126">
        <v>1</v>
      </c>
      <c r="G7059" s="127">
        <v>825.96</v>
      </c>
      <c r="H7059" s="124" t="s">
        <v>8368</v>
      </c>
      <c r="I7059" s="127">
        <v>52.16</v>
      </c>
      <c r="J7059" s="127">
        <v>260.8</v>
      </c>
    </row>
    <row r="7060" spans="1:10" hidden="1" x14ac:dyDescent="0.25">
      <c r="A7060" s="124" t="s">
        <v>9537</v>
      </c>
      <c r="B7060" s="124" t="s">
        <v>11736</v>
      </c>
      <c r="C7060" s="132"/>
      <c r="D7060" s="125">
        <f>COUNTIF(A2233:A7059,A7060)</f>
        <v>0</v>
      </c>
      <c r="E7060" s="124" t="s">
        <v>8367</v>
      </c>
      <c r="F7060" s="126">
        <v>1</v>
      </c>
      <c r="G7060" s="127">
        <v>825.96</v>
      </c>
      <c r="H7060" s="124" t="s">
        <v>8368</v>
      </c>
      <c r="I7060" s="127">
        <v>175.65</v>
      </c>
      <c r="J7060" s="127">
        <v>878.23</v>
      </c>
    </row>
    <row r="7061" spans="1:10" hidden="1" x14ac:dyDescent="0.25">
      <c r="A7061" s="124" t="s">
        <v>9538</v>
      </c>
      <c r="B7061" s="124" t="s">
        <v>11736</v>
      </c>
      <c r="C7061" s="132"/>
      <c r="D7061" s="125">
        <f>COUNTIF(A2237:A7060,A7061)</f>
        <v>0</v>
      </c>
      <c r="E7061" s="124" t="s">
        <v>8367</v>
      </c>
      <c r="F7061" s="126">
        <v>4</v>
      </c>
      <c r="G7061" s="128">
        <v>3632.16</v>
      </c>
      <c r="H7061" s="124" t="s">
        <v>8368</v>
      </c>
      <c r="I7061" s="127">
        <v>290.2</v>
      </c>
      <c r="J7061" s="128">
        <v>1451</v>
      </c>
    </row>
    <row r="7062" spans="1:10" hidden="1" x14ac:dyDescent="0.25">
      <c r="A7062" s="124" t="s">
        <v>9539</v>
      </c>
      <c r="B7062" s="124" t="s">
        <v>11736</v>
      </c>
      <c r="C7062" s="132"/>
      <c r="D7062" s="125">
        <f>COUNTIF(A2240:A7061,A7062)</f>
        <v>0</v>
      </c>
      <c r="E7062" s="124" t="s">
        <v>8367</v>
      </c>
      <c r="F7062" s="126">
        <v>1</v>
      </c>
      <c r="G7062" s="127">
        <v>312.95999999999998</v>
      </c>
      <c r="H7062" s="124" t="s">
        <v>8368</v>
      </c>
      <c r="I7062" s="127">
        <v>525</v>
      </c>
      <c r="J7062" s="128">
        <v>2625</v>
      </c>
    </row>
    <row r="7063" spans="1:10" hidden="1" x14ac:dyDescent="0.25">
      <c r="A7063" s="124" t="s">
        <v>9540</v>
      </c>
      <c r="B7063" s="124" t="s">
        <v>11736</v>
      </c>
      <c r="C7063" s="132"/>
      <c r="D7063" s="125">
        <f>COUNTIF(A2242:A7062,A7063)</f>
        <v>0</v>
      </c>
      <c r="E7063" s="124" t="s">
        <v>8367</v>
      </c>
      <c r="F7063" s="126">
        <v>2</v>
      </c>
      <c r="G7063" s="128">
        <v>1053.8800000000001</v>
      </c>
      <c r="H7063" s="124" t="s">
        <v>8368</v>
      </c>
      <c r="I7063" s="128">
        <v>3325</v>
      </c>
      <c r="J7063" s="128">
        <v>16625</v>
      </c>
    </row>
    <row r="7064" spans="1:10" hidden="1" x14ac:dyDescent="0.25">
      <c r="A7064" s="124" t="s">
        <v>9541</v>
      </c>
      <c r="B7064" s="124" t="s">
        <v>11736</v>
      </c>
      <c r="C7064" s="132"/>
      <c r="D7064" s="125">
        <f t="shared" ref="D7064:D7070" si="76">COUNTIF(A2244:A7063,A7064)</f>
        <v>0</v>
      </c>
      <c r="E7064" s="124" t="s">
        <v>8367</v>
      </c>
      <c r="F7064" s="126">
        <v>3</v>
      </c>
      <c r="G7064" s="128">
        <v>1741.2</v>
      </c>
      <c r="H7064" s="124" t="s">
        <v>8368</v>
      </c>
      <c r="I7064" s="127">
        <v>30.8</v>
      </c>
      <c r="J7064" s="127">
        <v>154</v>
      </c>
    </row>
    <row r="7065" spans="1:10" hidden="1" x14ac:dyDescent="0.25">
      <c r="A7065" s="124" t="s">
        <v>9542</v>
      </c>
      <c r="B7065" s="124" t="s">
        <v>11736</v>
      </c>
      <c r="C7065" s="132"/>
      <c r="D7065" s="125">
        <f t="shared" si="76"/>
        <v>0</v>
      </c>
      <c r="E7065" s="124" t="s">
        <v>8451</v>
      </c>
      <c r="F7065" s="126">
        <v>5</v>
      </c>
      <c r="G7065" s="128">
        <v>3150</v>
      </c>
      <c r="H7065" s="124" t="s">
        <v>8368</v>
      </c>
      <c r="I7065" s="127">
        <v>54.2</v>
      </c>
      <c r="J7065" s="127">
        <v>271</v>
      </c>
    </row>
    <row r="7066" spans="1:10" hidden="1" x14ac:dyDescent="0.25">
      <c r="A7066" s="124" t="s">
        <v>9543</v>
      </c>
      <c r="B7066" s="124" t="s">
        <v>11736</v>
      </c>
      <c r="C7066" s="132"/>
      <c r="D7066" s="125">
        <f t="shared" si="76"/>
        <v>0</v>
      </c>
      <c r="E7066" s="124" t="s">
        <v>8451</v>
      </c>
      <c r="F7066" s="126">
        <v>5</v>
      </c>
      <c r="G7066" s="128">
        <v>19950</v>
      </c>
      <c r="H7066" s="124" t="s">
        <v>8368</v>
      </c>
      <c r="I7066" s="128">
        <v>45496.67</v>
      </c>
      <c r="J7066" s="128">
        <v>227483.33</v>
      </c>
    </row>
    <row r="7067" spans="1:10" hidden="1" x14ac:dyDescent="0.25">
      <c r="A7067" s="124" t="s">
        <v>9544</v>
      </c>
      <c r="B7067" s="124" t="s">
        <v>11736</v>
      </c>
      <c r="C7067" s="132"/>
      <c r="D7067" s="125">
        <f t="shared" si="76"/>
        <v>0</v>
      </c>
      <c r="E7067" s="124" t="s">
        <v>8451</v>
      </c>
      <c r="F7067" s="126">
        <v>5</v>
      </c>
      <c r="G7067" s="127">
        <v>184.8</v>
      </c>
      <c r="H7067" s="124" t="s">
        <v>8368</v>
      </c>
      <c r="I7067" s="128">
        <v>28885.16</v>
      </c>
      <c r="J7067" s="128">
        <v>144425.79999999999</v>
      </c>
    </row>
    <row r="7068" spans="1:10" hidden="1" x14ac:dyDescent="0.25">
      <c r="A7068" s="124" t="s">
        <v>2713</v>
      </c>
      <c r="B7068" s="124" t="s">
        <v>11736</v>
      </c>
      <c r="C7068" s="132"/>
      <c r="D7068" s="125">
        <f t="shared" si="76"/>
        <v>0</v>
      </c>
      <c r="E7068" s="124" t="s">
        <v>8367</v>
      </c>
      <c r="F7068" s="126">
        <v>13</v>
      </c>
      <c r="G7068" s="127">
        <v>325.2</v>
      </c>
      <c r="H7068" s="124" t="s">
        <v>8368</v>
      </c>
      <c r="I7068" s="128">
        <v>9559.2000000000007</v>
      </c>
      <c r="J7068" s="128">
        <v>47796</v>
      </c>
    </row>
    <row r="7069" spans="1:10" hidden="1" x14ac:dyDescent="0.25">
      <c r="A7069" s="124" t="s">
        <v>9545</v>
      </c>
      <c r="B7069" s="124" t="s">
        <v>11736</v>
      </c>
      <c r="C7069" s="132"/>
      <c r="D7069" s="125">
        <f t="shared" si="76"/>
        <v>0</v>
      </c>
      <c r="E7069" s="124" t="s">
        <v>8367</v>
      </c>
      <c r="F7069" s="126">
        <v>2</v>
      </c>
      <c r="G7069" s="128">
        <v>272980</v>
      </c>
      <c r="H7069" s="124" t="s">
        <v>8368</v>
      </c>
      <c r="I7069" s="127">
        <v>8.8000000000000007</v>
      </c>
      <c r="J7069" s="127">
        <v>44</v>
      </c>
    </row>
    <row r="7070" spans="1:10" hidden="1" x14ac:dyDescent="0.25">
      <c r="A7070" s="124" t="s">
        <v>9546</v>
      </c>
      <c r="B7070" s="124" t="s">
        <v>11736</v>
      </c>
      <c r="C7070" s="132"/>
      <c r="D7070" s="125">
        <f t="shared" si="76"/>
        <v>0</v>
      </c>
      <c r="E7070" s="124" t="s">
        <v>1</v>
      </c>
      <c r="F7070" s="126">
        <v>60</v>
      </c>
      <c r="G7070" s="128">
        <v>173310.96</v>
      </c>
      <c r="H7070" s="124" t="s">
        <v>8368</v>
      </c>
      <c r="I7070" s="128">
        <v>2263.6</v>
      </c>
      <c r="J7070" s="128">
        <v>11318</v>
      </c>
    </row>
    <row r="7071" spans="1:10" hidden="1" x14ac:dyDescent="0.25">
      <c r="A7071" s="124" t="s">
        <v>2656</v>
      </c>
      <c r="B7071" s="124" t="s">
        <v>11736</v>
      </c>
      <c r="C7071" s="132"/>
      <c r="D7071" s="125">
        <f>COUNTIF(A2263:A7070,A7071)</f>
        <v>0</v>
      </c>
      <c r="E7071" s="124" t="s">
        <v>8367</v>
      </c>
      <c r="F7071" s="129">
        <v>7966</v>
      </c>
      <c r="G7071" s="128">
        <v>57355.199999999997</v>
      </c>
      <c r="H7071" s="124" t="s">
        <v>8368</v>
      </c>
      <c r="I7071" s="128">
        <v>2134261.83</v>
      </c>
      <c r="J7071" s="128">
        <v>10671309.140000001</v>
      </c>
    </row>
    <row r="7072" spans="1:10" hidden="1" x14ac:dyDescent="0.25">
      <c r="A7072" s="124" t="s">
        <v>9547</v>
      </c>
      <c r="B7072" s="124" t="s">
        <v>11736</v>
      </c>
      <c r="C7072" s="132"/>
      <c r="D7072" s="125">
        <f>COUNTIF(A2269:A7071,A7072)</f>
        <v>0</v>
      </c>
      <c r="E7072" s="124" t="s">
        <v>8367</v>
      </c>
      <c r="F7072" s="126">
        <v>44</v>
      </c>
      <c r="G7072" s="127">
        <v>52.8</v>
      </c>
      <c r="H7072" s="124" t="s">
        <v>8368</v>
      </c>
      <c r="I7072" s="127">
        <v>350</v>
      </c>
      <c r="J7072" s="128">
        <v>1750</v>
      </c>
    </row>
    <row r="7073" spans="1:10" hidden="1" x14ac:dyDescent="0.25">
      <c r="A7073" s="124" t="s">
        <v>9548</v>
      </c>
      <c r="B7073" s="124" t="s">
        <v>11736</v>
      </c>
      <c r="C7073" s="132"/>
      <c r="D7073" s="125">
        <f>COUNTIF(A2270:A7072,A7073)</f>
        <v>0</v>
      </c>
      <c r="E7073" s="124" t="s">
        <v>8367</v>
      </c>
      <c r="F7073" s="126">
        <v>4</v>
      </c>
      <c r="G7073" s="128">
        <v>13581.6</v>
      </c>
      <c r="H7073" s="124" t="s">
        <v>8368</v>
      </c>
      <c r="I7073" s="127">
        <v>165</v>
      </c>
      <c r="J7073" s="127">
        <v>825</v>
      </c>
    </row>
    <row r="7074" spans="1:10" hidden="1" x14ac:dyDescent="0.25">
      <c r="A7074" s="124" t="s">
        <v>9549</v>
      </c>
      <c r="B7074" s="124" t="s">
        <v>11736</v>
      </c>
      <c r="C7074" s="132"/>
      <c r="D7074" s="125">
        <f>COUNTIF(A2271:A7073,A7074)</f>
        <v>0</v>
      </c>
      <c r="E7074" s="124" t="s">
        <v>8367</v>
      </c>
      <c r="F7074" s="129">
        <v>4302</v>
      </c>
      <c r="G7074" s="128">
        <v>12805570.970000001</v>
      </c>
      <c r="H7074" s="124" t="s">
        <v>8368</v>
      </c>
      <c r="I7074" s="128">
        <v>1976.65</v>
      </c>
      <c r="J7074" s="128">
        <v>9883.23</v>
      </c>
    </row>
    <row r="7075" spans="1:10" hidden="1" x14ac:dyDescent="0.25">
      <c r="A7075" s="124" t="s">
        <v>2503</v>
      </c>
      <c r="B7075" s="124" t="s">
        <v>11736</v>
      </c>
      <c r="C7075" s="132"/>
      <c r="D7075" s="125">
        <f>COUNTIF(A2293:A7074,A7075)</f>
        <v>0</v>
      </c>
      <c r="E7075" s="124" t="s">
        <v>8367</v>
      </c>
      <c r="F7075" s="129">
        <v>1000</v>
      </c>
      <c r="G7075" s="128">
        <v>2100</v>
      </c>
      <c r="H7075" s="124" t="s">
        <v>8368</v>
      </c>
      <c r="I7075" s="128">
        <v>1278.06</v>
      </c>
      <c r="J7075" s="128">
        <v>6390.32</v>
      </c>
    </row>
    <row r="7076" spans="1:10" hidden="1" x14ac:dyDescent="0.25">
      <c r="A7076" s="124" t="s">
        <v>2460</v>
      </c>
      <c r="B7076" s="124" t="s">
        <v>11736</v>
      </c>
      <c r="C7076" s="132"/>
      <c r="D7076" s="125">
        <f>COUNTIF(A2294:A7075,A7076)</f>
        <v>0</v>
      </c>
      <c r="E7076" s="124" t="s">
        <v>8367</v>
      </c>
      <c r="F7076" s="126">
        <v>300</v>
      </c>
      <c r="G7076" s="127">
        <v>990</v>
      </c>
      <c r="H7076" s="124" t="s">
        <v>8368</v>
      </c>
      <c r="I7076" s="127">
        <v>632.01</v>
      </c>
      <c r="J7076" s="128">
        <v>3160.05</v>
      </c>
    </row>
    <row r="7077" spans="1:10" hidden="1" x14ac:dyDescent="0.25">
      <c r="A7077" s="124" t="s">
        <v>2556</v>
      </c>
      <c r="B7077" s="124" t="s">
        <v>11736</v>
      </c>
      <c r="C7077" s="132"/>
      <c r="D7077" s="125">
        <f>COUNTIF(A2296:A7076,A7077)</f>
        <v>0</v>
      </c>
      <c r="E7077" s="124" t="s">
        <v>8367</v>
      </c>
      <c r="F7077" s="129">
        <v>3840</v>
      </c>
      <c r="G7077" s="128">
        <v>11859.88</v>
      </c>
      <c r="H7077" s="124" t="s">
        <v>8368</v>
      </c>
      <c r="I7077" s="128">
        <v>388756.74</v>
      </c>
      <c r="J7077" s="128">
        <v>1943783.7</v>
      </c>
    </row>
    <row r="7078" spans="1:10" hidden="1" x14ac:dyDescent="0.25">
      <c r="A7078" s="124" t="s">
        <v>9550</v>
      </c>
      <c r="B7078" s="124" t="s">
        <v>11736</v>
      </c>
      <c r="C7078" s="132"/>
      <c r="D7078" s="125">
        <f>COUNTIF(A2305:A7077,A7078)</f>
        <v>0</v>
      </c>
      <c r="E7078" s="124" t="s">
        <v>8367</v>
      </c>
      <c r="F7078" s="126">
        <v>208</v>
      </c>
      <c r="G7078" s="128">
        <v>7668.38</v>
      </c>
      <c r="H7078" s="124" t="s">
        <v>8368</v>
      </c>
      <c r="I7078" s="128">
        <v>13091667.33</v>
      </c>
      <c r="J7078" s="128">
        <v>65458336.670000002</v>
      </c>
    </row>
    <row r="7079" spans="1:10" hidden="1" x14ac:dyDescent="0.25">
      <c r="A7079" s="124" t="s">
        <v>9551</v>
      </c>
      <c r="B7079" s="124" t="s">
        <v>11736</v>
      </c>
      <c r="C7079" s="132"/>
      <c r="D7079" s="125">
        <f>COUNTIF(A2309:A7078,A7079)</f>
        <v>0</v>
      </c>
      <c r="E7079" s="124" t="s">
        <v>8367</v>
      </c>
      <c r="F7079" s="126">
        <v>40</v>
      </c>
      <c r="G7079" s="128">
        <v>3792.06</v>
      </c>
      <c r="H7079" s="124" t="s">
        <v>8368</v>
      </c>
      <c r="I7079" s="127">
        <v>473.3</v>
      </c>
      <c r="J7079" s="128">
        <v>2366.5</v>
      </c>
    </row>
    <row r="7080" spans="1:10" hidden="1" x14ac:dyDescent="0.25">
      <c r="A7080" s="124" t="s">
        <v>9552</v>
      </c>
      <c r="B7080" s="124" t="s">
        <v>11736</v>
      </c>
      <c r="C7080" s="132"/>
      <c r="D7080" s="125">
        <f>COUNTIF(A2312:A7079,A7080)</f>
        <v>0</v>
      </c>
      <c r="E7080" s="124" t="s">
        <v>8367</v>
      </c>
      <c r="F7080" s="129">
        <v>1384</v>
      </c>
      <c r="G7080" s="128">
        <v>2332540.44</v>
      </c>
      <c r="H7080" s="124" t="s">
        <v>8368</v>
      </c>
      <c r="I7080" s="128">
        <v>43280</v>
      </c>
      <c r="J7080" s="128">
        <v>216400</v>
      </c>
    </row>
    <row r="7081" spans="1:10" hidden="1" x14ac:dyDescent="0.25">
      <c r="A7081" s="124" t="s">
        <v>2627</v>
      </c>
      <c r="B7081" s="124" t="s">
        <v>11736</v>
      </c>
      <c r="C7081" s="132"/>
      <c r="D7081" s="125">
        <f>COUNTIF(A2313:A7080,A7081)</f>
        <v>0</v>
      </c>
      <c r="E7081" s="124" t="s">
        <v>9270</v>
      </c>
      <c r="F7081" s="129">
        <v>3068</v>
      </c>
      <c r="G7081" s="128">
        <v>78550004</v>
      </c>
      <c r="H7081" s="124" t="s">
        <v>8368</v>
      </c>
      <c r="I7081" s="128">
        <v>43280</v>
      </c>
      <c r="J7081" s="128">
        <v>216400</v>
      </c>
    </row>
    <row r="7082" spans="1:10" hidden="1" x14ac:dyDescent="0.25">
      <c r="A7082" s="124" t="s">
        <v>9553</v>
      </c>
      <c r="B7082" s="124" t="s">
        <v>11736</v>
      </c>
      <c r="C7082" s="132"/>
      <c r="D7082" s="125">
        <f t="shared" ref="D7082:D7092" si="77">COUNTIF(A2334:A7081,A7082)</f>
        <v>0</v>
      </c>
      <c r="E7082" s="124" t="s">
        <v>8367</v>
      </c>
      <c r="F7082" s="126">
        <v>73</v>
      </c>
      <c r="G7082" s="128">
        <v>2839.8</v>
      </c>
      <c r="H7082" s="124" t="s">
        <v>8368</v>
      </c>
      <c r="I7082" s="128">
        <v>43280</v>
      </c>
      <c r="J7082" s="128">
        <v>216400</v>
      </c>
    </row>
    <row r="7083" spans="1:10" hidden="1" x14ac:dyDescent="0.25">
      <c r="A7083" s="124" t="s">
        <v>9554</v>
      </c>
      <c r="B7083" s="124" t="s">
        <v>11736</v>
      </c>
      <c r="C7083" s="132"/>
      <c r="D7083" s="125">
        <f t="shared" si="77"/>
        <v>0</v>
      </c>
      <c r="E7083" s="124" t="s">
        <v>8367</v>
      </c>
      <c r="F7083" s="126">
        <v>541</v>
      </c>
      <c r="G7083" s="128">
        <v>259680</v>
      </c>
      <c r="H7083" s="124" t="s">
        <v>8368</v>
      </c>
      <c r="I7083" s="128">
        <v>43280</v>
      </c>
      <c r="J7083" s="128">
        <v>216400</v>
      </c>
    </row>
    <row r="7084" spans="1:10" hidden="1" x14ac:dyDescent="0.25">
      <c r="A7084" s="124" t="s">
        <v>9555</v>
      </c>
      <c r="B7084" s="124" t="s">
        <v>11736</v>
      </c>
      <c r="C7084" s="132"/>
      <c r="D7084" s="125">
        <f t="shared" si="77"/>
        <v>0</v>
      </c>
      <c r="E7084" s="124" t="s">
        <v>8367</v>
      </c>
      <c r="F7084" s="126">
        <v>541</v>
      </c>
      <c r="G7084" s="128">
        <v>259680</v>
      </c>
      <c r="H7084" s="124" t="s">
        <v>8368</v>
      </c>
      <c r="I7084" s="128">
        <v>43280</v>
      </c>
      <c r="J7084" s="128">
        <v>216400</v>
      </c>
    </row>
    <row r="7085" spans="1:10" hidden="1" x14ac:dyDescent="0.25">
      <c r="A7085" s="124" t="s">
        <v>9556</v>
      </c>
      <c r="B7085" s="124" t="s">
        <v>11736</v>
      </c>
      <c r="C7085" s="132"/>
      <c r="D7085" s="125">
        <f t="shared" si="77"/>
        <v>0</v>
      </c>
      <c r="E7085" s="124" t="s">
        <v>8367</v>
      </c>
      <c r="F7085" s="126">
        <v>541</v>
      </c>
      <c r="G7085" s="128">
        <v>259680</v>
      </c>
      <c r="H7085" s="124" t="s">
        <v>8368</v>
      </c>
      <c r="I7085" s="128">
        <v>16230</v>
      </c>
      <c r="J7085" s="128">
        <v>81150</v>
      </c>
    </row>
    <row r="7086" spans="1:10" hidden="1" x14ac:dyDescent="0.25">
      <c r="A7086" s="124" t="s">
        <v>9557</v>
      </c>
      <c r="B7086" s="124" t="s">
        <v>11736</v>
      </c>
      <c r="C7086" s="132"/>
      <c r="D7086" s="125">
        <f t="shared" si="77"/>
        <v>0</v>
      </c>
      <c r="E7086" s="124" t="s">
        <v>8367</v>
      </c>
      <c r="F7086" s="126">
        <v>541</v>
      </c>
      <c r="G7086" s="128">
        <v>259680</v>
      </c>
      <c r="H7086" s="124" t="s">
        <v>8368</v>
      </c>
      <c r="I7086" s="128">
        <v>43280</v>
      </c>
      <c r="J7086" s="128">
        <v>216400</v>
      </c>
    </row>
    <row r="7087" spans="1:10" hidden="1" x14ac:dyDescent="0.25">
      <c r="A7087" s="124" t="s">
        <v>9558</v>
      </c>
      <c r="B7087" s="124" t="s">
        <v>11736</v>
      </c>
      <c r="C7087" s="132"/>
      <c r="D7087" s="125">
        <f t="shared" si="77"/>
        <v>0</v>
      </c>
      <c r="E7087" s="124" t="s">
        <v>8367</v>
      </c>
      <c r="F7087" s="129">
        <v>2164</v>
      </c>
      <c r="G7087" s="128">
        <v>259680</v>
      </c>
      <c r="H7087" s="124" t="s">
        <v>8368</v>
      </c>
      <c r="I7087" s="128">
        <v>37870</v>
      </c>
      <c r="J7087" s="128">
        <v>189350</v>
      </c>
    </row>
    <row r="7088" spans="1:10" hidden="1" x14ac:dyDescent="0.25">
      <c r="A7088" s="124" t="s">
        <v>9559</v>
      </c>
      <c r="B7088" s="124" t="s">
        <v>11736</v>
      </c>
      <c r="C7088" s="132"/>
      <c r="D7088" s="125">
        <f t="shared" si="77"/>
        <v>0</v>
      </c>
      <c r="E7088" s="124" t="s">
        <v>8367</v>
      </c>
      <c r="F7088" s="126">
        <v>541</v>
      </c>
      <c r="G7088" s="128">
        <v>97380</v>
      </c>
      <c r="H7088" s="124" t="s">
        <v>8368</v>
      </c>
      <c r="I7088" s="128">
        <v>79861.100000000006</v>
      </c>
      <c r="J7088" s="128">
        <v>399305.49</v>
      </c>
    </row>
    <row r="7089" spans="1:10" hidden="1" x14ac:dyDescent="0.25">
      <c r="A7089" s="124" t="s">
        <v>9560</v>
      </c>
      <c r="B7089" s="124" t="s">
        <v>11736</v>
      </c>
      <c r="C7089" s="132"/>
      <c r="D7089" s="125">
        <f t="shared" si="77"/>
        <v>0</v>
      </c>
      <c r="E7089" s="124" t="s">
        <v>8367</v>
      </c>
      <c r="F7089" s="129">
        <v>2164</v>
      </c>
      <c r="G7089" s="128">
        <v>259680</v>
      </c>
      <c r="H7089" s="124" t="s">
        <v>8368</v>
      </c>
      <c r="I7089" s="128">
        <v>7382812.75</v>
      </c>
      <c r="J7089" s="128">
        <v>36914063.75</v>
      </c>
    </row>
    <row r="7090" spans="1:10" hidden="1" x14ac:dyDescent="0.25">
      <c r="A7090" s="124" t="s">
        <v>9561</v>
      </c>
      <c r="B7090" s="124" t="s">
        <v>11736</v>
      </c>
      <c r="C7090" s="132"/>
      <c r="D7090" s="125">
        <f t="shared" si="77"/>
        <v>0</v>
      </c>
      <c r="E7090" s="124" t="s">
        <v>8367</v>
      </c>
      <c r="F7090" s="129">
        <v>2164</v>
      </c>
      <c r="G7090" s="128">
        <v>227220</v>
      </c>
      <c r="H7090" s="124" t="s">
        <v>8368</v>
      </c>
      <c r="I7090" s="128">
        <v>10794.84</v>
      </c>
      <c r="J7090" s="128">
        <v>53974.2</v>
      </c>
    </row>
    <row r="7091" spans="1:10" hidden="1" x14ac:dyDescent="0.25">
      <c r="A7091" s="124" t="s">
        <v>2636</v>
      </c>
      <c r="B7091" s="124" t="s">
        <v>11736</v>
      </c>
      <c r="C7091" s="132"/>
      <c r="D7091" s="125">
        <f t="shared" si="77"/>
        <v>0</v>
      </c>
      <c r="E7091" s="124" t="s">
        <v>9270</v>
      </c>
      <c r="F7091" s="126">
        <v>23</v>
      </c>
      <c r="G7091" s="128">
        <v>479166.59</v>
      </c>
      <c r="H7091" s="124" t="s">
        <v>8368</v>
      </c>
      <c r="I7091" s="128">
        <v>1375</v>
      </c>
      <c r="J7091" s="128">
        <v>6875</v>
      </c>
    </row>
    <row r="7092" spans="1:10" hidden="1" x14ac:dyDescent="0.25">
      <c r="A7092" s="124" t="s">
        <v>306</v>
      </c>
      <c r="B7092" s="124" t="s">
        <v>11736</v>
      </c>
      <c r="C7092" s="132"/>
      <c r="D7092" s="125">
        <f t="shared" si="77"/>
        <v>0</v>
      </c>
      <c r="E7092" s="124" t="s">
        <v>8367</v>
      </c>
      <c r="F7092" s="126">
        <v>50</v>
      </c>
      <c r="G7092" s="128">
        <v>44296876.5</v>
      </c>
      <c r="H7092" s="124" t="s">
        <v>8368</v>
      </c>
      <c r="I7092" s="128">
        <v>600000</v>
      </c>
      <c r="J7092" s="128">
        <v>3000000</v>
      </c>
    </row>
    <row r="7093" spans="1:10" hidden="1" x14ac:dyDescent="0.25">
      <c r="A7093" s="124" t="s">
        <v>9562</v>
      </c>
      <c r="B7093" s="124" t="s">
        <v>11736</v>
      </c>
      <c r="C7093" s="132"/>
      <c r="D7093" s="125">
        <f>COUNTIF(A2347:A7092,A7093)</f>
        <v>0</v>
      </c>
      <c r="E7093" s="124" t="s">
        <v>8367</v>
      </c>
      <c r="F7093" s="126">
        <v>2</v>
      </c>
      <c r="G7093" s="128">
        <v>64769.04</v>
      </c>
      <c r="H7093" s="124" t="s">
        <v>8368</v>
      </c>
      <c r="I7093" s="128">
        <v>4500</v>
      </c>
      <c r="J7093" s="128">
        <v>22500</v>
      </c>
    </row>
    <row r="7094" spans="1:10" hidden="1" x14ac:dyDescent="0.25">
      <c r="A7094" s="124" t="s">
        <v>2543</v>
      </c>
      <c r="B7094" s="124" t="s">
        <v>11736</v>
      </c>
      <c r="C7094" s="132"/>
      <c r="D7094" s="125">
        <f>COUNTIF(A2348:A7093,A7094)</f>
        <v>0</v>
      </c>
      <c r="E7094" s="124" t="s">
        <v>8367</v>
      </c>
      <c r="F7094" s="129">
        <v>2500</v>
      </c>
      <c r="G7094" s="128">
        <v>8250</v>
      </c>
      <c r="H7094" s="124" t="s">
        <v>8368</v>
      </c>
      <c r="I7094" s="128">
        <v>1182600</v>
      </c>
      <c r="J7094" s="128">
        <v>5913000</v>
      </c>
    </row>
    <row r="7095" spans="1:10" hidden="1" x14ac:dyDescent="0.25">
      <c r="A7095" s="124" t="s">
        <v>9563</v>
      </c>
      <c r="B7095" s="124" t="s">
        <v>11736</v>
      </c>
      <c r="C7095" s="132"/>
      <c r="D7095" s="125">
        <f>COUNTIF(A2352:A7094,A7095)</f>
        <v>0</v>
      </c>
      <c r="E7095" s="124" t="s">
        <v>8367</v>
      </c>
      <c r="F7095" s="126">
        <v>200</v>
      </c>
      <c r="G7095" s="128">
        <v>3600000</v>
      </c>
      <c r="H7095" s="124" t="s">
        <v>8368</v>
      </c>
      <c r="I7095" s="128">
        <v>20664.400000000001</v>
      </c>
      <c r="J7095" s="128">
        <v>103322</v>
      </c>
    </row>
    <row r="7096" spans="1:10" hidden="1" x14ac:dyDescent="0.25">
      <c r="A7096" s="124" t="s">
        <v>9564</v>
      </c>
      <c r="B7096" s="124" t="s">
        <v>11736</v>
      </c>
      <c r="C7096" s="132"/>
      <c r="D7096" s="125">
        <f>COUNTIF(A2353:A7095,A7096)</f>
        <v>0</v>
      </c>
      <c r="E7096" s="124" t="s">
        <v>8367</v>
      </c>
      <c r="F7096" s="129">
        <v>1000</v>
      </c>
      <c r="G7096" s="128">
        <v>27000</v>
      </c>
      <c r="H7096" s="124" t="s">
        <v>8368</v>
      </c>
      <c r="I7096" s="128">
        <v>6666.67</v>
      </c>
      <c r="J7096" s="128">
        <v>33333.33</v>
      </c>
    </row>
    <row r="7097" spans="1:10" hidden="1" x14ac:dyDescent="0.25">
      <c r="A7097" s="124" t="s">
        <v>9565</v>
      </c>
      <c r="B7097" s="124" t="s">
        <v>11736</v>
      </c>
      <c r="C7097" s="132"/>
      <c r="D7097" s="125">
        <f>COUNTIF(A2354:A7096,A7097)</f>
        <v>0</v>
      </c>
      <c r="E7097" s="124" t="s">
        <v>8367</v>
      </c>
      <c r="F7097" s="126">
        <v>146</v>
      </c>
      <c r="G7097" s="128">
        <v>7095600</v>
      </c>
      <c r="H7097" s="124" t="s">
        <v>8368</v>
      </c>
      <c r="I7097" s="128">
        <v>154000</v>
      </c>
      <c r="J7097" s="128">
        <v>770000</v>
      </c>
    </row>
    <row r="7098" spans="1:10" hidden="1" x14ac:dyDescent="0.25">
      <c r="A7098" s="124" t="s">
        <v>9566</v>
      </c>
      <c r="B7098" s="124" t="s">
        <v>11736</v>
      </c>
      <c r="C7098" s="132"/>
      <c r="D7098" s="125">
        <f>COUNTIF(A2358:A7097,A7098)</f>
        <v>0</v>
      </c>
      <c r="E7098" s="124" t="s">
        <v>8367</v>
      </c>
      <c r="F7098" s="129">
        <v>5438</v>
      </c>
      <c r="G7098" s="128">
        <v>123986.4</v>
      </c>
      <c r="H7098" s="124" t="s">
        <v>8368</v>
      </c>
      <c r="I7098" s="128">
        <v>102666.6</v>
      </c>
      <c r="J7098" s="128">
        <v>513333</v>
      </c>
    </row>
    <row r="7099" spans="1:10" hidden="1" x14ac:dyDescent="0.25">
      <c r="A7099" s="124" t="s">
        <v>9567</v>
      </c>
      <c r="B7099" s="124" t="s">
        <v>11736</v>
      </c>
      <c r="C7099" s="132"/>
      <c r="D7099" s="125">
        <f>COUNTIF(A2359:A7098,A7099)</f>
        <v>0</v>
      </c>
      <c r="E7099" s="124" t="s">
        <v>8367</v>
      </c>
      <c r="F7099" s="129">
        <v>4000</v>
      </c>
      <c r="G7099" s="128">
        <v>40000</v>
      </c>
      <c r="H7099" s="124" t="s">
        <v>8368</v>
      </c>
      <c r="I7099" s="128">
        <v>97470</v>
      </c>
      <c r="J7099" s="128">
        <v>487350</v>
      </c>
    </row>
    <row r="7100" spans="1:10" hidden="1" x14ac:dyDescent="0.25">
      <c r="A7100" s="124" t="s">
        <v>9568</v>
      </c>
      <c r="B7100" s="124" t="s">
        <v>11736</v>
      </c>
      <c r="C7100" s="132"/>
      <c r="D7100" s="125">
        <f>COUNTIF(A2360:A7099,A7100)</f>
        <v>0</v>
      </c>
      <c r="E7100" s="124" t="s">
        <v>8367</v>
      </c>
      <c r="F7100" s="129">
        <v>3080</v>
      </c>
      <c r="G7100" s="128">
        <v>924000</v>
      </c>
      <c r="H7100" s="124" t="s">
        <v>8368</v>
      </c>
      <c r="I7100" s="128">
        <v>70583.399999999994</v>
      </c>
      <c r="J7100" s="128">
        <v>352917</v>
      </c>
    </row>
    <row r="7101" spans="1:10" hidden="1" x14ac:dyDescent="0.25">
      <c r="A7101" s="124" t="s">
        <v>9569</v>
      </c>
      <c r="B7101" s="124" t="s">
        <v>11736</v>
      </c>
      <c r="C7101" s="132"/>
      <c r="D7101" s="125">
        <f>COUNTIF(A2361:A7100,A7101)</f>
        <v>0</v>
      </c>
      <c r="E7101" s="124" t="s">
        <v>8367</v>
      </c>
      <c r="F7101" s="129">
        <v>1540</v>
      </c>
      <c r="G7101" s="128">
        <v>615999.6</v>
      </c>
      <c r="H7101" s="124" t="s">
        <v>8368</v>
      </c>
      <c r="I7101" s="128">
        <v>294623.98</v>
      </c>
      <c r="J7101" s="128">
        <v>1473119.92</v>
      </c>
    </row>
    <row r="7102" spans="1:10" hidden="1" x14ac:dyDescent="0.25">
      <c r="A7102" s="124" t="s">
        <v>9570</v>
      </c>
      <c r="B7102" s="124" t="s">
        <v>11736</v>
      </c>
      <c r="C7102" s="132"/>
      <c r="D7102" s="125">
        <f>COUNTIF(A2362:A7101,A7102)</f>
        <v>0</v>
      </c>
      <c r="E7102" s="124" t="s">
        <v>8367</v>
      </c>
      <c r="F7102" s="126">
        <v>54</v>
      </c>
      <c r="G7102" s="128">
        <v>584820</v>
      </c>
      <c r="H7102" s="124" t="s">
        <v>8368</v>
      </c>
      <c r="I7102" s="127">
        <v>47.4</v>
      </c>
      <c r="J7102" s="127">
        <v>237</v>
      </c>
    </row>
    <row r="7103" spans="1:10" hidden="1" x14ac:dyDescent="0.25">
      <c r="A7103" s="124" t="s">
        <v>9571</v>
      </c>
      <c r="B7103" s="124" t="s">
        <v>11736</v>
      </c>
      <c r="C7103" s="132"/>
      <c r="D7103" s="125">
        <f>COUNTIF(A2366:A7102,A7103)</f>
        <v>0</v>
      </c>
      <c r="E7103" s="124" t="s">
        <v>8367</v>
      </c>
      <c r="F7103" s="126">
        <v>770</v>
      </c>
      <c r="G7103" s="128">
        <v>423500.4</v>
      </c>
      <c r="H7103" s="124" t="s">
        <v>8368</v>
      </c>
      <c r="I7103" s="127">
        <v>84.75</v>
      </c>
      <c r="J7103" s="127">
        <v>423.73</v>
      </c>
    </row>
    <row r="7104" spans="1:10" hidden="1" x14ac:dyDescent="0.25">
      <c r="A7104" s="124" t="s">
        <v>9572</v>
      </c>
      <c r="B7104" s="124" t="s">
        <v>11736</v>
      </c>
      <c r="C7104" s="132"/>
      <c r="D7104" s="125">
        <f>COUNTIF(A2367:A7103,A7104)</f>
        <v>0</v>
      </c>
      <c r="E7104" s="124" t="s">
        <v>8367</v>
      </c>
      <c r="F7104" s="129">
        <v>8250</v>
      </c>
      <c r="G7104" s="128">
        <v>1767743.9</v>
      </c>
      <c r="H7104" s="124" t="s">
        <v>8368</v>
      </c>
      <c r="I7104" s="128">
        <v>2345</v>
      </c>
      <c r="J7104" s="128">
        <v>11725</v>
      </c>
    </row>
    <row r="7105" spans="1:10" hidden="1" x14ac:dyDescent="0.25">
      <c r="A7105" s="124" t="s">
        <v>9573</v>
      </c>
      <c r="B7105" s="124" t="s">
        <v>11736</v>
      </c>
      <c r="C7105" s="132"/>
      <c r="D7105" s="125">
        <f>COUNTIF(A2374:A7104,A7105)</f>
        <v>0</v>
      </c>
      <c r="E7105" s="124" t="s">
        <v>8367</v>
      </c>
      <c r="F7105" s="126">
        <v>1</v>
      </c>
      <c r="G7105" s="127">
        <v>284.39999999999998</v>
      </c>
      <c r="H7105" s="124" t="s">
        <v>8368</v>
      </c>
      <c r="I7105" s="128">
        <v>1094</v>
      </c>
      <c r="J7105" s="128">
        <v>5470</v>
      </c>
    </row>
    <row r="7106" spans="1:10" hidden="1" x14ac:dyDescent="0.25">
      <c r="A7106" s="124" t="s">
        <v>9574</v>
      </c>
      <c r="B7106" s="124" t="s">
        <v>11736</v>
      </c>
      <c r="C7106" s="132"/>
      <c r="D7106" s="125">
        <f>COUNTIF(A2375:A7105,A7106)</f>
        <v>0</v>
      </c>
      <c r="E7106" s="124" t="s">
        <v>8367</v>
      </c>
      <c r="F7106" s="126">
        <v>1</v>
      </c>
      <c r="G7106" s="127">
        <v>508.48</v>
      </c>
      <c r="H7106" s="124" t="s">
        <v>8368</v>
      </c>
      <c r="I7106" s="127">
        <v>766.82</v>
      </c>
      <c r="J7106" s="128">
        <v>3834.08</v>
      </c>
    </row>
    <row r="7107" spans="1:10" hidden="1" x14ac:dyDescent="0.25">
      <c r="A7107" s="124" t="s">
        <v>9575</v>
      </c>
      <c r="B7107" s="124" t="s">
        <v>11736</v>
      </c>
      <c r="C7107" s="132"/>
      <c r="D7107" s="125">
        <f t="shared" ref="D7107:D7126" si="78">COUNTIF(A2377:A7106,A7107)</f>
        <v>0</v>
      </c>
      <c r="E7107" s="124" t="s">
        <v>9576</v>
      </c>
      <c r="F7107" s="126">
        <v>5</v>
      </c>
      <c r="G7107" s="128">
        <v>14070</v>
      </c>
      <c r="H7107" s="124" t="s">
        <v>8368</v>
      </c>
      <c r="I7107" s="128">
        <v>1529.4</v>
      </c>
      <c r="J7107" s="128">
        <v>7647</v>
      </c>
    </row>
    <row r="7108" spans="1:10" hidden="1" x14ac:dyDescent="0.25">
      <c r="A7108" s="124" t="s">
        <v>9577</v>
      </c>
      <c r="B7108" s="124" t="s">
        <v>11736</v>
      </c>
      <c r="C7108" s="132"/>
      <c r="D7108" s="125">
        <f t="shared" si="78"/>
        <v>0</v>
      </c>
      <c r="E7108" s="124" t="s">
        <v>8367</v>
      </c>
      <c r="F7108" s="126">
        <v>3</v>
      </c>
      <c r="G7108" s="128">
        <v>6564</v>
      </c>
      <c r="H7108" s="124" t="s">
        <v>8368</v>
      </c>
      <c r="I7108" s="128">
        <v>4958.3999999999996</v>
      </c>
      <c r="J7108" s="128">
        <v>24792</v>
      </c>
    </row>
    <row r="7109" spans="1:10" hidden="1" x14ac:dyDescent="0.25">
      <c r="A7109" s="124" t="s">
        <v>9578</v>
      </c>
      <c r="B7109" s="124" t="s">
        <v>11736</v>
      </c>
      <c r="C7109" s="132"/>
      <c r="D7109" s="125">
        <f t="shared" si="78"/>
        <v>0</v>
      </c>
      <c r="E7109" s="124" t="s">
        <v>8367</v>
      </c>
      <c r="F7109" s="126">
        <v>1</v>
      </c>
      <c r="G7109" s="128">
        <v>4600.8999999999996</v>
      </c>
      <c r="H7109" s="124" t="s">
        <v>8368</v>
      </c>
      <c r="I7109" s="127">
        <v>604.9</v>
      </c>
      <c r="J7109" s="128">
        <v>3024.5</v>
      </c>
    </row>
    <row r="7110" spans="1:10" hidden="1" x14ac:dyDescent="0.25">
      <c r="A7110" s="124" t="s">
        <v>9579</v>
      </c>
      <c r="B7110" s="124" t="s">
        <v>11736</v>
      </c>
      <c r="C7110" s="132"/>
      <c r="D7110" s="125">
        <f t="shared" si="78"/>
        <v>0</v>
      </c>
      <c r="E7110" s="124" t="s">
        <v>8367</v>
      </c>
      <c r="F7110" s="126">
        <v>1</v>
      </c>
      <c r="G7110" s="128">
        <v>9176.4</v>
      </c>
      <c r="H7110" s="124" t="s">
        <v>8368</v>
      </c>
      <c r="I7110" s="127">
        <v>873.9</v>
      </c>
      <c r="J7110" s="128">
        <v>4369.5</v>
      </c>
    </row>
    <row r="7111" spans="1:10" hidden="1" x14ac:dyDescent="0.25">
      <c r="A7111" s="124" t="s">
        <v>9580</v>
      </c>
      <c r="B7111" s="124" t="s">
        <v>11736</v>
      </c>
      <c r="C7111" s="132"/>
      <c r="D7111" s="125">
        <f t="shared" si="78"/>
        <v>0</v>
      </c>
      <c r="E7111" s="124" t="s">
        <v>8367</v>
      </c>
      <c r="F7111" s="126">
        <v>1</v>
      </c>
      <c r="G7111" s="128">
        <v>29750.400000000001</v>
      </c>
      <c r="H7111" s="124" t="s">
        <v>8368</v>
      </c>
      <c r="I7111" s="128">
        <v>34718.400000000001</v>
      </c>
      <c r="J7111" s="128">
        <v>173592</v>
      </c>
    </row>
    <row r="7112" spans="1:10" hidden="1" x14ac:dyDescent="0.25">
      <c r="A7112" s="124" t="s">
        <v>9581</v>
      </c>
      <c r="B7112" s="124" t="s">
        <v>11736</v>
      </c>
      <c r="C7112" s="132"/>
      <c r="D7112" s="125">
        <f t="shared" si="78"/>
        <v>0</v>
      </c>
      <c r="E7112" s="124" t="s">
        <v>8367</v>
      </c>
      <c r="F7112" s="126">
        <v>1</v>
      </c>
      <c r="G7112" s="128">
        <v>3629.4</v>
      </c>
      <c r="H7112" s="124" t="s">
        <v>8368</v>
      </c>
      <c r="I7112" s="128">
        <v>1310.8</v>
      </c>
      <c r="J7112" s="128">
        <v>6554</v>
      </c>
    </row>
    <row r="7113" spans="1:10" hidden="1" x14ac:dyDescent="0.25">
      <c r="A7113" s="124" t="s">
        <v>9582</v>
      </c>
      <c r="B7113" s="124" t="s">
        <v>11736</v>
      </c>
      <c r="C7113" s="132"/>
      <c r="D7113" s="125">
        <f t="shared" si="78"/>
        <v>0</v>
      </c>
      <c r="E7113" s="124" t="s">
        <v>8367</v>
      </c>
      <c r="F7113" s="126">
        <v>1</v>
      </c>
      <c r="G7113" s="128">
        <v>5243.4</v>
      </c>
      <c r="H7113" s="124" t="s">
        <v>8368</v>
      </c>
      <c r="I7113" s="128">
        <v>2134.5</v>
      </c>
      <c r="J7113" s="128">
        <v>10672.5</v>
      </c>
    </row>
    <row r="7114" spans="1:10" hidden="1" x14ac:dyDescent="0.25">
      <c r="A7114" s="124" t="s">
        <v>2388</v>
      </c>
      <c r="B7114" s="124" t="s">
        <v>11736</v>
      </c>
      <c r="C7114" s="132"/>
      <c r="D7114" s="125">
        <f t="shared" si="78"/>
        <v>0</v>
      </c>
      <c r="E7114" s="124" t="s">
        <v>8367</v>
      </c>
      <c r="F7114" s="126">
        <v>12</v>
      </c>
      <c r="G7114" s="128">
        <v>208310.39999999999</v>
      </c>
      <c r="H7114" s="124" t="s">
        <v>8368</v>
      </c>
      <c r="I7114" s="127">
        <v>436.8</v>
      </c>
      <c r="J7114" s="128">
        <v>2184</v>
      </c>
    </row>
    <row r="7115" spans="1:10" hidden="1" x14ac:dyDescent="0.25">
      <c r="A7115" s="124" t="s">
        <v>9583</v>
      </c>
      <c r="B7115" s="124" t="s">
        <v>11736</v>
      </c>
      <c r="C7115" s="132"/>
      <c r="D7115" s="125">
        <f t="shared" si="78"/>
        <v>0</v>
      </c>
      <c r="E7115" s="124" t="s">
        <v>8367</v>
      </c>
      <c r="F7115" s="126">
        <v>1</v>
      </c>
      <c r="G7115" s="128">
        <v>7864.8</v>
      </c>
      <c r="H7115" s="124" t="s">
        <v>8368</v>
      </c>
      <c r="I7115" s="127">
        <v>150</v>
      </c>
      <c r="J7115" s="127">
        <v>750</v>
      </c>
    </row>
    <row r="7116" spans="1:10" hidden="1" x14ac:dyDescent="0.25">
      <c r="A7116" s="124" t="s">
        <v>9584</v>
      </c>
      <c r="B7116" s="124" t="s">
        <v>11736</v>
      </c>
      <c r="C7116" s="132"/>
      <c r="D7116" s="125">
        <f t="shared" si="78"/>
        <v>0</v>
      </c>
      <c r="E7116" s="124" t="s">
        <v>8367</v>
      </c>
      <c r="F7116" s="126">
        <v>1</v>
      </c>
      <c r="G7116" s="128">
        <v>12807</v>
      </c>
      <c r="H7116" s="124" t="s">
        <v>8368</v>
      </c>
      <c r="I7116" s="127">
        <v>88.4</v>
      </c>
      <c r="J7116" s="127">
        <v>442</v>
      </c>
    </row>
    <row r="7117" spans="1:10" hidden="1" x14ac:dyDescent="0.25">
      <c r="A7117" s="124" t="s">
        <v>9585</v>
      </c>
      <c r="B7117" s="124" t="s">
        <v>11736</v>
      </c>
      <c r="C7117" s="132"/>
      <c r="D7117" s="125">
        <f t="shared" si="78"/>
        <v>0</v>
      </c>
      <c r="E7117" s="124" t="s">
        <v>8367</v>
      </c>
      <c r="F7117" s="126">
        <v>2</v>
      </c>
      <c r="G7117" s="128">
        <v>2620.8000000000002</v>
      </c>
      <c r="H7117" s="124" t="s">
        <v>8368</v>
      </c>
      <c r="I7117" s="127">
        <v>851.4</v>
      </c>
      <c r="J7117" s="128">
        <v>4257</v>
      </c>
    </row>
    <row r="7118" spans="1:10" hidden="1" x14ac:dyDescent="0.25">
      <c r="A7118" s="124" t="s">
        <v>9586</v>
      </c>
      <c r="B7118" s="124" t="s">
        <v>11736</v>
      </c>
      <c r="C7118" s="132"/>
      <c r="D7118" s="125">
        <f t="shared" si="78"/>
        <v>0</v>
      </c>
      <c r="E7118" s="124" t="s">
        <v>8367</v>
      </c>
      <c r="F7118" s="129">
        <v>1000</v>
      </c>
      <c r="G7118" s="127">
        <v>900</v>
      </c>
      <c r="H7118" s="124" t="s">
        <v>8368</v>
      </c>
      <c r="I7118" s="127">
        <v>279.39999999999998</v>
      </c>
      <c r="J7118" s="128">
        <v>1397</v>
      </c>
    </row>
    <row r="7119" spans="1:10" hidden="1" x14ac:dyDescent="0.25">
      <c r="A7119" s="124" t="s">
        <v>9587</v>
      </c>
      <c r="B7119" s="124" t="s">
        <v>11736</v>
      </c>
      <c r="C7119" s="132"/>
      <c r="D7119" s="125">
        <f t="shared" si="78"/>
        <v>0</v>
      </c>
      <c r="E7119" s="124" t="s">
        <v>8451</v>
      </c>
      <c r="F7119" s="126">
        <v>1</v>
      </c>
      <c r="G7119" s="127">
        <v>530.4</v>
      </c>
      <c r="H7119" s="124" t="s">
        <v>8368</v>
      </c>
      <c r="I7119" s="127">
        <v>715</v>
      </c>
      <c r="J7119" s="128">
        <v>3575</v>
      </c>
    </row>
    <row r="7120" spans="1:10" hidden="1" x14ac:dyDescent="0.25">
      <c r="A7120" s="124" t="s">
        <v>9588</v>
      </c>
      <c r="B7120" s="124" t="s">
        <v>11736</v>
      </c>
      <c r="C7120" s="132"/>
      <c r="D7120" s="125">
        <f t="shared" si="78"/>
        <v>0</v>
      </c>
      <c r="E7120" s="124" t="s">
        <v>8367</v>
      </c>
      <c r="F7120" s="126">
        <v>4</v>
      </c>
      <c r="G7120" s="128">
        <v>5108.3999999999996</v>
      </c>
      <c r="H7120" s="124" t="s">
        <v>8368</v>
      </c>
      <c r="I7120" s="127">
        <v>355</v>
      </c>
      <c r="J7120" s="128">
        <v>1775</v>
      </c>
    </row>
    <row r="7121" spans="1:10" hidden="1" x14ac:dyDescent="0.25">
      <c r="A7121" s="124" t="s">
        <v>9589</v>
      </c>
      <c r="B7121" s="124" t="s">
        <v>11736</v>
      </c>
      <c r="C7121" s="132"/>
      <c r="D7121" s="125">
        <f t="shared" si="78"/>
        <v>0</v>
      </c>
      <c r="E7121" s="124" t="s">
        <v>8367</v>
      </c>
      <c r="F7121" s="126">
        <v>4</v>
      </c>
      <c r="G7121" s="128">
        <v>1676.4</v>
      </c>
      <c r="H7121" s="124" t="s">
        <v>8368</v>
      </c>
      <c r="I7121" s="127">
        <v>90.6</v>
      </c>
      <c r="J7121" s="127">
        <v>453</v>
      </c>
    </row>
    <row r="7122" spans="1:10" hidden="1" x14ac:dyDescent="0.25">
      <c r="A7122" s="124" t="s">
        <v>9590</v>
      </c>
      <c r="B7122" s="124" t="s">
        <v>11736</v>
      </c>
      <c r="C7122" s="132"/>
      <c r="D7122" s="125">
        <f t="shared" si="78"/>
        <v>0</v>
      </c>
      <c r="E7122" s="124" t="s">
        <v>8367</v>
      </c>
      <c r="F7122" s="126">
        <v>30</v>
      </c>
      <c r="G7122" s="128">
        <v>4290</v>
      </c>
      <c r="H7122" s="124" t="s">
        <v>8368</v>
      </c>
      <c r="I7122" s="127">
        <v>107</v>
      </c>
      <c r="J7122" s="127">
        <v>535</v>
      </c>
    </row>
    <row r="7123" spans="1:10" hidden="1" x14ac:dyDescent="0.25">
      <c r="A7123" s="124" t="s">
        <v>9591</v>
      </c>
      <c r="B7123" s="124" t="s">
        <v>11736</v>
      </c>
      <c r="C7123" s="132"/>
      <c r="D7123" s="125">
        <f t="shared" si="78"/>
        <v>0</v>
      </c>
      <c r="E7123" s="124" t="s">
        <v>8367</v>
      </c>
      <c r="F7123" s="126">
        <v>10</v>
      </c>
      <c r="G7123" s="128">
        <v>2130</v>
      </c>
      <c r="H7123" s="124" t="s">
        <v>8368</v>
      </c>
      <c r="I7123" s="127">
        <v>475.3</v>
      </c>
      <c r="J7123" s="128">
        <v>2376.5</v>
      </c>
    </row>
    <row r="7124" spans="1:10" hidden="1" x14ac:dyDescent="0.25">
      <c r="A7124" s="124" t="s">
        <v>9592</v>
      </c>
      <c r="B7124" s="124" t="s">
        <v>11736</v>
      </c>
      <c r="C7124" s="132"/>
      <c r="D7124" s="125">
        <f t="shared" si="78"/>
        <v>0</v>
      </c>
      <c r="E7124" s="124" t="s">
        <v>8367</v>
      </c>
      <c r="F7124" s="126">
        <v>2</v>
      </c>
      <c r="G7124" s="127">
        <v>543.6</v>
      </c>
      <c r="H7124" s="124" t="s">
        <v>8368</v>
      </c>
      <c r="I7124" s="128">
        <v>1418.4</v>
      </c>
      <c r="J7124" s="128">
        <v>7092</v>
      </c>
    </row>
    <row r="7125" spans="1:10" hidden="1" x14ac:dyDescent="0.25">
      <c r="A7125" s="124" t="s">
        <v>9593</v>
      </c>
      <c r="B7125" s="124" t="s">
        <v>11736</v>
      </c>
      <c r="C7125" s="132"/>
      <c r="D7125" s="125">
        <f t="shared" si="78"/>
        <v>0</v>
      </c>
      <c r="E7125" s="124" t="s">
        <v>8367</v>
      </c>
      <c r="F7125" s="126">
        <v>6</v>
      </c>
      <c r="G7125" s="127">
        <v>642</v>
      </c>
      <c r="H7125" s="124" t="s">
        <v>8368</v>
      </c>
      <c r="I7125" s="127">
        <v>15</v>
      </c>
      <c r="J7125" s="127">
        <v>75</v>
      </c>
    </row>
    <row r="7126" spans="1:10" hidden="1" x14ac:dyDescent="0.25">
      <c r="A7126" s="124" t="s">
        <v>3039</v>
      </c>
      <c r="B7126" s="124" t="s">
        <v>11736</v>
      </c>
      <c r="C7126" s="132"/>
      <c r="D7126" s="125">
        <f t="shared" si="78"/>
        <v>0</v>
      </c>
      <c r="E7126" s="124" t="s">
        <v>8367</v>
      </c>
      <c r="F7126" s="126">
        <v>3.88</v>
      </c>
      <c r="G7126" s="128">
        <v>2851.8</v>
      </c>
      <c r="H7126" s="124" t="s">
        <v>8368</v>
      </c>
      <c r="I7126" s="127">
        <v>390</v>
      </c>
      <c r="J7126" s="128">
        <v>1950</v>
      </c>
    </row>
    <row r="7127" spans="1:10" hidden="1" x14ac:dyDescent="0.25">
      <c r="A7127" s="124" t="s">
        <v>9594</v>
      </c>
      <c r="B7127" s="124" t="s">
        <v>11736</v>
      </c>
      <c r="C7127" s="132"/>
      <c r="D7127" s="125">
        <f>COUNTIF(A2398:A7126,A7127)</f>
        <v>0</v>
      </c>
      <c r="E7127" s="124" t="s">
        <v>8367</v>
      </c>
      <c r="F7127" s="126">
        <v>10</v>
      </c>
      <c r="G7127" s="128">
        <v>8510.4</v>
      </c>
      <c r="H7127" s="124" t="s">
        <v>8368</v>
      </c>
      <c r="I7127" s="128">
        <v>33480</v>
      </c>
      <c r="J7127" s="128">
        <v>167400</v>
      </c>
    </row>
    <row r="7128" spans="1:10" hidden="1" x14ac:dyDescent="0.25">
      <c r="A7128" s="124" t="s">
        <v>9595</v>
      </c>
      <c r="B7128" s="124" t="s">
        <v>11736</v>
      </c>
      <c r="C7128" s="132"/>
      <c r="D7128" s="125">
        <f>COUNTIF(A2399:A7127,A7128)</f>
        <v>0</v>
      </c>
      <c r="E7128" s="124" t="s">
        <v>8367</v>
      </c>
      <c r="F7128" s="126">
        <v>1</v>
      </c>
      <c r="G7128" s="127">
        <v>90</v>
      </c>
      <c r="H7128" s="124" t="s">
        <v>8368</v>
      </c>
      <c r="I7128" s="127">
        <v>84.4</v>
      </c>
      <c r="J7128" s="127">
        <v>422</v>
      </c>
    </row>
    <row r="7129" spans="1:10" hidden="1" x14ac:dyDescent="0.25">
      <c r="A7129" s="124" t="s">
        <v>2887</v>
      </c>
      <c r="B7129" s="124" t="s">
        <v>11736</v>
      </c>
      <c r="C7129" s="132"/>
      <c r="D7129" s="125">
        <f>COUNTIF(A2401:A7128,A7129)</f>
        <v>0</v>
      </c>
      <c r="E7129" s="124" t="s">
        <v>8367</v>
      </c>
      <c r="F7129" s="126">
        <v>4</v>
      </c>
      <c r="G7129" s="128">
        <v>2340</v>
      </c>
      <c r="H7129" s="124" t="s">
        <v>8368</v>
      </c>
      <c r="I7129" s="128">
        <v>1225.5999999999999</v>
      </c>
      <c r="J7129" s="128">
        <v>6128</v>
      </c>
    </row>
    <row r="7130" spans="1:10" hidden="1" x14ac:dyDescent="0.25">
      <c r="A7130" s="124" t="s">
        <v>9596</v>
      </c>
      <c r="B7130" s="124" t="s">
        <v>11736</v>
      </c>
      <c r="C7130" s="132"/>
      <c r="D7130" s="125">
        <f>COUNTIF(A2402:A7129,A7130)</f>
        <v>0</v>
      </c>
      <c r="E7130" s="124" t="s">
        <v>8367</v>
      </c>
      <c r="F7130" s="126">
        <v>225</v>
      </c>
      <c r="G7130" s="128">
        <v>200880</v>
      </c>
      <c r="H7130" s="124" t="s">
        <v>8368</v>
      </c>
      <c r="I7130" s="127">
        <v>879</v>
      </c>
      <c r="J7130" s="128">
        <v>4395</v>
      </c>
    </row>
    <row r="7131" spans="1:10" hidden="1" x14ac:dyDescent="0.25">
      <c r="A7131" s="124" t="s">
        <v>9597</v>
      </c>
      <c r="B7131" s="124" t="s">
        <v>11736</v>
      </c>
      <c r="C7131" s="132"/>
      <c r="D7131" s="125">
        <f>COUNTIF(A2404:A7130,A7131)</f>
        <v>0</v>
      </c>
      <c r="E7131" s="124" t="s">
        <v>8367</v>
      </c>
      <c r="F7131" s="126">
        <v>0.4</v>
      </c>
      <c r="G7131" s="127">
        <v>506.4</v>
      </c>
      <c r="H7131" s="124" t="s">
        <v>8368</v>
      </c>
      <c r="I7131" s="127">
        <v>92</v>
      </c>
      <c r="J7131" s="127">
        <v>460</v>
      </c>
    </row>
    <row r="7132" spans="1:10" hidden="1" x14ac:dyDescent="0.25">
      <c r="A7132" s="124" t="s">
        <v>9598</v>
      </c>
      <c r="B7132" s="124" t="s">
        <v>11736</v>
      </c>
      <c r="C7132" s="132"/>
      <c r="D7132" s="125">
        <f>COUNTIF(A2405:A7131,A7132)</f>
        <v>0</v>
      </c>
      <c r="E7132" s="124" t="s">
        <v>8367</v>
      </c>
      <c r="F7132" s="126">
        <v>1</v>
      </c>
      <c r="G7132" s="128">
        <v>7353.6</v>
      </c>
      <c r="H7132" s="124" t="s">
        <v>8368</v>
      </c>
      <c r="I7132" s="127">
        <v>154.19999999999999</v>
      </c>
      <c r="J7132" s="127">
        <v>771</v>
      </c>
    </row>
    <row r="7133" spans="1:10" hidden="1" x14ac:dyDescent="0.25">
      <c r="A7133" s="124" t="s">
        <v>9599</v>
      </c>
      <c r="B7133" s="124" t="s">
        <v>11736</v>
      </c>
      <c r="C7133" s="132"/>
      <c r="D7133" s="125">
        <f t="shared" ref="D7133:D7138" si="79">COUNTIF(A2407:A7132,A7133)</f>
        <v>0</v>
      </c>
      <c r="E7133" s="124" t="s">
        <v>8367</v>
      </c>
      <c r="F7133" s="126">
        <v>2</v>
      </c>
      <c r="G7133" s="128">
        <v>5274</v>
      </c>
      <c r="H7133" s="124" t="s">
        <v>8368</v>
      </c>
      <c r="I7133" s="128">
        <v>2244</v>
      </c>
      <c r="J7133" s="128">
        <v>11220</v>
      </c>
    </row>
    <row r="7134" spans="1:10" hidden="1" x14ac:dyDescent="0.25">
      <c r="A7134" s="124" t="s">
        <v>9600</v>
      </c>
      <c r="B7134" s="124" t="s">
        <v>11736</v>
      </c>
      <c r="C7134" s="132"/>
      <c r="D7134" s="125">
        <f t="shared" si="79"/>
        <v>0</v>
      </c>
      <c r="E7134" s="124" t="s">
        <v>8367</v>
      </c>
      <c r="F7134" s="126">
        <v>3</v>
      </c>
      <c r="G7134" s="127">
        <v>552</v>
      </c>
      <c r="H7134" s="124" t="s">
        <v>8368</v>
      </c>
      <c r="I7134" s="127">
        <v>46.6</v>
      </c>
      <c r="J7134" s="127">
        <v>233</v>
      </c>
    </row>
    <row r="7135" spans="1:10" hidden="1" x14ac:dyDescent="0.25">
      <c r="A7135" s="124" t="s">
        <v>9601</v>
      </c>
      <c r="B7135" s="124" t="s">
        <v>11736</v>
      </c>
      <c r="C7135" s="132"/>
      <c r="D7135" s="125">
        <f t="shared" si="79"/>
        <v>0</v>
      </c>
      <c r="E7135" s="124" t="s">
        <v>8367</v>
      </c>
      <c r="F7135" s="126">
        <v>4</v>
      </c>
      <c r="G7135" s="127">
        <v>925.2</v>
      </c>
      <c r="H7135" s="124" t="s">
        <v>8368</v>
      </c>
      <c r="I7135" s="127">
        <v>245.32</v>
      </c>
      <c r="J7135" s="128">
        <v>1226.5899999999999</v>
      </c>
    </row>
    <row r="7136" spans="1:10" hidden="1" x14ac:dyDescent="0.25">
      <c r="A7136" s="124" t="s">
        <v>9602</v>
      </c>
      <c r="B7136" s="124" t="s">
        <v>11736</v>
      </c>
      <c r="C7136" s="132"/>
      <c r="D7136" s="125">
        <f t="shared" si="79"/>
        <v>0</v>
      </c>
      <c r="E7136" s="124" t="s">
        <v>8367</v>
      </c>
      <c r="F7136" s="126">
        <v>1</v>
      </c>
      <c r="G7136" s="128">
        <v>13464</v>
      </c>
      <c r="H7136" s="124" t="s">
        <v>8368</v>
      </c>
      <c r="I7136" s="128">
        <v>2172.08</v>
      </c>
      <c r="J7136" s="128">
        <v>10860.4</v>
      </c>
    </row>
    <row r="7137" spans="1:10" hidden="1" x14ac:dyDescent="0.25">
      <c r="A7137" s="124" t="s">
        <v>9603</v>
      </c>
      <c r="B7137" s="124" t="s">
        <v>11736</v>
      </c>
      <c r="C7137" s="132"/>
      <c r="D7137" s="125">
        <f t="shared" si="79"/>
        <v>0</v>
      </c>
      <c r="E7137" s="124" t="s">
        <v>8367</v>
      </c>
      <c r="F7137" s="126">
        <v>40</v>
      </c>
      <c r="G7137" s="127">
        <v>279.60000000000002</v>
      </c>
      <c r="H7137" s="124" t="s">
        <v>8368</v>
      </c>
      <c r="I7137" s="127">
        <v>213.32</v>
      </c>
      <c r="J7137" s="128">
        <v>1066.58</v>
      </c>
    </row>
    <row r="7138" spans="1:10" hidden="1" x14ac:dyDescent="0.25">
      <c r="A7138" s="124" t="s">
        <v>9604</v>
      </c>
      <c r="B7138" s="124" t="s">
        <v>11736</v>
      </c>
      <c r="C7138" s="132"/>
      <c r="D7138" s="125">
        <f t="shared" si="79"/>
        <v>0</v>
      </c>
      <c r="E7138" s="124" t="s">
        <v>8367</v>
      </c>
      <c r="F7138" s="126">
        <v>23</v>
      </c>
      <c r="G7138" s="128">
        <v>1471.91</v>
      </c>
      <c r="H7138" s="124" t="s">
        <v>8368</v>
      </c>
      <c r="I7138" s="127">
        <v>213.32</v>
      </c>
      <c r="J7138" s="128">
        <v>1066.5999999999999</v>
      </c>
    </row>
    <row r="7139" spans="1:10" hidden="1" x14ac:dyDescent="0.25">
      <c r="A7139" s="124" t="s">
        <v>9605</v>
      </c>
      <c r="B7139" s="124" t="s">
        <v>11736</v>
      </c>
      <c r="C7139" s="132"/>
      <c r="D7139" s="125">
        <f>COUNTIF(A2414:A7138,A7139)</f>
        <v>0</v>
      </c>
      <c r="E7139" s="124" t="s">
        <v>8367</v>
      </c>
      <c r="F7139" s="126">
        <v>70</v>
      </c>
      <c r="G7139" s="128">
        <v>13032.48</v>
      </c>
      <c r="H7139" s="124" t="s">
        <v>8368</v>
      </c>
      <c r="I7139" s="127">
        <v>925</v>
      </c>
      <c r="J7139" s="128">
        <v>4625</v>
      </c>
    </row>
    <row r="7140" spans="1:10" hidden="1" x14ac:dyDescent="0.25">
      <c r="A7140" s="124" t="s">
        <v>9606</v>
      </c>
      <c r="B7140" s="124" t="s">
        <v>11736</v>
      </c>
      <c r="C7140" s="132"/>
      <c r="D7140" s="125">
        <f>COUNTIF(A2415:A7139,A7140)</f>
        <v>0</v>
      </c>
      <c r="E7140" s="124" t="s">
        <v>8367</v>
      </c>
      <c r="F7140" s="126">
        <v>20</v>
      </c>
      <c r="G7140" s="128">
        <v>1279.9000000000001</v>
      </c>
      <c r="H7140" s="124" t="s">
        <v>8368</v>
      </c>
      <c r="I7140" s="128">
        <v>1593.6</v>
      </c>
      <c r="J7140" s="128">
        <v>7968</v>
      </c>
    </row>
    <row r="7141" spans="1:10" hidden="1" x14ac:dyDescent="0.25">
      <c r="A7141" s="124" t="s">
        <v>9607</v>
      </c>
      <c r="B7141" s="124" t="s">
        <v>11736</v>
      </c>
      <c r="C7141" s="132"/>
      <c r="D7141" s="125">
        <f>COUNTIF(A2417:A7140,A7141)</f>
        <v>0</v>
      </c>
      <c r="E7141" s="124" t="s">
        <v>8367</v>
      </c>
      <c r="F7141" s="126">
        <v>20</v>
      </c>
      <c r="G7141" s="128">
        <v>1279.92</v>
      </c>
      <c r="H7141" s="124" t="s">
        <v>8368</v>
      </c>
      <c r="I7141" s="127">
        <v>866.6</v>
      </c>
      <c r="J7141" s="128">
        <v>4333</v>
      </c>
    </row>
    <row r="7142" spans="1:10" hidden="1" x14ac:dyDescent="0.25">
      <c r="A7142" s="124" t="s">
        <v>9608</v>
      </c>
      <c r="B7142" s="124" t="s">
        <v>11736</v>
      </c>
      <c r="C7142" s="132"/>
      <c r="D7142" s="125">
        <f t="shared" ref="D7142:D7148" si="80">COUNTIF(A2419:A7141,A7142)</f>
        <v>0</v>
      </c>
      <c r="E7142" s="124" t="s">
        <v>8367</v>
      </c>
      <c r="F7142" s="126">
        <v>3</v>
      </c>
      <c r="G7142" s="128">
        <v>5550</v>
      </c>
      <c r="H7142" s="124" t="s">
        <v>8368</v>
      </c>
      <c r="I7142" s="127">
        <v>75</v>
      </c>
      <c r="J7142" s="127">
        <v>375</v>
      </c>
    </row>
    <row r="7143" spans="1:10" hidden="1" x14ac:dyDescent="0.25">
      <c r="A7143" s="124" t="s">
        <v>9609</v>
      </c>
      <c r="B7143" s="124" t="s">
        <v>11736</v>
      </c>
      <c r="C7143" s="132"/>
      <c r="D7143" s="125">
        <f t="shared" si="80"/>
        <v>0</v>
      </c>
      <c r="E7143" s="124" t="s">
        <v>8367</v>
      </c>
      <c r="F7143" s="126">
        <v>3</v>
      </c>
      <c r="G7143" s="128">
        <v>9561.6</v>
      </c>
      <c r="H7143" s="124" t="s">
        <v>8368</v>
      </c>
      <c r="I7143" s="128">
        <v>1866.6</v>
      </c>
      <c r="J7143" s="128">
        <v>9333</v>
      </c>
    </row>
    <row r="7144" spans="1:10" hidden="1" x14ac:dyDescent="0.25">
      <c r="A7144" s="124" t="s">
        <v>9610</v>
      </c>
      <c r="B7144" s="124" t="s">
        <v>11736</v>
      </c>
      <c r="C7144" s="132"/>
      <c r="D7144" s="125">
        <f t="shared" si="80"/>
        <v>0</v>
      </c>
      <c r="E7144" s="124" t="s">
        <v>8367</v>
      </c>
      <c r="F7144" s="126">
        <v>2</v>
      </c>
      <c r="G7144" s="128">
        <v>5199.6000000000004</v>
      </c>
      <c r="H7144" s="124" t="s">
        <v>8368</v>
      </c>
      <c r="I7144" s="127">
        <v>900</v>
      </c>
      <c r="J7144" s="128">
        <v>4500</v>
      </c>
    </row>
    <row r="7145" spans="1:10" hidden="1" x14ac:dyDescent="0.25">
      <c r="A7145" s="124" t="s">
        <v>2721</v>
      </c>
      <c r="B7145" s="124" t="s">
        <v>11736</v>
      </c>
      <c r="C7145" s="132"/>
      <c r="D7145" s="125">
        <f t="shared" si="80"/>
        <v>0</v>
      </c>
      <c r="E7145" s="124" t="s">
        <v>8367</v>
      </c>
      <c r="F7145" s="126">
        <v>1</v>
      </c>
      <c r="G7145" s="127">
        <v>450</v>
      </c>
      <c r="H7145" s="124" t="s">
        <v>8368</v>
      </c>
      <c r="I7145" s="128">
        <v>240345</v>
      </c>
      <c r="J7145" s="128">
        <v>1201725</v>
      </c>
    </row>
    <row r="7146" spans="1:10" hidden="1" x14ac:dyDescent="0.25">
      <c r="A7146" s="124" t="s">
        <v>9611</v>
      </c>
      <c r="B7146" s="124" t="s">
        <v>11736</v>
      </c>
      <c r="C7146" s="132"/>
      <c r="D7146" s="125">
        <f t="shared" si="80"/>
        <v>0</v>
      </c>
      <c r="E7146" s="124" t="s">
        <v>8367</v>
      </c>
      <c r="F7146" s="126">
        <v>4</v>
      </c>
      <c r="G7146" s="128">
        <v>11199.6</v>
      </c>
      <c r="H7146" s="124" t="s">
        <v>8368</v>
      </c>
      <c r="I7146" s="127">
        <v>188.89</v>
      </c>
      <c r="J7146" s="127">
        <v>944.44</v>
      </c>
    </row>
    <row r="7147" spans="1:10" hidden="1" x14ac:dyDescent="0.25">
      <c r="A7147" s="124" t="s">
        <v>9612</v>
      </c>
      <c r="B7147" s="124" t="s">
        <v>11736</v>
      </c>
      <c r="C7147" s="132"/>
      <c r="D7147" s="125">
        <f t="shared" si="80"/>
        <v>0</v>
      </c>
      <c r="E7147" s="124" t="s">
        <v>8367</v>
      </c>
      <c r="F7147" s="126">
        <v>2</v>
      </c>
      <c r="G7147" s="128">
        <v>5400</v>
      </c>
      <c r="H7147" s="124" t="s">
        <v>8368</v>
      </c>
      <c r="I7147" s="128">
        <v>974064</v>
      </c>
      <c r="J7147" s="128">
        <v>4870320</v>
      </c>
    </row>
    <row r="7148" spans="1:10" hidden="1" x14ac:dyDescent="0.25">
      <c r="A7148" s="124" t="s">
        <v>9613</v>
      </c>
      <c r="B7148" s="124" t="s">
        <v>11736</v>
      </c>
      <c r="C7148" s="132"/>
      <c r="D7148" s="125">
        <f t="shared" si="80"/>
        <v>0</v>
      </c>
      <c r="E7148" s="124" t="s">
        <v>8367</v>
      </c>
      <c r="F7148" s="126">
        <v>327</v>
      </c>
      <c r="G7148" s="128">
        <v>1442070</v>
      </c>
      <c r="H7148" s="124" t="s">
        <v>8368</v>
      </c>
      <c r="I7148" s="128">
        <v>1145.8</v>
      </c>
      <c r="J7148" s="128">
        <v>5729</v>
      </c>
    </row>
    <row r="7149" spans="1:10" hidden="1" x14ac:dyDescent="0.25">
      <c r="A7149" s="124" t="s">
        <v>9614</v>
      </c>
      <c r="B7149" s="124" t="s">
        <v>11736</v>
      </c>
      <c r="C7149" s="132"/>
      <c r="D7149" s="125">
        <f>COUNTIF(A2428:A7148,A7149)</f>
        <v>0</v>
      </c>
      <c r="E7149" s="124" t="s">
        <v>8</v>
      </c>
      <c r="F7149" s="126">
        <v>4</v>
      </c>
      <c r="G7149" s="128">
        <v>1133.33</v>
      </c>
      <c r="H7149" s="124" t="s">
        <v>8368</v>
      </c>
      <c r="I7149" s="128">
        <v>5209.8</v>
      </c>
      <c r="J7149" s="128">
        <v>26049</v>
      </c>
    </row>
    <row r="7150" spans="1:10" hidden="1" x14ac:dyDescent="0.25">
      <c r="A7150" s="124" t="s">
        <v>9615</v>
      </c>
      <c r="B7150" s="124" t="s">
        <v>11736</v>
      </c>
      <c r="C7150" s="132"/>
      <c r="D7150" s="125">
        <f>COUNTIF(A2431:A7149,A7150)</f>
        <v>0</v>
      </c>
      <c r="E7150" s="124" t="s">
        <v>8367</v>
      </c>
      <c r="F7150" s="126">
        <v>780</v>
      </c>
      <c r="G7150" s="128">
        <v>5844384</v>
      </c>
      <c r="H7150" s="124" t="s">
        <v>8368</v>
      </c>
      <c r="I7150" s="127">
        <v>162</v>
      </c>
      <c r="J7150" s="127">
        <v>810</v>
      </c>
    </row>
    <row r="7151" spans="1:10" hidden="1" x14ac:dyDescent="0.25">
      <c r="A7151" s="124" t="s">
        <v>9616</v>
      </c>
      <c r="B7151" s="124" t="s">
        <v>11736</v>
      </c>
      <c r="C7151" s="132"/>
      <c r="D7151" s="125">
        <f>COUNTIF(A2433:A7150,A7151)</f>
        <v>0</v>
      </c>
      <c r="E7151" s="124" t="s">
        <v>8367</v>
      </c>
      <c r="F7151" s="126">
        <v>1</v>
      </c>
      <c r="G7151" s="128">
        <v>6874.8</v>
      </c>
      <c r="H7151" s="124" t="s">
        <v>8368</v>
      </c>
      <c r="I7151" s="127">
        <v>168.4</v>
      </c>
      <c r="J7151" s="127">
        <v>842</v>
      </c>
    </row>
    <row r="7152" spans="1:10" hidden="1" x14ac:dyDescent="0.25">
      <c r="A7152" s="124" t="s">
        <v>9617</v>
      </c>
      <c r="B7152" s="124" t="s">
        <v>11736</v>
      </c>
      <c r="C7152" s="132"/>
      <c r="D7152" s="125">
        <f>COUNTIF(A2434:A7151,A7152)</f>
        <v>0</v>
      </c>
      <c r="E7152" s="124" t="s">
        <v>8367</v>
      </c>
      <c r="F7152" s="126">
        <v>1</v>
      </c>
      <c r="G7152" s="128">
        <v>31258.799999999999</v>
      </c>
      <c r="H7152" s="124" t="s">
        <v>8368</v>
      </c>
      <c r="I7152" s="127">
        <v>133.4</v>
      </c>
      <c r="J7152" s="127">
        <v>667</v>
      </c>
    </row>
    <row r="7153" spans="1:10" hidden="1" x14ac:dyDescent="0.25">
      <c r="A7153" s="124" t="s">
        <v>9618</v>
      </c>
      <c r="B7153" s="124" t="s">
        <v>11736</v>
      </c>
      <c r="C7153" s="132"/>
      <c r="D7153" s="125">
        <f>COUNTIF(A2439:A7152,A7153)</f>
        <v>0</v>
      </c>
      <c r="E7153" s="124" t="s">
        <v>8367</v>
      </c>
      <c r="F7153" s="126">
        <v>4</v>
      </c>
      <c r="G7153" s="127">
        <v>972</v>
      </c>
      <c r="H7153" s="124" t="s">
        <v>8368</v>
      </c>
      <c r="I7153" s="127">
        <v>25</v>
      </c>
      <c r="J7153" s="127">
        <v>125</v>
      </c>
    </row>
    <row r="7154" spans="1:10" hidden="1" x14ac:dyDescent="0.25">
      <c r="A7154" s="124" t="s">
        <v>9619</v>
      </c>
      <c r="B7154" s="124" t="s">
        <v>11736</v>
      </c>
      <c r="C7154" s="132"/>
      <c r="D7154" s="125">
        <f>COUNTIF(A2440:A7153,A7154)</f>
        <v>0</v>
      </c>
      <c r="E7154" s="124" t="s">
        <v>8367</v>
      </c>
      <c r="F7154" s="126">
        <v>10</v>
      </c>
      <c r="G7154" s="128">
        <v>1010.4</v>
      </c>
      <c r="H7154" s="124" t="s">
        <v>8368</v>
      </c>
      <c r="I7154" s="128">
        <v>2107.5500000000002</v>
      </c>
      <c r="J7154" s="128">
        <v>10537.72</v>
      </c>
    </row>
    <row r="7155" spans="1:10" hidden="1" x14ac:dyDescent="0.25">
      <c r="A7155" s="124" t="s">
        <v>9620</v>
      </c>
      <c r="B7155" s="124" t="s">
        <v>11736</v>
      </c>
      <c r="C7155" s="132"/>
      <c r="D7155" s="125">
        <f>COUNTIF(A2441:A7154,A7155)</f>
        <v>0</v>
      </c>
      <c r="E7155" s="124" t="s">
        <v>8367</v>
      </c>
      <c r="F7155" s="126">
        <v>20</v>
      </c>
      <c r="G7155" s="127">
        <v>800.4</v>
      </c>
      <c r="H7155" s="124" t="s">
        <v>8368</v>
      </c>
      <c r="I7155" s="127">
        <v>405.4</v>
      </c>
      <c r="J7155" s="128">
        <v>2027</v>
      </c>
    </row>
    <row r="7156" spans="1:10" hidden="1" x14ac:dyDescent="0.25">
      <c r="A7156" s="124" t="s">
        <v>9621</v>
      </c>
      <c r="B7156" s="124" t="s">
        <v>11736</v>
      </c>
      <c r="C7156" s="132"/>
      <c r="D7156" s="125">
        <f>COUNTIF(A2442:A7155,A7156)</f>
        <v>0</v>
      </c>
      <c r="E7156" s="124" t="s">
        <v>8367</v>
      </c>
      <c r="F7156" s="126">
        <v>6</v>
      </c>
      <c r="G7156" s="127">
        <v>150</v>
      </c>
      <c r="H7156" s="124" t="s">
        <v>8368</v>
      </c>
      <c r="I7156" s="128">
        <v>1127</v>
      </c>
      <c r="J7156" s="128">
        <v>5635</v>
      </c>
    </row>
    <row r="7157" spans="1:10" hidden="1" x14ac:dyDescent="0.25">
      <c r="A7157" s="124" t="s">
        <v>9622</v>
      </c>
      <c r="B7157" s="124" t="s">
        <v>11736</v>
      </c>
      <c r="C7157" s="132"/>
      <c r="D7157" s="125">
        <f>COUNTIF(A2443:A7156,A7157)</f>
        <v>0</v>
      </c>
      <c r="E7157" s="124" t="s">
        <v>8367</v>
      </c>
      <c r="F7157" s="126">
        <v>10</v>
      </c>
      <c r="G7157" s="128">
        <v>12645.27</v>
      </c>
      <c r="H7157" s="124" t="s">
        <v>8368</v>
      </c>
      <c r="I7157" s="127">
        <v>636.4</v>
      </c>
      <c r="J7157" s="128">
        <v>3182</v>
      </c>
    </row>
    <row r="7158" spans="1:10" hidden="1" x14ac:dyDescent="0.25">
      <c r="A7158" s="124" t="s">
        <v>9623</v>
      </c>
      <c r="B7158" s="124" t="s">
        <v>11736</v>
      </c>
      <c r="C7158" s="132"/>
      <c r="D7158" s="125">
        <f t="shared" ref="D7158:D7165" si="81">COUNTIF(A2445:A7157,A7158)</f>
        <v>0</v>
      </c>
      <c r="E7158" s="124" t="s">
        <v>8367</v>
      </c>
      <c r="F7158" s="126">
        <v>1</v>
      </c>
      <c r="G7158" s="128">
        <v>2432.4</v>
      </c>
      <c r="H7158" s="124" t="s">
        <v>8368</v>
      </c>
      <c r="I7158" s="127">
        <v>602.4</v>
      </c>
      <c r="J7158" s="128">
        <v>3012</v>
      </c>
    </row>
    <row r="7159" spans="1:10" hidden="1" x14ac:dyDescent="0.25">
      <c r="A7159" s="124" t="s">
        <v>9624</v>
      </c>
      <c r="B7159" s="124" t="s">
        <v>11736</v>
      </c>
      <c r="C7159" s="132"/>
      <c r="D7159" s="125">
        <f t="shared" si="81"/>
        <v>0</v>
      </c>
      <c r="E7159" s="124" t="s">
        <v>8367</v>
      </c>
      <c r="F7159" s="126">
        <v>2</v>
      </c>
      <c r="G7159" s="128">
        <v>6762</v>
      </c>
      <c r="H7159" s="124" t="s">
        <v>8368</v>
      </c>
      <c r="I7159" s="128">
        <v>9673</v>
      </c>
      <c r="J7159" s="128">
        <v>48365</v>
      </c>
    </row>
    <row r="7160" spans="1:10" hidden="1" x14ac:dyDescent="0.25">
      <c r="A7160" s="124" t="s">
        <v>9625</v>
      </c>
      <c r="B7160" s="124" t="s">
        <v>11736</v>
      </c>
      <c r="C7160" s="132"/>
      <c r="D7160" s="125">
        <f t="shared" si="81"/>
        <v>0</v>
      </c>
      <c r="E7160" s="124" t="s">
        <v>8367</v>
      </c>
      <c r="F7160" s="126">
        <v>2</v>
      </c>
      <c r="G7160" s="128">
        <v>3818.4</v>
      </c>
      <c r="H7160" s="124" t="s">
        <v>8368</v>
      </c>
      <c r="I7160" s="127">
        <v>478</v>
      </c>
      <c r="J7160" s="128">
        <v>2390</v>
      </c>
    </row>
    <row r="7161" spans="1:10" hidden="1" x14ac:dyDescent="0.25">
      <c r="A7161" s="124" t="s">
        <v>9626</v>
      </c>
      <c r="B7161" s="124" t="s">
        <v>11736</v>
      </c>
      <c r="C7161" s="132"/>
      <c r="D7161" s="125">
        <f t="shared" si="81"/>
        <v>0</v>
      </c>
      <c r="E7161" s="124" t="s">
        <v>8367</v>
      </c>
      <c r="F7161" s="126">
        <v>1</v>
      </c>
      <c r="G7161" s="128">
        <v>3614.4</v>
      </c>
      <c r="H7161" s="124" t="s">
        <v>8368</v>
      </c>
      <c r="I7161" s="127">
        <v>58.6</v>
      </c>
      <c r="J7161" s="127">
        <v>293</v>
      </c>
    </row>
    <row r="7162" spans="1:10" hidden="1" x14ac:dyDescent="0.25">
      <c r="A7162" s="124" t="s">
        <v>9627</v>
      </c>
      <c r="B7162" s="124" t="s">
        <v>11736</v>
      </c>
      <c r="C7162" s="132"/>
      <c r="D7162" s="125">
        <f t="shared" si="81"/>
        <v>0</v>
      </c>
      <c r="E7162" s="124" t="s">
        <v>8367</v>
      </c>
      <c r="F7162" s="126">
        <v>5</v>
      </c>
      <c r="G7162" s="128">
        <v>58038</v>
      </c>
      <c r="H7162" s="124" t="s">
        <v>8368</v>
      </c>
      <c r="I7162" s="127">
        <v>525</v>
      </c>
      <c r="J7162" s="128">
        <v>2625</v>
      </c>
    </row>
    <row r="7163" spans="1:10" hidden="1" x14ac:dyDescent="0.25">
      <c r="A7163" s="124" t="s">
        <v>9628</v>
      </c>
      <c r="B7163" s="124" t="s">
        <v>11736</v>
      </c>
      <c r="C7163" s="132"/>
      <c r="D7163" s="125">
        <f t="shared" si="81"/>
        <v>0</v>
      </c>
      <c r="E7163" s="124" t="s">
        <v>8367</v>
      </c>
      <c r="F7163" s="126">
        <v>3</v>
      </c>
      <c r="G7163" s="128">
        <v>2868</v>
      </c>
      <c r="H7163" s="124" t="s">
        <v>8368</v>
      </c>
      <c r="I7163" s="128">
        <v>13000</v>
      </c>
      <c r="J7163" s="128">
        <v>65000</v>
      </c>
    </row>
    <row r="7164" spans="1:10" hidden="1" x14ac:dyDescent="0.25">
      <c r="A7164" s="124" t="s">
        <v>9629</v>
      </c>
      <c r="B7164" s="124" t="s">
        <v>11736</v>
      </c>
      <c r="C7164" s="132"/>
      <c r="D7164" s="125">
        <f t="shared" si="81"/>
        <v>0</v>
      </c>
      <c r="E7164" s="124" t="s">
        <v>8367</v>
      </c>
      <c r="F7164" s="126">
        <v>2</v>
      </c>
      <c r="G7164" s="127">
        <v>351.6</v>
      </c>
      <c r="H7164" s="124" t="s">
        <v>8368</v>
      </c>
      <c r="I7164" s="128">
        <v>5497729</v>
      </c>
      <c r="J7164" s="128">
        <v>27488645</v>
      </c>
    </row>
    <row r="7165" spans="1:10" hidden="1" x14ac:dyDescent="0.25">
      <c r="A7165" s="124" t="s">
        <v>2489</v>
      </c>
      <c r="B7165" s="124" t="s">
        <v>11736</v>
      </c>
      <c r="C7165" s="132"/>
      <c r="D7165" s="125">
        <f t="shared" si="81"/>
        <v>0</v>
      </c>
      <c r="E7165" s="124" t="s">
        <v>8367</v>
      </c>
      <c r="F7165" s="129">
        <v>1500</v>
      </c>
      <c r="G7165" s="128">
        <v>3150</v>
      </c>
      <c r="H7165" s="124" t="s">
        <v>8368</v>
      </c>
      <c r="I7165" s="128">
        <v>2036.4</v>
      </c>
      <c r="J7165" s="128">
        <v>10182</v>
      </c>
    </row>
    <row r="7166" spans="1:10" hidden="1" x14ac:dyDescent="0.25">
      <c r="A7166" s="124" t="s">
        <v>9630</v>
      </c>
      <c r="B7166" s="124" t="s">
        <v>11736</v>
      </c>
      <c r="C7166" s="132"/>
      <c r="D7166" s="125">
        <f>COUNTIF(A2454:A7165,A7166)</f>
        <v>0</v>
      </c>
      <c r="E7166" s="124" t="s">
        <v>8367</v>
      </c>
      <c r="F7166" s="129">
        <v>2000</v>
      </c>
      <c r="G7166" s="128">
        <v>78000</v>
      </c>
      <c r="H7166" s="124" t="s">
        <v>8368</v>
      </c>
      <c r="I7166" s="127">
        <v>110.8</v>
      </c>
      <c r="J7166" s="127">
        <v>554</v>
      </c>
    </row>
    <row r="7167" spans="1:10" hidden="1" x14ac:dyDescent="0.25">
      <c r="A7167" s="124" t="s">
        <v>9631</v>
      </c>
      <c r="B7167" s="124" t="s">
        <v>11736</v>
      </c>
      <c r="C7167" s="132"/>
      <c r="D7167" s="125">
        <f>COUNTIF(A2455:A7166,A7167)</f>
        <v>0</v>
      </c>
      <c r="E7167" s="124" t="s">
        <v>8367</v>
      </c>
      <c r="F7167" s="129">
        <v>2381</v>
      </c>
      <c r="G7167" s="128">
        <v>32986374</v>
      </c>
      <c r="H7167" s="124" t="s">
        <v>8368</v>
      </c>
      <c r="I7167" s="128">
        <v>70514.09</v>
      </c>
      <c r="J7167" s="128">
        <v>352570.43</v>
      </c>
    </row>
    <row r="7168" spans="1:10" hidden="1" x14ac:dyDescent="0.25">
      <c r="A7168" s="124" t="s">
        <v>9632</v>
      </c>
      <c r="B7168" s="124" t="s">
        <v>11736</v>
      </c>
      <c r="C7168" s="132"/>
      <c r="D7168" s="125">
        <f>COUNTIF(A2463:A7167,A7168)</f>
        <v>0</v>
      </c>
      <c r="E7168" s="124" t="s">
        <v>8367</v>
      </c>
      <c r="F7168" s="126">
        <v>1</v>
      </c>
      <c r="G7168" s="128">
        <v>12218.4</v>
      </c>
      <c r="H7168" s="124" t="s">
        <v>8368</v>
      </c>
      <c r="I7168" s="128">
        <v>2115.8000000000002</v>
      </c>
      <c r="J7168" s="128">
        <v>10579</v>
      </c>
    </row>
    <row r="7169" spans="1:10" hidden="1" x14ac:dyDescent="0.25">
      <c r="A7169" s="124" t="s">
        <v>9633</v>
      </c>
      <c r="B7169" s="124" t="s">
        <v>11736</v>
      </c>
      <c r="C7169" s="132"/>
      <c r="D7169" s="125">
        <f>COUNTIF(A2464:A7168,A7169)</f>
        <v>0</v>
      </c>
      <c r="E7169" s="124" t="s">
        <v>8367</v>
      </c>
      <c r="F7169" s="126">
        <v>8</v>
      </c>
      <c r="G7169" s="127">
        <v>664.8</v>
      </c>
      <c r="H7169" s="124" t="s">
        <v>8368</v>
      </c>
      <c r="I7169" s="127">
        <v>568.4</v>
      </c>
      <c r="J7169" s="128">
        <v>2842</v>
      </c>
    </row>
    <row r="7170" spans="1:10" hidden="1" x14ac:dyDescent="0.25">
      <c r="A7170" s="124" t="s">
        <v>9634</v>
      </c>
      <c r="B7170" s="124" t="s">
        <v>11736</v>
      </c>
      <c r="C7170" s="132"/>
      <c r="D7170" s="125">
        <f>COUNTIF(A2466:A7169,A7170)</f>
        <v>0</v>
      </c>
      <c r="E7170" s="124" t="s">
        <v>8367</v>
      </c>
      <c r="F7170" s="126">
        <v>1</v>
      </c>
      <c r="G7170" s="128">
        <v>423084.52</v>
      </c>
      <c r="H7170" s="124" t="s">
        <v>8368</v>
      </c>
      <c r="I7170" s="127">
        <v>500</v>
      </c>
      <c r="J7170" s="128">
        <v>2500</v>
      </c>
    </row>
    <row r="7171" spans="1:10" hidden="1" x14ac:dyDescent="0.25">
      <c r="A7171" s="124" t="s">
        <v>9635</v>
      </c>
      <c r="B7171" s="124" t="s">
        <v>11736</v>
      </c>
      <c r="C7171" s="132"/>
      <c r="D7171" s="125">
        <f>COUNTIF(A2467:A7170,A7171)</f>
        <v>0</v>
      </c>
      <c r="E7171" s="124" t="s">
        <v>8367</v>
      </c>
      <c r="F7171" s="126">
        <v>1</v>
      </c>
      <c r="G7171" s="128">
        <v>12694.8</v>
      </c>
      <c r="H7171" s="124" t="s">
        <v>8368</v>
      </c>
      <c r="I7171" s="128">
        <v>1075.8</v>
      </c>
      <c r="J7171" s="128">
        <v>5379</v>
      </c>
    </row>
    <row r="7172" spans="1:10" hidden="1" x14ac:dyDescent="0.25">
      <c r="A7172" s="124" t="s">
        <v>9636</v>
      </c>
      <c r="B7172" s="124" t="s">
        <v>11736</v>
      </c>
      <c r="C7172" s="132"/>
      <c r="D7172" s="125">
        <f>COUNTIF(A2468:A7171,A7172)</f>
        <v>0</v>
      </c>
      <c r="E7172" s="124" t="s">
        <v>8367</v>
      </c>
      <c r="F7172" s="126">
        <v>1</v>
      </c>
      <c r="G7172" s="128">
        <v>3410.4</v>
      </c>
      <c r="H7172" s="124" t="s">
        <v>8368</v>
      </c>
      <c r="I7172" s="128">
        <v>2805.75</v>
      </c>
      <c r="J7172" s="128">
        <v>14028.75</v>
      </c>
    </row>
    <row r="7173" spans="1:10" hidden="1" x14ac:dyDescent="0.25">
      <c r="A7173" s="124" t="s">
        <v>9637</v>
      </c>
      <c r="B7173" s="124" t="s">
        <v>11736</v>
      </c>
      <c r="C7173" s="132"/>
      <c r="D7173" s="125">
        <f>COUNTIF(A2469:A7172,A7173)</f>
        <v>0</v>
      </c>
      <c r="E7173" s="124" t="s">
        <v>8367</v>
      </c>
      <c r="F7173" s="126">
        <v>2</v>
      </c>
      <c r="G7173" s="128">
        <v>3000</v>
      </c>
      <c r="H7173" s="124" t="s">
        <v>8368</v>
      </c>
      <c r="I7173" s="127">
        <v>648.4</v>
      </c>
      <c r="J7173" s="128">
        <v>3242</v>
      </c>
    </row>
    <row r="7174" spans="1:10" hidden="1" x14ac:dyDescent="0.25">
      <c r="A7174" s="124" t="s">
        <v>9638</v>
      </c>
      <c r="B7174" s="124" t="s">
        <v>11736</v>
      </c>
      <c r="C7174" s="132"/>
      <c r="D7174" s="125">
        <f>COUNTIF(A2470:A7173,A7174)</f>
        <v>0</v>
      </c>
      <c r="E7174" s="124" t="s">
        <v>8367</v>
      </c>
      <c r="F7174" s="126">
        <v>1</v>
      </c>
      <c r="G7174" s="128">
        <v>6454.8</v>
      </c>
      <c r="H7174" s="124" t="s">
        <v>8368</v>
      </c>
      <c r="I7174" s="127">
        <v>292</v>
      </c>
      <c r="J7174" s="128">
        <v>1460</v>
      </c>
    </row>
    <row r="7175" spans="1:10" hidden="1" x14ac:dyDescent="0.25">
      <c r="A7175" s="124" t="s">
        <v>9639</v>
      </c>
      <c r="B7175" s="124" t="s">
        <v>11736</v>
      </c>
      <c r="C7175" s="132"/>
      <c r="D7175" s="125">
        <f t="shared" ref="D7175:D7183" si="82">COUNTIF(A2473:A7174,A7175)</f>
        <v>0</v>
      </c>
      <c r="E7175" s="124" t="s">
        <v>8367</v>
      </c>
      <c r="F7175" s="126">
        <v>3</v>
      </c>
      <c r="G7175" s="128">
        <v>16834.5</v>
      </c>
      <c r="H7175" s="124" t="s">
        <v>8368</v>
      </c>
      <c r="I7175" s="127">
        <v>75</v>
      </c>
      <c r="J7175" s="127">
        <v>375</v>
      </c>
    </row>
    <row r="7176" spans="1:10" hidden="1" x14ac:dyDescent="0.25">
      <c r="A7176" s="124" t="s">
        <v>9640</v>
      </c>
      <c r="B7176" s="124" t="s">
        <v>11736</v>
      </c>
      <c r="C7176" s="132"/>
      <c r="D7176" s="125">
        <f t="shared" si="82"/>
        <v>0</v>
      </c>
      <c r="E7176" s="124" t="s">
        <v>8367</v>
      </c>
      <c r="F7176" s="126">
        <v>10</v>
      </c>
      <c r="G7176" s="128">
        <v>3890.4</v>
      </c>
      <c r="H7176" s="124" t="s">
        <v>8368</v>
      </c>
      <c r="I7176" s="127">
        <v>48.4</v>
      </c>
      <c r="J7176" s="127">
        <v>242</v>
      </c>
    </row>
    <row r="7177" spans="1:10" hidden="1" x14ac:dyDescent="0.25">
      <c r="A7177" s="124" t="s">
        <v>9641</v>
      </c>
      <c r="B7177" s="124" t="s">
        <v>11736</v>
      </c>
      <c r="C7177" s="132"/>
      <c r="D7177" s="125">
        <f t="shared" si="82"/>
        <v>0</v>
      </c>
      <c r="E7177" s="124" t="s">
        <v>8367</v>
      </c>
      <c r="F7177" s="126">
        <v>12</v>
      </c>
      <c r="G7177" s="128">
        <v>1752</v>
      </c>
      <c r="H7177" s="124" t="s">
        <v>8368</v>
      </c>
      <c r="I7177" s="127">
        <v>925</v>
      </c>
      <c r="J7177" s="128">
        <v>4625</v>
      </c>
    </row>
    <row r="7178" spans="1:10" hidden="1" x14ac:dyDescent="0.25">
      <c r="A7178" s="124" t="s">
        <v>9642</v>
      </c>
      <c r="B7178" s="124" t="s">
        <v>11736</v>
      </c>
      <c r="C7178" s="132"/>
      <c r="D7178" s="125">
        <f t="shared" si="82"/>
        <v>0</v>
      </c>
      <c r="E7178" s="124" t="s">
        <v>8367</v>
      </c>
      <c r="F7178" s="126">
        <v>100</v>
      </c>
      <c r="G7178" s="127">
        <v>450</v>
      </c>
      <c r="H7178" s="124" t="s">
        <v>8368</v>
      </c>
      <c r="I7178" s="128">
        <v>1400</v>
      </c>
      <c r="J7178" s="128">
        <v>7000</v>
      </c>
    </row>
    <row r="7179" spans="1:10" hidden="1" x14ac:dyDescent="0.25">
      <c r="A7179" s="124" t="s">
        <v>9643</v>
      </c>
      <c r="B7179" s="124" t="s">
        <v>11736</v>
      </c>
      <c r="C7179" s="132"/>
      <c r="D7179" s="125">
        <f t="shared" si="82"/>
        <v>0</v>
      </c>
      <c r="E7179" s="124" t="s">
        <v>8367</v>
      </c>
      <c r="F7179" s="126">
        <v>100</v>
      </c>
      <c r="G7179" s="127">
        <v>290.39999999999998</v>
      </c>
      <c r="H7179" s="124" t="s">
        <v>8368</v>
      </c>
      <c r="I7179" s="127">
        <v>850</v>
      </c>
      <c r="J7179" s="128">
        <v>4250</v>
      </c>
    </row>
    <row r="7180" spans="1:10" hidden="1" x14ac:dyDescent="0.25">
      <c r="A7180" s="124" t="s">
        <v>9644</v>
      </c>
      <c r="B7180" s="124" t="s">
        <v>11736</v>
      </c>
      <c r="C7180" s="132"/>
      <c r="D7180" s="125">
        <f t="shared" si="82"/>
        <v>0</v>
      </c>
      <c r="E7180" s="124" t="s">
        <v>8367</v>
      </c>
      <c r="F7180" s="126">
        <v>3</v>
      </c>
      <c r="G7180" s="128">
        <v>5550</v>
      </c>
      <c r="H7180" s="124" t="s">
        <v>8368</v>
      </c>
      <c r="I7180" s="128">
        <v>1942.29</v>
      </c>
      <c r="J7180" s="128">
        <v>9711.4699999999993</v>
      </c>
    </row>
    <row r="7181" spans="1:10" hidden="1" x14ac:dyDescent="0.25">
      <c r="A7181" s="124" t="s">
        <v>9645</v>
      </c>
      <c r="B7181" s="124" t="s">
        <v>11736</v>
      </c>
      <c r="C7181" s="132"/>
      <c r="D7181" s="125">
        <f t="shared" si="82"/>
        <v>0</v>
      </c>
      <c r="E7181" s="124" t="s">
        <v>8367</v>
      </c>
      <c r="F7181" s="126">
        <v>3</v>
      </c>
      <c r="G7181" s="128">
        <v>8400</v>
      </c>
      <c r="H7181" s="124" t="s">
        <v>8368</v>
      </c>
      <c r="I7181" s="127">
        <v>729.6</v>
      </c>
      <c r="J7181" s="128">
        <v>3648</v>
      </c>
    </row>
    <row r="7182" spans="1:10" hidden="1" x14ac:dyDescent="0.25">
      <c r="A7182" s="124" t="s">
        <v>9646</v>
      </c>
      <c r="B7182" s="124" t="s">
        <v>11736</v>
      </c>
      <c r="C7182" s="132"/>
      <c r="D7182" s="125">
        <f t="shared" si="82"/>
        <v>0</v>
      </c>
      <c r="E7182" s="124" t="s">
        <v>8367</v>
      </c>
      <c r="F7182" s="126">
        <v>3</v>
      </c>
      <c r="G7182" s="128">
        <v>5100</v>
      </c>
      <c r="H7182" s="124" t="s">
        <v>8368</v>
      </c>
      <c r="I7182" s="128">
        <v>68110</v>
      </c>
      <c r="J7182" s="128">
        <v>340550</v>
      </c>
    </row>
    <row r="7183" spans="1:10" hidden="1" x14ac:dyDescent="0.25">
      <c r="A7183" s="124" t="s">
        <v>9647</v>
      </c>
      <c r="B7183" s="124" t="s">
        <v>11736</v>
      </c>
      <c r="C7183" s="132"/>
      <c r="D7183" s="125">
        <f t="shared" si="82"/>
        <v>0</v>
      </c>
      <c r="E7183" s="124" t="s">
        <v>8367</v>
      </c>
      <c r="F7183" s="126">
        <v>3</v>
      </c>
      <c r="G7183" s="128">
        <v>11653.76</v>
      </c>
      <c r="H7183" s="124" t="s">
        <v>8368</v>
      </c>
      <c r="I7183" s="128">
        <v>1583.4</v>
      </c>
      <c r="J7183" s="128">
        <v>7917</v>
      </c>
    </row>
    <row r="7184" spans="1:10" hidden="1" x14ac:dyDescent="0.25">
      <c r="A7184" s="124" t="s">
        <v>9648</v>
      </c>
      <c r="B7184" s="124" t="s">
        <v>11736</v>
      </c>
      <c r="C7184" s="132"/>
      <c r="D7184" s="125">
        <f>COUNTIF(A2483:A7183,A7184)</f>
        <v>0</v>
      </c>
      <c r="E7184" s="124" t="s">
        <v>8367</v>
      </c>
      <c r="F7184" s="126">
        <v>3</v>
      </c>
      <c r="G7184" s="128">
        <v>4377.6000000000004</v>
      </c>
      <c r="H7184" s="124" t="s">
        <v>8368</v>
      </c>
      <c r="I7184" s="128">
        <v>1921.6</v>
      </c>
      <c r="J7184" s="128">
        <v>9608</v>
      </c>
    </row>
    <row r="7185" spans="1:10" hidden="1" x14ac:dyDescent="0.25">
      <c r="A7185" s="124" t="s">
        <v>9649</v>
      </c>
      <c r="B7185" s="124" t="s">
        <v>11736</v>
      </c>
      <c r="C7185" s="132"/>
      <c r="D7185" s="125">
        <f>COUNTIF(A2484:A7184,A7185)</f>
        <v>0</v>
      </c>
      <c r="E7185" s="124" t="s">
        <v>8367</v>
      </c>
      <c r="F7185" s="126">
        <v>70</v>
      </c>
      <c r="G7185" s="128">
        <v>408660</v>
      </c>
      <c r="H7185" s="124" t="s">
        <v>8368</v>
      </c>
      <c r="I7185" s="127">
        <v>984.6</v>
      </c>
      <c r="J7185" s="128">
        <v>4923</v>
      </c>
    </row>
    <row r="7186" spans="1:10" hidden="1" x14ac:dyDescent="0.25">
      <c r="A7186" s="124" t="s">
        <v>9650</v>
      </c>
      <c r="B7186" s="124" t="s">
        <v>11736</v>
      </c>
      <c r="C7186" s="132"/>
      <c r="D7186" s="125">
        <f t="shared" ref="D7186:D7194" si="83">COUNTIF(A2488:A7185,A7186)</f>
        <v>0</v>
      </c>
      <c r="E7186" s="124" t="s">
        <v>8367</v>
      </c>
      <c r="F7186" s="126">
        <v>1</v>
      </c>
      <c r="G7186" s="128">
        <v>9500.4</v>
      </c>
      <c r="H7186" s="124" t="s">
        <v>8368</v>
      </c>
      <c r="I7186" s="127">
        <v>25</v>
      </c>
      <c r="J7186" s="127">
        <v>125</v>
      </c>
    </row>
    <row r="7187" spans="1:10" hidden="1" x14ac:dyDescent="0.25">
      <c r="A7187" s="124" t="s">
        <v>9651</v>
      </c>
      <c r="B7187" s="124" t="s">
        <v>11736</v>
      </c>
      <c r="C7187" s="132"/>
      <c r="D7187" s="125">
        <f t="shared" si="83"/>
        <v>0</v>
      </c>
      <c r="E7187" s="124" t="s">
        <v>8367</v>
      </c>
      <c r="F7187" s="126">
        <v>2</v>
      </c>
      <c r="G7187" s="128">
        <v>11529.6</v>
      </c>
      <c r="H7187" s="124" t="s">
        <v>8368</v>
      </c>
      <c r="I7187" s="127">
        <v>296.60000000000002</v>
      </c>
      <c r="J7187" s="128">
        <v>1483</v>
      </c>
    </row>
    <row r="7188" spans="1:10" hidden="1" x14ac:dyDescent="0.25">
      <c r="A7188" s="124" t="s">
        <v>9652</v>
      </c>
      <c r="B7188" s="124" t="s">
        <v>11736</v>
      </c>
      <c r="C7188" s="132"/>
      <c r="D7188" s="125">
        <f t="shared" si="83"/>
        <v>0</v>
      </c>
      <c r="E7188" s="124" t="s">
        <v>8367</v>
      </c>
      <c r="F7188" s="126">
        <v>3</v>
      </c>
      <c r="G7188" s="128">
        <v>5907.6</v>
      </c>
      <c r="H7188" s="124" t="s">
        <v>8368</v>
      </c>
      <c r="I7188" s="128">
        <v>1314.6</v>
      </c>
      <c r="J7188" s="128">
        <v>6573</v>
      </c>
    </row>
    <row r="7189" spans="1:10" hidden="1" x14ac:dyDescent="0.25">
      <c r="A7189" s="124" t="s">
        <v>9653</v>
      </c>
      <c r="B7189" s="124" t="s">
        <v>11736</v>
      </c>
      <c r="C7189" s="132"/>
      <c r="D7189" s="125">
        <f t="shared" si="83"/>
        <v>0</v>
      </c>
      <c r="E7189" s="124" t="s">
        <v>8367</v>
      </c>
      <c r="F7189" s="126">
        <v>3</v>
      </c>
      <c r="G7189" s="127">
        <v>150</v>
      </c>
      <c r="H7189" s="124" t="s">
        <v>8368</v>
      </c>
      <c r="I7189" s="127">
        <v>436.4</v>
      </c>
      <c r="J7189" s="128">
        <v>2182</v>
      </c>
    </row>
    <row r="7190" spans="1:10" hidden="1" x14ac:dyDescent="0.25">
      <c r="A7190" s="124" t="s">
        <v>9654</v>
      </c>
      <c r="B7190" s="124" t="s">
        <v>11736</v>
      </c>
      <c r="C7190" s="132"/>
      <c r="D7190" s="125">
        <f t="shared" si="83"/>
        <v>0</v>
      </c>
      <c r="E7190" s="124" t="s">
        <v>8367</v>
      </c>
      <c r="F7190" s="126">
        <v>4</v>
      </c>
      <c r="G7190" s="128">
        <v>1779.6</v>
      </c>
      <c r="H7190" s="124" t="s">
        <v>8368</v>
      </c>
      <c r="I7190" s="128">
        <v>4475</v>
      </c>
      <c r="J7190" s="128">
        <v>22375</v>
      </c>
    </row>
    <row r="7191" spans="1:10" hidden="1" x14ac:dyDescent="0.25">
      <c r="A7191" s="124" t="s">
        <v>9655</v>
      </c>
      <c r="B7191" s="124" t="s">
        <v>11736</v>
      </c>
      <c r="C7191" s="132"/>
      <c r="D7191" s="125">
        <f t="shared" si="83"/>
        <v>0</v>
      </c>
      <c r="E7191" s="124" t="s">
        <v>8367</v>
      </c>
      <c r="F7191" s="126">
        <v>29</v>
      </c>
      <c r="G7191" s="128">
        <v>7887.6</v>
      </c>
      <c r="H7191" s="124" t="s">
        <v>8368</v>
      </c>
      <c r="I7191" s="128">
        <v>15671.91</v>
      </c>
      <c r="J7191" s="128">
        <v>78359.55</v>
      </c>
    </row>
    <row r="7192" spans="1:10" hidden="1" x14ac:dyDescent="0.25">
      <c r="A7192" s="124" t="s">
        <v>9656</v>
      </c>
      <c r="B7192" s="124" t="s">
        <v>11736</v>
      </c>
      <c r="C7192" s="132"/>
      <c r="D7192" s="125">
        <f t="shared" si="83"/>
        <v>0</v>
      </c>
      <c r="E7192" s="124" t="s">
        <v>8367</v>
      </c>
      <c r="F7192" s="126">
        <v>2</v>
      </c>
      <c r="G7192" s="128">
        <v>2618.4</v>
      </c>
      <c r="H7192" s="124" t="s">
        <v>8368</v>
      </c>
      <c r="I7192" s="128">
        <v>5909.4</v>
      </c>
      <c r="J7192" s="128">
        <v>29547</v>
      </c>
    </row>
    <row r="7193" spans="1:10" hidden="1" x14ac:dyDescent="0.25">
      <c r="A7193" s="124" t="s">
        <v>9657</v>
      </c>
      <c r="B7193" s="124" t="s">
        <v>11736</v>
      </c>
      <c r="C7193" s="132"/>
      <c r="D7193" s="125">
        <f t="shared" si="83"/>
        <v>0</v>
      </c>
      <c r="E7193" s="124" t="s">
        <v>8367</v>
      </c>
      <c r="F7193" s="126">
        <v>15</v>
      </c>
      <c r="G7193" s="128">
        <v>26850</v>
      </c>
      <c r="H7193" s="124" t="s">
        <v>8368</v>
      </c>
      <c r="I7193" s="127">
        <v>280.99</v>
      </c>
      <c r="J7193" s="128">
        <v>1404.96</v>
      </c>
    </row>
    <row r="7194" spans="1:10" hidden="1" x14ac:dyDescent="0.25">
      <c r="A7194" s="124" t="s">
        <v>9658</v>
      </c>
      <c r="B7194" s="124" t="s">
        <v>11736</v>
      </c>
      <c r="C7194" s="132"/>
      <c r="D7194" s="125">
        <f t="shared" si="83"/>
        <v>0</v>
      </c>
      <c r="E7194" s="124" t="s">
        <v>8367</v>
      </c>
      <c r="F7194" s="126">
        <v>2</v>
      </c>
      <c r="G7194" s="128">
        <v>94031.46</v>
      </c>
      <c r="H7194" s="124" t="s">
        <v>8368</v>
      </c>
      <c r="I7194" s="128">
        <v>15750</v>
      </c>
      <c r="J7194" s="128">
        <v>78750</v>
      </c>
    </row>
    <row r="7195" spans="1:10" hidden="1" x14ac:dyDescent="0.25">
      <c r="A7195" s="124" t="s">
        <v>9659</v>
      </c>
      <c r="B7195" s="124" t="s">
        <v>11736</v>
      </c>
      <c r="C7195" s="132"/>
      <c r="D7195" s="125">
        <f t="shared" ref="D7195:D7201" si="84">COUNTIF(A2498:A7194,A7195)</f>
        <v>0</v>
      </c>
      <c r="E7195" s="124" t="s">
        <v>8367</v>
      </c>
      <c r="F7195" s="126">
        <v>1</v>
      </c>
      <c r="G7195" s="128">
        <v>35456.400000000001</v>
      </c>
      <c r="H7195" s="124" t="s">
        <v>8368</v>
      </c>
      <c r="I7195" s="127">
        <v>247.77</v>
      </c>
      <c r="J7195" s="128">
        <v>1238.83</v>
      </c>
    </row>
    <row r="7196" spans="1:10" hidden="1" x14ac:dyDescent="0.25">
      <c r="A7196" s="124" t="s">
        <v>2183</v>
      </c>
      <c r="B7196" s="124" t="s">
        <v>11736</v>
      </c>
      <c r="C7196" s="132"/>
      <c r="D7196" s="125">
        <f t="shared" si="84"/>
        <v>0</v>
      </c>
      <c r="E7196" s="124" t="s">
        <v>8367</v>
      </c>
      <c r="F7196" s="126">
        <v>1</v>
      </c>
      <c r="G7196" s="128">
        <v>1685.95</v>
      </c>
      <c r="H7196" s="124" t="s">
        <v>8368</v>
      </c>
      <c r="I7196" s="127">
        <v>80</v>
      </c>
      <c r="J7196" s="127">
        <v>400</v>
      </c>
    </row>
    <row r="7197" spans="1:10" hidden="1" x14ac:dyDescent="0.25">
      <c r="A7197" s="124" t="s">
        <v>9660</v>
      </c>
      <c r="B7197" s="124" t="s">
        <v>11736</v>
      </c>
      <c r="C7197" s="132"/>
      <c r="D7197" s="125">
        <f t="shared" si="84"/>
        <v>0</v>
      </c>
      <c r="E7197" s="124" t="s">
        <v>8367</v>
      </c>
      <c r="F7197" s="126">
        <v>63</v>
      </c>
      <c r="G7197" s="128">
        <v>94500</v>
      </c>
      <c r="H7197" s="124" t="s">
        <v>8368</v>
      </c>
      <c r="I7197" s="127">
        <v>60</v>
      </c>
      <c r="J7197" s="127">
        <v>300</v>
      </c>
    </row>
    <row r="7198" spans="1:10" hidden="1" x14ac:dyDescent="0.25">
      <c r="A7198" s="124" t="s">
        <v>9661</v>
      </c>
      <c r="B7198" s="124" t="s">
        <v>11736</v>
      </c>
      <c r="C7198" s="132"/>
      <c r="D7198" s="125">
        <f t="shared" si="84"/>
        <v>0</v>
      </c>
      <c r="E7198" s="124" t="s">
        <v>8367</v>
      </c>
      <c r="F7198" s="126">
        <v>100</v>
      </c>
      <c r="G7198" s="128">
        <v>1486.6</v>
      </c>
      <c r="H7198" s="124" t="s">
        <v>8368</v>
      </c>
      <c r="I7198" s="127">
        <v>40</v>
      </c>
      <c r="J7198" s="127">
        <v>200</v>
      </c>
    </row>
    <row r="7199" spans="1:10" hidden="1" x14ac:dyDescent="0.25">
      <c r="A7199" s="124" t="s">
        <v>2718</v>
      </c>
      <c r="B7199" s="124" t="s">
        <v>11736</v>
      </c>
      <c r="C7199" s="132"/>
      <c r="D7199" s="125">
        <f t="shared" si="84"/>
        <v>0</v>
      </c>
      <c r="E7199" s="124" t="s">
        <v>8367</v>
      </c>
      <c r="F7199" s="126">
        <v>200</v>
      </c>
      <c r="G7199" s="127">
        <v>480</v>
      </c>
      <c r="H7199" s="124" t="s">
        <v>8368</v>
      </c>
      <c r="I7199" s="128">
        <v>1233.4000000000001</v>
      </c>
      <c r="J7199" s="128">
        <v>6167</v>
      </c>
    </row>
    <row r="7200" spans="1:10" hidden="1" x14ac:dyDescent="0.25">
      <c r="A7200" s="124" t="s">
        <v>9662</v>
      </c>
      <c r="B7200" s="124" t="s">
        <v>11736</v>
      </c>
      <c r="C7200" s="132"/>
      <c r="D7200" s="125">
        <f t="shared" si="84"/>
        <v>0</v>
      </c>
      <c r="E7200" s="124" t="s">
        <v>8367</v>
      </c>
      <c r="F7200" s="126">
        <v>200</v>
      </c>
      <c r="G7200" s="127">
        <v>360</v>
      </c>
      <c r="H7200" s="124" t="s">
        <v>8368</v>
      </c>
      <c r="I7200" s="127">
        <v>307.5</v>
      </c>
      <c r="J7200" s="128">
        <v>1537.5</v>
      </c>
    </row>
    <row r="7201" spans="1:10" hidden="1" x14ac:dyDescent="0.25">
      <c r="A7201" s="124" t="s">
        <v>9663</v>
      </c>
      <c r="B7201" s="124" t="s">
        <v>11736</v>
      </c>
      <c r="C7201" s="132"/>
      <c r="D7201" s="125">
        <f t="shared" si="84"/>
        <v>0</v>
      </c>
      <c r="E7201" s="124" t="s">
        <v>8367</v>
      </c>
      <c r="F7201" s="126">
        <v>200</v>
      </c>
      <c r="G7201" s="127">
        <v>240</v>
      </c>
      <c r="H7201" s="124" t="s">
        <v>8368</v>
      </c>
      <c r="I7201" s="127">
        <v>99.2</v>
      </c>
      <c r="J7201" s="127">
        <v>496</v>
      </c>
    </row>
    <row r="7202" spans="1:10" hidden="1" x14ac:dyDescent="0.25">
      <c r="A7202" s="124" t="s">
        <v>9664</v>
      </c>
      <c r="B7202" s="124" t="s">
        <v>11736</v>
      </c>
      <c r="C7202" s="132"/>
      <c r="D7202" s="125">
        <f>COUNTIF(A2508:A7201,A7202)</f>
        <v>0</v>
      </c>
      <c r="E7202" s="124" t="s">
        <v>8367</v>
      </c>
      <c r="F7202" s="126">
        <v>100</v>
      </c>
      <c r="G7202" s="128">
        <v>7400.4</v>
      </c>
      <c r="H7202" s="124" t="s">
        <v>8368</v>
      </c>
      <c r="I7202" s="128">
        <v>13330</v>
      </c>
      <c r="J7202" s="128">
        <v>66650</v>
      </c>
    </row>
    <row r="7203" spans="1:10" hidden="1" x14ac:dyDescent="0.25">
      <c r="A7203" s="124" t="s">
        <v>9665</v>
      </c>
      <c r="B7203" s="124" t="s">
        <v>11736</v>
      </c>
      <c r="C7203" s="132"/>
      <c r="D7203" s="125">
        <f>COUNTIF(A2509:A7202,A7203)</f>
        <v>0</v>
      </c>
      <c r="E7203" s="124" t="s">
        <v>8367</v>
      </c>
      <c r="F7203" s="126">
        <v>5</v>
      </c>
      <c r="G7203" s="128">
        <v>1845</v>
      </c>
      <c r="H7203" s="124" t="s">
        <v>8368</v>
      </c>
      <c r="I7203" s="128">
        <v>1820</v>
      </c>
      <c r="J7203" s="128">
        <v>9100</v>
      </c>
    </row>
    <row r="7204" spans="1:10" hidden="1" x14ac:dyDescent="0.25">
      <c r="A7204" s="124" t="s">
        <v>9666</v>
      </c>
      <c r="B7204" s="124" t="s">
        <v>11736</v>
      </c>
      <c r="C7204" s="132"/>
      <c r="D7204" s="125">
        <f>COUNTIF(A2514:A7203,A7204)</f>
        <v>0</v>
      </c>
      <c r="E7204" s="124" t="s">
        <v>8367</v>
      </c>
      <c r="F7204" s="126">
        <v>1</v>
      </c>
      <c r="G7204" s="127">
        <v>595.20000000000005</v>
      </c>
      <c r="H7204" s="124" t="s">
        <v>8368</v>
      </c>
      <c r="I7204" s="127">
        <v>31.6</v>
      </c>
      <c r="J7204" s="127">
        <v>158</v>
      </c>
    </row>
    <row r="7205" spans="1:10" hidden="1" x14ac:dyDescent="0.25">
      <c r="A7205" s="124" t="s">
        <v>9667</v>
      </c>
      <c r="B7205" s="124" t="s">
        <v>11736</v>
      </c>
      <c r="C7205" s="132"/>
      <c r="D7205" s="125">
        <f t="shared" ref="D7205:D7217" si="85">COUNTIF(A2516:A7204,A7205)</f>
        <v>0</v>
      </c>
      <c r="E7205" s="124" t="s">
        <v>8367</v>
      </c>
      <c r="F7205" s="126">
        <v>2</v>
      </c>
      <c r="G7205" s="128">
        <v>79980</v>
      </c>
      <c r="H7205" s="124" t="s">
        <v>8368</v>
      </c>
      <c r="I7205" s="127">
        <v>121.4</v>
      </c>
      <c r="J7205" s="127">
        <v>607</v>
      </c>
    </row>
    <row r="7206" spans="1:10" hidden="1" x14ac:dyDescent="0.25">
      <c r="A7206" s="124" t="s">
        <v>9668</v>
      </c>
      <c r="B7206" s="124" t="s">
        <v>11736</v>
      </c>
      <c r="C7206" s="132"/>
      <c r="D7206" s="125">
        <f t="shared" si="85"/>
        <v>0</v>
      </c>
      <c r="E7206" s="124" t="s">
        <v>8367</v>
      </c>
      <c r="F7206" s="126">
        <v>12</v>
      </c>
      <c r="G7206" s="128">
        <v>10920</v>
      </c>
      <c r="H7206" s="124" t="s">
        <v>8368</v>
      </c>
      <c r="I7206" s="127">
        <v>830.4</v>
      </c>
      <c r="J7206" s="128">
        <v>4152</v>
      </c>
    </row>
    <row r="7207" spans="1:10" hidden="1" x14ac:dyDescent="0.25">
      <c r="A7207" s="124" t="s">
        <v>9669</v>
      </c>
      <c r="B7207" s="124" t="s">
        <v>11736</v>
      </c>
      <c r="C7207" s="132"/>
      <c r="D7207" s="125">
        <f t="shared" si="85"/>
        <v>0</v>
      </c>
      <c r="E7207" s="124" t="s">
        <v>8367</v>
      </c>
      <c r="F7207" s="126">
        <v>1</v>
      </c>
      <c r="G7207" s="127">
        <v>189.6</v>
      </c>
      <c r="H7207" s="124" t="s">
        <v>8368</v>
      </c>
      <c r="I7207" s="127">
        <v>238</v>
      </c>
      <c r="J7207" s="128">
        <v>1190</v>
      </c>
    </row>
    <row r="7208" spans="1:10" hidden="1" x14ac:dyDescent="0.25">
      <c r="A7208" s="124" t="s">
        <v>9670</v>
      </c>
      <c r="B7208" s="124" t="s">
        <v>11736</v>
      </c>
      <c r="C7208" s="132"/>
      <c r="D7208" s="125">
        <f t="shared" si="85"/>
        <v>0</v>
      </c>
      <c r="E7208" s="124" t="s">
        <v>8367</v>
      </c>
      <c r="F7208" s="126">
        <v>1</v>
      </c>
      <c r="G7208" s="127">
        <v>728.4</v>
      </c>
      <c r="H7208" s="124" t="s">
        <v>8368</v>
      </c>
      <c r="I7208" s="127">
        <v>48</v>
      </c>
      <c r="J7208" s="127">
        <v>240</v>
      </c>
    </row>
    <row r="7209" spans="1:10" hidden="1" x14ac:dyDescent="0.25">
      <c r="A7209" s="124" t="s">
        <v>9671</v>
      </c>
      <c r="B7209" s="124" t="s">
        <v>11736</v>
      </c>
      <c r="C7209" s="132"/>
      <c r="D7209" s="125">
        <f t="shared" si="85"/>
        <v>0</v>
      </c>
      <c r="E7209" s="124" t="s">
        <v>8367</v>
      </c>
      <c r="F7209" s="126">
        <v>1</v>
      </c>
      <c r="G7209" s="128">
        <v>4982.3999999999996</v>
      </c>
      <c r="H7209" s="124" t="s">
        <v>8368</v>
      </c>
      <c r="I7209" s="127">
        <v>236.8</v>
      </c>
      <c r="J7209" s="128">
        <v>1184</v>
      </c>
    </row>
    <row r="7210" spans="1:10" hidden="1" x14ac:dyDescent="0.25">
      <c r="A7210" s="124" t="s">
        <v>9672</v>
      </c>
      <c r="B7210" s="124" t="s">
        <v>11736</v>
      </c>
      <c r="C7210" s="132"/>
      <c r="D7210" s="125">
        <f t="shared" si="85"/>
        <v>0</v>
      </c>
      <c r="E7210" s="124" t="s">
        <v>8367</v>
      </c>
      <c r="F7210" s="126">
        <v>3</v>
      </c>
      <c r="G7210" s="128">
        <v>1428</v>
      </c>
      <c r="H7210" s="124" t="s">
        <v>8368</v>
      </c>
      <c r="I7210" s="127">
        <v>87.4</v>
      </c>
      <c r="J7210" s="127">
        <v>437</v>
      </c>
    </row>
    <row r="7211" spans="1:10" hidden="1" x14ac:dyDescent="0.25">
      <c r="A7211" s="124" t="s">
        <v>9673</v>
      </c>
      <c r="B7211" s="124" t="s">
        <v>11736</v>
      </c>
      <c r="C7211" s="132"/>
      <c r="D7211" s="125">
        <f t="shared" si="85"/>
        <v>0</v>
      </c>
      <c r="E7211" s="124" t="s">
        <v>8367</v>
      </c>
      <c r="F7211" s="126">
        <v>1</v>
      </c>
      <c r="G7211" s="127">
        <v>288</v>
      </c>
      <c r="H7211" s="124" t="s">
        <v>8368</v>
      </c>
      <c r="I7211" s="127">
        <v>372.4</v>
      </c>
      <c r="J7211" s="128">
        <v>1862</v>
      </c>
    </row>
    <row r="7212" spans="1:10" hidden="1" x14ac:dyDescent="0.25">
      <c r="A7212" s="124" t="s">
        <v>9674</v>
      </c>
      <c r="B7212" s="124" t="s">
        <v>11736</v>
      </c>
      <c r="C7212" s="132"/>
      <c r="D7212" s="125">
        <f t="shared" si="85"/>
        <v>0</v>
      </c>
      <c r="E7212" s="124" t="s">
        <v>8367</v>
      </c>
      <c r="F7212" s="126">
        <v>2</v>
      </c>
      <c r="G7212" s="128">
        <v>1420.8</v>
      </c>
      <c r="H7212" s="124" t="s">
        <v>8368</v>
      </c>
      <c r="I7212" s="128">
        <v>1363.43</v>
      </c>
      <c r="J7212" s="128">
        <v>6817.12</v>
      </c>
    </row>
    <row r="7213" spans="1:10" hidden="1" x14ac:dyDescent="0.25">
      <c r="A7213" s="124" t="s">
        <v>9675</v>
      </c>
      <c r="B7213" s="124" t="s">
        <v>11736</v>
      </c>
      <c r="C7213" s="132"/>
      <c r="D7213" s="125">
        <f t="shared" si="85"/>
        <v>0</v>
      </c>
      <c r="E7213" s="124" t="s">
        <v>8367</v>
      </c>
      <c r="F7213" s="126">
        <v>2</v>
      </c>
      <c r="G7213" s="127">
        <v>524.4</v>
      </c>
      <c r="H7213" s="124" t="s">
        <v>8368</v>
      </c>
      <c r="I7213" s="127">
        <v>179.39</v>
      </c>
      <c r="J7213" s="127">
        <v>896.96</v>
      </c>
    </row>
    <row r="7214" spans="1:10" hidden="1" x14ac:dyDescent="0.25">
      <c r="A7214" s="124" t="s">
        <v>2876</v>
      </c>
      <c r="B7214" s="124" t="s">
        <v>11736</v>
      </c>
      <c r="C7214" s="132"/>
      <c r="D7214" s="125">
        <f t="shared" si="85"/>
        <v>0</v>
      </c>
      <c r="E7214" s="124" t="s">
        <v>8367</v>
      </c>
      <c r="F7214" s="126">
        <v>1</v>
      </c>
      <c r="G7214" s="128">
        <v>2234.4</v>
      </c>
      <c r="H7214" s="124" t="s">
        <v>8368</v>
      </c>
      <c r="I7214" s="127">
        <v>97.98</v>
      </c>
      <c r="J7214" s="127">
        <v>489.9</v>
      </c>
    </row>
    <row r="7215" spans="1:10" hidden="1" x14ac:dyDescent="0.25">
      <c r="A7215" s="124" t="s">
        <v>9676</v>
      </c>
      <c r="B7215" s="124" t="s">
        <v>11736</v>
      </c>
      <c r="C7215" s="132"/>
      <c r="D7215" s="125">
        <f t="shared" si="85"/>
        <v>0</v>
      </c>
      <c r="E7215" s="124" t="s">
        <v>8367</v>
      </c>
      <c r="F7215" s="126">
        <v>15</v>
      </c>
      <c r="G7215" s="128">
        <v>8180.55</v>
      </c>
      <c r="H7215" s="124" t="s">
        <v>8368</v>
      </c>
      <c r="I7215" s="127">
        <v>76.599999999999994</v>
      </c>
      <c r="J7215" s="127">
        <v>383</v>
      </c>
    </row>
    <row r="7216" spans="1:10" hidden="1" x14ac:dyDescent="0.25">
      <c r="A7216" s="124" t="s">
        <v>641</v>
      </c>
      <c r="B7216" s="124" t="s">
        <v>11736</v>
      </c>
      <c r="C7216" s="132"/>
      <c r="D7216" s="125">
        <f t="shared" si="85"/>
        <v>0</v>
      </c>
      <c r="E7216" s="124" t="s">
        <v>8367</v>
      </c>
      <c r="F7216" s="126">
        <v>5</v>
      </c>
      <c r="G7216" s="128">
        <v>1076.3499999999999</v>
      </c>
      <c r="H7216" s="124" t="s">
        <v>8368</v>
      </c>
      <c r="I7216" s="127">
        <v>989.37</v>
      </c>
      <c r="J7216" s="128">
        <v>4946.8599999999997</v>
      </c>
    </row>
    <row r="7217" spans="1:10" hidden="1" x14ac:dyDescent="0.25">
      <c r="A7217" s="124" t="s">
        <v>9677</v>
      </c>
      <c r="B7217" s="124" t="s">
        <v>11736</v>
      </c>
      <c r="C7217" s="132"/>
      <c r="D7217" s="125">
        <f t="shared" si="85"/>
        <v>0</v>
      </c>
      <c r="E7217" s="124" t="s">
        <v>8367</v>
      </c>
      <c r="F7217" s="126">
        <v>3</v>
      </c>
      <c r="G7217" s="127">
        <v>587.88</v>
      </c>
      <c r="H7217" s="124" t="s">
        <v>8368</v>
      </c>
      <c r="I7217" s="127">
        <v>37.6</v>
      </c>
      <c r="J7217" s="127">
        <v>188</v>
      </c>
    </row>
    <row r="7218" spans="1:10" hidden="1" x14ac:dyDescent="0.25">
      <c r="A7218" s="124" t="s">
        <v>9678</v>
      </c>
      <c r="B7218" s="124" t="s">
        <v>11736</v>
      </c>
      <c r="C7218" s="132"/>
      <c r="D7218" s="125">
        <f>COUNTIF(A2534:A7217,A7218)</f>
        <v>0</v>
      </c>
      <c r="E7218" s="124" t="s">
        <v>8367</v>
      </c>
      <c r="F7218" s="126">
        <v>5</v>
      </c>
      <c r="G7218" s="127">
        <v>459.6</v>
      </c>
      <c r="H7218" s="124" t="s">
        <v>8368</v>
      </c>
      <c r="I7218" s="127">
        <v>27.6</v>
      </c>
      <c r="J7218" s="127">
        <v>138</v>
      </c>
    </row>
    <row r="7219" spans="1:10" hidden="1" x14ac:dyDescent="0.25">
      <c r="A7219" s="124" t="s">
        <v>9679</v>
      </c>
      <c r="B7219" s="124" t="s">
        <v>11736</v>
      </c>
      <c r="C7219" s="132"/>
      <c r="D7219" s="125">
        <f>COUNTIF(A2538:A7218,A7219)</f>
        <v>0</v>
      </c>
      <c r="E7219" s="124" t="s">
        <v>8367</v>
      </c>
      <c r="F7219" s="126">
        <v>8</v>
      </c>
      <c r="G7219" s="128">
        <v>5936.23</v>
      </c>
      <c r="H7219" s="124" t="s">
        <v>8368</v>
      </c>
      <c r="I7219" s="127">
        <v>198.6</v>
      </c>
      <c r="J7219" s="127">
        <v>993</v>
      </c>
    </row>
    <row r="7220" spans="1:10" hidden="1" x14ac:dyDescent="0.25">
      <c r="A7220" s="124" t="s">
        <v>9680</v>
      </c>
      <c r="B7220" s="124" t="s">
        <v>11736</v>
      </c>
      <c r="C7220" s="132"/>
      <c r="D7220" s="125">
        <f>COUNTIF(A2541:A7219,A7220)</f>
        <v>0</v>
      </c>
      <c r="E7220" s="124" t="s">
        <v>8367</v>
      </c>
      <c r="F7220" s="126">
        <v>1</v>
      </c>
      <c r="G7220" s="127">
        <v>225.6</v>
      </c>
      <c r="H7220" s="124" t="s">
        <v>8368</v>
      </c>
      <c r="I7220" s="127">
        <v>457.09</v>
      </c>
      <c r="J7220" s="128">
        <v>2285.4699999999998</v>
      </c>
    </row>
    <row r="7221" spans="1:10" hidden="1" x14ac:dyDescent="0.25">
      <c r="A7221" s="124" t="s">
        <v>9681</v>
      </c>
      <c r="B7221" s="124" t="s">
        <v>11736</v>
      </c>
      <c r="C7221" s="132"/>
      <c r="D7221" s="125">
        <f>COUNTIF(A2542:A7220,A7221)</f>
        <v>0</v>
      </c>
      <c r="E7221" s="124" t="s">
        <v>8367</v>
      </c>
      <c r="F7221" s="126">
        <v>2</v>
      </c>
      <c r="G7221" s="127">
        <v>165.6</v>
      </c>
      <c r="H7221" s="124" t="s">
        <v>8368</v>
      </c>
      <c r="I7221" s="127">
        <v>345.6</v>
      </c>
      <c r="J7221" s="128">
        <v>1728</v>
      </c>
    </row>
    <row r="7222" spans="1:10" hidden="1" x14ac:dyDescent="0.25">
      <c r="A7222" s="124" t="s">
        <v>9682</v>
      </c>
      <c r="B7222" s="124" t="s">
        <v>11736</v>
      </c>
      <c r="C7222" s="132"/>
      <c r="D7222" s="125">
        <f>COUNTIF(A2558:A7221,A7222)</f>
        <v>0</v>
      </c>
      <c r="E7222" s="124" t="s">
        <v>8367</v>
      </c>
      <c r="F7222" s="126">
        <v>4</v>
      </c>
      <c r="G7222" s="128">
        <v>1191.5999999999999</v>
      </c>
      <c r="H7222" s="124" t="s">
        <v>8368</v>
      </c>
      <c r="I7222" s="127">
        <v>108.4</v>
      </c>
      <c r="J7222" s="127">
        <v>542</v>
      </c>
    </row>
    <row r="7223" spans="1:10" hidden="1" x14ac:dyDescent="0.25">
      <c r="A7223" s="124" t="s">
        <v>9683</v>
      </c>
      <c r="B7223" s="124" t="s">
        <v>11736</v>
      </c>
      <c r="C7223" s="132"/>
      <c r="D7223" s="125">
        <f>COUNTIF(A2559:A7222,A7223)</f>
        <v>0</v>
      </c>
      <c r="E7223" s="124" t="s">
        <v>8367</v>
      </c>
      <c r="F7223" s="126">
        <v>1</v>
      </c>
      <c r="G7223" s="128">
        <v>2742.56</v>
      </c>
      <c r="H7223" s="124" t="s">
        <v>8368</v>
      </c>
      <c r="I7223" s="127">
        <v>491.8</v>
      </c>
      <c r="J7223" s="128">
        <v>2459</v>
      </c>
    </row>
    <row r="7224" spans="1:10" hidden="1" x14ac:dyDescent="0.25">
      <c r="A7224" s="124" t="s">
        <v>9684</v>
      </c>
      <c r="B7224" s="124" t="s">
        <v>11736</v>
      </c>
      <c r="C7224" s="132"/>
      <c r="D7224" s="125">
        <f>COUNTIF(A2566:A7223,A7224)</f>
        <v>0</v>
      </c>
      <c r="E7224" s="124" t="s">
        <v>8367</v>
      </c>
      <c r="F7224" s="126">
        <v>30</v>
      </c>
      <c r="G7224" s="128">
        <v>2073.6</v>
      </c>
      <c r="H7224" s="124" t="s">
        <v>8368</v>
      </c>
      <c r="I7224" s="127">
        <v>508.4</v>
      </c>
      <c r="J7224" s="128">
        <v>2542</v>
      </c>
    </row>
    <row r="7225" spans="1:10" hidden="1" x14ac:dyDescent="0.25">
      <c r="A7225" s="124" t="s">
        <v>9685</v>
      </c>
      <c r="B7225" s="124" t="s">
        <v>11736</v>
      </c>
      <c r="C7225" s="132"/>
      <c r="D7225" s="125">
        <f>COUNTIF(A2568:A7224,A7225)</f>
        <v>0</v>
      </c>
      <c r="E7225" s="124" t="s">
        <v>8367</v>
      </c>
      <c r="F7225" s="126">
        <v>2</v>
      </c>
      <c r="G7225" s="127">
        <v>650.4</v>
      </c>
      <c r="H7225" s="124" t="s">
        <v>8368</v>
      </c>
      <c r="I7225" s="127">
        <v>508.4</v>
      </c>
      <c r="J7225" s="128">
        <v>2542</v>
      </c>
    </row>
    <row r="7226" spans="1:10" hidden="1" x14ac:dyDescent="0.25">
      <c r="A7226" s="124" t="s">
        <v>9686</v>
      </c>
      <c r="B7226" s="124" t="s">
        <v>11736</v>
      </c>
      <c r="C7226" s="132"/>
      <c r="D7226" s="125">
        <f t="shared" ref="D7226:D7234" si="86">COUNTIF(A2571:A7225,A7226)</f>
        <v>0</v>
      </c>
      <c r="E7226" s="124" t="s">
        <v>8367</v>
      </c>
      <c r="F7226" s="126">
        <v>50</v>
      </c>
      <c r="G7226" s="128">
        <v>2950.8</v>
      </c>
      <c r="H7226" s="124" t="s">
        <v>8368</v>
      </c>
      <c r="I7226" s="127">
        <v>691.6</v>
      </c>
      <c r="J7226" s="128">
        <v>3458</v>
      </c>
    </row>
    <row r="7227" spans="1:10" hidden="1" x14ac:dyDescent="0.25">
      <c r="A7227" s="124" t="s">
        <v>9687</v>
      </c>
      <c r="B7227" s="124" t="s">
        <v>11736</v>
      </c>
      <c r="C7227" s="132"/>
      <c r="D7227" s="125">
        <f t="shared" si="86"/>
        <v>0</v>
      </c>
      <c r="E7227" s="124" t="s">
        <v>8367</v>
      </c>
      <c r="F7227" s="126">
        <v>50</v>
      </c>
      <c r="G7227" s="128">
        <v>3050.4</v>
      </c>
      <c r="H7227" s="124" t="s">
        <v>8368</v>
      </c>
      <c r="I7227" s="127">
        <v>642.6</v>
      </c>
      <c r="J7227" s="128">
        <v>3213</v>
      </c>
    </row>
    <row r="7228" spans="1:10" hidden="1" x14ac:dyDescent="0.25">
      <c r="A7228" s="124" t="s">
        <v>9688</v>
      </c>
      <c r="B7228" s="124" t="s">
        <v>11736</v>
      </c>
      <c r="C7228" s="132"/>
      <c r="D7228" s="125">
        <f t="shared" si="86"/>
        <v>0</v>
      </c>
      <c r="E7228" s="124" t="s">
        <v>8367</v>
      </c>
      <c r="F7228" s="126">
        <v>50</v>
      </c>
      <c r="G7228" s="128">
        <v>3050.4</v>
      </c>
      <c r="H7228" s="124" t="s">
        <v>8368</v>
      </c>
      <c r="I7228" s="127">
        <v>21.6</v>
      </c>
      <c r="J7228" s="127">
        <v>108</v>
      </c>
    </row>
    <row r="7229" spans="1:10" hidden="1" x14ac:dyDescent="0.25">
      <c r="A7229" s="124" t="s">
        <v>9689</v>
      </c>
      <c r="B7229" s="124" t="s">
        <v>11736</v>
      </c>
      <c r="C7229" s="132"/>
      <c r="D7229" s="125">
        <f t="shared" si="86"/>
        <v>0</v>
      </c>
      <c r="E7229" s="124" t="s">
        <v>8367</v>
      </c>
      <c r="F7229" s="126">
        <v>10</v>
      </c>
      <c r="G7229" s="128">
        <v>4149.6000000000004</v>
      </c>
      <c r="H7229" s="124" t="s">
        <v>8368</v>
      </c>
      <c r="I7229" s="127">
        <v>29.6</v>
      </c>
      <c r="J7229" s="127">
        <v>148</v>
      </c>
    </row>
    <row r="7230" spans="1:10" hidden="1" x14ac:dyDescent="0.25">
      <c r="A7230" s="124" t="s">
        <v>9690</v>
      </c>
      <c r="B7230" s="124" t="s">
        <v>11736</v>
      </c>
      <c r="C7230" s="132"/>
      <c r="D7230" s="125">
        <f t="shared" si="86"/>
        <v>0</v>
      </c>
      <c r="E7230" s="124" t="s">
        <v>8367</v>
      </c>
      <c r="F7230" s="126">
        <v>4</v>
      </c>
      <c r="G7230" s="128">
        <v>3855.6</v>
      </c>
      <c r="H7230" s="124" t="s">
        <v>8368</v>
      </c>
      <c r="I7230" s="127">
        <v>648.4</v>
      </c>
      <c r="J7230" s="128">
        <v>3242</v>
      </c>
    </row>
    <row r="7231" spans="1:10" hidden="1" x14ac:dyDescent="0.25">
      <c r="A7231" s="124" t="s">
        <v>9691</v>
      </c>
      <c r="B7231" s="124" t="s">
        <v>11736</v>
      </c>
      <c r="C7231" s="132"/>
      <c r="D7231" s="125">
        <f t="shared" si="86"/>
        <v>0</v>
      </c>
      <c r="E7231" s="124" t="s">
        <v>8367</v>
      </c>
      <c r="F7231" s="126">
        <v>1</v>
      </c>
      <c r="G7231" s="127">
        <v>129.6</v>
      </c>
      <c r="H7231" s="124" t="s">
        <v>8368</v>
      </c>
      <c r="I7231" s="127">
        <v>43.34</v>
      </c>
      <c r="J7231" s="127">
        <v>216.72</v>
      </c>
    </row>
    <row r="7232" spans="1:10" hidden="1" x14ac:dyDescent="0.25">
      <c r="A7232" s="124" t="s">
        <v>9692</v>
      </c>
      <c r="B7232" s="124" t="s">
        <v>11736</v>
      </c>
      <c r="C7232" s="132"/>
      <c r="D7232" s="125">
        <f t="shared" si="86"/>
        <v>0</v>
      </c>
      <c r="E7232" s="124" t="s">
        <v>8367</v>
      </c>
      <c r="F7232" s="126">
        <v>1</v>
      </c>
      <c r="G7232" s="127">
        <v>177.6</v>
      </c>
      <c r="H7232" s="124" t="s">
        <v>8368</v>
      </c>
      <c r="I7232" s="127">
        <v>54.6</v>
      </c>
      <c r="J7232" s="127">
        <v>273</v>
      </c>
    </row>
    <row r="7233" spans="1:10" hidden="1" x14ac:dyDescent="0.25">
      <c r="A7233" s="124" t="s">
        <v>9693</v>
      </c>
      <c r="B7233" s="124" t="s">
        <v>11736</v>
      </c>
      <c r="C7233" s="132"/>
      <c r="D7233" s="125">
        <f t="shared" si="86"/>
        <v>0</v>
      </c>
      <c r="E7233" s="124" t="s">
        <v>8367</v>
      </c>
      <c r="F7233" s="126">
        <v>10</v>
      </c>
      <c r="G7233" s="128">
        <v>3890.4</v>
      </c>
      <c r="H7233" s="124" t="s">
        <v>8368</v>
      </c>
      <c r="I7233" s="127">
        <v>47.4</v>
      </c>
      <c r="J7233" s="127">
        <v>237</v>
      </c>
    </row>
    <row r="7234" spans="1:10" hidden="1" x14ac:dyDescent="0.25">
      <c r="A7234" s="124" t="s">
        <v>9694</v>
      </c>
      <c r="B7234" s="124" t="s">
        <v>11736</v>
      </c>
      <c r="C7234" s="132"/>
      <c r="D7234" s="125">
        <f t="shared" si="86"/>
        <v>0</v>
      </c>
      <c r="E7234" s="124" t="s">
        <v>8367</v>
      </c>
      <c r="F7234" s="126">
        <v>5</v>
      </c>
      <c r="G7234" s="127">
        <v>260.06</v>
      </c>
      <c r="H7234" s="124" t="s">
        <v>8368</v>
      </c>
      <c r="I7234" s="128">
        <v>16300</v>
      </c>
      <c r="J7234" s="128">
        <v>81500</v>
      </c>
    </row>
    <row r="7235" spans="1:10" hidden="1" x14ac:dyDescent="0.25">
      <c r="A7235" s="124" t="s">
        <v>9695</v>
      </c>
      <c r="B7235" s="124" t="s">
        <v>11736</v>
      </c>
      <c r="C7235" s="132"/>
      <c r="D7235" s="125">
        <f>COUNTIF(A2581:A7234,A7235)</f>
        <v>0</v>
      </c>
      <c r="E7235" s="124" t="s">
        <v>8367</v>
      </c>
      <c r="F7235" s="126">
        <v>2</v>
      </c>
      <c r="G7235" s="127">
        <v>327.60000000000002</v>
      </c>
      <c r="H7235" s="124" t="s">
        <v>8368</v>
      </c>
      <c r="I7235" s="128">
        <v>1090</v>
      </c>
      <c r="J7235" s="128">
        <v>5450</v>
      </c>
    </row>
    <row r="7236" spans="1:10" hidden="1" x14ac:dyDescent="0.25">
      <c r="A7236" s="124" t="s">
        <v>9696</v>
      </c>
      <c r="B7236" s="124" t="s">
        <v>11736</v>
      </c>
      <c r="C7236" s="132"/>
      <c r="D7236" s="125">
        <f>COUNTIF(A2582:A7235,A7236)</f>
        <v>0</v>
      </c>
      <c r="E7236" s="124" t="s">
        <v>8367</v>
      </c>
      <c r="F7236" s="126">
        <v>2</v>
      </c>
      <c r="G7236" s="127">
        <v>284.39999999999998</v>
      </c>
      <c r="H7236" s="124" t="s">
        <v>8368</v>
      </c>
      <c r="I7236" s="128">
        <v>1035</v>
      </c>
      <c r="J7236" s="128">
        <v>5175</v>
      </c>
    </row>
    <row r="7237" spans="1:10" hidden="1" x14ac:dyDescent="0.25">
      <c r="A7237" s="124" t="s">
        <v>9697</v>
      </c>
      <c r="B7237" s="124" t="s">
        <v>11736</v>
      </c>
      <c r="C7237" s="132"/>
      <c r="D7237" s="125">
        <f t="shared" ref="D7237:D7243" si="87">COUNTIF(A2584:A7236,A7237)</f>
        <v>0</v>
      </c>
      <c r="E7237" s="124" t="s">
        <v>1</v>
      </c>
      <c r="F7237" s="126">
        <v>10</v>
      </c>
      <c r="G7237" s="128">
        <v>97800</v>
      </c>
      <c r="H7237" s="124" t="s">
        <v>8368</v>
      </c>
      <c r="I7237" s="128">
        <v>1035</v>
      </c>
      <c r="J7237" s="128">
        <v>5175</v>
      </c>
    </row>
    <row r="7238" spans="1:10" hidden="1" x14ac:dyDescent="0.25">
      <c r="A7238" s="124" t="s">
        <v>9698</v>
      </c>
      <c r="B7238" s="124" t="s">
        <v>11736</v>
      </c>
      <c r="C7238" s="132"/>
      <c r="D7238" s="125">
        <f t="shared" si="87"/>
        <v>0</v>
      </c>
      <c r="E7238" s="124" t="s">
        <v>8367</v>
      </c>
      <c r="F7238" s="126">
        <v>2</v>
      </c>
      <c r="G7238" s="128">
        <v>6540</v>
      </c>
      <c r="H7238" s="124" t="s">
        <v>8368</v>
      </c>
      <c r="I7238" s="128">
        <v>1035</v>
      </c>
      <c r="J7238" s="128">
        <v>5175</v>
      </c>
    </row>
    <row r="7239" spans="1:10" hidden="1" x14ac:dyDescent="0.25">
      <c r="A7239" s="124" t="s">
        <v>9699</v>
      </c>
      <c r="B7239" s="124" t="s">
        <v>11736</v>
      </c>
      <c r="C7239" s="132"/>
      <c r="D7239" s="125">
        <f t="shared" si="87"/>
        <v>0</v>
      </c>
      <c r="E7239" s="124" t="s">
        <v>8367</v>
      </c>
      <c r="F7239" s="126">
        <v>2</v>
      </c>
      <c r="G7239" s="128">
        <v>6210</v>
      </c>
      <c r="H7239" s="124" t="s">
        <v>8368</v>
      </c>
      <c r="I7239" s="127">
        <v>200</v>
      </c>
      <c r="J7239" s="128">
        <v>1000</v>
      </c>
    </row>
    <row r="7240" spans="1:10" hidden="1" x14ac:dyDescent="0.25">
      <c r="A7240" s="124" t="s">
        <v>9700</v>
      </c>
      <c r="B7240" s="124" t="s">
        <v>11736</v>
      </c>
      <c r="C7240" s="132"/>
      <c r="D7240" s="125">
        <f t="shared" si="87"/>
        <v>0</v>
      </c>
      <c r="E7240" s="124" t="s">
        <v>8367</v>
      </c>
      <c r="F7240" s="126">
        <v>2</v>
      </c>
      <c r="G7240" s="128">
        <v>6210</v>
      </c>
      <c r="H7240" s="124" t="s">
        <v>8368</v>
      </c>
      <c r="I7240" s="127">
        <v>666.6</v>
      </c>
      <c r="J7240" s="128">
        <v>3333</v>
      </c>
    </row>
    <row r="7241" spans="1:10" hidden="1" x14ac:dyDescent="0.25">
      <c r="A7241" s="124" t="s">
        <v>9701</v>
      </c>
      <c r="B7241" s="124" t="s">
        <v>11736</v>
      </c>
      <c r="C7241" s="132"/>
      <c r="D7241" s="125">
        <f t="shared" si="87"/>
        <v>0</v>
      </c>
      <c r="E7241" s="124" t="s">
        <v>8367</v>
      </c>
      <c r="F7241" s="126">
        <v>2</v>
      </c>
      <c r="G7241" s="128">
        <v>6210</v>
      </c>
      <c r="H7241" s="124" t="s">
        <v>8368</v>
      </c>
      <c r="I7241" s="127">
        <v>168.54</v>
      </c>
      <c r="J7241" s="127">
        <v>842.72</v>
      </c>
    </row>
    <row r="7242" spans="1:10" hidden="1" x14ac:dyDescent="0.25">
      <c r="A7242" s="124" t="s">
        <v>9702</v>
      </c>
      <c r="B7242" s="124" t="s">
        <v>11736</v>
      </c>
      <c r="C7242" s="132"/>
      <c r="D7242" s="125">
        <f t="shared" si="87"/>
        <v>0</v>
      </c>
      <c r="E7242" s="124" t="s">
        <v>8367</v>
      </c>
      <c r="F7242" s="129">
        <v>1000</v>
      </c>
      <c r="G7242" s="128">
        <v>1200</v>
      </c>
      <c r="H7242" s="124" t="s">
        <v>8368</v>
      </c>
      <c r="I7242" s="127">
        <v>129.19999999999999</v>
      </c>
      <c r="J7242" s="127">
        <v>646</v>
      </c>
    </row>
    <row r="7243" spans="1:10" hidden="1" x14ac:dyDescent="0.25">
      <c r="A7243" s="124" t="s">
        <v>9703</v>
      </c>
      <c r="B7243" s="124" t="s">
        <v>11736</v>
      </c>
      <c r="C7243" s="132"/>
      <c r="D7243" s="125">
        <f t="shared" si="87"/>
        <v>0</v>
      </c>
      <c r="E7243" s="124" t="s">
        <v>8367</v>
      </c>
      <c r="F7243" s="126">
        <v>10</v>
      </c>
      <c r="G7243" s="128">
        <v>3999.6</v>
      </c>
      <c r="H7243" s="124" t="s">
        <v>8368</v>
      </c>
      <c r="I7243" s="127">
        <v>5.67</v>
      </c>
      <c r="J7243" s="127">
        <v>28.33</v>
      </c>
    </row>
    <row r="7244" spans="1:10" hidden="1" x14ac:dyDescent="0.25">
      <c r="A7244" s="124" t="s">
        <v>9704</v>
      </c>
      <c r="B7244" s="124" t="s">
        <v>11736</v>
      </c>
      <c r="C7244" s="132"/>
      <c r="D7244" s="125">
        <f>COUNTIF(A2592:A7243,A7244)</f>
        <v>0</v>
      </c>
      <c r="E7244" s="124" t="s">
        <v>8367</v>
      </c>
      <c r="F7244" s="126">
        <v>2</v>
      </c>
      <c r="G7244" s="128">
        <v>1011.26</v>
      </c>
      <c r="H7244" s="124" t="s">
        <v>8368</v>
      </c>
      <c r="I7244" s="127">
        <v>40</v>
      </c>
      <c r="J7244" s="127">
        <v>200</v>
      </c>
    </row>
    <row r="7245" spans="1:10" hidden="1" x14ac:dyDescent="0.25">
      <c r="A7245" s="124" t="s">
        <v>9705</v>
      </c>
      <c r="B7245" s="124" t="s">
        <v>11736</v>
      </c>
      <c r="C7245" s="132"/>
      <c r="D7245" s="125">
        <f>COUNTIF(A2593:A7244,A7245)</f>
        <v>0</v>
      </c>
      <c r="E7245" s="124" t="s">
        <v>8367</v>
      </c>
      <c r="F7245" s="126">
        <v>5</v>
      </c>
      <c r="G7245" s="127">
        <v>775.2</v>
      </c>
      <c r="H7245" s="124" t="s">
        <v>8368</v>
      </c>
      <c r="I7245" s="127">
        <v>200</v>
      </c>
      <c r="J7245" s="128">
        <v>1000</v>
      </c>
    </row>
    <row r="7246" spans="1:10" hidden="1" x14ac:dyDescent="0.25">
      <c r="A7246" s="124" t="s">
        <v>9706</v>
      </c>
      <c r="B7246" s="124" t="s">
        <v>11736</v>
      </c>
      <c r="C7246" s="132"/>
      <c r="D7246" s="125">
        <f>COUNTIF(A2594:A7245,A7246)</f>
        <v>0</v>
      </c>
      <c r="E7246" s="124" t="s">
        <v>8367</v>
      </c>
      <c r="F7246" s="126">
        <v>1</v>
      </c>
      <c r="G7246" s="127">
        <v>34</v>
      </c>
      <c r="H7246" s="124" t="s">
        <v>8368</v>
      </c>
      <c r="I7246" s="128">
        <v>3000</v>
      </c>
      <c r="J7246" s="128">
        <v>15000</v>
      </c>
    </row>
    <row r="7247" spans="1:10" hidden="1" x14ac:dyDescent="0.25">
      <c r="A7247" s="124" t="s">
        <v>9707</v>
      </c>
      <c r="B7247" s="124" t="s">
        <v>11736</v>
      </c>
      <c r="C7247" s="132"/>
      <c r="D7247" s="125">
        <f>COUNTIF(A2595:A7246,A7247)</f>
        <v>0</v>
      </c>
      <c r="E7247" s="124" t="s">
        <v>8451</v>
      </c>
      <c r="F7247" s="126">
        <v>5</v>
      </c>
      <c r="G7247" s="127">
        <v>240</v>
      </c>
      <c r="H7247" s="124" t="s">
        <v>8368</v>
      </c>
      <c r="I7247" s="127">
        <v>179.53</v>
      </c>
      <c r="J7247" s="127">
        <v>897.67</v>
      </c>
    </row>
    <row r="7248" spans="1:10" hidden="1" x14ac:dyDescent="0.25">
      <c r="A7248" s="124" t="s">
        <v>9708</v>
      </c>
      <c r="B7248" s="124" t="s">
        <v>11736</v>
      </c>
      <c r="C7248" s="132"/>
      <c r="D7248" s="125">
        <f>COUNTIF(A2596:A7247,A7248)</f>
        <v>0</v>
      </c>
      <c r="E7248" s="124" t="s">
        <v>8367</v>
      </c>
      <c r="F7248" s="126">
        <v>10</v>
      </c>
      <c r="G7248" s="128">
        <v>1200</v>
      </c>
      <c r="H7248" s="124" t="s">
        <v>8368</v>
      </c>
      <c r="I7248" s="127">
        <v>103.33</v>
      </c>
      <c r="J7248" s="127">
        <v>516.66999999999996</v>
      </c>
    </row>
    <row r="7249" spans="1:10" hidden="1" x14ac:dyDescent="0.25">
      <c r="A7249" s="124" t="s">
        <v>9709</v>
      </c>
      <c r="B7249" s="124" t="s">
        <v>11736</v>
      </c>
      <c r="C7249" s="132"/>
      <c r="D7249" s="125">
        <f t="shared" ref="D7249:D7254" si="88">COUNTIF(A2598:A7248,A7249)</f>
        <v>0</v>
      </c>
      <c r="E7249" s="124" t="s">
        <v>8367</v>
      </c>
      <c r="F7249" s="126">
        <v>2</v>
      </c>
      <c r="G7249" s="128">
        <v>18000</v>
      </c>
      <c r="H7249" s="124" t="s">
        <v>8368</v>
      </c>
      <c r="I7249" s="127">
        <v>69.33</v>
      </c>
      <c r="J7249" s="127">
        <v>346.67</v>
      </c>
    </row>
    <row r="7250" spans="1:10" hidden="1" x14ac:dyDescent="0.25">
      <c r="A7250" s="124" t="s">
        <v>9710</v>
      </c>
      <c r="B7250" s="124" t="s">
        <v>11736</v>
      </c>
      <c r="C7250" s="132"/>
      <c r="D7250" s="125">
        <f t="shared" si="88"/>
        <v>0</v>
      </c>
      <c r="E7250" s="124" t="s">
        <v>8367</v>
      </c>
      <c r="F7250" s="126">
        <v>1</v>
      </c>
      <c r="G7250" s="128">
        <v>1077.2</v>
      </c>
      <c r="H7250" s="124" t="s">
        <v>8368</v>
      </c>
      <c r="I7250" s="127">
        <v>322.67</v>
      </c>
      <c r="J7250" s="128">
        <v>1613.35</v>
      </c>
    </row>
    <row r="7251" spans="1:10" hidden="1" x14ac:dyDescent="0.25">
      <c r="A7251" s="124" t="s">
        <v>9711</v>
      </c>
      <c r="B7251" s="124" t="s">
        <v>11736</v>
      </c>
      <c r="C7251" s="132"/>
      <c r="D7251" s="125">
        <f t="shared" si="88"/>
        <v>0</v>
      </c>
      <c r="E7251" s="124" t="s">
        <v>8367</v>
      </c>
      <c r="F7251" s="126">
        <v>5</v>
      </c>
      <c r="G7251" s="127">
        <v>620</v>
      </c>
      <c r="H7251" s="124" t="s">
        <v>8368</v>
      </c>
      <c r="I7251" s="127">
        <v>239.33</v>
      </c>
      <c r="J7251" s="128">
        <v>1196.67</v>
      </c>
    </row>
    <row r="7252" spans="1:10" hidden="1" x14ac:dyDescent="0.25">
      <c r="A7252" s="124" t="s">
        <v>9712</v>
      </c>
      <c r="B7252" s="124" t="s">
        <v>11736</v>
      </c>
      <c r="C7252" s="132"/>
      <c r="D7252" s="125">
        <f t="shared" si="88"/>
        <v>0</v>
      </c>
      <c r="E7252" s="124" t="s">
        <v>8367</v>
      </c>
      <c r="F7252" s="126">
        <v>1</v>
      </c>
      <c r="G7252" s="127">
        <v>416</v>
      </c>
      <c r="H7252" s="124" t="s">
        <v>8368</v>
      </c>
      <c r="I7252" s="127">
        <v>176</v>
      </c>
      <c r="J7252" s="127">
        <v>880</v>
      </c>
    </row>
    <row r="7253" spans="1:10" hidden="1" x14ac:dyDescent="0.25">
      <c r="A7253" s="124" t="s">
        <v>9713</v>
      </c>
      <c r="B7253" s="124" t="s">
        <v>11736</v>
      </c>
      <c r="C7253" s="132"/>
      <c r="D7253" s="125">
        <f t="shared" si="88"/>
        <v>0</v>
      </c>
      <c r="E7253" s="124" t="s">
        <v>8367</v>
      </c>
      <c r="F7253" s="126">
        <v>2</v>
      </c>
      <c r="G7253" s="128">
        <v>1936.02</v>
      </c>
      <c r="H7253" s="124" t="s">
        <v>8368</v>
      </c>
      <c r="I7253" s="127">
        <v>12.67</v>
      </c>
      <c r="J7253" s="127">
        <v>63.33</v>
      </c>
    </row>
    <row r="7254" spans="1:10" hidden="1" x14ac:dyDescent="0.25">
      <c r="A7254" s="124" t="s">
        <v>9714</v>
      </c>
      <c r="B7254" s="124" t="s">
        <v>11736</v>
      </c>
      <c r="C7254" s="132"/>
      <c r="D7254" s="125">
        <f t="shared" si="88"/>
        <v>0</v>
      </c>
      <c r="E7254" s="124" t="s">
        <v>8451</v>
      </c>
      <c r="F7254" s="126">
        <v>2</v>
      </c>
      <c r="G7254" s="128">
        <v>1436</v>
      </c>
      <c r="H7254" s="124" t="s">
        <v>8368</v>
      </c>
      <c r="I7254" s="127">
        <v>159.84</v>
      </c>
      <c r="J7254" s="127">
        <v>799.2</v>
      </c>
    </row>
    <row r="7255" spans="1:10" hidden="1" x14ac:dyDescent="0.25">
      <c r="A7255" s="124" t="s">
        <v>9715</v>
      </c>
      <c r="B7255" s="124" t="s">
        <v>11736</v>
      </c>
      <c r="C7255" s="132"/>
      <c r="D7255" s="125">
        <f>COUNTIF(A2605:A7254,A7255)</f>
        <v>0</v>
      </c>
      <c r="E7255" s="124" t="s">
        <v>8367</v>
      </c>
      <c r="F7255" s="126">
        <v>4</v>
      </c>
      <c r="G7255" s="128">
        <v>1056</v>
      </c>
      <c r="H7255" s="124" t="s">
        <v>8368</v>
      </c>
      <c r="I7255" s="127">
        <v>52.33</v>
      </c>
      <c r="J7255" s="127">
        <v>261.67</v>
      </c>
    </row>
    <row r="7256" spans="1:10" hidden="1" x14ac:dyDescent="0.25">
      <c r="A7256" s="124" t="s">
        <v>3229</v>
      </c>
      <c r="B7256" s="124" t="s">
        <v>11736</v>
      </c>
      <c r="C7256" s="132"/>
      <c r="D7256" s="125">
        <f>COUNTIF(A2606:A7255,A7256)</f>
        <v>0</v>
      </c>
      <c r="E7256" s="124" t="s">
        <v>8451</v>
      </c>
      <c r="F7256" s="126">
        <v>2</v>
      </c>
      <c r="G7256" s="127">
        <v>76</v>
      </c>
      <c r="H7256" s="124" t="s">
        <v>8368</v>
      </c>
      <c r="I7256" s="127">
        <v>57.27</v>
      </c>
      <c r="J7256" s="127">
        <v>286.33</v>
      </c>
    </row>
    <row r="7257" spans="1:10" hidden="1" x14ac:dyDescent="0.25">
      <c r="A7257" s="124" t="s">
        <v>9716</v>
      </c>
      <c r="B7257" s="124" t="s">
        <v>11736</v>
      </c>
      <c r="C7257" s="132"/>
      <c r="D7257" s="125">
        <f>COUNTIF(A2607:A7256,A7257)</f>
        <v>0</v>
      </c>
      <c r="E7257" s="124" t="s">
        <v>8367</v>
      </c>
      <c r="F7257" s="126">
        <v>40</v>
      </c>
      <c r="G7257" s="127">
        <v>959.04</v>
      </c>
      <c r="H7257" s="124" t="s">
        <v>8368</v>
      </c>
      <c r="I7257" s="127">
        <v>246.67</v>
      </c>
      <c r="J7257" s="128">
        <v>1233.3499999999999</v>
      </c>
    </row>
    <row r="7258" spans="1:10" hidden="1" x14ac:dyDescent="0.25">
      <c r="A7258" s="124" t="s">
        <v>9717</v>
      </c>
      <c r="B7258" s="124" t="s">
        <v>11736</v>
      </c>
      <c r="C7258" s="132"/>
      <c r="D7258" s="125">
        <f t="shared" ref="D7258:D7267" si="89">COUNTIF(A2609:A7257,A7258)</f>
        <v>0</v>
      </c>
      <c r="E7258" s="124" t="s">
        <v>8367</v>
      </c>
      <c r="F7258" s="126">
        <v>10</v>
      </c>
      <c r="G7258" s="127">
        <v>314</v>
      </c>
      <c r="H7258" s="124" t="s">
        <v>8368</v>
      </c>
      <c r="I7258" s="127">
        <v>82.67</v>
      </c>
      <c r="J7258" s="127">
        <v>413.33</v>
      </c>
    </row>
    <row r="7259" spans="1:10" hidden="1" x14ac:dyDescent="0.25">
      <c r="A7259" s="124" t="s">
        <v>9718</v>
      </c>
      <c r="B7259" s="124" t="s">
        <v>11736</v>
      </c>
      <c r="C7259" s="132"/>
      <c r="D7259" s="125">
        <f t="shared" si="89"/>
        <v>0</v>
      </c>
      <c r="E7259" s="124" t="s">
        <v>8367</v>
      </c>
      <c r="F7259" s="126">
        <v>4</v>
      </c>
      <c r="G7259" s="127">
        <v>343.6</v>
      </c>
      <c r="H7259" s="124" t="s">
        <v>8368</v>
      </c>
      <c r="I7259" s="128">
        <v>219166.67</v>
      </c>
      <c r="J7259" s="128">
        <v>1095833.33</v>
      </c>
    </row>
    <row r="7260" spans="1:10" hidden="1" x14ac:dyDescent="0.25">
      <c r="A7260" s="124" t="s">
        <v>9719</v>
      </c>
      <c r="B7260" s="124" t="s">
        <v>11736</v>
      </c>
      <c r="C7260" s="132"/>
      <c r="D7260" s="125">
        <f t="shared" si="89"/>
        <v>0</v>
      </c>
      <c r="E7260" s="124" t="s">
        <v>8451</v>
      </c>
      <c r="F7260" s="126">
        <v>2</v>
      </c>
      <c r="G7260" s="128">
        <v>1480.02</v>
      </c>
      <c r="H7260" s="124" t="s">
        <v>8368</v>
      </c>
      <c r="I7260" s="128">
        <v>74235</v>
      </c>
      <c r="J7260" s="128">
        <v>371175</v>
      </c>
    </row>
    <row r="7261" spans="1:10" hidden="1" x14ac:dyDescent="0.25">
      <c r="A7261" s="124" t="s">
        <v>9720</v>
      </c>
      <c r="B7261" s="124" t="s">
        <v>11736</v>
      </c>
      <c r="C7261" s="132"/>
      <c r="D7261" s="125">
        <f t="shared" si="89"/>
        <v>0</v>
      </c>
      <c r="E7261" s="124" t="s">
        <v>8367</v>
      </c>
      <c r="F7261" s="126">
        <v>4</v>
      </c>
      <c r="G7261" s="127">
        <v>496</v>
      </c>
      <c r="H7261" s="124" t="s">
        <v>8368</v>
      </c>
      <c r="I7261" s="127">
        <v>625</v>
      </c>
      <c r="J7261" s="128">
        <v>3125</v>
      </c>
    </row>
    <row r="7262" spans="1:10" hidden="1" x14ac:dyDescent="0.25">
      <c r="A7262" s="124" t="s">
        <v>9721</v>
      </c>
      <c r="B7262" s="124" t="s">
        <v>11736</v>
      </c>
      <c r="C7262" s="132"/>
      <c r="D7262" s="125">
        <f t="shared" si="89"/>
        <v>0</v>
      </c>
      <c r="E7262" s="124" t="s">
        <v>8367</v>
      </c>
      <c r="F7262" s="126">
        <v>1</v>
      </c>
      <c r="G7262" s="128">
        <v>1315000</v>
      </c>
      <c r="H7262" s="124" t="s">
        <v>8368</v>
      </c>
      <c r="I7262" s="127">
        <v>360</v>
      </c>
      <c r="J7262" s="128">
        <v>1800</v>
      </c>
    </row>
    <row r="7263" spans="1:10" hidden="1" x14ac:dyDescent="0.25">
      <c r="A7263" s="124" t="s">
        <v>9722</v>
      </c>
      <c r="B7263" s="124" t="s">
        <v>11736</v>
      </c>
      <c r="C7263" s="132"/>
      <c r="D7263" s="125">
        <f t="shared" si="89"/>
        <v>0</v>
      </c>
      <c r="E7263" s="124" t="s">
        <v>8367</v>
      </c>
      <c r="F7263" s="126">
        <v>1</v>
      </c>
      <c r="G7263" s="128">
        <v>445410</v>
      </c>
      <c r="H7263" s="124" t="s">
        <v>8368</v>
      </c>
      <c r="I7263" s="127">
        <v>88.4</v>
      </c>
      <c r="J7263" s="127">
        <v>442</v>
      </c>
    </row>
    <row r="7264" spans="1:10" hidden="1" x14ac:dyDescent="0.25">
      <c r="A7264" s="124" t="s">
        <v>1418</v>
      </c>
      <c r="B7264" s="124" t="s">
        <v>11736</v>
      </c>
      <c r="C7264" s="132"/>
      <c r="D7264" s="125">
        <f t="shared" si="89"/>
        <v>0</v>
      </c>
      <c r="E7264" s="124" t="s">
        <v>8367</v>
      </c>
      <c r="F7264" s="126">
        <v>100</v>
      </c>
      <c r="G7264" s="128">
        <v>3750</v>
      </c>
      <c r="H7264" s="124" t="s">
        <v>8368</v>
      </c>
      <c r="I7264" s="127">
        <v>200.83</v>
      </c>
      <c r="J7264" s="128">
        <v>1004.17</v>
      </c>
    </row>
    <row r="7265" spans="1:10" hidden="1" x14ac:dyDescent="0.25">
      <c r="A7265" s="124" t="s">
        <v>9723</v>
      </c>
      <c r="B7265" s="124" t="s">
        <v>11736</v>
      </c>
      <c r="C7265" s="132"/>
      <c r="D7265" s="125">
        <f t="shared" si="89"/>
        <v>0</v>
      </c>
      <c r="E7265" s="124" t="s">
        <v>8367</v>
      </c>
      <c r="F7265" s="126">
        <v>100</v>
      </c>
      <c r="G7265" s="128">
        <v>2160</v>
      </c>
      <c r="H7265" s="124" t="s">
        <v>8368</v>
      </c>
      <c r="I7265" s="128">
        <v>1296</v>
      </c>
      <c r="J7265" s="128">
        <v>6480</v>
      </c>
    </row>
    <row r="7266" spans="1:10" hidden="1" x14ac:dyDescent="0.25">
      <c r="A7266" s="124" t="s">
        <v>9724</v>
      </c>
      <c r="B7266" s="124" t="s">
        <v>11736</v>
      </c>
      <c r="C7266" s="132"/>
      <c r="D7266" s="125">
        <f t="shared" si="89"/>
        <v>0</v>
      </c>
      <c r="E7266" s="124" t="s">
        <v>8367</v>
      </c>
      <c r="F7266" s="126">
        <v>100</v>
      </c>
      <c r="G7266" s="127">
        <v>530.4</v>
      </c>
      <c r="H7266" s="124" t="s">
        <v>8368</v>
      </c>
      <c r="I7266" s="127">
        <v>402</v>
      </c>
      <c r="J7266" s="128">
        <v>2010</v>
      </c>
    </row>
    <row r="7267" spans="1:10" hidden="1" x14ac:dyDescent="0.25">
      <c r="A7267" s="124" t="s">
        <v>9725</v>
      </c>
      <c r="B7267" s="124" t="s">
        <v>11736</v>
      </c>
      <c r="C7267" s="132"/>
      <c r="D7267" s="125">
        <f t="shared" si="89"/>
        <v>0</v>
      </c>
      <c r="E7267" s="124" t="s">
        <v>8367</v>
      </c>
      <c r="F7267" s="126">
        <v>2</v>
      </c>
      <c r="G7267" s="128">
        <v>1205</v>
      </c>
      <c r="H7267" s="124" t="s">
        <v>8368</v>
      </c>
      <c r="I7267" s="128">
        <v>8003.4</v>
      </c>
      <c r="J7267" s="128">
        <v>40017</v>
      </c>
    </row>
    <row r="7268" spans="1:10" hidden="1" x14ac:dyDescent="0.25">
      <c r="A7268" s="124" t="s">
        <v>9726</v>
      </c>
      <c r="B7268" s="124" t="s">
        <v>11736</v>
      </c>
      <c r="C7268" s="132"/>
      <c r="D7268" s="125">
        <f>COUNTIF(A2620:A7267,A7268)</f>
        <v>0</v>
      </c>
      <c r="E7268" s="124" t="s">
        <v>8367</v>
      </c>
      <c r="F7268" s="126">
        <v>6</v>
      </c>
      <c r="G7268" s="128">
        <v>7776</v>
      </c>
      <c r="H7268" s="124" t="s">
        <v>8368</v>
      </c>
      <c r="I7268" s="127">
        <v>273.33</v>
      </c>
      <c r="J7268" s="128">
        <v>1366.67</v>
      </c>
    </row>
    <row r="7269" spans="1:10" hidden="1" x14ac:dyDescent="0.25">
      <c r="A7269" s="124" t="s">
        <v>9727</v>
      </c>
      <c r="B7269" s="124" t="s">
        <v>11736</v>
      </c>
      <c r="C7269" s="132"/>
      <c r="D7269" s="125">
        <f t="shared" ref="D7269:D7276" si="90">COUNTIF(A2622:A7268,A7269)</f>
        <v>0</v>
      </c>
      <c r="E7269" s="124" t="s">
        <v>8367</v>
      </c>
      <c r="F7269" s="126">
        <v>2</v>
      </c>
      <c r="G7269" s="128">
        <v>2412</v>
      </c>
      <c r="H7269" s="124" t="s">
        <v>8368</v>
      </c>
      <c r="I7269" s="127">
        <v>413.64</v>
      </c>
      <c r="J7269" s="128">
        <v>2068.2199999999998</v>
      </c>
    </row>
    <row r="7270" spans="1:10" hidden="1" x14ac:dyDescent="0.25">
      <c r="A7270" s="124" t="s">
        <v>9728</v>
      </c>
      <c r="B7270" s="124" t="s">
        <v>11736</v>
      </c>
      <c r="C7270" s="132"/>
      <c r="D7270" s="125">
        <f t="shared" si="90"/>
        <v>0</v>
      </c>
      <c r="E7270" s="124" t="s">
        <v>8367</v>
      </c>
      <c r="F7270" s="126">
        <v>20</v>
      </c>
      <c r="G7270" s="128">
        <v>48020.4</v>
      </c>
      <c r="H7270" s="124" t="s">
        <v>8368</v>
      </c>
      <c r="I7270" s="127">
        <v>179</v>
      </c>
      <c r="J7270" s="127">
        <v>895</v>
      </c>
    </row>
    <row r="7271" spans="1:10" hidden="1" x14ac:dyDescent="0.25">
      <c r="A7271" s="124" t="s">
        <v>3741</v>
      </c>
      <c r="B7271" s="124" t="s">
        <v>11736</v>
      </c>
      <c r="C7271" s="132"/>
      <c r="D7271" s="125">
        <f t="shared" si="90"/>
        <v>0</v>
      </c>
      <c r="E7271" s="124" t="s">
        <v>8367</v>
      </c>
      <c r="F7271" s="126">
        <v>20</v>
      </c>
      <c r="G7271" s="128">
        <v>1640</v>
      </c>
      <c r="H7271" s="124" t="s">
        <v>8368</v>
      </c>
      <c r="I7271" s="128">
        <v>5014.88</v>
      </c>
      <c r="J7271" s="128">
        <v>25074.400000000001</v>
      </c>
    </row>
    <row r="7272" spans="1:10" hidden="1" x14ac:dyDescent="0.25">
      <c r="A7272" s="124" t="s">
        <v>9729</v>
      </c>
      <c r="B7272" s="124" t="s">
        <v>11736</v>
      </c>
      <c r="C7272" s="132"/>
      <c r="D7272" s="125">
        <f t="shared" si="90"/>
        <v>0</v>
      </c>
      <c r="E7272" s="124" t="s">
        <v>8367</v>
      </c>
      <c r="F7272" s="126">
        <v>17</v>
      </c>
      <c r="G7272" s="128">
        <v>2481.86</v>
      </c>
      <c r="H7272" s="124" t="s">
        <v>8368</v>
      </c>
      <c r="I7272" s="128">
        <v>2820.87</v>
      </c>
      <c r="J7272" s="128">
        <v>14104.35</v>
      </c>
    </row>
    <row r="7273" spans="1:10" hidden="1" x14ac:dyDescent="0.25">
      <c r="A7273" s="124" t="s">
        <v>9730</v>
      </c>
      <c r="B7273" s="124" t="s">
        <v>11736</v>
      </c>
      <c r="C7273" s="132"/>
      <c r="D7273" s="125">
        <f t="shared" si="90"/>
        <v>0</v>
      </c>
      <c r="E7273" s="124" t="s">
        <v>8367</v>
      </c>
      <c r="F7273" s="126">
        <v>1</v>
      </c>
      <c r="G7273" s="128">
        <v>1074</v>
      </c>
      <c r="H7273" s="124" t="s">
        <v>8368</v>
      </c>
      <c r="I7273" s="128">
        <v>4231.3100000000004</v>
      </c>
      <c r="J7273" s="128">
        <v>21156.52</v>
      </c>
    </row>
    <row r="7274" spans="1:10" hidden="1" x14ac:dyDescent="0.25">
      <c r="A7274" s="124" t="s">
        <v>9731</v>
      </c>
      <c r="B7274" s="124" t="s">
        <v>11736</v>
      </c>
      <c r="C7274" s="132"/>
      <c r="D7274" s="125">
        <f t="shared" si="90"/>
        <v>0</v>
      </c>
      <c r="E7274" s="124" t="s">
        <v>8</v>
      </c>
      <c r="F7274" s="126">
        <v>96</v>
      </c>
      <c r="G7274" s="128">
        <v>30089.279999999999</v>
      </c>
      <c r="H7274" s="124" t="s">
        <v>8368</v>
      </c>
      <c r="I7274" s="127">
        <v>488.8</v>
      </c>
      <c r="J7274" s="128">
        <v>2444</v>
      </c>
    </row>
    <row r="7275" spans="1:10" hidden="1" x14ac:dyDescent="0.25">
      <c r="A7275" s="124" t="s">
        <v>9732</v>
      </c>
      <c r="B7275" s="124" t="s">
        <v>11736</v>
      </c>
      <c r="C7275" s="132"/>
      <c r="D7275" s="125">
        <f t="shared" si="90"/>
        <v>0</v>
      </c>
      <c r="E7275" s="124" t="s">
        <v>8</v>
      </c>
      <c r="F7275" s="126">
        <v>54</v>
      </c>
      <c r="G7275" s="128">
        <v>16925.22</v>
      </c>
      <c r="H7275" s="124" t="s">
        <v>8368</v>
      </c>
      <c r="I7275" s="128">
        <v>4701.45</v>
      </c>
      <c r="J7275" s="128">
        <v>23507.25</v>
      </c>
    </row>
    <row r="7276" spans="1:10" hidden="1" x14ac:dyDescent="0.25">
      <c r="A7276" s="124" t="s">
        <v>9733</v>
      </c>
      <c r="B7276" s="124" t="s">
        <v>11736</v>
      </c>
      <c r="C7276" s="132"/>
      <c r="D7276" s="125">
        <f t="shared" si="90"/>
        <v>0</v>
      </c>
      <c r="E7276" s="124" t="s">
        <v>8</v>
      </c>
      <c r="F7276" s="126">
        <v>81</v>
      </c>
      <c r="G7276" s="128">
        <v>25387.83</v>
      </c>
      <c r="H7276" s="124" t="s">
        <v>8368</v>
      </c>
      <c r="I7276" s="128">
        <v>5733.4</v>
      </c>
      <c r="J7276" s="128">
        <v>28667</v>
      </c>
    </row>
    <row r="7277" spans="1:10" hidden="1" x14ac:dyDescent="0.25">
      <c r="A7277" s="124" t="s">
        <v>9734</v>
      </c>
      <c r="B7277" s="124" t="s">
        <v>11736</v>
      </c>
      <c r="C7277" s="132"/>
      <c r="D7277" s="125">
        <f>COUNTIF(A2638:A7276,A7277)</f>
        <v>0</v>
      </c>
      <c r="E7277" s="124" t="s">
        <v>8579</v>
      </c>
      <c r="F7277" s="126">
        <v>160</v>
      </c>
      <c r="G7277" s="128">
        <v>2932.8</v>
      </c>
      <c r="H7277" s="124" t="s">
        <v>8368</v>
      </c>
      <c r="I7277" s="128">
        <v>4650</v>
      </c>
      <c r="J7277" s="128">
        <v>23250</v>
      </c>
    </row>
    <row r="7278" spans="1:10" hidden="1" x14ac:dyDescent="0.25">
      <c r="A7278" s="124" t="s">
        <v>9735</v>
      </c>
      <c r="B7278" s="124" t="s">
        <v>11736</v>
      </c>
      <c r="C7278" s="132"/>
      <c r="D7278" s="125">
        <f>COUNTIF(A2646:A7277,A7278)</f>
        <v>0</v>
      </c>
      <c r="E7278" s="124" t="s">
        <v>8</v>
      </c>
      <c r="F7278" s="126">
        <v>90</v>
      </c>
      <c r="G7278" s="128">
        <v>28208.7</v>
      </c>
      <c r="H7278" s="124" t="s">
        <v>8368</v>
      </c>
      <c r="I7278" s="128">
        <v>200000</v>
      </c>
      <c r="J7278" s="128">
        <v>1000000</v>
      </c>
    </row>
    <row r="7279" spans="1:10" hidden="1" x14ac:dyDescent="0.25">
      <c r="A7279" s="124" t="s">
        <v>9736</v>
      </c>
      <c r="B7279" s="124" t="s">
        <v>11736</v>
      </c>
      <c r="C7279" s="132"/>
      <c r="D7279" s="125">
        <f>COUNTIF(A2647:A7278,A7279)</f>
        <v>0</v>
      </c>
      <c r="E7279" s="124" t="s">
        <v>8367</v>
      </c>
      <c r="F7279" s="126">
        <v>8</v>
      </c>
      <c r="G7279" s="128">
        <v>34400.400000000001</v>
      </c>
      <c r="H7279" s="124" t="s">
        <v>8368</v>
      </c>
      <c r="I7279" s="128">
        <v>50622.22</v>
      </c>
      <c r="J7279" s="128">
        <v>253111.11</v>
      </c>
    </row>
    <row r="7280" spans="1:10" hidden="1" x14ac:dyDescent="0.25">
      <c r="A7280" s="124" t="s">
        <v>9737</v>
      </c>
      <c r="B7280" s="124" t="s">
        <v>11736</v>
      </c>
      <c r="C7280" s="132"/>
      <c r="D7280" s="125">
        <f>COUNTIF(A2648:A7279,A7280)</f>
        <v>0</v>
      </c>
      <c r="E7280" s="124" t="s">
        <v>8367</v>
      </c>
      <c r="F7280" s="126">
        <v>9</v>
      </c>
      <c r="G7280" s="128">
        <v>27900</v>
      </c>
      <c r="H7280" s="124" t="s">
        <v>8368</v>
      </c>
      <c r="I7280" s="128">
        <v>3816.6</v>
      </c>
      <c r="J7280" s="128">
        <v>19083</v>
      </c>
    </row>
    <row r="7281" spans="1:10" hidden="1" x14ac:dyDescent="0.25">
      <c r="A7281" s="124" t="s">
        <v>9738</v>
      </c>
      <c r="B7281" s="124" t="s">
        <v>11736</v>
      </c>
      <c r="C7281" s="132"/>
      <c r="D7281" s="125">
        <f>COUNTIF(A2650:A7280,A7281)</f>
        <v>0</v>
      </c>
      <c r="E7281" s="124" t="s">
        <v>8367</v>
      </c>
      <c r="F7281" s="129">
        <v>2400</v>
      </c>
      <c r="G7281" s="128">
        <v>1200000</v>
      </c>
      <c r="H7281" s="124" t="s">
        <v>8368</v>
      </c>
      <c r="I7281" s="128">
        <v>63500</v>
      </c>
      <c r="J7281" s="128">
        <v>317500</v>
      </c>
    </row>
    <row r="7282" spans="1:10" hidden="1" x14ac:dyDescent="0.25">
      <c r="A7282" s="124" t="s">
        <v>9739</v>
      </c>
      <c r="B7282" s="124" t="s">
        <v>11736</v>
      </c>
      <c r="C7282" s="132"/>
      <c r="D7282" s="125">
        <f>COUNTIF(A2653:A7281,A7282)</f>
        <v>0</v>
      </c>
      <c r="E7282" s="124" t="s">
        <v>8367</v>
      </c>
      <c r="F7282" s="126">
        <v>1</v>
      </c>
      <c r="G7282" s="128">
        <v>303733.33</v>
      </c>
      <c r="H7282" s="124" t="s">
        <v>8368</v>
      </c>
      <c r="I7282" s="128">
        <v>114000</v>
      </c>
      <c r="J7282" s="128">
        <v>570000</v>
      </c>
    </row>
    <row r="7283" spans="1:10" hidden="1" x14ac:dyDescent="0.25">
      <c r="A7283" s="124" t="s">
        <v>9740</v>
      </c>
      <c r="B7283" s="124" t="s">
        <v>11736</v>
      </c>
      <c r="C7283" s="132"/>
      <c r="D7283" s="125">
        <f>COUNTIF(A2654:A7282,A7283)</f>
        <v>0</v>
      </c>
      <c r="E7283" s="124" t="s">
        <v>8</v>
      </c>
      <c r="F7283" s="126">
        <v>10</v>
      </c>
      <c r="G7283" s="128">
        <v>22899.599999999999</v>
      </c>
      <c r="H7283" s="124" t="s">
        <v>8368</v>
      </c>
      <c r="I7283" s="128">
        <v>1374720</v>
      </c>
      <c r="J7283" s="128">
        <v>6873600</v>
      </c>
    </row>
    <row r="7284" spans="1:10" hidden="1" x14ac:dyDescent="0.25">
      <c r="A7284" s="124" t="s">
        <v>9741</v>
      </c>
      <c r="B7284" s="124" t="s">
        <v>11736</v>
      </c>
      <c r="C7284" s="132"/>
      <c r="D7284" s="125">
        <f>COUNTIF(A2656:A7283,A7284)</f>
        <v>0</v>
      </c>
      <c r="E7284" s="124" t="s">
        <v>8367</v>
      </c>
      <c r="F7284" s="126">
        <v>15</v>
      </c>
      <c r="G7284" s="128">
        <v>381000</v>
      </c>
      <c r="H7284" s="124" t="s">
        <v>8368</v>
      </c>
      <c r="I7284" s="128">
        <v>277367.59999999998</v>
      </c>
      <c r="J7284" s="128">
        <v>1386838</v>
      </c>
    </row>
    <row r="7285" spans="1:10" hidden="1" x14ac:dyDescent="0.25">
      <c r="A7285" s="124" t="s">
        <v>9742</v>
      </c>
      <c r="B7285" s="124" t="s">
        <v>11736</v>
      </c>
      <c r="C7285" s="132"/>
      <c r="D7285" s="125">
        <f>COUNTIF(A2657:A7284,A7285)</f>
        <v>0</v>
      </c>
      <c r="E7285" s="124" t="s">
        <v>8367</v>
      </c>
      <c r="F7285" s="126">
        <v>15</v>
      </c>
      <c r="G7285" s="128">
        <v>684000</v>
      </c>
      <c r="H7285" s="124" t="s">
        <v>8368</v>
      </c>
      <c r="I7285" s="128">
        <v>41307.199999999997</v>
      </c>
      <c r="J7285" s="128">
        <v>206536</v>
      </c>
    </row>
    <row r="7286" spans="1:10" hidden="1" x14ac:dyDescent="0.25">
      <c r="A7286" s="124" t="s">
        <v>9743</v>
      </c>
      <c r="B7286" s="124" t="s">
        <v>11736</v>
      </c>
      <c r="C7286" s="132"/>
      <c r="D7286" s="125">
        <f>COUNTIF(A2658:A7285,A7286)</f>
        <v>0</v>
      </c>
      <c r="E7286" s="124" t="s">
        <v>8367</v>
      </c>
      <c r="F7286" s="126">
        <v>358</v>
      </c>
      <c r="G7286" s="128">
        <v>8248320</v>
      </c>
      <c r="H7286" s="124" t="s">
        <v>8368</v>
      </c>
      <c r="I7286" s="128">
        <v>127225.12</v>
      </c>
      <c r="J7286" s="128">
        <v>636125.6</v>
      </c>
    </row>
    <row r="7287" spans="1:10" hidden="1" x14ac:dyDescent="0.25">
      <c r="A7287" s="124" t="s">
        <v>9744</v>
      </c>
      <c r="B7287" s="124" t="s">
        <v>11736</v>
      </c>
      <c r="C7287" s="132"/>
      <c r="D7287" s="125">
        <f>COUNTIF(A2660:A7286,A7287)</f>
        <v>0</v>
      </c>
      <c r="E7287" s="124" t="s">
        <v>8367</v>
      </c>
      <c r="F7287" s="126">
        <v>100</v>
      </c>
      <c r="G7287" s="128">
        <v>1664205.6</v>
      </c>
      <c r="H7287" s="124" t="s">
        <v>8368</v>
      </c>
      <c r="I7287" s="128">
        <v>1724.6</v>
      </c>
      <c r="J7287" s="128">
        <v>8623</v>
      </c>
    </row>
    <row r="7288" spans="1:10" hidden="1" x14ac:dyDescent="0.25">
      <c r="A7288" s="124" t="s">
        <v>9745</v>
      </c>
      <c r="B7288" s="124" t="s">
        <v>11736</v>
      </c>
      <c r="C7288" s="132"/>
      <c r="D7288" s="125">
        <f>COUNTIF(A2661:A7287,A7288)</f>
        <v>0</v>
      </c>
      <c r="E7288" s="124" t="s">
        <v>8367</v>
      </c>
      <c r="F7288" s="126">
        <v>4</v>
      </c>
      <c r="G7288" s="128">
        <v>247843.20000000001</v>
      </c>
      <c r="H7288" s="124" t="s">
        <v>8368</v>
      </c>
      <c r="I7288" s="128">
        <v>2638.89</v>
      </c>
      <c r="J7288" s="128">
        <v>13194.44</v>
      </c>
    </row>
    <row r="7289" spans="1:10" hidden="1" x14ac:dyDescent="0.25">
      <c r="A7289" s="124" t="s">
        <v>9746</v>
      </c>
      <c r="B7289" s="124" t="s">
        <v>11736</v>
      </c>
      <c r="C7289" s="132"/>
      <c r="D7289" s="125">
        <f>COUNTIF(A2663:A7288,A7289)</f>
        <v>0</v>
      </c>
      <c r="E7289" s="124" t="s">
        <v>8367</v>
      </c>
      <c r="F7289" s="126">
        <v>4</v>
      </c>
      <c r="G7289" s="128">
        <v>763350.72</v>
      </c>
      <c r="H7289" s="124" t="s">
        <v>8368</v>
      </c>
      <c r="I7289" s="128">
        <v>102127092.02</v>
      </c>
      <c r="J7289" s="128">
        <v>510635460.06999999</v>
      </c>
    </row>
    <row r="7290" spans="1:10" hidden="1" x14ac:dyDescent="0.25">
      <c r="A7290" s="124" t="s">
        <v>9747</v>
      </c>
      <c r="B7290" s="124" t="s">
        <v>11736</v>
      </c>
      <c r="C7290" s="132"/>
      <c r="D7290" s="125">
        <f>COUNTIF(A2665:A7289,A7290)</f>
        <v>0</v>
      </c>
      <c r="E7290" s="124" t="s">
        <v>8367</v>
      </c>
      <c r="F7290" s="126">
        <v>3</v>
      </c>
      <c r="G7290" s="128">
        <v>10347.6</v>
      </c>
      <c r="H7290" s="124" t="s">
        <v>8368</v>
      </c>
      <c r="I7290" s="127">
        <v>979</v>
      </c>
      <c r="J7290" s="128">
        <v>4895</v>
      </c>
    </row>
    <row r="7291" spans="1:10" hidden="1" x14ac:dyDescent="0.25">
      <c r="A7291" s="124" t="s">
        <v>2589</v>
      </c>
      <c r="B7291" s="124" t="s">
        <v>11736</v>
      </c>
      <c r="C7291" s="132"/>
      <c r="D7291" s="125">
        <f>COUNTIF(A2669:A7290,A7291)</f>
        <v>0</v>
      </c>
      <c r="E7291" s="124" t="s">
        <v>8367</v>
      </c>
      <c r="F7291" s="126">
        <v>1</v>
      </c>
      <c r="G7291" s="128">
        <v>15833.33</v>
      </c>
      <c r="H7291" s="124" t="s">
        <v>8368</v>
      </c>
      <c r="I7291" s="127">
        <v>455</v>
      </c>
      <c r="J7291" s="128">
        <v>2275</v>
      </c>
    </row>
    <row r="7292" spans="1:10" hidden="1" x14ac:dyDescent="0.25">
      <c r="A7292" s="124" t="s">
        <v>3474</v>
      </c>
      <c r="B7292" s="124" t="s">
        <v>11736</v>
      </c>
      <c r="C7292" s="132"/>
      <c r="D7292" s="125">
        <f>COUNTIF(A2670:A7291,A7292)</f>
        <v>0</v>
      </c>
      <c r="E7292" s="124" t="s">
        <v>8367</v>
      </c>
      <c r="F7292" s="129">
        <v>2237</v>
      </c>
      <c r="G7292" s="128">
        <v>612762552.09000003</v>
      </c>
      <c r="H7292" s="124" t="s">
        <v>8368</v>
      </c>
      <c r="I7292" s="128">
        <v>1801.8</v>
      </c>
      <c r="J7292" s="128">
        <v>9009</v>
      </c>
    </row>
    <row r="7293" spans="1:10" hidden="1" x14ac:dyDescent="0.25">
      <c r="A7293" s="124" t="s">
        <v>9748</v>
      </c>
      <c r="B7293" s="124" t="s">
        <v>11736</v>
      </c>
      <c r="C7293" s="132"/>
      <c r="D7293" s="125">
        <f>COUNTIF(A2678:A7292,A7293)</f>
        <v>0</v>
      </c>
      <c r="E7293" s="124" t="s">
        <v>8367</v>
      </c>
      <c r="F7293" s="126">
        <v>22</v>
      </c>
      <c r="G7293" s="128">
        <v>5874</v>
      </c>
      <c r="H7293" s="124" t="s">
        <v>8368</v>
      </c>
      <c r="I7293" s="128">
        <v>3860.5</v>
      </c>
      <c r="J7293" s="128">
        <v>19302.5</v>
      </c>
    </row>
    <row r="7294" spans="1:10" hidden="1" x14ac:dyDescent="0.25">
      <c r="A7294" s="124" t="s">
        <v>9749</v>
      </c>
      <c r="B7294" s="124" t="s">
        <v>11736</v>
      </c>
      <c r="C7294" s="132"/>
      <c r="D7294" s="125">
        <f>COUNTIF(A2683:A7293,A7294)</f>
        <v>0</v>
      </c>
      <c r="E7294" s="124" t="s">
        <v>8367</v>
      </c>
      <c r="F7294" s="126">
        <v>10</v>
      </c>
      <c r="G7294" s="128">
        <v>2730</v>
      </c>
      <c r="H7294" s="124" t="s">
        <v>8368</v>
      </c>
      <c r="I7294" s="127">
        <v>889.3</v>
      </c>
      <c r="J7294" s="128">
        <v>4446.5</v>
      </c>
    </row>
    <row r="7295" spans="1:10" hidden="1" x14ac:dyDescent="0.25">
      <c r="A7295" s="124" t="s">
        <v>9750</v>
      </c>
      <c r="B7295" s="124" t="s">
        <v>11736</v>
      </c>
      <c r="C7295" s="132"/>
      <c r="D7295" s="125">
        <f>COUNTIF(A2684:A7294,A7295)</f>
        <v>0</v>
      </c>
      <c r="E7295" s="124" t="s">
        <v>8367</v>
      </c>
      <c r="F7295" s="126">
        <v>19</v>
      </c>
      <c r="G7295" s="128">
        <v>10810.8</v>
      </c>
      <c r="H7295" s="124" t="s">
        <v>8368</v>
      </c>
      <c r="I7295" s="127">
        <v>211.68</v>
      </c>
      <c r="J7295" s="128">
        <v>1058.4000000000001</v>
      </c>
    </row>
    <row r="7296" spans="1:10" hidden="1" x14ac:dyDescent="0.25">
      <c r="A7296" s="124" t="s">
        <v>2275</v>
      </c>
      <c r="B7296" s="124" t="s">
        <v>11736</v>
      </c>
      <c r="C7296" s="132"/>
      <c r="D7296" s="125">
        <f>COUNTIF(A2686:A7295,A7296)</f>
        <v>0</v>
      </c>
      <c r="E7296" s="124" t="s">
        <v>8367</v>
      </c>
      <c r="F7296" s="126">
        <v>75</v>
      </c>
      <c r="G7296" s="128">
        <v>23163</v>
      </c>
      <c r="H7296" s="124" t="s">
        <v>8368</v>
      </c>
      <c r="I7296" s="127">
        <v>479.52</v>
      </c>
      <c r="J7296" s="128">
        <v>2397.6</v>
      </c>
    </row>
    <row r="7297" spans="1:10" hidden="1" x14ac:dyDescent="0.25">
      <c r="A7297" s="124" t="s">
        <v>9751</v>
      </c>
      <c r="B7297" s="124" t="s">
        <v>11736</v>
      </c>
      <c r="C7297" s="132"/>
      <c r="D7297" s="125">
        <f>COUNTIF(A2688:A7296,A7297)</f>
        <v>0</v>
      </c>
      <c r="E7297" s="124" t="s">
        <v>8367</v>
      </c>
      <c r="F7297" s="126">
        <v>24</v>
      </c>
      <c r="G7297" s="128">
        <v>5335.8</v>
      </c>
      <c r="H7297" s="124" t="s">
        <v>8368</v>
      </c>
      <c r="I7297" s="127">
        <v>545.91</v>
      </c>
      <c r="J7297" s="128">
        <v>2729.57</v>
      </c>
    </row>
    <row r="7298" spans="1:10" hidden="1" x14ac:dyDescent="0.25">
      <c r="A7298" s="124" t="s">
        <v>2274</v>
      </c>
      <c r="B7298" s="124" t="s">
        <v>11736</v>
      </c>
      <c r="C7298" s="132"/>
      <c r="D7298" s="125">
        <f>COUNTIF(A2689:A7297,A7298)</f>
        <v>0</v>
      </c>
      <c r="E7298" s="124" t="s">
        <v>8367</v>
      </c>
      <c r="F7298" s="126">
        <v>2</v>
      </c>
      <c r="G7298" s="128">
        <v>1270.08</v>
      </c>
      <c r="H7298" s="124" t="s">
        <v>8368</v>
      </c>
      <c r="I7298" s="127">
        <v>934.47</v>
      </c>
      <c r="J7298" s="128">
        <v>4672.3500000000004</v>
      </c>
    </row>
    <row r="7299" spans="1:10" hidden="1" x14ac:dyDescent="0.25">
      <c r="A7299" s="124" t="s">
        <v>9752</v>
      </c>
      <c r="B7299" s="124" t="s">
        <v>11736</v>
      </c>
      <c r="C7299" s="132"/>
      <c r="D7299" s="125">
        <f>COUNTIF(A2690:A7298,A7299)</f>
        <v>0</v>
      </c>
      <c r="E7299" s="124" t="s">
        <v>8367</v>
      </c>
      <c r="F7299" s="126">
        <v>3</v>
      </c>
      <c r="G7299" s="128">
        <v>2877.12</v>
      </c>
      <c r="H7299" s="124" t="s">
        <v>8368</v>
      </c>
      <c r="I7299" s="127">
        <v>368.33</v>
      </c>
      <c r="J7299" s="128">
        <v>1841.67</v>
      </c>
    </row>
    <row r="7300" spans="1:10" hidden="1" x14ac:dyDescent="0.25">
      <c r="A7300" s="124" t="s">
        <v>9753</v>
      </c>
      <c r="B7300" s="124" t="s">
        <v>11736</v>
      </c>
      <c r="C7300" s="132"/>
      <c r="D7300" s="125">
        <f>COUNTIF(A2691:A7299,A7300)</f>
        <v>0</v>
      </c>
      <c r="E7300" s="124" t="s">
        <v>8367</v>
      </c>
      <c r="F7300" s="126">
        <v>35</v>
      </c>
      <c r="G7300" s="128">
        <v>3275.48</v>
      </c>
      <c r="H7300" s="124" t="s">
        <v>8368</v>
      </c>
      <c r="I7300" s="127">
        <v>191.6</v>
      </c>
      <c r="J7300" s="127">
        <v>958</v>
      </c>
    </row>
    <row r="7301" spans="1:10" hidden="1" x14ac:dyDescent="0.25">
      <c r="A7301" s="124" t="s">
        <v>9754</v>
      </c>
      <c r="B7301" s="124" t="s">
        <v>11736</v>
      </c>
      <c r="C7301" s="132"/>
      <c r="D7301" s="125">
        <f>COUNTIF(A2695:A7300,A7301)</f>
        <v>0</v>
      </c>
      <c r="E7301" s="124" t="s">
        <v>8367</v>
      </c>
      <c r="F7301" s="126">
        <v>10</v>
      </c>
      <c r="G7301" s="128">
        <v>5606.82</v>
      </c>
      <c r="H7301" s="124" t="s">
        <v>8368</v>
      </c>
      <c r="I7301" s="127">
        <v>128.6</v>
      </c>
      <c r="J7301" s="127">
        <v>643</v>
      </c>
    </row>
    <row r="7302" spans="1:10" hidden="1" x14ac:dyDescent="0.25">
      <c r="A7302" s="124" t="s">
        <v>9755</v>
      </c>
      <c r="B7302" s="124" t="s">
        <v>11736</v>
      </c>
      <c r="C7302" s="132"/>
      <c r="D7302" s="125">
        <f>COUNTIF(A2697:A7301,A7302)</f>
        <v>0</v>
      </c>
      <c r="E7302" s="124" t="s">
        <v>8451</v>
      </c>
      <c r="F7302" s="126">
        <v>10</v>
      </c>
      <c r="G7302" s="128">
        <v>2210</v>
      </c>
      <c r="H7302" s="124" t="s">
        <v>8368</v>
      </c>
      <c r="I7302" s="127">
        <v>615</v>
      </c>
      <c r="J7302" s="128">
        <v>3075</v>
      </c>
    </row>
    <row r="7303" spans="1:10" hidden="1" x14ac:dyDescent="0.25">
      <c r="A7303" s="124" t="s">
        <v>9756</v>
      </c>
      <c r="B7303" s="124" t="s">
        <v>11736</v>
      </c>
      <c r="C7303" s="132"/>
      <c r="D7303" s="125">
        <f>COUNTIF(A2698:A7302,A7303)</f>
        <v>0</v>
      </c>
      <c r="E7303" s="124" t="s">
        <v>8367</v>
      </c>
      <c r="F7303" s="126">
        <v>5</v>
      </c>
      <c r="G7303" s="128">
        <v>1149.5999999999999</v>
      </c>
      <c r="H7303" s="124" t="s">
        <v>8368</v>
      </c>
      <c r="I7303" s="127">
        <v>20.93</v>
      </c>
      <c r="J7303" s="127">
        <v>104.63</v>
      </c>
    </row>
    <row r="7304" spans="1:10" hidden="1" x14ac:dyDescent="0.25">
      <c r="A7304" s="124" t="s">
        <v>9757</v>
      </c>
      <c r="B7304" s="124" t="s">
        <v>11736</v>
      </c>
      <c r="C7304" s="132"/>
      <c r="D7304" s="125">
        <f>COUNTIF(A2700:A7303,A7304)</f>
        <v>0</v>
      </c>
      <c r="E7304" s="124" t="s">
        <v>8451</v>
      </c>
      <c r="F7304" s="126">
        <v>3</v>
      </c>
      <c r="G7304" s="127">
        <v>771.6</v>
      </c>
      <c r="H7304" s="124" t="s">
        <v>8368</v>
      </c>
      <c r="I7304" s="127">
        <v>615</v>
      </c>
      <c r="J7304" s="128">
        <v>3075</v>
      </c>
    </row>
    <row r="7305" spans="1:10" hidden="1" x14ac:dyDescent="0.25">
      <c r="A7305" s="124" t="s">
        <v>9758</v>
      </c>
      <c r="B7305" s="124" t="s">
        <v>11736</v>
      </c>
      <c r="C7305" s="132"/>
      <c r="D7305" s="125">
        <f>COUNTIF(A2702:A7304,A7305)</f>
        <v>0</v>
      </c>
      <c r="E7305" s="124" t="s">
        <v>8367</v>
      </c>
      <c r="F7305" s="126">
        <v>10</v>
      </c>
      <c r="G7305" s="128">
        <v>3690</v>
      </c>
      <c r="H7305" s="124" t="s">
        <v>8368</v>
      </c>
      <c r="I7305" s="127">
        <v>47.6</v>
      </c>
      <c r="J7305" s="127">
        <v>238</v>
      </c>
    </row>
    <row r="7306" spans="1:10" hidden="1" x14ac:dyDescent="0.25">
      <c r="A7306" s="124" t="s">
        <v>2196</v>
      </c>
      <c r="B7306" s="124" t="s">
        <v>11736</v>
      </c>
      <c r="C7306" s="132"/>
      <c r="D7306" s="125">
        <f>COUNTIF(A2704:A7305,A7306)</f>
        <v>0</v>
      </c>
      <c r="E7306" s="124" t="s">
        <v>8367</v>
      </c>
      <c r="F7306" s="126">
        <v>2</v>
      </c>
      <c r="G7306" s="127">
        <v>125.56</v>
      </c>
      <c r="H7306" s="124" t="s">
        <v>8368</v>
      </c>
      <c r="I7306" s="127">
        <v>73.400000000000006</v>
      </c>
      <c r="J7306" s="127">
        <v>367</v>
      </c>
    </row>
    <row r="7307" spans="1:10" hidden="1" x14ac:dyDescent="0.25">
      <c r="A7307" s="124" t="s">
        <v>9759</v>
      </c>
      <c r="B7307" s="124" t="s">
        <v>11736</v>
      </c>
      <c r="C7307" s="132"/>
      <c r="D7307" s="125">
        <f>COUNTIF(A2705:A7306,A7307)</f>
        <v>0</v>
      </c>
      <c r="E7307" s="124" t="s">
        <v>8367</v>
      </c>
      <c r="F7307" s="126">
        <v>10</v>
      </c>
      <c r="G7307" s="128">
        <v>3690</v>
      </c>
      <c r="H7307" s="124" t="s">
        <v>8368</v>
      </c>
      <c r="I7307" s="127">
        <v>71.599999999999994</v>
      </c>
      <c r="J7307" s="127">
        <v>358</v>
      </c>
    </row>
    <row r="7308" spans="1:10" hidden="1" x14ac:dyDescent="0.25">
      <c r="A7308" s="124" t="s">
        <v>2127</v>
      </c>
      <c r="B7308" s="124" t="s">
        <v>11736</v>
      </c>
      <c r="C7308" s="132"/>
      <c r="D7308" s="125">
        <f>COUNTIF(A2706:A7307,A7308)</f>
        <v>0</v>
      </c>
      <c r="E7308" s="124" t="s">
        <v>8451</v>
      </c>
      <c r="F7308" s="126">
        <v>1</v>
      </c>
      <c r="G7308" s="127">
        <v>285.60000000000002</v>
      </c>
      <c r="H7308" s="124" t="s">
        <v>8368</v>
      </c>
      <c r="I7308" s="128">
        <v>1654.4</v>
      </c>
      <c r="J7308" s="128">
        <v>8272</v>
      </c>
    </row>
    <row r="7309" spans="1:10" hidden="1" x14ac:dyDescent="0.25">
      <c r="A7309" s="124" t="s">
        <v>9760</v>
      </c>
      <c r="B7309" s="124" t="s">
        <v>11736</v>
      </c>
      <c r="C7309" s="132"/>
      <c r="D7309" s="125">
        <f>COUNTIF(A2707:A7308,A7309)</f>
        <v>0</v>
      </c>
      <c r="E7309" s="124" t="s">
        <v>8451</v>
      </c>
      <c r="F7309" s="126">
        <v>10</v>
      </c>
      <c r="G7309" s="127">
        <v>440.4</v>
      </c>
      <c r="H7309" s="124" t="s">
        <v>8368</v>
      </c>
      <c r="I7309" s="127">
        <v>143.13</v>
      </c>
      <c r="J7309" s="127">
        <v>715.67</v>
      </c>
    </row>
    <row r="7310" spans="1:10" hidden="1" x14ac:dyDescent="0.25">
      <c r="A7310" s="124" t="s">
        <v>2126</v>
      </c>
      <c r="B7310" s="124" t="s">
        <v>11736</v>
      </c>
      <c r="C7310" s="132"/>
      <c r="D7310" s="125">
        <f>COUNTIF(A2708:A7309,A7310)</f>
        <v>0</v>
      </c>
      <c r="E7310" s="124" t="s">
        <v>8451</v>
      </c>
      <c r="F7310" s="126">
        <v>10</v>
      </c>
      <c r="G7310" s="127">
        <v>429.6</v>
      </c>
      <c r="H7310" s="124" t="s">
        <v>8368</v>
      </c>
      <c r="I7310" s="127">
        <v>259.60000000000002</v>
      </c>
      <c r="J7310" s="128">
        <v>1298</v>
      </c>
    </row>
    <row r="7311" spans="1:10" hidden="1" x14ac:dyDescent="0.25">
      <c r="A7311" s="124" t="s">
        <v>9761</v>
      </c>
      <c r="B7311" s="124" t="s">
        <v>11736</v>
      </c>
      <c r="C7311" s="132"/>
      <c r="D7311" s="125">
        <f t="shared" ref="D7311:D7320" si="91">COUNTIF(A2710:A7310,A7311)</f>
        <v>0</v>
      </c>
      <c r="E7311" s="124" t="s">
        <v>8451</v>
      </c>
      <c r="F7311" s="126">
        <v>2</v>
      </c>
      <c r="G7311" s="128">
        <v>9926.4</v>
      </c>
      <c r="H7311" s="124" t="s">
        <v>8368</v>
      </c>
      <c r="I7311" s="127">
        <v>54</v>
      </c>
      <c r="J7311" s="127">
        <v>270</v>
      </c>
    </row>
    <row r="7312" spans="1:10" hidden="1" x14ac:dyDescent="0.25">
      <c r="A7312" s="124" t="s">
        <v>3672</v>
      </c>
      <c r="B7312" s="124" t="s">
        <v>11736</v>
      </c>
      <c r="C7312" s="132"/>
      <c r="D7312" s="125">
        <f t="shared" si="91"/>
        <v>0</v>
      </c>
      <c r="E7312" s="124" t="s">
        <v>8367</v>
      </c>
      <c r="F7312" s="126">
        <v>6</v>
      </c>
      <c r="G7312" s="127">
        <v>858.8</v>
      </c>
      <c r="H7312" s="124" t="s">
        <v>8368</v>
      </c>
      <c r="I7312" s="128">
        <v>4320</v>
      </c>
      <c r="J7312" s="128">
        <v>21600</v>
      </c>
    </row>
    <row r="7313" spans="1:10" hidden="1" x14ac:dyDescent="0.25">
      <c r="A7313" s="124" t="s">
        <v>9762</v>
      </c>
      <c r="B7313" s="124" t="s">
        <v>11736</v>
      </c>
      <c r="C7313" s="132"/>
      <c r="D7313" s="125">
        <f t="shared" si="91"/>
        <v>0</v>
      </c>
      <c r="E7313" s="124" t="s">
        <v>8451</v>
      </c>
      <c r="F7313" s="126">
        <v>1</v>
      </c>
      <c r="G7313" s="128">
        <v>1557.6</v>
      </c>
      <c r="H7313" s="124" t="s">
        <v>8368</v>
      </c>
      <c r="I7313" s="128">
        <v>1392.6</v>
      </c>
      <c r="J7313" s="128">
        <v>6963</v>
      </c>
    </row>
    <row r="7314" spans="1:10" hidden="1" x14ac:dyDescent="0.25">
      <c r="A7314" s="124" t="s">
        <v>9763</v>
      </c>
      <c r="B7314" s="124" t="s">
        <v>11736</v>
      </c>
      <c r="C7314" s="132"/>
      <c r="D7314" s="125">
        <f t="shared" si="91"/>
        <v>0</v>
      </c>
      <c r="E7314" s="124" t="s">
        <v>8367</v>
      </c>
      <c r="F7314" s="126">
        <v>1</v>
      </c>
      <c r="G7314" s="127">
        <v>324</v>
      </c>
      <c r="H7314" s="124" t="s">
        <v>8368</v>
      </c>
      <c r="I7314" s="128">
        <v>1606.5</v>
      </c>
      <c r="J7314" s="128">
        <v>8032.5</v>
      </c>
    </row>
    <row r="7315" spans="1:10" hidden="1" x14ac:dyDescent="0.25">
      <c r="A7315" s="124" t="s">
        <v>9764</v>
      </c>
      <c r="B7315" s="124" t="s">
        <v>11736</v>
      </c>
      <c r="C7315" s="132"/>
      <c r="D7315" s="125">
        <f t="shared" si="91"/>
        <v>0</v>
      </c>
      <c r="E7315" s="124" t="s">
        <v>8367</v>
      </c>
      <c r="F7315" s="129">
        <v>240000</v>
      </c>
      <c r="G7315" s="128">
        <v>25920</v>
      </c>
      <c r="H7315" s="124" t="s">
        <v>8368</v>
      </c>
      <c r="I7315" s="127">
        <v>265</v>
      </c>
      <c r="J7315" s="128">
        <v>1325</v>
      </c>
    </row>
    <row r="7316" spans="1:10" hidden="1" x14ac:dyDescent="0.25">
      <c r="A7316" s="124" t="s">
        <v>3724</v>
      </c>
      <c r="B7316" s="124" t="s">
        <v>11736</v>
      </c>
      <c r="C7316" s="132"/>
      <c r="D7316" s="125">
        <f t="shared" si="91"/>
        <v>0</v>
      </c>
      <c r="E7316" s="124" t="s">
        <v>8367</v>
      </c>
      <c r="F7316" s="126">
        <v>4</v>
      </c>
      <c r="G7316" s="128">
        <v>8355.6</v>
      </c>
      <c r="H7316" s="124" t="s">
        <v>8368</v>
      </c>
      <c r="I7316" s="128">
        <v>1226762.1399999999</v>
      </c>
      <c r="J7316" s="128">
        <v>6133810.6799999997</v>
      </c>
    </row>
    <row r="7317" spans="1:10" hidden="1" x14ac:dyDescent="0.25">
      <c r="A7317" s="124" t="s">
        <v>9765</v>
      </c>
      <c r="B7317" s="124" t="s">
        <v>11736</v>
      </c>
      <c r="C7317" s="132"/>
      <c r="D7317" s="125">
        <f t="shared" si="91"/>
        <v>0</v>
      </c>
      <c r="E7317" s="124" t="s">
        <v>8367</v>
      </c>
      <c r="F7317" s="126">
        <v>10</v>
      </c>
      <c r="G7317" s="128">
        <v>9639</v>
      </c>
      <c r="H7317" s="124" t="s">
        <v>8368</v>
      </c>
      <c r="I7317" s="128">
        <v>24426</v>
      </c>
      <c r="J7317" s="128">
        <v>122130</v>
      </c>
    </row>
    <row r="7318" spans="1:10" hidden="1" x14ac:dyDescent="0.25">
      <c r="A7318" s="124" t="s">
        <v>9766</v>
      </c>
      <c r="B7318" s="124" t="s">
        <v>11736</v>
      </c>
      <c r="C7318" s="132"/>
      <c r="D7318" s="125">
        <f t="shared" si="91"/>
        <v>0</v>
      </c>
      <c r="E7318" s="124" t="s">
        <v>8367</v>
      </c>
      <c r="F7318" s="126">
        <v>3</v>
      </c>
      <c r="G7318" s="128">
        <v>1590</v>
      </c>
      <c r="H7318" s="124" t="s">
        <v>8368</v>
      </c>
      <c r="I7318" s="128">
        <v>1040</v>
      </c>
      <c r="J7318" s="128">
        <v>5200</v>
      </c>
    </row>
    <row r="7319" spans="1:10" hidden="1" x14ac:dyDescent="0.25">
      <c r="A7319" s="124" t="s">
        <v>9767</v>
      </c>
      <c r="B7319" s="124" t="s">
        <v>11736</v>
      </c>
      <c r="C7319" s="132"/>
      <c r="D7319" s="125">
        <f t="shared" si="91"/>
        <v>0</v>
      </c>
      <c r="E7319" s="124" t="s">
        <v>8367</v>
      </c>
      <c r="F7319" s="126">
        <v>355</v>
      </c>
      <c r="G7319" s="128">
        <v>7360572.8200000003</v>
      </c>
      <c r="H7319" s="124" t="s">
        <v>8368</v>
      </c>
      <c r="I7319" s="128">
        <v>5250</v>
      </c>
      <c r="J7319" s="128">
        <v>26250</v>
      </c>
    </row>
    <row r="7320" spans="1:10" hidden="1" x14ac:dyDescent="0.25">
      <c r="A7320" s="124" t="s">
        <v>9768</v>
      </c>
      <c r="B7320" s="124" t="s">
        <v>11736</v>
      </c>
      <c r="C7320" s="132"/>
      <c r="D7320" s="125">
        <f t="shared" si="91"/>
        <v>0</v>
      </c>
      <c r="E7320" s="124" t="s">
        <v>8367</v>
      </c>
      <c r="F7320" s="126">
        <v>18</v>
      </c>
      <c r="G7320" s="128">
        <v>146556</v>
      </c>
      <c r="H7320" s="124" t="s">
        <v>8368</v>
      </c>
      <c r="I7320" s="128">
        <v>504316.67</v>
      </c>
      <c r="J7320" s="128">
        <v>2521583.33</v>
      </c>
    </row>
    <row r="7321" spans="1:10" hidden="1" x14ac:dyDescent="0.25">
      <c r="A7321" s="124" t="s">
        <v>9769</v>
      </c>
      <c r="B7321" s="124" t="s">
        <v>11736</v>
      </c>
      <c r="C7321" s="132"/>
      <c r="D7321" s="125">
        <f>COUNTIF(A2722:A7320,A7321)</f>
        <v>0</v>
      </c>
      <c r="E7321" s="124" t="s">
        <v>8367</v>
      </c>
      <c r="F7321" s="126">
        <v>12</v>
      </c>
      <c r="G7321" s="128">
        <v>6240</v>
      </c>
      <c r="H7321" s="124" t="s">
        <v>8368</v>
      </c>
      <c r="I7321" s="128">
        <v>646500</v>
      </c>
      <c r="J7321" s="128">
        <v>3232500</v>
      </c>
    </row>
    <row r="7322" spans="1:10" hidden="1" x14ac:dyDescent="0.25">
      <c r="A7322" s="124" t="s">
        <v>9770</v>
      </c>
      <c r="B7322" s="124" t="s">
        <v>11736</v>
      </c>
      <c r="C7322" s="132"/>
      <c r="D7322" s="125">
        <f>COUNTIF(A2723:A7321,A7322)</f>
        <v>0</v>
      </c>
      <c r="E7322" s="124" t="s">
        <v>8367</v>
      </c>
      <c r="F7322" s="126">
        <v>9</v>
      </c>
      <c r="G7322" s="128">
        <v>31500</v>
      </c>
      <c r="H7322" s="124" t="s">
        <v>8368</v>
      </c>
      <c r="I7322" s="127">
        <v>372.4</v>
      </c>
      <c r="J7322" s="128">
        <v>1862</v>
      </c>
    </row>
    <row r="7323" spans="1:10" hidden="1" x14ac:dyDescent="0.25">
      <c r="A7323" s="124" t="s">
        <v>9771</v>
      </c>
      <c r="B7323" s="124" t="s">
        <v>11736</v>
      </c>
      <c r="C7323" s="132"/>
      <c r="D7323" s="125">
        <f>COUNTIF(A2724:A7322,A7323)</f>
        <v>0</v>
      </c>
      <c r="E7323" s="124" t="s">
        <v>8367</v>
      </c>
      <c r="F7323" s="126">
        <v>100</v>
      </c>
      <c r="G7323" s="128">
        <v>3025900</v>
      </c>
      <c r="H7323" s="124" t="s">
        <v>8368</v>
      </c>
      <c r="I7323" s="127">
        <v>104.55</v>
      </c>
      <c r="J7323" s="127">
        <v>522.72</v>
      </c>
    </row>
    <row r="7324" spans="1:10" hidden="1" x14ac:dyDescent="0.25">
      <c r="A7324" s="124" t="s">
        <v>9772</v>
      </c>
      <c r="B7324" s="124" t="s">
        <v>11736</v>
      </c>
      <c r="C7324" s="132"/>
      <c r="D7324" s="125">
        <f t="shared" ref="D7324:D7329" si="92">COUNTIF(A2727:A7323,A7324)</f>
        <v>0</v>
      </c>
      <c r="E7324" s="124" t="s">
        <v>8367</v>
      </c>
      <c r="F7324" s="126">
        <v>1</v>
      </c>
      <c r="G7324" s="128">
        <v>3879000</v>
      </c>
      <c r="H7324" s="124" t="s">
        <v>8368</v>
      </c>
      <c r="I7324" s="127">
        <v>199.04</v>
      </c>
      <c r="J7324" s="127">
        <v>995.18</v>
      </c>
    </row>
    <row r="7325" spans="1:10" hidden="1" x14ac:dyDescent="0.25">
      <c r="A7325" s="124" t="s">
        <v>9773</v>
      </c>
      <c r="B7325" s="124" t="s">
        <v>11736</v>
      </c>
      <c r="C7325" s="132"/>
      <c r="D7325" s="125">
        <f t="shared" si="92"/>
        <v>0</v>
      </c>
      <c r="E7325" s="124" t="s">
        <v>8367</v>
      </c>
      <c r="F7325" s="126">
        <v>1</v>
      </c>
      <c r="G7325" s="128">
        <v>2234.4</v>
      </c>
      <c r="H7325" s="124" t="s">
        <v>8368</v>
      </c>
      <c r="I7325" s="127">
        <v>9.11</v>
      </c>
      <c r="J7325" s="127">
        <v>45.57</v>
      </c>
    </row>
    <row r="7326" spans="1:10" hidden="1" x14ac:dyDescent="0.25">
      <c r="A7326" s="124" t="s">
        <v>9774</v>
      </c>
      <c r="B7326" s="124" t="s">
        <v>11736</v>
      </c>
      <c r="C7326" s="132"/>
      <c r="D7326" s="125">
        <f t="shared" si="92"/>
        <v>0</v>
      </c>
      <c r="E7326" s="124" t="s">
        <v>8367</v>
      </c>
      <c r="F7326" s="126">
        <v>1</v>
      </c>
      <c r="G7326" s="127">
        <v>627.27</v>
      </c>
      <c r="H7326" s="124" t="s">
        <v>8368</v>
      </c>
      <c r="I7326" s="127">
        <v>247.57</v>
      </c>
      <c r="J7326" s="128">
        <v>1237.83</v>
      </c>
    </row>
    <row r="7327" spans="1:10" hidden="1" x14ac:dyDescent="0.25">
      <c r="A7327" s="124" t="s">
        <v>9775</v>
      </c>
      <c r="B7327" s="124" t="s">
        <v>11736</v>
      </c>
      <c r="C7327" s="132"/>
      <c r="D7327" s="125">
        <f t="shared" si="92"/>
        <v>0</v>
      </c>
      <c r="E7327" s="124" t="s">
        <v>8367</v>
      </c>
      <c r="F7327" s="126">
        <v>1</v>
      </c>
      <c r="G7327" s="128">
        <v>1194.22</v>
      </c>
      <c r="H7327" s="124" t="s">
        <v>8368</v>
      </c>
      <c r="I7327" s="127">
        <v>51.6</v>
      </c>
      <c r="J7327" s="127">
        <v>258.02</v>
      </c>
    </row>
    <row r="7328" spans="1:10" hidden="1" x14ac:dyDescent="0.25">
      <c r="A7328" s="124" t="s">
        <v>9776</v>
      </c>
      <c r="B7328" s="124" t="s">
        <v>11736</v>
      </c>
      <c r="C7328" s="132"/>
      <c r="D7328" s="125">
        <f t="shared" si="92"/>
        <v>0</v>
      </c>
      <c r="E7328" s="124" t="s">
        <v>8367</v>
      </c>
      <c r="F7328" s="126">
        <v>1</v>
      </c>
      <c r="G7328" s="127">
        <v>54.68</v>
      </c>
      <c r="H7328" s="124" t="s">
        <v>8368</v>
      </c>
      <c r="I7328" s="127">
        <v>112.6</v>
      </c>
      <c r="J7328" s="127">
        <v>563</v>
      </c>
    </row>
    <row r="7329" spans="1:10" hidden="1" x14ac:dyDescent="0.25">
      <c r="A7329" s="124" t="s">
        <v>9777</v>
      </c>
      <c r="B7329" s="124" t="s">
        <v>11736</v>
      </c>
      <c r="C7329" s="132"/>
      <c r="D7329" s="125">
        <f t="shared" si="92"/>
        <v>0</v>
      </c>
      <c r="E7329" s="124" t="s">
        <v>8367</v>
      </c>
      <c r="F7329" s="126">
        <v>1</v>
      </c>
      <c r="G7329" s="128">
        <v>1485.4</v>
      </c>
      <c r="H7329" s="124" t="s">
        <v>8368</v>
      </c>
      <c r="I7329" s="128">
        <v>9868.2000000000007</v>
      </c>
      <c r="J7329" s="128">
        <v>49341</v>
      </c>
    </row>
    <row r="7330" spans="1:10" hidden="1" x14ac:dyDescent="0.25">
      <c r="A7330" s="124" t="s">
        <v>9778</v>
      </c>
      <c r="B7330" s="124" t="s">
        <v>11736</v>
      </c>
      <c r="C7330" s="132"/>
      <c r="D7330" s="125">
        <f>COUNTIF(A2734:A7329,A7330)</f>
        <v>0</v>
      </c>
      <c r="E7330" s="124" t="s">
        <v>8367</v>
      </c>
      <c r="F7330" s="126">
        <v>1</v>
      </c>
      <c r="G7330" s="127">
        <v>309.62</v>
      </c>
      <c r="H7330" s="124" t="s">
        <v>8368</v>
      </c>
      <c r="I7330" s="127">
        <v>390</v>
      </c>
      <c r="J7330" s="128">
        <v>1950</v>
      </c>
    </row>
    <row r="7331" spans="1:10" hidden="1" x14ac:dyDescent="0.25">
      <c r="A7331" s="124" t="s">
        <v>9779</v>
      </c>
      <c r="B7331" s="124" t="s">
        <v>11736</v>
      </c>
      <c r="C7331" s="132"/>
      <c r="D7331" s="125">
        <f>COUNTIF(A2735:A7330,A7331)</f>
        <v>0</v>
      </c>
      <c r="E7331" s="124" t="s">
        <v>8451</v>
      </c>
      <c r="F7331" s="126">
        <v>2</v>
      </c>
      <c r="G7331" s="127">
        <v>675.6</v>
      </c>
      <c r="H7331" s="124" t="s">
        <v>8368</v>
      </c>
      <c r="I7331" s="127">
        <v>814.65</v>
      </c>
      <c r="J7331" s="128">
        <v>4073.22</v>
      </c>
    </row>
    <row r="7332" spans="1:10" hidden="1" x14ac:dyDescent="0.25">
      <c r="A7332" s="124" t="s">
        <v>9780</v>
      </c>
      <c r="B7332" s="124" t="s">
        <v>11736</v>
      </c>
      <c r="C7332" s="132"/>
      <c r="D7332" s="125">
        <f>COUNTIF(A2738:A7331,A7332)</f>
        <v>0</v>
      </c>
      <c r="E7332" s="124" t="s">
        <v>8367</v>
      </c>
      <c r="F7332" s="126">
        <v>1</v>
      </c>
      <c r="G7332" s="128">
        <v>59209.2</v>
      </c>
      <c r="H7332" s="124" t="s">
        <v>8368</v>
      </c>
      <c r="I7332" s="128">
        <v>1582.2</v>
      </c>
      <c r="J7332" s="128">
        <v>7911</v>
      </c>
    </row>
    <row r="7333" spans="1:10" hidden="1" x14ac:dyDescent="0.25">
      <c r="A7333" s="124" t="s">
        <v>9781</v>
      </c>
      <c r="B7333" s="124" t="s">
        <v>11736</v>
      </c>
      <c r="C7333" s="132"/>
      <c r="D7333" s="125">
        <f>COUNTIF(A2739:A7332,A7333)</f>
        <v>0</v>
      </c>
      <c r="E7333" s="124" t="s">
        <v>8367</v>
      </c>
      <c r="F7333" s="126">
        <v>10</v>
      </c>
      <c r="G7333" s="128">
        <v>2340</v>
      </c>
      <c r="H7333" s="124" t="s">
        <v>8368</v>
      </c>
      <c r="I7333" s="127">
        <v>510.4</v>
      </c>
      <c r="J7333" s="128">
        <v>2552</v>
      </c>
    </row>
    <row r="7334" spans="1:10" hidden="1" x14ac:dyDescent="0.25">
      <c r="A7334" s="124" t="s">
        <v>9782</v>
      </c>
      <c r="B7334" s="124" t="s">
        <v>11736</v>
      </c>
      <c r="C7334" s="132"/>
      <c r="D7334" s="125">
        <f>COUNTIF(A2740:A7333,A7334)</f>
        <v>0</v>
      </c>
      <c r="E7334" s="124" t="s">
        <v>8367</v>
      </c>
      <c r="F7334" s="126">
        <v>13</v>
      </c>
      <c r="G7334" s="128">
        <v>4887.87</v>
      </c>
      <c r="H7334" s="124" t="s">
        <v>8368</v>
      </c>
      <c r="I7334" s="127">
        <v>421.6</v>
      </c>
      <c r="J7334" s="128">
        <v>2108</v>
      </c>
    </row>
    <row r="7335" spans="1:10" hidden="1" x14ac:dyDescent="0.25">
      <c r="A7335" s="124" t="s">
        <v>9783</v>
      </c>
      <c r="B7335" s="124" t="s">
        <v>11736</v>
      </c>
      <c r="C7335" s="132"/>
      <c r="D7335" s="125">
        <f t="shared" ref="D7335:D7348" si="93">COUNTIF(A2744:A7334,A7335)</f>
        <v>0</v>
      </c>
      <c r="E7335" s="124" t="s">
        <v>8367</v>
      </c>
      <c r="F7335" s="126">
        <v>1</v>
      </c>
      <c r="G7335" s="128">
        <v>9493.2000000000007</v>
      </c>
      <c r="H7335" s="124" t="s">
        <v>8368</v>
      </c>
      <c r="I7335" s="127">
        <v>75.599999999999994</v>
      </c>
      <c r="J7335" s="127">
        <v>378</v>
      </c>
    </row>
    <row r="7336" spans="1:10" hidden="1" x14ac:dyDescent="0.25">
      <c r="A7336" s="124" t="s">
        <v>9784</v>
      </c>
      <c r="B7336" s="124" t="s">
        <v>11736</v>
      </c>
      <c r="C7336" s="132"/>
      <c r="D7336" s="125">
        <f t="shared" si="93"/>
        <v>0</v>
      </c>
      <c r="E7336" s="124" t="s">
        <v>8367</v>
      </c>
      <c r="F7336" s="126">
        <v>1</v>
      </c>
      <c r="G7336" s="128">
        <v>3062.4</v>
      </c>
      <c r="H7336" s="124" t="s">
        <v>8368</v>
      </c>
      <c r="I7336" s="127">
        <v>328</v>
      </c>
      <c r="J7336" s="128">
        <v>1640</v>
      </c>
    </row>
    <row r="7337" spans="1:10" hidden="1" x14ac:dyDescent="0.25">
      <c r="A7337" s="124" t="s">
        <v>9785</v>
      </c>
      <c r="B7337" s="124" t="s">
        <v>11736</v>
      </c>
      <c r="C7337" s="132"/>
      <c r="D7337" s="125">
        <f t="shared" si="93"/>
        <v>0</v>
      </c>
      <c r="E7337" s="124" t="s">
        <v>8367</v>
      </c>
      <c r="F7337" s="126">
        <v>2</v>
      </c>
      <c r="G7337" s="128">
        <v>2529.6</v>
      </c>
      <c r="H7337" s="124" t="s">
        <v>8368</v>
      </c>
      <c r="I7337" s="127">
        <v>143.6</v>
      </c>
      <c r="J7337" s="127">
        <v>718</v>
      </c>
    </row>
    <row r="7338" spans="1:10" hidden="1" x14ac:dyDescent="0.25">
      <c r="A7338" s="124" t="s">
        <v>9786</v>
      </c>
      <c r="B7338" s="124" t="s">
        <v>11736</v>
      </c>
      <c r="C7338" s="132"/>
      <c r="D7338" s="125">
        <f t="shared" si="93"/>
        <v>0</v>
      </c>
      <c r="E7338" s="124" t="s">
        <v>8367</v>
      </c>
      <c r="F7338" s="126">
        <v>1</v>
      </c>
      <c r="G7338" s="127">
        <v>453.6</v>
      </c>
      <c r="H7338" s="124" t="s">
        <v>8368</v>
      </c>
      <c r="I7338" s="127">
        <v>175</v>
      </c>
      <c r="J7338" s="127">
        <v>875</v>
      </c>
    </row>
    <row r="7339" spans="1:10" hidden="1" x14ac:dyDescent="0.25">
      <c r="A7339" s="124" t="s">
        <v>9787</v>
      </c>
      <c r="B7339" s="124" t="s">
        <v>11736</v>
      </c>
      <c r="C7339" s="132"/>
      <c r="D7339" s="125">
        <f t="shared" si="93"/>
        <v>0</v>
      </c>
      <c r="E7339" s="124" t="s">
        <v>8367</v>
      </c>
      <c r="F7339" s="126">
        <v>4</v>
      </c>
      <c r="G7339" s="128">
        <v>1968</v>
      </c>
      <c r="H7339" s="124" t="s">
        <v>8368</v>
      </c>
      <c r="I7339" s="127">
        <v>192.6</v>
      </c>
      <c r="J7339" s="127">
        <v>963</v>
      </c>
    </row>
    <row r="7340" spans="1:10" hidden="1" x14ac:dyDescent="0.25">
      <c r="A7340" s="124" t="s">
        <v>9788</v>
      </c>
      <c r="B7340" s="124" t="s">
        <v>11736</v>
      </c>
      <c r="C7340" s="132"/>
      <c r="D7340" s="125">
        <f t="shared" si="93"/>
        <v>0</v>
      </c>
      <c r="E7340" s="124" t="s">
        <v>8367</v>
      </c>
      <c r="F7340" s="126">
        <v>1</v>
      </c>
      <c r="G7340" s="127">
        <v>861.6</v>
      </c>
      <c r="H7340" s="124" t="s">
        <v>8368</v>
      </c>
      <c r="I7340" s="128">
        <v>88875</v>
      </c>
      <c r="J7340" s="128">
        <v>444375</v>
      </c>
    </row>
    <row r="7341" spans="1:10" hidden="1" x14ac:dyDescent="0.25">
      <c r="A7341" s="124" t="s">
        <v>9789</v>
      </c>
      <c r="B7341" s="124" t="s">
        <v>11736</v>
      </c>
      <c r="C7341" s="132"/>
      <c r="D7341" s="125">
        <f t="shared" si="93"/>
        <v>0</v>
      </c>
      <c r="E7341" s="124" t="s">
        <v>8367</v>
      </c>
      <c r="F7341" s="126">
        <v>10</v>
      </c>
      <c r="G7341" s="128">
        <v>1050</v>
      </c>
      <c r="H7341" s="124" t="s">
        <v>8368</v>
      </c>
      <c r="I7341" s="128">
        <v>6970</v>
      </c>
      <c r="J7341" s="128">
        <v>34850</v>
      </c>
    </row>
    <row r="7342" spans="1:10" hidden="1" x14ac:dyDescent="0.25">
      <c r="A7342" s="124" t="s">
        <v>9790</v>
      </c>
      <c r="B7342" s="124" t="s">
        <v>11736</v>
      </c>
      <c r="C7342" s="132"/>
      <c r="D7342" s="125">
        <f t="shared" si="93"/>
        <v>0</v>
      </c>
      <c r="E7342" s="124" t="s">
        <v>8367</v>
      </c>
      <c r="F7342" s="126">
        <v>4</v>
      </c>
      <c r="G7342" s="128">
        <v>1155.5999999999999</v>
      </c>
      <c r="H7342" s="124" t="s">
        <v>8368</v>
      </c>
      <c r="I7342" s="127">
        <v>904</v>
      </c>
      <c r="J7342" s="128">
        <v>4520</v>
      </c>
    </row>
    <row r="7343" spans="1:10" hidden="1" x14ac:dyDescent="0.25">
      <c r="A7343" s="124" t="s">
        <v>9791</v>
      </c>
      <c r="B7343" s="124" t="s">
        <v>11736</v>
      </c>
      <c r="C7343" s="132"/>
      <c r="D7343" s="125">
        <f t="shared" si="93"/>
        <v>0</v>
      </c>
      <c r="E7343" s="124" t="s">
        <v>8367</v>
      </c>
      <c r="F7343" s="129">
        <v>2250</v>
      </c>
      <c r="G7343" s="128">
        <v>533250</v>
      </c>
      <c r="H7343" s="124" t="s">
        <v>8368</v>
      </c>
      <c r="I7343" s="128">
        <v>2901.6</v>
      </c>
      <c r="J7343" s="128">
        <v>14508</v>
      </c>
    </row>
    <row r="7344" spans="1:10" hidden="1" x14ac:dyDescent="0.25">
      <c r="A7344" s="124" t="s">
        <v>9792</v>
      </c>
      <c r="B7344" s="124" t="s">
        <v>11736</v>
      </c>
      <c r="C7344" s="132"/>
      <c r="D7344" s="125">
        <f t="shared" si="93"/>
        <v>0</v>
      </c>
      <c r="E7344" s="124" t="s">
        <v>8367</v>
      </c>
      <c r="F7344" s="126">
        <v>5</v>
      </c>
      <c r="G7344" s="128">
        <v>41820</v>
      </c>
      <c r="H7344" s="124" t="s">
        <v>8368</v>
      </c>
      <c r="I7344" s="128">
        <v>29236.11</v>
      </c>
      <c r="J7344" s="128">
        <v>146180.56</v>
      </c>
    </row>
    <row r="7345" spans="1:10" hidden="1" x14ac:dyDescent="0.25">
      <c r="A7345" s="124" t="s">
        <v>9793</v>
      </c>
      <c r="B7345" s="124" t="s">
        <v>11736</v>
      </c>
      <c r="C7345" s="132"/>
      <c r="D7345" s="125">
        <f t="shared" si="93"/>
        <v>0</v>
      </c>
      <c r="E7345" s="124" t="s">
        <v>8367</v>
      </c>
      <c r="F7345" s="126">
        <v>12</v>
      </c>
      <c r="G7345" s="128">
        <v>5424</v>
      </c>
      <c r="H7345" s="124" t="s">
        <v>8368</v>
      </c>
      <c r="I7345" s="127">
        <v>606.6</v>
      </c>
      <c r="J7345" s="128">
        <v>3033</v>
      </c>
    </row>
    <row r="7346" spans="1:10" hidden="1" x14ac:dyDescent="0.25">
      <c r="A7346" s="124" t="s">
        <v>2295</v>
      </c>
      <c r="B7346" s="124" t="s">
        <v>11736</v>
      </c>
      <c r="C7346" s="132"/>
      <c r="D7346" s="125">
        <f t="shared" si="93"/>
        <v>0</v>
      </c>
      <c r="E7346" s="124" t="s">
        <v>8367</v>
      </c>
      <c r="F7346" s="126">
        <v>5</v>
      </c>
      <c r="G7346" s="128">
        <v>17409.599999999999</v>
      </c>
      <c r="H7346" s="124" t="s">
        <v>8368</v>
      </c>
      <c r="I7346" s="128">
        <v>6737.5</v>
      </c>
      <c r="J7346" s="128">
        <v>33687.5</v>
      </c>
    </row>
    <row r="7347" spans="1:10" hidden="1" x14ac:dyDescent="0.25">
      <c r="A7347" s="124" t="s">
        <v>9794</v>
      </c>
      <c r="B7347" s="124" t="s">
        <v>11736</v>
      </c>
      <c r="C7347" s="132"/>
      <c r="D7347" s="125">
        <f t="shared" si="93"/>
        <v>0</v>
      </c>
      <c r="E7347" s="124" t="s">
        <v>8367</v>
      </c>
      <c r="F7347" s="126">
        <v>1</v>
      </c>
      <c r="G7347" s="128">
        <v>175416.67</v>
      </c>
      <c r="H7347" s="124" t="s">
        <v>8368</v>
      </c>
      <c r="I7347" s="127">
        <v>145.83000000000001</v>
      </c>
      <c r="J7347" s="127">
        <v>729.17</v>
      </c>
    </row>
    <row r="7348" spans="1:10" hidden="1" x14ac:dyDescent="0.25">
      <c r="A7348" s="124" t="s">
        <v>2372</v>
      </c>
      <c r="B7348" s="124" t="s">
        <v>11736</v>
      </c>
      <c r="C7348" s="132"/>
      <c r="D7348" s="125">
        <f t="shared" si="93"/>
        <v>0</v>
      </c>
      <c r="E7348" s="124" t="s">
        <v>8367</v>
      </c>
      <c r="F7348" s="126">
        <v>1</v>
      </c>
      <c r="G7348" s="128">
        <v>3639.6</v>
      </c>
      <c r="H7348" s="124" t="s">
        <v>8368</v>
      </c>
      <c r="I7348" s="127">
        <v>18.670000000000002</v>
      </c>
      <c r="J7348" s="127">
        <v>93.33</v>
      </c>
    </row>
    <row r="7349" spans="1:10" hidden="1" x14ac:dyDescent="0.25">
      <c r="A7349" s="124" t="s">
        <v>9795</v>
      </c>
      <c r="B7349" s="124" t="s">
        <v>11736</v>
      </c>
      <c r="C7349" s="132"/>
      <c r="D7349" s="125">
        <f>COUNTIF(A2759:A7348,A7349)</f>
        <v>0</v>
      </c>
      <c r="E7349" s="124" t="s">
        <v>8367</v>
      </c>
      <c r="F7349" s="126">
        <v>7</v>
      </c>
      <c r="G7349" s="128">
        <v>40425</v>
      </c>
      <c r="H7349" s="124" t="s">
        <v>8368</v>
      </c>
      <c r="I7349" s="127">
        <v>30.5</v>
      </c>
      <c r="J7349" s="127">
        <v>152.5</v>
      </c>
    </row>
    <row r="7350" spans="1:10" hidden="1" x14ac:dyDescent="0.25">
      <c r="A7350" s="124" t="s">
        <v>9796</v>
      </c>
      <c r="B7350" s="124" t="s">
        <v>11736</v>
      </c>
      <c r="C7350" s="132"/>
      <c r="D7350" s="125">
        <f>COUNTIF(A2760:A7349,A7350)</f>
        <v>0</v>
      </c>
      <c r="E7350" s="124" t="s">
        <v>8367</v>
      </c>
      <c r="F7350" s="126">
        <v>50</v>
      </c>
      <c r="G7350" s="127">
        <v>875</v>
      </c>
      <c r="H7350" s="124" t="s">
        <v>8368</v>
      </c>
      <c r="I7350" s="127">
        <v>138.33000000000001</v>
      </c>
      <c r="J7350" s="127">
        <v>691.67</v>
      </c>
    </row>
    <row r="7351" spans="1:10" hidden="1" x14ac:dyDescent="0.25">
      <c r="A7351" s="124" t="s">
        <v>2711</v>
      </c>
      <c r="B7351" s="124" t="s">
        <v>11736</v>
      </c>
      <c r="C7351" s="132"/>
      <c r="D7351" s="125">
        <f>COUNTIF(A2762:A7350,A7351)</f>
        <v>0</v>
      </c>
      <c r="E7351" s="124" t="s">
        <v>8367</v>
      </c>
      <c r="F7351" s="126">
        <v>56</v>
      </c>
      <c r="G7351" s="127">
        <v>112</v>
      </c>
      <c r="H7351" s="124" t="s">
        <v>8368</v>
      </c>
      <c r="I7351" s="128">
        <v>3680</v>
      </c>
      <c r="J7351" s="128">
        <v>18400</v>
      </c>
    </row>
    <row r="7352" spans="1:10" hidden="1" x14ac:dyDescent="0.25">
      <c r="A7352" s="124" t="s">
        <v>9797</v>
      </c>
      <c r="B7352" s="124" t="s">
        <v>11736</v>
      </c>
      <c r="C7352" s="132"/>
      <c r="D7352" s="125">
        <f>COUNTIF(A2765:A7351,A7352)</f>
        <v>0</v>
      </c>
      <c r="E7352" s="124" t="s">
        <v>8367</v>
      </c>
      <c r="F7352" s="126">
        <v>100</v>
      </c>
      <c r="G7352" s="127">
        <v>183</v>
      </c>
      <c r="H7352" s="124" t="s">
        <v>8368</v>
      </c>
      <c r="I7352" s="127">
        <v>708.4</v>
      </c>
      <c r="J7352" s="128">
        <v>3542</v>
      </c>
    </row>
    <row r="7353" spans="1:10" hidden="1" x14ac:dyDescent="0.25">
      <c r="A7353" s="124" t="s">
        <v>9798</v>
      </c>
      <c r="B7353" s="124" t="s">
        <v>11736</v>
      </c>
      <c r="C7353" s="132"/>
      <c r="D7353" s="125">
        <f>COUNTIF(A2766:A7352,A7353)</f>
        <v>0</v>
      </c>
      <c r="E7353" s="124" t="s">
        <v>8367</v>
      </c>
      <c r="F7353" s="129">
        <v>1000</v>
      </c>
      <c r="G7353" s="127">
        <v>830</v>
      </c>
      <c r="H7353" s="124" t="s">
        <v>8368</v>
      </c>
      <c r="I7353" s="128">
        <v>3975</v>
      </c>
      <c r="J7353" s="128">
        <v>19875</v>
      </c>
    </row>
    <row r="7354" spans="1:10" hidden="1" x14ac:dyDescent="0.25">
      <c r="A7354" s="124" t="s">
        <v>9799</v>
      </c>
      <c r="B7354" s="124" t="s">
        <v>11736</v>
      </c>
      <c r="C7354" s="132"/>
      <c r="D7354" s="125">
        <f t="shared" ref="D7354:D7359" si="94">COUNTIF(A2770:A7353,A7354)</f>
        <v>0</v>
      </c>
      <c r="E7354" s="124" t="s">
        <v>8367</v>
      </c>
      <c r="F7354" s="129">
        <v>3200</v>
      </c>
      <c r="G7354" s="128">
        <v>22080</v>
      </c>
      <c r="H7354" s="124" t="s">
        <v>8368</v>
      </c>
      <c r="I7354" s="127">
        <v>211.12</v>
      </c>
      <c r="J7354" s="128">
        <v>1055.58</v>
      </c>
    </row>
    <row r="7355" spans="1:10" hidden="1" x14ac:dyDescent="0.25">
      <c r="A7355" s="124" t="s">
        <v>9800</v>
      </c>
      <c r="B7355" s="124" t="s">
        <v>11736</v>
      </c>
      <c r="C7355" s="132"/>
      <c r="D7355" s="125">
        <f t="shared" si="94"/>
        <v>0</v>
      </c>
      <c r="E7355" s="124" t="s">
        <v>8367</v>
      </c>
      <c r="F7355" s="126">
        <v>5</v>
      </c>
      <c r="G7355" s="128">
        <v>4250.3999999999996</v>
      </c>
      <c r="H7355" s="124" t="s">
        <v>8368</v>
      </c>
      <c r="I7355" s="127">
        <v>218.6</v>
      </c>
      <c r="J7355" s="128">
        <v>1093</v>
      </c>
    </row>
    <row r="7356" spans="1:10" hidden="1" x14ac:dyDescent="0.25">
      <c r="A7356" s="124" t="s">
        <v>9801</v>
      </c>
      <c r="B7356" s="124" t="s">
        <v>11736</v>
      </c>
      <c r="C7356" s="132"/>
      <c r="D7356" s="125">
        <f t="shared" si="94"/>
        <v>0</v>
      </c>
      <c r="E7356" s="124" t="s">
        <v>8367</v>
      </c>
      <c r="F7356" s="126">
        <v>150</v>
      </c>
      <c r="G7356" s="128">
        <v>23850</v>
      </c>
      <c r="H7356" s="124" t="s">
        <v>8368</v>
      </c>
      <c r="I7356" s="127">
        <v>130</v>
      </c>
      <c r="J7356" s="127">
        <v>650</v>
      </c>
    </row>
    <row r="7357" spans="1:10" hidden="1" x14ac:dyDescent="0.25">
      <c r="A7357" s="124" t="s">
        <v>2934</v>
      </c>
      <c r="B7357" s="124" t="s">
        <v>11736</v>
      </c>
      <c r="C7357" s="132"/>
      <c r="D7357" s="125">
        <f t="shared" si="94"/>
        <v>0</v>
      </c>
      <c r="E7357" s="124" t="s">
        <v>8367</v>
      </c>
      <c r="F7357" s="126">
        <v>10</v>
      </c>
      <c r="G7357" s="128">
        <v>1266.7</v>
      </c>
      <c r="H7357" s="124" t="s">
        <v>8368</v>
      </c>
      <c r="I7357" s="128">
        <v>29966.6</v>
      </c>
      <c r="J7357" s="128">
        <v>149833</v>
      </c>
    </row>
    <row r="7358" spans="1:10" hidden="1" x14ac:dyDescent="0.25">
      <c r="A7358" s="124" t="s">
        <v>9802</v>
      </c>
      <c r="B7358" s="124" t="s">
        <v>11736</v>
      </c>
      <c r="C7358" s="132"/>
      <c r="D7358" s="125">
        <f t="shared" si="94"/>
        <v>0</v>
      </c>
      <c r="E7358" s="124" t="s">
        <v>8367</v>
      </c>
      <c r="F7358" s="126">
        <v>2</v>
      </c>
      <c r="G7358" s="128">
        <v>1311.6</v>
      </c>
      <c r="H7358" s="124" t="s">
        <v>8368</v>
      </c>
      <c r="I7358" s="128">
        <v>1043.4000000000001</v>
      </c>
      <c r="J7358" s="128">
        <v>5217</v>
      </c>
    </row>
    <row r="7359" spans="1:10" hidden="1" x14ac:dyDescent="0.25">
      <c r="A7359" s="124" t="s">
        <v>9803</v>
      </c>
      <c r="B7359" s="124" t="s">
        <v>11736</v>
      </c>
      <c r="C7359" s="132"/>
      <c r="D7359" s="125">
        <f t="shared" si="94"/>
        <v>0</v>
      </c>
      <c r="E7359" s="124" t="s">
        <v>8367</v>
      </c>
      <c r="F7359" s="126">
        <v>10</v>
      </c>
      <c r="G7359" s="127">
        <v>780</v>
      </c>
      <c r="H7359" s="124" t="s">
        <v>8368</v>
      </c>
      <c r="I7359" s="127">
        <v>880</v>
      </c>
      <c r="J7359" s="128">
        <v>4400</v>
      </c>
    </row>
    <row r="7360" spans="1:10" hidden="1" x14ac:dyDescent="0.25">
      <c r="A7360" s="124" t="s">
        <v>9804</v>
      </c>
      <c r="B7360" s="124" t="s">
        <v>11736</v>
      </c>
      <c r="C7360" s="132"/>
      <c r="D7360" s="125">
        <f t="shared" ref="D7360:D7365" si="95">COUNTIF(A2778:A7359,A7360)</f>
        <v>0</v>
      </c>
      <c r="E7360" s="124" t="s">
        <v>8367</v>
      </c>
      <c r="F7360" s="126">
        <v>8</v>
      </c>
      <c r="G7360" s="128">
        <v>179799.6</v>
      </c>
      <c r="H7360" s="124" t="s">
        <v>8368</v>
      </c>
      <c r="I7360" s="128">
        <v>36000</v>
      </c>
      <c r="J7360" s="128">
        <v>180000</v>
      </c>
    </row>
    <row r="7361" spans="1:10" hidden="1" x14ac:dyDescent="0.25">
      <c r="A7361" s="124" t="s">
        <v>9805</v>
      </c>
      <c r="B7361" s="124" t="s">
        <v>11736</v>
      </c>
      <c r="C7361" s="132"/>
      <c r="D7361" s="125">
        <f t="shared" si="95"/>
        <v>0</v>
      </c>
      <c r="E7361" s="124" t="s">
        <v>8367</v>
      </c>
      <c r="F7361" s="126">
        <v>40</v>
      </c>
      <c r="G7361" s="128">
        <v>6260.4</v>
      </c>
      <c r="H7361" s="124" t="s">
        <v>8368</v>
      </c>
      <c r="I7361" s="128">
        <v>2483.33</v>
      </c>
      <c r="J7361" s="128">
        <v>12416.67</v>
      </c>
    </row>
    <row r="7362" spans="1:10" hidden="1" x14ac:dyDescent="0.25">
      <c r="A7362" s="124" t="s">
        <v>9806</v>
      </c>
      <c r="B7362" s="124" t="s">
        <v>11736</v>
      </c>
      <c r="C7362" s="132"/>
      <c r="D7362" s="125">
        <f t="shared" si="95"/>
        <v>0</v>
      </c>
      <c r="E7362" s="124" t="s">
        <v>8367</v>
      </c>
      <c r="F7362" s="126">
        <v>4</v>
      </c>
      <c r="G7362" s="128">
        <v>5280</v>
      </c>
      <c r="H7362" s="124" t="s">
        <v>8368</v>
      </c>
      <c r="I7362" s="128">
        <v>2632.8</v>
      </c>
      <c r="J7362" s="128">
        <v>13164</v>
      </c>
    </row>
    <row r="7363" spans="1:10" hidden="1" x14ac:dyDescent="0.25">
      <c r="A7363" s="124" t="s">
        <v>9807</v>
      </c>
      <c r="B7363" s="124" t="s">
        <v>11736</v>
      </c>
      <c r="C7363" s="132"/>
      <c r="D7363" s="125">
        <f t="shared" si="95"/>
        <v>0</v>
      </c>
      <c r="E7363" s="124" t="s">
        <v>8367</v>
      </c>
      <c r="F7363" s="126">
        <v>2</v>
      </c>
      <c r="G7363" s="128">
        <v>216000</v>
      </c>
      <c r="H7363" s="124" t="s">
        <v>8368</v>
      </c>
      <c r="I7363" s="128">
        <v>1566.6</v>
      </c>
      <c r="J7363" s="128">
        <v>7833</v>
      </c>
    </row>
    <row r="7364" spans="1:10" hidden="1" x14ac:dyDescent="0.25">
      <c r="A7364" s="124" t="s">
        <v>9808</v>
      </c>
      <c r="B7364" s="124" t="s">
        <v>11736</v>
      </c>
      <c r="C7364" s="132"/>
      <c r="D7364" s="125">
        <f t="shared" si="95"/>
        <v>0</v>
      </c>
      <c r="E7364" s="124" t="s">
        <v>8367</v>
      </c>
      <c r="F7364" s="126">
        <v>1</v>
      </c>
      <c r="G7364" s="128">
        <v>14900</v>
      </c>
      <c r="H7364" s="124" t="s">
        <v>8368</v>
      </c>
      <c r="I7364" s="128">
        <v>1083.2</v>
      </c>
      <c r="J7364" s="128">
        <v>5416</v>
      </c>
    </row>
    <row r="7365" spans="1:10" hidden="1" x14ac:dyDescent="0.25">
      <c r="A7365" s="124" t="s">
        <v>9809</v>
      </c>
      <c r="B7365" s="124" t="s">
        <v>11736</v>
      </c>
      <c r="C7365" s="132"/>
      <c r="D7365" s="125">
        <f t="shared" si="95"/>
        <v>0</v>
      </c>
      <c r="E7365" s="124" t="s">
        <v>8367</v>
      </c>
      <c r="F7365" s="126">
        <v>7</v>
      </c>
      <c r="G7365" s="128">
        <v>15796.8</v>
      </c>
      <c r="H7365" s="124" t="s">
        <v>8368</v>
      </c>
      <c r="I7365" s="127">
        <v>333.2</v>
      </c>
      <c r="J7365" s="128">
        <v>1666</v>
      </c>
    </row>
    <row r="7366" spans="1:10" hidden="1" x14ac:dyDescent="0.25">
      <c r="A7366" s="124" t="s">
        <v>9810</v>
      </c>
      <c r="B7366" s="124" t="s">
        <v>11736</v>
      </c>
      <c r="C7366" s="132"/>
      <c r="D7366" s="125">
        <f>COUNTIF(A2785:A7365,A7366)</f>
        <v>0</v>
      </c>
      <c r="E7366" s="124" t="s">
        <v>8367</v>
      </c>
      <c r="F7366" s="126">
        <v>30</v>
      </c>
      <c r="G7366" s="128">
        <v>9399.6</v>
      </c>
      <c r="H7366" s="124" t="s">
        <v>8368</v>
      </c>
      <c r="I7366" s="128">
        <v>4499.6000000000004</v>
      </c>
      <c r="J7366" s="128">
        <v>22498</v>
      </c>
    </row>
    <row r="7367" spans="1:10" hidden="1" x14ac:dyDescent="0.25">
      <c r="A7367" s="124" t="s">
        <v>9811</v>
      </c>
      <c r="B7367" s="124" t="s">
        <v>11736</v>
      </c>
      <c r="C7367" s="132"/>
      <c r="D7367" s="125">
        <f>COUNTIF(A2787:A7366,A7367)</f>
        <v>0</v>
      </c>
      <c r="E7367" s="124" t="s">
        <v>8367</v>
      </c>
      <c r="F7367" s="126">
        <v>1</v>
      </c>
      <c r="G7367" s="128">
        <v>6499.2</v>
      </c>
      <c r="H7367" s="124" t="s">
        <v>8368</v>
      </c>
      <c r="I7367" s="128">
        <v>2249.8000000000002</v>
      </c>
      <c r="J7367" s="128">
        <v>11249</v>
      </c>
    </row>
    <row r="7368" spans="1:10" hidden="1" x14ac:dyDescent="0.25">
      <c r="A7368" s="124" t="s">
        <v>9812</v>
      </c>
      <c r="B7368" s="124" t="s">
        <v>11736</v>
      </c>
      <c r="C7368" s="132"/>
      <c r="D7368" s="125">
        <f>COUNTIF(A2788:A7367,A7368)</f>
        <v>0</v>
      </c>
      <c r="E7368" s="124" t="s">
        <v>8367</v>
      </c>
      <c r="F7368" s="126">
        <v>1</v>
      </c>
      <c r="G7368" s="128">
        <v>1999.2</v>
      </c>
      <c r="H7368" s="124" t="s">
        <v>8368</v>
      </c>
      <c r="I7368" s="128">
        <v>3764.24</v>
      </c>
      <c r="J7368" s="128">
        <v>18821.18</v>
      </c>
    </row>
    <row r="7369" spans="1:10" hidden="1" x14ac:dyDescent="0.25">
      <c r="A7369" s="124" t="s">
        <v>9813</v>
      </c>
      <c r="B7369" s="124" t="s">
        <v>11736</v>
      </c>
      <c r="C7369" s="132"/>
      <c r="D7369" s="125">
        <f>COUNTIF(A2789:A7368,A7369)</f>
        <v>0</v>
      </c>
      <c r="E7369" s="124" t="s">
        <v>8367</v>
      </c>
      <c r="F7369" s="126">
        <v>2</v>
      </c>
      <c r="G7369" s="128">
        <v>26997.599999999999</v>
      </c>
      <c r="H7369" s="124" t="s">
        <v>8368</v>
      </c>
      <c r="I7369" s="127">
        <v>899.8</v>
      </c>
      <c r="J7369" s="128">
        <v>4499</v>
      </c>
    </row>
    <row r="7370" spans="1:10" hidden="1" x14ac:dyDescent="0.25">
      <c r="A7370" s="124" t="s">
        <v>9814</v>
      </c>
      <c r="B7370" s="124" t="s">
        <v>11736</v>
      </c>
      <c r="C7370" s="132"/>
      <c r="D7370" s="125">
        <f>COUNTIF(A2790:A7369,A7370)</f>
        <v>0</v>
      </c>
      <c r="E7370" s="124" t="s">
        <v>8367</v>
      </c>
      <c r="F7370" s="126">
        <v>1</v>
      </c>
      <c r="G7370" s="128">
        <v>13498.8</v>
      </c>
      <c r="H7370" s="124" t="s">
        <v>8368</v>
      </c>
      <c r="I7370" s="127">
        <v>633.20000000000005</v>
      </c>
      <c r="J7370" s="128">
        <v>3166</v>
      </c>
    </row>
    <row r="7371" spans="1:10" hidden="1" x14ac:dyDescent="0.25">
      <c r="A7371" s="124" t="s">
        <v>9815</v>
      </c>
      <c r="B7371" s="124" t="s">
        <v>11736</v>
      </c>
      <c r="C7371" s="132"/>
      <c r="D7371" s="125">
        <f>COUNTIF(A2792:A7370,A7371)</f>
        <v>0</v>
      </c>
      <c r="E7371" s="124" t="s">
        <v>8367</v>
      </c>
      <c r="F7371" s="126">
        <v>1</v>
      </c>
      <c r="G7371" s="128">
        <v>22585.42</v>
      </c>
      <c r="H7371" s="124" t="s">
        <v>8368</v>
      </c>
      <c r="I7371" s="128">
        <v>1366.6</v>
      </c>
      <c r="J7371" s="128">
        <v>6833</v>
      </c>
    </row>
    <row r="7372" spans="1:10" hidden="1" x14ac:dyDescent="0.25">
      <c r="A7372" s="124" t="s">
        <v>9816</v>
      </c>
      <c r="B7372" s="124" t="s">
        <v>11736</v>
      </c>
      <c r="C7372" s="132"/>
      <c r="D7372" s="125">
        <f>COUNTIF(A2793:A7371,A7372)</f>
        <v>0</v>
      </c>
      <c r="E7372" s="124" t="s">
        <v>8367</v>
      </c>
      <c r="F7372" s="126">
        <v>1</v>
      </c>
      <c r="G7372" s="128">
        <v>5398.8</v>
      </c>
      <c r="H7372" s="124" t="s">
        <v>8368</v>
      </c>
      <c r="I7372" s="128">
        <v>1649.8</v>
      </c>
      <c r="J7372" s="128">
        <v>8249</v>
      </c>
    </row>
    <row r="7373" spans="1:10" hidden="1" x14ac:dyDescent="0.25">
      <c r="A7373" s="124" t="s">
        <v>9817</v>
      </c>
      <c r="B7373" s="124" t="s">
        <v>11736</v>
      </c>
      <c r="C7373" s="132"/>
      <c r="D7373" s="125">
        <f>COUNTIF(A2794:A7372,A7373)</f>
        <v>0</v>
      </c>
      <c r="E7373" s="124" t="s">
        <v>8367</v>
      </c>
      <c r="F7373" s="126">
        <v>1</v>
      </c>
      <c r="G7373" s="128">
        <v>3799.2</v>
      </c>
      <c r="H7373" s="124" t="s">
        <v>8368</v>
      </c>
      <c r="I7373" s="128">
        <v>150415.16</v>
      </c>
      <c r="J7373" s="128">
        <v>752075.77</v>
      </c>
    </row>
    <row r="7374" spans="1:10" hidden="1" x14ac:dyDescent="0.25">
      <c r="A7374" s="124" t="s">
        <v>9818</v>
      </c>
      <c r="B7374" s="124" t="s">
        <v>11736</v>
      </c>
      <c r="C7374" s="132"/>
      <c r="D7374" s="125">
        <f>COUNTIF(A2796:A7373,A7374)</f>
        <v>0</v>
      </c>
      <c r="E7374" s="124" t="s">
        <v>8367</v>
      </c>
      <c r="F7374" s="126">
        <v>1</v>
      </c>
      <c r="G7374" s="128">
        <v>8199.6</v>
      </c>
      <c r="H7374" s="124" t="s">
        <v>8368</v>
      </c>
      <c r="I7374" s="128">
        <v>1000</v>
      </c>
      <c r="J7374" s="128">
        <v>5000</v>
      </c>
    </row>
    <row r="7375" spans="1:10" hidden="1" x14ac:dyDescent="0.25">
      <c r="A7375" s="124" t="s">
        <v>9819</v>
      </c>
      <c r="B7375" s="124" t="s">
        <v>11736</v>
      </c>
      <c r="C7375" s="132"/>
      <c r="D7375" s="125">
        <f>COUNTIF(A2797:A7374,A7375)</f>
        <v>0</v>
      </c>
      <c r="E7375" s="124" t="s">
        <v>8367</v>
      </c>
      <c r="F7375" s="126">
        <v>1</v>
      </c>
      <c r="G7375" s="128">
        <v>9898.7999999999993</v>
      </c>
      <c r="H7375" s="124" t="s">
        <v>8368</v>
      </c>
      <c r="I7375" s="128">
        <v>4578000</v>
      </c>
      <c r="J7375" s="128">
        <v>22890000</v>
      </c>
    </row>
    <row r="7376" spans="1:10" hidden="1" x14ac:dyDescent="0.25">
      <c r="A7376" s="124" t="s">
        <v>9820</v>
      </c>
      <c r="B7376" s="124" t="s">
        <v>11736</v>
      </c>
      <c r="C7376" s="132"/>
      <c r="D7376" s="125">
        <f>COUNTIF(A2798:A7375,A7376)</f>
        <v>0</v>
      </c>
      <c r="E7376" s="124" t="s">
        <v>8367</v>
      </c>
      <c r="F7376" s="126">
        <v>831</v>
      </c>
      <c r="G7376" s="128">
        <v>902490.93</v>
      </c>
      <c r="H7376" s="124" t="s">
        <v>8368</v>
      </c>
      <c r="I7376" s="128">
        <v>3242749.93</v>
      </c>
      <c r="J7376" s="128">
        <v>16213749.65</v>
      </c>
    </row>
    <row r="7377" spans="1:10" hidden="1" x14ac:dyDescent="0.25">
      <c r="A7377" s="124" t="s">
        <v>9821</v>
      </c>
      <c r="B7377" s="124" t="s">
        <v>11736</v>
      </c>
      <c r="C7377" s="132"/>
      <c r="D7377" s="125">
        <f>COUNTIF(A2802:A7376,A7377)</f>
        <v>0</v>
      </c>
      <c r="E7377" s="124" t="s">
        <v>8367</v>
      </c>
      <c r="F7377" s="126">
        <v>5</v>
      </c>
      <c r="G7377" s="128">
        <v>6000</v>
      </c>
      <c r="H7377" s="124" t="s">
        <v>8368</v>
      </c>
      <c r="I7377" s="128">
        <v>2670500.08</v>
      </c>
      <c r="J7377" s="128">
        <v>13352500.380000001</v>
      </c>
    </row>
    <row r="7378" spans="1:10" hidden="1" x14ac:dyDescent="0.25">
      <c r="A7378" s="124" t="s">
        <v>9822</v>
      </c>
      <c r="B7378" s="124" t="s">
        <v>11736</v>
      </c>
      <c r="C7378" s="132"/>
      <c r="D7378" s="125">
        <f t="shared" ref="D7378:D7383" si="96">COUNTIF(A2807:A7377,A7378)</f>
        <v>0</v>
      </c>
      <c r="E7378" s="124" t="s">
        <v>8367</v>
      </c>
      <c r="F7378" s="129">
        <v>2289</v>
      </c>
      <c r="G7378" s="128">
        <v>27468000</v>
      </c>
      <c r="H7378" s="124" t="s">
        <v>8368</v>
      </c>
      <c r="I7378" s="128">
        <v>8393000</v>
      </c>
      <c r="J7378" s="128">
        <v>41965000</v>
      </c>
    </row>
    <row r="7379" spans="1:10" hidden="1" x14ac:dyDescent="0.25">
      <c r="A7379" s="124" t="s">
        <v>9823</v>
      </c>
      <c r="B7379" s="124" t="s">
        <v>11736</v>
      </c>
      <c r="C7379" s="132"/>
      <c r="D7379" s="125">
        <f t="shared" si="96"/>
        <v>0</v>
      </c>
      <c r="E7379" s="124" t="s">
        <v>8367</v>
      </c>
      <c r="F7379" s="129">
        <v>2289</v>
      </c>
      <c r="G7379" s="128">
        <v>19456499.579999998</v>
      </c>
      <c r="H7379" s="124" t="s">
        <v>8368</v>
      </c>
      <c r="I7379" s="128">
        <v>381500</v>
      </c>
      <c r="J7379" s="128">
        <v>1907500</v>
      </c>
    </row>
    <row r="7380" spans="1:10" hidden="1" x14ac:dyDescent="0.25">
      <c r="A7380" s="124" t="s">
        <v>9824</v>
      </c>
      <c r="B7380" s="124" t="s">
        <v>11736</v>
      </c>
      <c r="C7380" s="132"/>
      <c r="D7380" s="125">
        <f t="shared" si="96"/>
        <v>0</v>
      </c>
      <c r="E7380" s="124" t="s">
        <v>8367</v>
      </c>
      <c r="F7380" s="129">
        <v>2289</v>
      </c>
      <c r="G7380" s="128">
        <v>16023000.460000001</v>
      </c>
      <c r="H7380" s="124" t="s">
        <v>8368</v>
      </c>
      <c r="I7380" s="128">
        <v>733447.14</v>
      </c>
      <c r="J7380" s="128">
        <v>3667235.67</v>
      </c>
    </row>
    <row r="7381" spans="1:10" hidden="1" x14ac:dyDescent="0.25">
      <c r="A7381" s="124" t="s">
        <v>9825</v>
      </c>
      <c r="B7381" s="124" t="s">
        <v>11736</v>
      </c>
      <c r="C7381" s="132"/>
      <c r="D7381" s="125">
        <f t="shared" si="96"/>
        <v>0</v>
      </c>
      <c r="E7381" s="124" t="s">
        <v>8367</v>
      </c>
      <c r="F7381" s="129">
        <v>9156</v>
      </c>
      <c r="G7381" s="128">
        <v>50358000</v>
      </c>
      <c r="H7381" s="124" t="s">
        <v>8368</v>
      </c>
      <c r="I7381" s="128">
        <v>1232000</v>
      </c>
      <c r="J7381" s="128">
        <v>6160000</v>
      </c>
    </row>
    <row r="7382" spans="1:10" hidden="1" x14ac:dyDescent="0.25">
      <c r="A7382" s="124" t="s">
        <v>9826</v>
      </c>
      <c r="B7382" s="124" t="s">
        <v>11736</v>
      </c>
      <c r="C7382" s="132"/>
      <c r="D7382" s="125">
        <f t="shared" si="96"/>
        <v>0</v>
      </c>
      <c r="E7382" s="124" t="s">
        <v>8367</v>
      </c>
      <c r="F7382" s="129">
        <v>9156</v>
      </c>
      <c r="G7382" s="128">
        <v>2289000</v>
      </c>
      <c r="H7382" s="124" t="s">
        <v>8368</v>
      </c>
      <c r="I7382" s="128">
        <v>64166.6</v>
      </c>
      <c r="J7382" s="128">
        <v>320833</v>
      </c>
    </row>
    <row r="7383" spans="1:10" hidden="1" x14ac:dyDescent="0.25">
      <c r="A7383" s="124" t="s">
        <v>9827</v>
      </c>
      <c r="B7383" s="124" t="s">
        <v>11736</v>
      </c>
      <c r="C7383" s="132"/>
      <c r="D7383" s="125">
        <f t="shared" si="96"/>
        <v>0</v>
      </c>
      <c r="E7383" s="124" t="s">
        <v>8367</v>
      </c>
      <c r="F7383" s="129">
        <v>2289</v>
      </c>
      <c r="G7383" s="128">
        <v>4400682.8099999996</v>
      </c>
      <c r="H7383" s="124" t="s">
        <v>8368</v>
      </c>
      <c r="I7383" s="127">
        <v>248.89</v>
      </c>
      <c r="J7383" s="128">
        <v>1244.47</v>
      </c>
    </row>
    <row r="7384" spans="1:10" hidden="1" x14ac:dyDescent="0.25">
      <c r="A7384" s="124" t="s">
        <v>9828</v>
      </c>
      <c r="B7384" s="124" t="s">
        <v>11736</v>
      </c>
      <c r="C7384" s="132"/>
      <c r="D7384" s="125">
        <f>COUNTIF(A2815:A7383,A7384)</f>
        <v>0</v>
      </c>
      <c r="E7384" s="124" t="s">
        <v>8367</v>
      </c>
      <c r="F7384" s="129">
        <v>3080</v>
      </c>
      <c r="G7384" s="128">
        <v>7392000</v>
      </c>
      <c r="H7384" s="124" t="s">
        <v>8368</v>
      </c>
      <c r="I7384" s="128">
        <v>25833.33</v>
      </c>
      <c r="J7384" s="128">
        <v>129166.67</v>
      </c>
    </row>
    <row r="7385" spans="1:10" hidden="1" x14ac:dyDescent="0.25">
      <c r="A7385" s="124" t="s">
        <v>9829</v>
      </c>
      <c r="B7385" s="124" t="s">
        <v>11736</v>
      </c>
      <c r="C7385" s="132"/>
      <c r="D7385" s="125">
        <f>COUNTIF(A2816:A7384,A7385)</f>
        <v>0</v>
      </c>
      <c r="E7385" s="124" t="s">
        <v>8367</v>
      </c>
      <c r="F7385" s="126">
        <v>770</v>
      </c>
      <c r="G7385" s="128">
        <v>384999.6</v>
      </c>
      <c r="H7385" s="124" t="s">
        <v>8368</v>
      </c>
      <c r="I7385" s="128">
        <v>3131.25</v>
      </c>
      <c r="J7385" s="128">
        <v>15656.25</v>
      </c>
    </row>
    <row r="7386" spans="1:10" hidden="1" x14ac:dyDescent="0.25">
      <c r="A7386" s="124" t="s">
        <v>9830</v>
      </c>
      <c r="B7386" s="124" t="s">
        <v>11736</v>
      </c>
      <c r="C7386" s="132"/>
      <c r="D7386" s="125">
        <f>COUNTIF(A2817:A7385,A7386)</f>
        <v>0</v>
      </c>
      <c r="E7386" s="124" t="s">
        <v>8367</v>
      </c>
      <c r="F7386" s="126">
        <v>8</v>
      </c>
      <c r="G7386" s="128">
        <v>1493.36</v>
      </c>
      <c r="H7386" s="124" t="s">
        <v>8368</v>
      </c>
      <c r="I7386" s="127">
        <v>375</v>
      </c>
      <c r="J7386" s="128">
        <v>1875</v>
      </c>
    </row>
    <row r="7387" spans="1:10" hidden="1" x14ac:dyDescent="0.25">
      <c r="A7387" s="124" t="s">
        <v>9831</v>
      </c>
      <c r="B7387" s="124" t="s">
        <v>11736</v>
      </c>
      <c r="C7387" s="132"/>
      <c r="D7387" s="125">
        <f>COUNTIF(A2818:A7386,A7387)</f>
        <v>0</v>
      </c>
      <c r="E7387" s="124" t="s">
        <v>8367</v>
      </c>
      <c r="F7387" s="126">
        <v>10</v>
      </c>
      <c r="G7387" s="128">
        <v>155000</v>
      </c>
      <c r="H7387" s="124" t="s">
        <v>8368</v>
      </c>
      <c r="I7387" s="128">
        <v>8625</v>
      </c>
      <c r="J7387" s="128">
        <v>43125</v>
      </c>
    </row>
    <row r="7388" spans="1:10" hidden="1" x14ac:dyDescent="0.25">
      <c r="A7388" s="124" t="s">
        <v>9832</v>
      </c>
      <c r="B7388" s="124" t="s">
        <v>11736</v>
      </c>
      <c r="C7388" s="132"/>
      <c r="D7388" s="125">
        <f>COUNTIF(A2820:A7387,A7388)</f>
        <v>0</v>
      </c>
      <c r="E7388" s="124" t="s">
        <v>8367</v>
      </c>
      <c r="F7388" s="126">
        <v>167</v>
      </c>
      <c r="G7388" s="128">
        <v>18787.5</v>
      </c>
      <c r="H7388" s="124" t="s">
        <v>8368</v>
      </c>
      <c r="I7388" s="128">
        <v>160000</v>
      </c>
      <c r="J7388" s="128">
        <v>800000</v>
      </c>
    </row>
    <row r="7389" spans="1:10" hidden="1" x14ac:dyDescent="0.25">
      <c r="A7389" s="124" t="s">
        <v>9833</v>
      </c>
      <c r="B7389" s="124" t="s">
        <v>11736</v>
      </c>
      <c r="C7389" s="132"/>
      <c r="D7389" s="125">
        <f>COUNTIF(A2822:A7388,A7389)</f>
        <v>0</v>
      </c>
      <c r="E7389" s="124" t="s">
        <v>8367</v>
      </c>
      <c r="F7389" s="126">
        <v>20</v>
      </c>
      <c r="G7389" s="128">
        <v>2250</v>
      </c>
      <c r="H7389" s="124" t="s">
        <v>8368</v>
      </c>
      <c r="I7389" s="125"/>
      <c r="J7389" s="125"/>
    </row>
    <row r="7390" spans="1:10" hidden="1" x14ac:dyDescent="0.25">
      <c r="A7390" s="124" t="s">
        <v>9834</v>
      </c>
      <c r="B7390" s="124" t="s">
        <v>11736</v>
      </c>
      <c r="C7390" s="132"/>
      <c r="D7390" s="125">
        <f>COUNTIF(A2824:A7389,A7390)</f>
        <v>0</v>
      </c>
      <c r="E7390" s="124" t="s">
        <v>8367</v>
      </c>
      <c r="F7390" s="126">
        <v>115</v>
      </c>
      <c r="G7390" s="128">
        <v>51750</v>
      </c>
      <c r="H7390" s="124" t="s">
        <v>8368</v>
      </c>
      <c r="I7390" s="128">
        <v>3484.6</v>
      </c>
      <c r="J7390" s="128">
        <v>17423</v>
      </c>
    </row>
    <row r="7391" spans="1:10" hidden="1" x14ac:dyDescent="0.25">
      <c r="A7391" s="124" t="s">
        <v>9835</v>
      </c>
      <c r="B7391" s="124" t="s">
        <v>11736</v>
      </c>
      <c r="C7391" s="132"/>
      <c r="D7391" s="125">
        <f t="shared" ref="D7391:D7401" si="97">COUNTIF(A2826:A7390,A7391)</f>
        <v>0</v>
      </c>
      <c r="E7391" s="124" t="s">
        <v>8367</v>
      </c>
      <c r="F7391" s="126">
        <v>1</v>
      </c>
      <c r="G7391" s="128">
        <v>960000</v>
      </c>
      <c r="H7391" s="124" t="s">
        <v>8368</v>
      </c>
      <c r="I7391" s="128">
        <v>3996.6</v>
      </c>
      <c r="J7391" s="128">
        <v>19983</v>
      </c>
    </row>
    <row r="7392" spans="1:10" hidden="1" x14ac:dyDescent="0.25">
      <c r="A7392" s="124" t="s">
        <v>9836</v>
      </c>
      <c r="B7392" s="124" t="s">
        <v>11736</v>
      </c>
      <c r="C7392" s="132"/>
      <c r="D7392" s="125">
        <f t="shared" si="97"/>
        <v>0</v>
      </c>
      <c r="E7392" s="124" t="s">
        <v>8367</v>
      </c>
      <c r="F7392" s="126">
        <v>200</v>
      </c>
      <c r="G7392" s="125"/>
      <c r="H7392" s="124" t="s">
        <v>8368</v>
      </c>
      <c r="I7392" s="127">
        <v>223.4</v>
      </c>
      <c r="J7392" s="128">
        <v>1117</v>
      </c>
    </row>
    <row r="7393" spans="1:10" hidden="1" x14ac:dyDescent="0.25">
      <c r="A7393" s="124" t="s">
        <v>9837</v>
      </c>
      <c r="B7393" s="124" t="s">
        <v>11736</v>
      </c>
      <c r="C7393" s="132"/>
      <c r="D7393" s="125">
        <f t="shared" si="97"/>
        <v>0</v>
      </c>
      <c r="E7393" s="124" t="s">
        <v>8367</v>
      </c>
      <c r="F7393" s="126">
        <v>10</v>
      </c>
      <c r="G7393" s="128">
        <v>20907.599999999999</v>
      </c>
      <c r="H7393" s="124" t="s">
        <v>8368</v>
      </c>
      <c r="I7393" s="127">
        <v>141.4</v>
      </c>
      <c r="J7393" s="127">
        <v>707</v>
      </c>
    </row>
    <row r="7394" spans="1:10" hidden="1" x14ac:dyDescent="0.25">
      <c r="A7394" s="124" t="s">
        <v>9838</v>
      </c>
      <c r="B7394" s="124" t="s">
        <v>11736</v>
      </c>
      <c r="C7394" s="132"/>
      <c r="D7394" s="125">
        <f t="shared" si="97"/>
        <v>0</v>
      </c>
      <c r="E7394" s="124" t="s">
        <v>8367</v>
      </c>
      <c r="F7394" s="126">
        <v>10</v>
      </c>
      <c r="G7394" s="128">
        <v>23979.599999999999</v>
      </c>
      <c r="H7394" s="124" t="s">
        <v>8368</v>
      </c>
      <c r="I7394" s="127">
        <v>83.4</v>
      </c>
      <c r="J7394" s="127">
        <v>417</v>
      </c>
    </row>
    <row r="7395" spans="1:10" hidden="1" x14ac:dyDescent="0.25">
      <c r="A7395" s="124" t="s">
        <v>9839</v>
      </c>
      <c r="B7395" s="124" t="s">
        <v>11736</v>
      </c>
      <c r="C7395" s="132"/>
      <c r="D7395" s="125">
        <f t="shared" si="97"/>
        <v>0</v>
      </c>
      <c r="E7395" s="124" t="s">
        <v>8367</v>
      </c>
      <c r="F7395" s="126">
        <v>10</v>
      </c>
      <c r="G7395" s="128">
        <v>1340.4</v>
      </c>
      <c r="H7395" s="124" t="s">
        <v>8368</v>
      </c>
      <c r="I7395" s="128">
        <v>7166.6</v>
      </c>
      <c r="J7395" s="128">
        <v>35833</v>
      </c>
    </row>
    <row r="7396" spans="1:10" hidden="1" x14ac:dyDescent="0.25">
      <c r="A7396" s="124" t="s">
        <v>9840</v>
      </c>
      <c r="B7396" s="124" t="s">
        <v>11736</v>
      </c>
      <c r="C7396" s="132"/>
      <c r="D7396" s="125">
        <f t="shared" si="97"/>
        <v>0</v>
      </c>
      <c r="E7396" s="124" t="s">
        <v>8367</v>
      </c>
      <c r="F7396" s="126">
        <v>2</v>
      </c>
      <c r="G7396" s="127">
        <v>848.4</v>
      </c>
      <c r="H7396" s="124" t="s">
        <v>8368</v>
      </c>
      <c r="I7396" s="127">
        <v>416.6</v>
      </c>
      <c r="J7396" s="128">
        <v>2083</v>
      </c>
    </row>
    <row r="7397" spans="1:10" hidden="1" x14ac:dyDescent="0.25">
      <c r="A7397" s="124" t="s">
        <v>9841</v>
      </c>
      <c r="B7397" s="124" t="s">
        <v>11736</v>
      </c>
      <c r="C7397" s="132"/>
      <c r="D7397" s="125">
        <f t="shared" si="97"/>
        <v>0</v>
      </c>
      <c r="E7397" s="124" t="s">
        <v>8367</v>
      </c>
      <c r="F7397" s="126">
        <v>1</v>
      </c>
      <c r="G7397" s="127">
        <v>500.4</v>
      </c>
      <c r="H7397" s="124" t="s">
        <v>8368</v>
      </c>
      <c r="I7397" s="127">
        <v>421.67</v>
      </c>
      <c r="J7397" s="128">
        <v>2108.33</v>
      </c>
    </row>
    <row r="7398" spans="1:10" hidden="1" x14ac:dyDescent="0.25">
      <c r="A7398" s="124" t="s">
        <v>9842</v>
      </c>
      <c r="B7398" s="124" t="s">
        <v>11736</v>
      </c>
      <c r="C7398" s="132"/>
      <c r="D7398" s="125">
        <f t="shared" si="97"/>
        <v>0</v>
      </c>
      <c r="E7398" s="124" t="s">
        <v>8367</v>
      </c>
      <c r="F7398" s="126">
        <v>2</v>
      </c>
      <c r="G7398" s="128">
        <v>42999.6</v>
      </c>
      <c r="H7398" s="124" t="s">
        <v>8368</v>
      </c>
      <c r="I7398" s="127">
        <v>166.67</v>
      </c>
      <c r="J7398" s="127">
        <v>833.33</v>
      </c>
    </row>
    <row r="7399" spans="1:10" hidden="1" x14ac:dyDescent="0.25">
      <c r="A7399" s="124" t="s">
        <v>9843</v>
      </c>
      <c r="B7399" s="124" t="s">
        <v>11736</v>
      </c>
      <c r="C7399" s="132"/>
      <c r="D7399" s="125">
        <f t="shared" si="97"/>
        <v>0</v>
      </c>
      <c r="E7399" s="124" t="s">
        <v>8367</v>
      </c>
      <c r="F7399" s="126">
        <v>2</v>
      </c>
      <c r="G7399" s="128">
        <v>2499.6</v>
      </c>
      <c r="H7399" s="124" t="s">
        <v>8368</v>
      </c>
      <c r="I7399" s="127">
        <v>500</v>
      </c>
      <c r="J7399" s="128">
        <v>2500</v>
      </c>
    </row>
    <row r="7400" spans="1:10" hidden="1" x14ac:dyDescent="0.25">
      <c r="A7400" s="124" t="s">
        <v>9844</v>
      </c>
      <c r="B7400" s="124" t="s">
        <v>11736</v>
      </c>
      <c r="C7400" s="132"/>
      <c r="D7400" s="125">
        <f t="shared" si="97"/>
        <v>0</v>
      </c>
      <c r="E7400" s="124" t="s">
        <v>8367</v>
      </c>
      <c r="F7400" s="129">
        <v>2530</v>
      </c>
      <c r="G7400" s="128">
        <v>2530</v>
      </c>
      <c r="H7400" s="124" t="s">
        <v>8368</v>
      </c>
      <c r="I7400" s="127">
        <v>83.33</v>
      </c>
      <c r="J7400" s="127">
        <v>416.67</v>
      </c>
    </row>
    <row r="7401" spans="1:10" hidden="1" x14ac:dyDescent="0.25">
      <c r="A7401" s="124" t="s">
        <v>9845</v>
      </c>
      <c r="B7401" s="124" t="s">
        <v>11736</v>
      </c>
      <c r="C7401" s="132"/>
      <c r="D7401" s="125">
        <f t="shared" si="97"/>
        <v>0</v>
      </c>
      <c r="E7401" s="124" t="s">
        <v>8367</v>
      </c>
      <c r="F7401" s="129">
        <v>1000</v>
      </c>
      <c r="G7401" s="128">
        <v>1000</v>
      </c>
      <c r="H7401" s="124" t="s">
        <v>8368</v>
      </c>
      <c r="I7401" s="127">
        <v>50</v>
      </c>
      <c r="J7401" s="127">
        <v>250</v>
      </c>
    </row>
    <row r="7402" spans="1:10" hidden="1" x14ac:dyDescent="0.25">
      <c r="A7402" s="124" t="s">
        <v>9846</v>
      </c>
      <c r="B7402" s="124" t="s">
        <v>11736</v>
      </c>
      <c r="C7402" s="132"/>
      <c r="D7402" s="125">
        <f>COUNTIF(A2838:A7401,A7402)</f>
        <v>0</v>
      </c>
      <c r="E7402" s="124" t="s">
        <v>8367</v>
      </c>
      <c r="F7402" s="129">
        <v>3000</v>
      </c>
      <c r="G7402" s="128">
        <v>3000</v>
      </c>
      <c r="H7402" s="124" t="s">
        <v>8368</v>
      </c>
      <c r="I7402" s="127">
        <v>100</v>
      </c>
      <c r="J7402" s="127">
        <v>500</v>
      </c>
    </row>
    <row r="7403" spans="1:10" hidden="1" x14ac:dyDescent="0.25">
      <c r="A7403" s="124" t="s">
        <v>9847</v>
      </c>
      <c r="B7403" s="124" t="s">
        <v>11736</v>
      </c>
      <c r="C7403" s="132"/>
      <c r="D7403" s="125">
        <f>COUNTIF(A2839:A7402,A7403)</f>
        <v>0</v>
      </c>
      <c r="E7403" s="124" t="s">
        <v>8367</v>
      </c>
      <c r="F7403" s="126">
        <v>500</v>
      </c>
      <c r="G7403" s="127">
        <v>500</v>
      </c>
      <c r="H7403" s="124" t="s">
        <v>8368</v>
      </c>
      <c r="I7403" s="127">
        <v>50</v>
      </c>
      <c r="J7403" s="127">
        <v>250</v>
      </c>
    </row>
    <row r="7404" spans="1:10" hidden="1" x14ac:dyDescent="0.25">
      <c r="A7404" s="124" t="s">
        <v>9848</v>
      </c>
      <c r="B7404" s="124" t="s">
        <v>11736</v>
      </c>
      <c r="C7404" s="132"/>
      <c r="D7404" s="125">
        <f>COUNTIF(A2841:A7403,A7404)</f>
        <v>0</v>
      </c>
      <c r="E7404" s="124" t="s">
        <v>8367</v>
      </c>
      <c r="F7404" s="126">
        <v>300</v>
      </c>
      <c r="G7404" s="127">
        <v>300</v>
      </c>
      <c r="H7404" s="124" t="s">
        <v>8368</v>
      </c>
      <c r="I7404" s="127">
        <v>833.33</v>
      </c>
      <c r="J7404" s="128">
        <v>4166.67</v>
      </c>
    </row>
    <row r="7405" spans="1:10" hidden="1" x14ac:dyDescent="0.25">
      <c r="A7405" s="124" t="s">
        <v>2482</v>
      </c>
      <c r="B7405" s="124" t="s">
        <v>11736</v>
      </c>
      <c r="C7405" s="132"/>
      <c r="D7405" s="125">
        <f>COUNTIF(A2842:A7404,A7405)</f>
        <v>0</v>
      </c>
      <c r="E7405" s="124" t="s">
        <v>8367</v>
      </c>
      <c r="F7405" s="126">
        <v>500</v>
      </c>
      <c r="G7405" s="127">
        <v>600</v>
      </c>
      <c r="H7405" s="124" t="s">
        <v>8368</v>
      </c>
      <c r="I7405" s="127">
        <v>833.33</v>
      </c>
      <c r="J7405" s="128">
        <v>4166.67</v>
      </c>
    </row>
    <row r="7406" spans="1:10" hidden="1" x14ac:dyDescent="0.25">
      <c r="A7406" s="124" t="s">
        <v>9849</v>
      </c>
      <c r="B7406" s="124" t="s">
        <v>11736</v>
      </c>
      <c r="C7406" s="132"/>
      <c r="D7406" s="125">
        <f>COUNTIF(A2846:A7405,A7406)</f>
        <v>0</v>
      </c>
      <c r="E7406" s="124" t="s">
        <v>8367</v>
      </c>
      <c r="F7406" s="126">
        <v>300</v>
      </c>
      <c r="G7406" s="127">
        <v>300</v>
      </c>
      <c r="H7406" s="124" t="s">
        <v>8368</v>
      </c>
      <c r="I7406" s="127">
        <v>833.33</v>
      </c>
      <c r="J7406" s="128">
        <v>4166.67</v>
      </c>
    </row>
    <row r="7407" spans="1:10" hidden="1" x14ac:dyDescent="0.25">
      <c r="A7407" s="124" t="s">
        <v>2517</v>
      </c>
      <c r="B7407" s="124" t="s">
        <v>11736</v>
      </c>
      <c r="C7407" s="132"/>
      <c r="D7407" s="125">
        <f>COUNTIF(A2847:A7406,A7407)</f>
        <v>0</v>
      </c>
      <c r="E7407" s="124" t="s">
        <v>8367</v>
      </c>
      <c r="F7407" s="129">
        <v>5000</v>
      </c>
      <c r="G7407" s="128">
        <v>5000</v>
      </c>
      <c r="H7407" s="124" t="s">
        <v>8368</v>
      </c>
      <c r="I7407" s="128">
        <v>85100</v>
      </c>
      <c r="J7407" s="128">
        <v>425500</v>
      </c>
    </row>
    <row r="7408" spans="1:10" hidden="1" x14ac:dyDescent="0.25">
      <c r="A7408" s="124" t="s">
        <v>2519</v>
      </c>
      <c r="B7408" s="124" t="s">
        <v>11736</v>
      </c>
      <c r="C7408" s="132"/>
      <c r="D7408" s="125">
        <f>COUNTIF(A2848:A7407,A7408)</f>
        <v>0</v>
      </c>
      <c r="E7408" s="124" t="s">
        <v>8367</v>
      </c>
      <c r="F7408" s="129">
        <v>5000</v>
      </c>
      <c r="G7408" s="128">
        <v>5000</v>
      </c>
      <c r="H7408" s="124" t="s">
        <v>8368</v>
      </c>
      <c r="I7408" s="128">
        <v>81696</v>
      </c>
      <c r="J7408" s="128">
        <v>408480</v>
      </c>
    </row>
    <row r="7409" spans="1:10" hidden="1" x14ac:dyDescent="0.25">
      <c r="A7409" s="124" t="s">
        <v>9850</v>
      </c>
      <c r="B7409" s="124" t="s">
        <v>11736</v>
      </c>
      <c r="C7409" s="132"/>
      <c r="D7409" s="125">
        <f>COUNTIF(A2849:A7408,A7409)</f>
        <v>0</v>
      </c>
      <c r="E7409" s="124" t="s">
        <v>8367</v>
      </c>
      <c r="F7409" s="129">
        <v>5000</v>
      </c>
      <c r="G7409" s="128">
        <v>5000</v>
      </c>
      <c r="H7409" s="124" t="s">
        <v>8368</v>
      </c>
      <c r="I7409" s="128">
        <v>81696</v>
      </c>
      <c r="J7409" s="128">
        <v>408480</v>
      </c>
    </row>
    <row r="7410" spans="1:10" hidden="1" x14ac:dyDescent="0.25">
      <c r="A7410" s="124" t="s">
        <v>9851</v>
      </c>
      <c r="B7410" s="124" t="s">
        <v>11736</v>
      </c>
      <c r="C7410" s="132"/>
      <c r="D7410" s="125">
        <f t="shared" ref="D7410:D7441" si="98">COUNTIF(A2852:A7409,A7410)</f>
        <v>0</v>
      </c>
      <c r="E7410" s="124" t="s">
        <v>8367</v>
      </c>
      <c r="F7410" s="126">
        <v>1</v>
      </c>
      <c r="G7410" s="128">
        <v>510600</v>
      </c>
      <c r="H7410" s="124" t="s">
        <v>8368</v>
      </c>
      <c r="I7410" s="128">
        <v>40296</v>
      </c>
      <c r="J7410" s="128">
        <v>201480</v>
      </c>
    </row>
    <row r="7411" spans="1:10" hidden="1" x14ac:dyDescent="0.25">
      <c r="A7411" s="124" t="s">
        <v>9852</v>
      </c>
      <c r="B7411" s="124" t="s">
        <v>11736</v>
      </c>
      <c r="C7411" s="132"/>
      <c r="D7411" s="125">
        <f t="shared" si="98"/>
        <v>0</v>
      </c>
      <c r="E7411" s="124" t="s">
        <v>8367</v>
      </c>
      <c r="F7411" s="126">
        <v>1</v>
      </c>
      <c r="G7411" s="128">
        <v>490176</v>
      </c>
      <c r="H7411" s="124" t="s">
        <v>8368</v>
      </c>
      <c r="I7411" s="128">
        <v>40296</v>
      </c>
      <c r="J7411" s="128">
        <v>201480</v>
      </c>
    </row>
    <row r="7412" spans="1:10" hidden="1" x14ac:dyDescent="0.25">
      <c r="A7412" s="124" t="s">
        <v>9853</v>
      </c>
      <c r="B7412" s="124" t="s">
        <v>11736</v>
      </c>
      <c r="C7412" s="132"/>
      <c r="D7412" s="125">
        <f t="shared" si="98"/>
        <v>0</v>
      </c>
      <c r="E7412" s="124" t="s">
        <v>8367</v>
      </c>
      <c r="F7412" s="126">
        <v>1</v>
      </c>
      <c r="G7412" s="128">
        <v>490176</v>
      </c>
      <c r="H7412" s="124" t="s">
        <v>8368</v>
      </c>
      <c r="I7412" s="128">
        <v>40296</v>
      </c>
      <c r="J7412" s="128">
        <v>201480</v>
      </c>
    </row>
    <row r="7413" spans="1:10" hidden="1" x14ac:dyDescent="0.25">
      <c r="A7413" s="124" t="s">
        <v>9854</v>
      </c>
      <c r="B7413" s="124" t="s">
        <v>11736</v>
      </c>
      <c r="C7413" s="132"/>
      <c r="D7413" s="125">
        <f t="shared" si="98"/>
        <v>0</v>
      </c>
      <c r="E7413" s="124" t="s">
        <v>8367</v>
      </c>
      <c r="F7413" s="126">
        <v>1</v>
      </c>
      <c r="G7413" s="128">
        <v>241776</v>
      </c>
      <c r="H7413" s="124" t="s">
        <v>8368</v>
      </c>
      <c r="I7413" s="128">
        <v>40296</v>
      </c>
      <c r="J7413" s="128">
        <v>201480</v>
      </c>
    </row>
    <row r="7414" spans="1:10" hidden="1" x14ac:dyDescent="0.25">
      <c r="A7414" s="124" t="s">
        <v>9855</v>
      </c>
      <c r="B7414" s="124" t="s">
        <v>11736</v>
      </c>
      <c r="C7414" s="132"/>
      <c r="D7414" s="125">
        <f t="shared" si="98"/>
        <v>0</v>
      </c>
      <c r="E7414" s="124" t="s">
        <v>8367</v>
      </c>
      <c r="F7414" s="126">
        <v>1</v>
      </c>
      <c r="G7414" s="128">
        <v>241776</v>
      </c>
      <c r="H7414" s="124" t="s">
        <v>8368</v>
      </c>
      <c r="I7414" s="128">
        <v>40296</v>
      </c>
      <c r="J7414" s="128">
        <v>201480</v>
      </c>
    </row>
    <row r="7415" spans="1:10" hidden="1" x14ac:dyDescent="0.25">
      <c r="A7415" s="124" t="s">
        <v>9856</v>
      </c>
      <c r="B7415" s="124" t="s">
        <v>11736</v>
      </c>
      <c r="C7415" s="132"/>
      <c r="D7415" s="125">
        <f t="shared" si="98"/>
        <v>0</v>
      </c>
      <c r="E7415" s="124" t="s">
        <v>8367</v>
      </c>
      <c r="F7415" s="126">
        <v>1</v>
      </c>
      <c r="G7415" s="128">
        <v>241776</v>
      </c>
      <c r="H7415" s="124" t="s">
        <v>8368</v>
      </c>
      <c r="I7415" s="128">
        <v>40296</v>
      </c>
      <c r="J7415" s="128">
        <v>201480</v>
      </c>
    </row>
    <row r="7416" spans="1:10" hidden="1" x14ac:dyDescent="0.25">
      <c r="A7416" s="124" t="s">
        <v>9857</v>
      </c>
      <c r="B7416" s="124" t="s">
        <v>11736</v>
      </c>
      <c r="C7416" s="132"/>
      <c r="D7416" s="125">
        <f t="shared" si="98"/>
        <v>0</v>
      </c>
      <c r="E7416" s="124" t="s">
        <v>8367</v>
      </c>
      <c r="F7416" s="126">
        <v>1</v>
      </c>
      <c r="G7416" s="128">
        <v>241776</v>
      </c>
      <c r="H7416" s="124" t="s">
        <v>8368</v>
      </c>
      <c r="I7416" s="128">
        <v>40296</v>
      </c>
      <c r="J7416" s="128">
        <v>201480</v>
      </c>
    </row>
    <row r="7417" spans="1:10" hidden="1" x14ac:dyDescent="0.25">
      <c r="A7417" s="124" t="s">
        <v>9858</v>
      </c>
      <c r="B7417" s="124" t="s">
        <v>11736</v>
      </c>
      <c r="C7417" s="132"/>
      <c r="D7417" s="125">
        <f t="shared" si="98"/>
        <v>0</v>
      </c>
      <c r="E7417" s="124" t="s">
        <v>8367</v>
      </c>
      <c r="F7417" s="126">
        <v>1</v>
      </c>
      <c r="G7417" s="128">
        <v>241776</v>
      </c>
      <c r="H7417" s="124" t="s">
        <v>8368</v>
      </c>
      <c r="I7417" s="128">
        <v>40296</v>
      </c>
      <c r="J7417" s="128">
        <v>201480</v>
      </c>
    </row>
    <row r="7418" spans="1:10" hidden="1" x14ac:dyDescent="0.25">
      <c r="A7418" s="124" t="s">
        <v>9859</v>
      </c>
      <c r="B7418" s="124" t="s">
        <v>11736</v>
      </c>
      <c r="C7418" s="132"/>
      <c r="D7418" s="125">
        <f t="shared" si="98"/>
        <v>0</v>
      </c>
      <c r="E7418" s="124" t="s">
        <v>8367</v>
      </c>
      <c r="F7418" s="126">
        <v>1</v>
      </c>
      <c r="G7418" s="128">
        <v>241776</v>
      </c>
      <c r="H7418" s="124" t="s">
        <v>8368</v>
      </c>
      <c r="I7418" s="128">
        <v>107140</v>
      </c>
      <c r="J7418" s="128">
        <v>535700</v>
      </c>
    </row>
    <row r="7419" spans="1:10" hidden="1" x14ac:dyDescent="0.25">
      <c r="A7419" s="124" t="s">
        <v>9860</v>
      </c>
      <c r="B7419" s="124" t="s">
        <v>11736</v>
      </c>
      <c r="C7419" s="132"/>
      <c r="D7419" s="125">
        <f t="shared" si="98"/>
        <v>0</v>
      </c>
      <c r="E7419" s="124" t="s">
        <v>8367</v>
      </c>
      <c r="F7419" s="126">
        <v>1</v>
      </c>
      <c r="G7419" s="128">
        <v>241776</v>
      </c>
      <c r="H7419" s="124" t="s">
        <v>8368</v>
      </c>
      <c r="I7419" s="128">
        <v>107140</v>
      </c>
      <c r="J7419" s="128">
        <v>535700</v>
      </c>
    </row>
    <row r="7420" spans="1:10" hidden="1" x14ac:dyDescent="0.25">
      <c r="A7420" s="124" t="s">
        <v>9861</v>
      </c>
      <c r="B7420" s="124" t="s">
        <v>11736</v>
      </c>
      <c r="C7420" s="132"/>
      <c r="D7420" s="125">
        <f t="shared" si="98"/>
        <v>0</v>
      </c>
      <c r="E7420" s="124" t="s">
        <v>8367</v>
      </c>
      <c r="F7420" s="126">
        <v>1</v>
      </c>
      <c r="G7420" s="128">
        <v>241776</v>
      </c>
      <c r="H7420" s="124" t="s">
        <v>8368</v>
      </c>
      <c r="I7420" s="128">
        <v>107140</v>
      </c>
      <c r="J7420" s="128">
        <v>535700</v>
      </c>
    </row>
    <row r="7421" spans="1:10" hidden="1" x14ac:dyDescent="0.25">
      <c r="A7421" s="124" t="s">
        <v>9862</v>
      </c>
      <c r="B7421" s="124" t="s">
        <v>11736</v>
      </c>
      <c r="C7421" s="132"/>
      <c r="D7421" s="125">
        <f t="shared" si="98"/>
        <v>0</v>
      </c>
      <c r="E7421" s="124" t="s">
        <v>8367</v>
      </c>
      <c r="F7421" s="126">
        <v>1</v>
      </c>
      <c r="G7421" s="128">
        <v>642840</v>
      </c>
      <c r="H7421" s="124" t="s">
        <v>8368</v>
      </c>
      <c r="I7421" s="128">
        <v>107140</v>
      </c>
      <c r="J7421" s="128">
        <v>535700</v>
      </c>
    </row>
    <row r="7422" spans="1:10" hidden="1" x14ac:dyDescent="0.25">
      <c r="A7422" s="124" t="s">
        <v>9863</v>
      </c>
      <c r="B7422" s="124" t="s">
        <v>11736</v>
      </c>
      <c r="C7422" s="132"/>
      <c r="D7422" s="125">
        <f t="shared" si="98"/>
        <v>0</v>
      </c>
      <c r="E7422" s="124" t="s">
        <v>8367</v>
      </c>
      <c r="F7422" s="126">
        <v>1</v>
      </c>
      <c r="G7422" s="128">
        <v>642840</v>
      </c>
      <c r="H7422" s="124" t="s">
        <v>8368</v>
      </c>
      <c r="I7422" s="128">
        <v>82972</v>
      </c>
      <c r="J7422" s="128">
        <v>414860</v>
      </c>
    </row>
    <row r="7423" spans="1:10" hidden="1" x14ac:dyDescent="0.25">
      <c r="A7423" s="124" t="s">
        <v>9864</v>
      </c>
      <c r="B7423" s="124" t="s">
        <v>11736</v>
      </c>
      <c r="C7423" s="132"/>
      <c r="D7423" s="125">
        <f t="shared" si="98"/>
        <v>0</v>
      </c>
      <c r="E7423" s="124" t="s">
        <v>8367</v>
      </c>
      <c r="F7423" s="126">
        <v>1</v>
      </c>
      <c r="G7423" s="128">
        <v>642840</v>
      </c>
      <c r="H7423" s="124" t="s">
        <v>8368</v>
      </c>
      <c r="I7423" s="128">
        <v>82972</v>
      </c>
      <c r="J7423" s="128">
        <v>414860</v>
      </c>
    </row>
    <row r="7424" spans="1:10" hidden="1" x14ac:dyDescent="0.25">
      <c r="A7424" s="124" t="s">
        <v>9865</v>
      </c>
      <c r="B7424" s="124" t="s">
        <v>11736</v>
      </c>
      <c r="C7424" s="132"/>
      <c r="D7424" s="125">
        <f t="shared" si="98"/>
        <v>0</v>
      </c>
      <c r="E7424" s="124" t="s">
        <v>8367</v>
      </c>
      <c r="F7424" s="126">
        <v>1</v>
      </c>
      <c r="G7424" s="128">
        <v>642840</v>
      </c>
      <c r="H7424" s="124" t="s">
        <v>8368</v>
      </c>
      <c r="I7424" s="128">
        <v>41580</v>
      </c>
      <c r="J7424" s="128">
        <v>207900</v>
      </c>
    </row>
    <row r="7425" spans="1:10" hidden="1" x14ac:dyDescent="0.25">
      <c r="A7425" s="124" t="s">
        <v>9866</v>
      </c>
      <c r="B7425" s="124" t="s">
        <v>11736</v>
      </c>
      <c r="C7425" s="132"/>
      <c r="D7425" s="125">
        <f t="shared" si="98"/>
        <v>0</v>
      </c>
      <c r="E7425" s="124" t="s">
        <v>8367</v>
      </c>
      <c r="F7425" s="126">
        <v>1</v>
      </c>
      <c r="G7425" s="128">
        <v>497832</v>
      </c>
      <c r="H7425" s="124" t="s">
        <v>8368</v>
      </c>
      <c r="I7425" s="128">
        <v>37144</v>
      </c>
      <c r="J7425" s="128">
        <v>185720</v>
      </c>
    </row>
    <row r="7426" spans="1:10" hidden="1" x14ac:dyDescent="0.25">
      <c r="A7426" s="124" t="s">
        <v>9867</v>
      </c>
      <c r="B7426" s="124" t="s">
        <v>11736</v>
      </c>
      <c r="C7426" s="132"/>
      <c r="D7426" s="125">
        <f t="shared" si="98"/>
        <v>0</v>
      </c>
      <c r="E7426" s="124" t="s">
        <v>8367</v>
      </c>
      <c r="F7426" s="126">
        <v>1</v>
      </c>
      <c r="G7426" s="128">
        <v>497832</v>
      </c>
      <c r="H7426" s="124" t="s">
        <v>8368</v>
      </c>
      <c r="I7426" s="128">
        <v>57368</v>
      </c>
      <c r="J7426" s="128">
        <v>286840</v>
      </c>
    </row>
    <row r="7427" spans="1:10" hidden="1" x14ac:dyDescent="0.25">
      <c r="A7427" s="124" t="s">
        <v>9868</v>
      </c>
      <c r="B7427" s="124" t="s">
        <v>11736</v>
      </c>
      <c r="C7427" s="132"/>
      <c r="D7427" s="125">
        <f t="shared" si="98"/>
        <v>0</v>
      </c>
      <c r="E7427" s="124" t="s">
        <v>8367</v>
      </c>
      <c r="F7427" s="126">
        <v>1</v>
      </c>
      <c r="G7427" s="128">
        <v>249480</v>
      </c>
      <c r="H7427" s="124" t="s">
        <v>8368</v>
      </c>
      <c r="I7427" s="128">
        <v>822956</v>
      </c>
      <c r="J7427" s="128">
        <v>4114780</v>
      </c>
    </row>
    <row r="7428" spans="1:10" hidden="1" x14ac:dyDescent="0.25">
      <c r="A7428" s="124" t="s">
        <v>9869</v>
      </c>
      <c r="B7428" s="124" t="s">
        <v>11736</v>
      </c>
      <c r="C7428" s="132"/>
      <c r="D7428" s="125">
        <f t="shared" si="98"/>
        <v>0</v>
      </c>
      <c r="E7428" s="124" t="s">
        <v>8367</v>
      </c>
      <c r="F7428" s="126">
        <v>1</v>
      </c>
      <c r="G7428" s="128">
        <v>222864</v>
      </c>
      <c r="H7428" s="124" t="s">
        <v>8368</v>
      </c>
      <c r="I7428" s="128">
        <v>1299636</v>
      </c>
      <c r="J7428" s="128">
        <v>6498180</v>
      </c>
    </row>
    <row r="7429" spans="1:10" hidden="1" x14ac:dyDescent="0.25">
      <c r="A7429" s="124" t="s">
        <v>9870</v>
      </c>
      <c r="B7429" s="124" t="s">
        <v>11736</v>
      </c>
      <c r="C7429" s="132"/>
      <c r="D7429" s="125">
        <f t="shared" si="98"/>
        <v>0</v>
      </c>
      <c r="E7429" s="124" t="s">
        <v>8367</v>
      </c>
      <c r="F7429" s="126">
        <v>1</v>
      </c>
      <c r="G7429" s="128">
        <v>344208</v>
      </c>
      <c r="H7429" s="124" t="s">
        <v>8368</v>
      </c>
      <c r="I7429" s="128">
        <v>106568</v>
      </c>
      <c r="J7429" s="128">
        <v>532840</v>
      </c>
    </row>
    <row r="7430" spans="1:10" hidden="1" x14ac:dyDescent="0.25">
      <c r="A7430" s="124" t="s">
        <v>9871</v>
      </c>
      <c r="B7430" s="124" t="s">
        <v>11736</v>
      </c>
      <c r="C7430" s="132"/>
      <c r="D7430" s="125">
        <f t="shared" si="98"/>
        <v>0</v>
      </c>
      <c r="E7430" s="124" t="s">
        <v>8367</v>
      </c>
      <c r="F7430" s="126">
        <v>1</v>
      </c>
      <c r="G7430" s="128">
        <v>4937736</v>
      </c>
      <c r="H7430" s="124" t="s">
        <v>8368</v>
      </c>
      <c r="I7430" s="128">
        <v>34020</v>
      </c>
      <c r="J7430" s="128">
        <v>170100</v>
      </c>
    </row>
    <row r="7431" spans="1:10" hidden="1" x14ac:dyDescent="0.25">
      <c r="A7431" s="124" t="s">
        <v>9872</v>
      </c>
      <c r="B7431" s="124" t="s">
        <v>11736</v>
      </c>
      <c r="C7431" s="132"/>
      <c r="D7431" s="125">
        <f t="shared" si="98"/>
        <v>0</v>
      </c>
      <c r="E7431" s="124" t="s">
        <v>8367</v>
      </c>
      <c r="F7431" s="126">
        <v>1</v>
      </c>
      <c r="G7431" s="128">
        <v>7797816</v>
      </c>
      <c r="H7431" s="124" t="s">
        <v>8368</v>
      </c>
      <c r="I7431" s="128">
        <v>983712</v>
      </c>
      <c r="J7431" s="128">
        <v>4918560</v>
      </c>
    </row>
    <row r="7432" spans="1:10" hidden="1" x14ac:dyDescent="0.25">
      <c r="A7432" s="124" t="s">
        <v>9873</v>
      </c>
      <c r="B7432" s="124" t="s">
        <v>11736</v>
      </c>
      <c r="C7432" s="132"/>
      <c r="D7432" s="125">
        <f t="shared" si="98"/>
        <v>0</v>
      </c>
      <c r="E7432" s="124" t="s">
        <v>8367</v>
      </c>
      <c r="F7432" s="126">
        <v>1</v>
      </c>
      <c r="G7432" s="128">
        <v>639408</v>
      </c>
      <c r="H7432" s="124" t="s">
        <v>8368</v>
      </c>
      <c r="I7432" s="128">
        <v>412984</v>
      </c>
      <c r="J7432" s="128">
        <v>2064920</v>
      </c>
    </row>
    <row r="7433" spans="1:10" hidden="1" x14ac:dyDescent="0.25">
      <c r="A7433" s="124" t="s">
        <v>9874</v>
      </c>
      <c r="B7433" s="124" t="s">
        <v>11736</v>
      </c>
      <c r="C7433" s="132"/>
      <c r="D7433" s="125">
        <f t="shared" si="98"/>
        <v>0</v>
      </c>
      <c r="E7433" s="124" t="s">
        <v>8367</v>
      </c>
      <c r="F7433" s="126">
        <v>1</v>
      </c>
      <c r="G7433" s="128">
        <v>204120</v>
      </c>
      <c r="H7433" s="124" t="s">
        <v>8368</v>
      </c>
      <c r="I7433" s="128">
        <v>572288</v>
      </c>
      <c r="J7433" s="128">
        <v>2861440</v>
      </c>
    </row>
    <row r="7434" spans="1:10" hidden="1" x14ac:dyDescent="0.25">
      <c r="A7434" s="124" t="s">
        <v>9875</v>
      </c>
      <c r="B7434" s="124" t="s">
        <v>11736</v>
      </c>
      <c r="C7434" s="132"/>
      <c r="D7434" s="125">
        <f t="shared" si="98"/>
        <v>0</v>
      </c>
      <c r="E7434" s="124" t="s">
        <v>8367</v>
      </c>
      <c r="F7434" s="126">
        <v>1</v>
      </c>
      <c r="G7434" s="128">
        <v>5902272</v>
      </c>
      <c r="H7434" s="124" t="s">
        <v>8368</v>
      </c>
      <c r="I7434" s="128">
        <v>28710.5</v>
      </c>
      <c r="J7434" s="128">
        <v>143552.5</v>
      </c>
    </row>
    <row r="7435" spans="1:10" hidden="1" x14ac:dyDescent="0.25">
      <c r="A7435" s="124" t="s">
        <v>9876</v>
      </c>
      <c r="B7435" s="124" t="s">
        <v>11736</v>
      </c>
      <c r="C7435" s="132"/>
      <c r="D7435" s="125">
        <f t="shared" si="98"/>
        <v>0</v>
      </c>
      <c r="E7435" s="124" t="s">
        <v>8367</v>
      </c>
      <c r="F7435" s="126">
        <v>1</v>
      </c>
      <c r="G7435" s="128">
        <v>2477904</v>
      </c>
      <c r="H7435" s="124" t="s">
        <v>8368</v>
      </c>
      <c r="I7435" s="128">
        <v>28710.5</v>
      </c>
      <c r="J7435" s="128">
        <v>143552.5</v>
      </c>
    </row>
    <row r="7436" spans="1:10" hidden="1" x14ac:dyDescent="0.25">
      <c r="A7436" s="124" t="s">
        <v>9877</v>
      </c>
      <c r="B7436" s="124" t="s">
        <v>11736</v>
      </c>
      <c r="C7436" s="132"/>
      <c r="D7436" s="125">
        <f t="shared" si="98"/>
        <v>0</v>
      </c>
      <c r="E7436" s="124" t="s">
        <v>8367</v>
      </c>
      <c r="F7436" s="126">
        <v>1</v>
      </c>
      <c r="G7436" s="128">
        <v>3433728</v>
      </c>
      <c r="H7436" s="124" t="s">
        <v>8368</v>
      </c>
      <c r="I7436" s="128">
        <v>28710.5</v>
      </c>
      <c r="J7436" s="128">
        <v>143552.5</v>
      </c>
    </row>
    <row r="7437" spans="1:10" hidden="1" x14ac:dyDescent="0.25">
      <c r="A7437" s="124" t="s">
        <v>9878</v>
      </c>
      <c r="B7437" s="124" t="s">
        <v>11736</v>
      </c>
      <c r="C7437" s="132"/>
      <c r="D7437" s="125">
        <f t="shared" si="98"/>
        <v>0</v>
      </c>
      <c r="E7437" s="124" t="s">
        <v>8367</v>
      </c>
      <c r="F7437" s="126">
        <v>1</v>
      </c>
      <c r="G7437" s="128">
        <v>172263</v>
      </c>
      <c r="H7437" s="124" t="s">
        <v>8368</v>
      </c>
      <c r="I7437" s="128">
        <v>28710.5</v>
      </c>
      <c r="J7437" s="128">
        <v>143552.5</v>
      </c>
    </row>
    <row r="7438" spans="1:10" hidden="1" x14ac:dyDescent="0.25">
      <c r="A7438" s="124" t="s">
        <v>9879</v>
      </c>
      <c r="B7438" s="124" t="s">
        <v>11736</v>
      </c>
      <c r="C7438" s="132"/>
      <c r="D7438" s="125">
        <f t="shared" si="98"/>
        <v>0</v>
      </c>
      <c r="E7438" s="124" t="s">
        <v>8367</v>
      </c>
      <c r="F7438" s="126">
        <v>1</v>
      </c>
      <c r="G7438" s="128">
        <v>172263</v>
      </c>
      <c r="H7438" s="124" t="s">
        <v>8368</v>
      </c>
      <c r="I7438" s="128">
        <v>28710.5</v>
      </c>
      <c r="J7438" s="128">
        <v>143552.5</v>
      </c>
    </row>
    <row r="7439" spans="1:10" hidden="1" x14ac:dyDescent="0.25">
      <c r="A7439" s="124" t="s">
        <v>9880</v>
      </c>
      <c r="B7439" s="124" t="s">
        <v>11736</v>
      </c>
      <c r="C7439" s="132"/>
      <c r="D7439" s="125">
        <f t="shared" si="98"/>
        <v>0</v>
      </c>
      <c r="E7439" s="124" t="s">
        <v>8367</v>
      </c>
      <c r="F7439" s="126">
        <v>1</v>
      </c>
      <c r="G7439" s="128">
        <v>172263</v>
      </c>
      <c r="H7439" s="124" t="s">
        <v>8368</v>
      </c>
      <c r="I7439" s="128">
        <v>28710.5</v>
      </c>
      <c r="J7439" s="128">
        <v>143552.5</v>
      </c>
    </row>
    <row r="7440" spans="1:10" hidden="1" x14ac:dyDescent="0.25">
      <c r="A7440" s="124" t="s">
        <v>9881</v>
      </c>
      <c r="B7440" s="124" t="s">
        <v>11736</v>
      </c>
      <c r="C7440" s="132"/>
      <c r="D7440" s="125">
        <f t="shared" si="98"/>
        <v>0</v>
      </c>
      <c r="E7440" s="124" t="s">
        <v>8367</v>
      </c>
      <c r="F7440" s="126">
        <v>1</v>
      </c>
      <c r="G7440" s="128">
        <v>172263</v>
      </c>
      <c r="H7440" s="124" t="s">
        <v>8368</v>
      </c>
      <c r="I7440" s="128">
        <v>28710.5</v>
      </c>
      <c r="J7440" s="128">
        <v>143552.5</v>
      </c>
    </row>
    <row r="7441" spans="1:10" hidden="1" x14ac:dyDescent="0.25">
      <c r="A7441" s="124" t="s">
        <v>9882</v>
      </c>
      <c r="B7441" s="124" t="s">
        <v>11736</v>
      </c>
      <c r="C7441" s="132"/>
      <c r="D7441" s="125">
        <f t="shared" si="98"/>
        <v>0</v>
      </c>
      <c r="E7441" s="124" t="s">
        <v>8367</v>
      </c>
      <c r="F7441" s="126">
        <v>1</v>
      </c>
      <c r="G7441" s="128">
        <v>172263</v>
      </c>
      <c r="H7441" s="124" t="s">
        <v>8368</v>
      </c>
      <c r="I7441" s="128">
        <v>28710.5</v>
      </c>
      <c r="J7441" s="128">
        <v>143552.5</v>
      </c>
    </row>
    <row r="7442" spans="1:10" hidden="1" x14ac:dyDescent="0.25">
      <c r="A7442" s="124" t="s">
        <v>9883</v>
      </c>
      <c r="B7442" s="124" t="s">
        <v>11736</v>
      </c>
      <c r="C7442" s="132"/>
      <c r="D7442" s="125">
        <f t="shared" ref="D7442:D7467" si="99">COUNTIF(A2884:A7441,A7442)</f>
        <v>0</v>
      </c>
      <c r="E7442" s="124" t="s">
        <v>8367</v>
      </c>
      <c r="F7442" s="126">
        <v>1</v>
      </c>
      <c r="G7442" s="128">
        <v>172263</v>
      </c>
      <c r="H7442" s="124" t="s">
        <v>8368</v>
      </c>
      <c r="I7442" s="128">
        <v>365040</v>
      </c>
      <c r="J7442" s="128">
        <v>1825200</v>
      </c>
    </row>
    <row r="7443" spans="1:10" hidden="1" x14ac:dyDescent="0.25">
      <c r="A7443" s="124" t="s">
        <v>9884</v>
      </c>
      <c r="B7443" s="124" t="s">
        <v>11736</v>
      </c>
      <c r="C7443" s="132"/>
      <c r="D7443" s="125">
        <f t="shared" si="99"/>
        <v>0</v>
      </c>
      <c r="E7443" s="124" t="s">
        <v>8367</v>
      </c>
      <c r="F7443" s="126">
        <v>1</v>
      </c>
      <c r="G7443" s="128">
        <v>172263</v>
      </c>
      <c r="H7443" s="124" t="s">
        <v>8368</v>
      </c>
      <c r="I7443" s="128">
        <v>998732</v>
      </c>
      <c r="J7443" s="128">
        <v>4993660</v>
      </c>
    </row>
    <row r="7444" spans="1:10" hidden="1" x14ac:dyDescent="0.25">
      <c r="A7444" s="124" t="s">
        <v>9885</v>
      </c>
      <c r="B7444" s="124" t="s">
        <v>11736</v>
      </c>
      <c r="C7444" s="132"/>
      <c r="D7444" s="125">
        <f t="shared" si="99"/>
        <v>0</v>
      </c>
      <c r="E7444" s="124" t="s">
        <v>8367</v>
      </c>
      <c r="F7444" s="126">
        <v>1</v>
      </c>
      <c r="G7444" s="128">
        <v>172263</v>
      </c>
      <c r="H7444" s="124" t="s">
        <v>8368</v>
      </c>
      <c r="I7444" s="128">
        <v>31929.5</v>
      </c>
      <c r="J7444" s="128">
        <v>159647.5</v>
      </c>
    </row>
    <row r="7445" spans="1:10" hidden="1" x14ac:dyDescent="0.25">
      <c r="A7445" s="124" t="s">
        <v>9886</v>
      </c>
      <c r="B7445" s="124" t="s">
        <v>11736</v>
      </c>
      <c r="C7445" s="132"/>
      <c r="D7445" s="125">
        <f t="shared" si="99"/>
        <v>0</v>
      </c>
      <c r="E7445" s="124" t="s">
        <v>8367</v>
      </c>
      <c r="F7445" s="126">
        <v>1</v>
      </c>
      <c r="G7445" s="128">
        <v>2190240</v>
      </c>
      <c r="H7445" s="124" t="s">
        <v>8368</v>
      </c>
      <c r="I7445" s="128">
        <v>31929.5</v>
      </c>
      <c r="J7445" s="128">
        <v>159647.5</v>
      </c>
    </row>
    <row r="7446" spans="1:10" hidden="1" x14ac:dyDescent="0.25">
      <c r="A7446" s="124" t="s">
        <v>9887</v>
      </c>
      <c r="B7446" s="124" t="s">
        <v>11736</v>
      </c>
      <c r="C7446" s="132"/>
      <c r="D7446" s="125">
        <f t="shared" si="99"/>
        <v>0</v>
      </c>
      <c r="E7446" s="124" t="s">
        <v>8367</v>
      </c>
      <c r="F7446" s="126">
        <v>1</v>
      </c>
      <c r="G7446" s="128">
        <v>5992392</v>
      </c>
      <c r="H7446" s="124" t="s">
        <v>8368</v>
      </c>
      <c r="I7446" s="128">
        <v>31929.5</v>
      </c>
      <c r="J7446" s="128">
        <v>159647.5</v>
      </c>
    </row>
    <row r="7447" spans="1:10" hidden="1" x14ac:dyDescent="0.25">
      <c r="A7447" s="124" t="s">
        <v>9888</v>
      </c>
      <c r="B7447" s="124" t="s">
        <v>11736</v>
      </c>
      <c r="C7447" s="132"/>
      <c r="D7447" s="125">
        <f t="shared" si="99"/>
        <v>0</v>
      </c>
      <c r="E7447" s="124" t="s">
        <v>8367</v>
      </c>
      <c r="F7447" s="126">
        <v>1</v>
      </c>
      <c r="G7447" s="128">
        <v>191577</v>
      </c>
      <c r="H7447" s="124" t="s">
        <v>8368</v>
      </c>
      <c r="I7447" s="128">
        <v>31929.5</v>
      </c>
      <c r="J7447" s="128">
        <v>159647.5</v>
      </c>
    </row>
    <row r="7448" spans="1:10" hidden="1" x14ac:dyDescent="0.25">
      <c r="A7448" s="124" t="s">
        <v>9889</v>
      </c>
      <c r="B7448" s="124" t="s">
        <v>11736</v>
      </c>
      <c r="C7448" s="132"/>
      <c r="D7448" s="125">
        <f t="shared" si="99"/>
        <v>0</v>
      </c>
      <c r="E7448" s="124" t="s">
        <v>8367</v>
      </c>
      <c r="F7448" s="126">
        <v>1</v>
      </c>
      <c r="G7448" s="128">
        <v>191577</v>
      </c>
      <c r="H7448" s="124" t="s">
        <v>8368</v>
      </c>
      <c r="I7448" s="128">
        <v>31929.5</v>
      </c>
      <c r="J7448" s="128">
        <v>159647.5</v>
      </c>
    </row>
    <row r="7449" spans="1:10" hidden="1" x14ac:dyDescent="0.25">
      <c r="A7449" s="124" t="s">
        <v>9890</v>
      </c>
      <c r="B7449" s="124" t="s">
        <v>11736</v>
      </c>
      <c r="C7449" s="132"/>
      <c r="D7449" s="125">
        <f t="shared" si="99"/>
        <v>0</v>
      </c>
      <c r="E7449" s="124" t="s">
        <v>8367</v>
      </c>
      <c r="F7449" s="126">
        <v>1</v>
      </c>
      <c r="G7449" s="128">
        <v>191577</v>
      </c>
      <c r="H7449" s="124" t="s">
        <v>8368</v>
      </c>
      <c r="I7449" s="128">
        <v>31929.5</v>
      </c>
      <c r="J7449" s="128">
        <v>159647.5</v>
      </c>
    </row>
    <row r="7450" spans="1:10" hidden="1" x14ac:dyDescent="0.25">
      <c r="A7450" s="124" t="s">
        <v>9891</v>
      </c>
      <c r="B7450" s="124" t="s">
        <v>11736</v>
      </c>
      <c r="C7450" s="132"/>
      <c r="D7450" s="125">
        <f t="shared" si="99"/>
        <v>0</v>
      </c>
      <c r="E7450" s="124" t="s">
        <v>8367</v>
      </c>
      <c r="F7450" s="126">
        <v>1</v>
      </c>
      <c r="G7450" s="128">
        <v>191577</v>
      </c>
      <c r="H7450" s="124" t="s">
        <v>8368</v>
      </c>
      <c r="I7450" s="128">
        <v>31929.5</v>
      </c>
      <c r="J7450" s="128">
        <v>159647.5</v>
      </c>
    </row>
    <row r="7451" spans="1:10" hidden="1" x14ac:dyDescent="0.25">
      <c r="A7451" s="124" t="s">
        <v>9892</v>
      </c>
      <c r="B7451" s="124" t="s">
        <v>11736</v>
      </c>
      <c r="C7451" s="132"/>
      <c r="D7451" s="125">
        <f t="shared" si="99"/>
        <v>0</v>
      </c>
      <c r="E7451" s="124" t="s">
        <v>8367</v>
      </c>
      <c r="F7451" s="126">
        <v>1</v>
      </c>
      <c r="G7451" s="128">
        <v>191577</v>
      </c>
      <c r="H7451" s="124" t="s">
        <v>8368</v>
      </c>
      <c r="I7451" s="128">
        <v>31929.5</v>
      </c>
      <c r="J7451" s="128">
        <v>159647.5</v>
      </c>
    </row>
    <row r="7452" spans="1:10" hidden="1" x14ac:dyDescent="0.25">
      <c r="A7452" s="124" t="s">
        <v>9893</v>
      </c>
      <c r="B7452" s="124" t="s">
        <v>11736</v>
      </c>
      <c r="C7452" s="132"/>
      <c r="D7452" s="125">
        <f t="shared" si="99"/>
        <v>0</v>
      </c>
      <c r="E7452" s="124" t="s">
        <v>8367</v>
      </c>
      <c r="F7452" s="126">
        <v>1</v>
      </c>
      <c r="G7452" s="128">
        <v>191577</v>
      </c>
      <c r="H7452" s="124" t="s">
        <v>8368</v>
      </c>
      <c r="I7452" s="128">
        <v>1044064</v>
      </c>
      <c r="J7452" s="128">
        <v>5220320</v>
      </c>
    </row>
    <row r="7453" spans="1:10" hidden="1" x14ac:dyDescent="0.25">
      <c r="A7453" s="124" t="s">
        <v>9894</v>
      </c>
      <c r="B7453" s="124" t="s">
        <v>11736</v>
      </c>
      <c r="C7453" s="132"/>
      <c r="D7453" s="125">
        <f t="shared" si="99"/>
        <v>0</v>
      </c>
      <c r="E7453" s="124" t="s">
        <v>8367</v>
      </c>
      <c r="F7453" s="126">
        <v>1</v>
      </c>
      <c r="G7453" s="128">
        <v>191577</v>
      </c>
      <c r="H7453" s="124" t="s">
        <v>8368</v>
      </c>
      <c r="I7453" s="128">
        <v>68616</v>
      </c>
      <c r="J7453" s="128">
        <v>343080</v>
      </c>
    </row>
    <row r="7454" spans="1:10" hidden="1" x14ac:dyDescent="0.25">
      <c r="A7454" s="124" t="s">
        <v>9895</v>
      </c>
      <c r="B7454" s="124" t="s">
        <v>11736</v>
      </c>
      <c r="C7454" s="132"/>
      <c r="D7454" s="125">
        <f t="shared" si="99"/>
        <v>0</v>
      </c>
      <c r="E7454" s="124" t="s">
        <v>8367</v>
      </c>
      <c r="F7454" s="126">
        <v>1</v>
      </c>
      <c r="G7454" s="128">
        <v>191577</v>
      </c>
      <c r="H7454" s="124" t="s">
        <v>8368</v>
      </c>
      <c r="I7454" s="128">
        <v>569696</v>
      </c>
      <c r="J7454" s="128">
        <v>2848480</v>
      </c>
    </row>
    <row r="7455" spans="1:10" hidden="1" x14ac:dyDescent="0.25">
      <c r="A7455" s="124" t="s">
        <v>9896</v>
      </c>
      <c r="B7455" s="124" t="s">
        <v>11736</v>
      </c>
      <c r="C7455" s="132"/>
      <c r="D7455" s="125">
        <f t="shared" si="99"/>
        <v>0</v>
      </c>
      <c r="E7455" s="124" t="s">
        <v>8367</v>
      </c>
      <c r="F7455" s="126">
        <v>1</v>
      </c>
      <c r="G7455" s="128">
        <v>6264384</v>
      </c>
      <c r="H7455" s="124" t="s">
        <v>8368</v>
      </c>
      <c r="I7455" s="128">
        <v>1992</v>
      </c>
      <c r="J7455" s="128">
        <v>9960</v>
      </c>
    </row>
    <row r="7456" spans="1:10" hidden="1" x14ac:dyDescent="0.25">
      <c r="A7456" s="124" t="s">
        <v>9897</v>
      </c>
      <c r="B7456" s="124" t="s">
        <v>11736</v>
      </c>
      <c r="C7456" s="132"/>
      <c r="D7456" s="125">
        <f t="shared" si="99"/>
        <v>0</v>
      </c>
      <c r="E7456" s="124" t="s">
        <v>8367</v>
      </c>
      <c r="F7456" s="126">
        <v>1</v>
      </c>
      <c r="G7456" s="128">
        <v>411696</v>
      </c>
      <c r="H7456" s="124" t="s">
        <v>8368</v>
      </c>
      <c r="I7456" s="128">
        <v>19745.8</v>
      </c>
      <c r="J7456" s="128">
        <v>98729</v>
      </c>
    </row>
    <row r="7457" spans="1:10" hidden="1" x14ac:dyDescent="0.25">
      <c r="A7457" s="124" t="s">
        <v>9898</v>
      </c>
      <c r="B7457" s="124" t="s">
        <v>11736</v>
      </c>
      <c r="C7457" s="132"/>
      <c r="D7457" s="125">
        <f t="shared" si="99"/>
        <v>0</v>
      </c>
      <c r="E7457" s="124" t="s">
        <v>8367</v>
      </c>
      <c r="F7457" s="126">
        <v>1</v>
      </c>
      <c r="G7457" s="128">
        <v>3418176</v>
      </c>
      <c r="H7457" s="124" t="s">
        <v>8368</v>
      </c>
      <c r="I7457" s="128">
        <v>3803</v>
      </c>
      <c r="J7457" s="128">
        <v>19015</v>
      </c>
    </row>
    <row r="7458" spans="1:10" hidden="1" x14ac:dyDescent="0.25">
      <c r="A7458" s="124" t="s">
        <v>9899</v>
      </c>
      <c r="B7458" s="124" t="s">
        <v>11736</v>
      </c>
      <c r="C7458" s="132"/>
      <c r="D7458" s="125">
        <f t="shared" si="99"/>
        <v>0</v>
      </c>
      <c r="E7458" s="124" t="s">
        <v>8367</v>
      </c>
      <c r="F7458" s="129">
        <v>12000</v>
      </c>
      <c r="G7458" s="128">
        <v>11952</v>
      </c>
      <c r="H7458" s="124" t="s">
        <v>8368</v>
      </c>
      <c r="I7458" s="128">
        <v>2042.6</v>
      </c>
      <c r="J7458" s="128">
        <v>10213</v>
      </c>
    </row>
    <row r="7459" spans="1:10" hidden="1" x14ac:dyDescent="0.25">
      <c r="A7459" s="124" t="s">
        <v>9900</v>
      </c>
      <c r="B7459" s="124" t="s">
        <v>11736</v>
      </c>
      <c r="C7459" s="132"/>
      <c r="D7459" s="125">
        <f t="shared" si="99"/>
        <v>0</v>
      </c>
      <c r="E7459" s="124" t="s">
        <v>8367</v>
      </c>
      <c r="F7459" s="126">
        <v>25</v>
      </c>
      <c r="G7459" s="128">
        <v>118474.8</v>
      </c>
      <c r="H7459" s="124" t="s">
        <v>8368</v>
      </c>
      <c r="I7459" s="128">
        <v>6721.6</v>
      </c>
      <c r="J7459" s="128">
        <v>33608</v>
      </c>
    </row>
    <row r="7460" spans="1:10" hidden="1" x14ac:dyDescent="0.25">
      <c r="A7460" s="124" t="s">
        <v>785</v>
      </c>
      <c r="B7460" s="124" t="s">
        <v>11736</v>
      </c>
      <c r="C7460" s="132"/>
      <c r="D7460" s="125">
        <f t="shared" si="99"/>
        <v>0</v>
      </c>
      <c r="E7460" s="124" t="s">
        <v>8367</v>
      </c>
      <c r="F7460" s="126">
        <v>2</v>
      </c>
      <c r="G7460" s="128">
        <v>22818</v>
      </c>
      <c r="H7460" s="124" t="s">
        <v>8368</v>
      </c>
      <c r="I7460" s="128">
        <v>2070.8000000000002</v>
      </c>
      <c r="J7460" s="128">
        <v>10354</v>
      </c>
    </row>
    <row r="7461" spans="1:10" hidden="1" x14ac:dyDescent="0.25">
      <c r="A7461" s="124" t="s">
        <v>1689</v>
      </c>
      <c r="B7461" s="124" t="s">
        <v>11736</v>
      </c>
      <c r="C7461" s="132"/>
      <c r="D7461" s="125">
        <f t="shared" si="99"/>
        <v>0</v>
      </c>
      <c r="E7461" s="124" t="s">
        <v>8367</v>
      </c>
      <c r="F7461" s="126">
        <v>8</v>
      </c>
      <c r="G7461" s="128">
        <v>12255.6</v>
      </c>
      <c r="H7461" s="124" t="s">
        <v>8368</v>
      </c>
      <c r="I7461" s="128">
        <v>1084.2</v>
      </c>
      <c r="J7461" s="128">
        <v>5421</v>
      </c>
    </row>
    <row r="7462" spans="1:10" hidden="1" x14ac:dyDescent="0.25">
      <c r="A7462" s="124" t="s">
        <v>2293</v>
      </c>
      <c r="B7462" s="124" t="s">
        <v>11736</v>
      </c>
      <c r="C7462" s="132"/>
      <c r="D7462" s="125">
        <f t="shared" si="99"/>
        <v>0</v>
      </c>
      <c r="E7462" s="124" t="s">
        <v>8367</v>
      </c>
      <c r="F7462" s="126">
        <v>10</v>
      </c>
      <c r="G7462" s="128">
        <v>40329.599999999999</v>
      </c>
      <c r="H7462" s="124" t="s">
        <v>8368</v>
      </c>
      <c r="I7462" s="127">
        <v>849.6</v>
      </c>
      <c r="J7462" s="128">
        <v>4248</v>
      </c>
    </row>
    <row r="7463" spans="1:10" hidden="1" x14ac:dyDescent="0.25">
      <c r="A7463" s="124" t="s">
        <v>9901</v>
      </c>
      <c r="B7463" s="124" t="s">
        <v>11736</v>
      </c>
      <c r="C7463" s="132"/>
      <c r="D7463" s="125">
        <f t="shared" si="99"/>
        <v>0</v>
      </c>
      <c r="E7463" s="124" t="s">
        <v>8367</v>
      </c>
      <c r="F7463" s="126">
        <v>5</v>
      </c>
      <c r="G7463" s="128">
        <v>12424.8</v>
      </c>
      <c r="H7463" s="124" t="s">
        <v>8368</v>
      </c>
      <c r="I7463" s="128">
        <v>14736</v>
      </c>
      <c r="J7463" s="128">
        <v>73680</v>
      </c>
    </row>
    <row r="7464" spans="1:10" hidden="1" x14ac:dyDescent="0.25">
      <c r="A7464" s="124" t="s">
        <v>9902</v>
      </c>
      <c r="B7464" s="124" t="s">
        <v>11736</v>
      </c>
      <c r="C7464" s="132"/>
      <c r="D7464" s="125">
        <f t="shared" si="99"/>
        <v>0</v>
      </c>
      <c r="E7464" s="124" t="s">
        <v>8367</v>
      </c>
      <c r="F7464" s="126">
        <v>5</v>
      </c>
      <c r="G7464" s="128">
        <v>6505.2</v>
      </c>
      <c r="H7464" s="124" t="s">
        <v>8368</v>
      </c>
      <c r="I7464" s="128">
        <v>3662.4</v>
      </c>
      <c r="J7464" s="128">
        <v>18312</v>
      </c>
    </row>
    <row r="7465" spans="1:10" hidden="1" x14ac:dyDescent="0.25">
      <c r="A7465" s="124" t="s">
        <v>9903</v>
      </c>
      <c r="B7465" s="124" t="s">
        <v>11736</v>
      </c>
      <c r="C7465" s="132"/>
      <c r="D7465" s="125">
        <f t="shared" si="99"/>
        <v>0</v>
      </c>
      <c r="E7465" s="124" t="s">
        <v>8367</v>
      </c>
      <c r="F7465" s="126">
        <v>1</v>
      </c>
      <c r="G7465" s="128">
        <v>5097.6000000000004</v>
      </c>
      <c r="H7465" s="124" t="s">
        <v>8368</v>
      </c>
      <c r="I7465" s="128">
        <v>13569.8</v>
      </c>
      <c r="J7465" s="128">
        <v>67849</v>
      </c>
    </row>
    <row r="7466" spans="1:10" hidden="1" x14ac:dyDescent="0.25">
      <c r="A7466" s="124" t="s">
        <v>9904</v>
      </c>
      <c r="B7466" s="124" t="s">
        <v>11736</v>
      </c>
      <c r="C7466" s="132"/>
      <c r="D7466" s="125">
        <f t="shared" si="99"/>
        <v>0</v>
      </c>
      <c r="E7466" s="124" t="s">
        <v>8367</v>
      </c>
      <c r="F7466" s="126">
        <v>2</v>
      </c>
      <c r="G7466" s="128">
        <v>88416</v>
      </c>
      <c r="H7466" s="124" t="s">
        <v>8368</v>
      </c>
      <c r="I7466" s="128">
        <v>3900</v>
      </c>
      <c r="J7466" s="128">
        <v>19500</v>
      </c>
    </row>
    <row r="7467" spans="1:10" hidden="1" x14ac:dyDescent="0.25">
      <c r="A7467" s="124" t="s">
        <v>9905</v>
      </c>
      <c r="B7467" s="124" t="s">
        <v>11736</v>
      </c>
      <c r="C7467" s="132"/>
      <c r="D7467" s="125">
        <f t="shared" si="99"/>
        <v>0</v>
      </c>
      <c r="E7467" s="124" t="s">
        <v>8367</v>
      </c>
      <c r="F7467" s="126">
        <v>1</v>
      </c>
      <c r="G7467" s="128">
        <v>21974.400000000001</v>
      </c>
      <c r="H7467" s="124" t="s">
        <v>8368</v>
      </c>
      <c r="I7467" s="128">
        <v>141750</v>
      </c>
      <c r="J7467" s="128">
        <v>708750</v>
      </c>
    </row>
    <row r="7468" spans="1:10" hidden="1" x14ac:dyDescent="0.25">
      <c r="A7468" s="124" t="s">
        <v>9906</v>
      </c>
      <c r="B7468" s="124" t="s">
        <v>11736</v>
      </c>
      <c r="C7468" s="132"/>
      <c r="D7468" s="125">
        <f>COUNTIF(A2911:A7467,A7468)</f>
        <v>0</v>
      </c>
      <c r="E7468" s="124" t="s">
        <v>8367</v>
      </c>
      <c r="F7468" s="126">
        <v>15</v>
      </c>
      <c r="G7468" s="128">
        <v>81418.8</v>
      </c>
      <c r="H7468" s="124" t="s">
        <v>8368</v>
      </c>
      <c r="I7468" s="128">
        <v>61463.11</v>
      </c>
      <c r="J7468" s="128">
        <v>307315.53000000003</v>
      </c>
    </row>
    <row r="7469" spans="1:10" hidden="1" x14ac:dyDescent="0.25">
      <c r="A7469" s="124" t="s">
        <v>2334</v>
      </c>
      <c r="B7469" s="124" t="s">
        <v>11736</v>
      </c>
      <c r="C7469" s="132"/>
      <c r="D7469" s="125">
        <f>COUNTIF(A2912:A7468,A7469)</f>
        <v>0</v>
      </c>
      <c r="E7469" s="124" t="s">
        <v>8367</v>
      </c>
      <c r="F7469" s="126">
        <v>15</v>
      </c>
      <c r="G7469" s="128">
        <v>23400</v>
      </c>
      <c r="H7469" s="124" t="s">
        <v>8368</v>
      </c>
      <c r="I7469" s="128">
        <v>7887.92</v>
      </c>
      <c r="J7469" s="128">
        <v>39439.589999999997</v>
      </c>
    </row>
    <row r="7470" spans="1:10" hidden="1" x14ac:dyDescent="0.25">
      <c r="A7470" s="124" t="s">
        <v>9907</v>
      </c>
      <c r="B7470" s="124" t="s">
        <v>11736</v>
      </c>
      <c r="C7470" s="132"/>
      <c r="D7470" s="125">
        <f>COUNTIF(A2913:A7469,A7470)</f>
        <v>0</v>
      </c>
      <c r="E7470" s="124" t="s">
        <v>8367</v>
      </c>
      <c r="F7470" s="126">
        <v>81</v>
      </c>
      <c r="G7470" s="128">
        <v>850500</v>
      </c>
      <c r="H7470" s="124" t="s">
        <v>8368</v>
      </c>
      <c r="I7470" s="128">
        <v>249054.93</v>
      </c>
      <c r="J7470" s="128">
        <v>1245274.6200000001</v>
      </c>
    </row>
    <row r="7471" spans="1:10" hidden="1" x14ac:dyDescent="0.25">
      <c r="A7471" s="124" t="s">
        <v>9908</v>
      </c>
      <c r="B7471" s="124" t="s">
        <v>11736</v>
      </c>
      <c r="C7471" s="132"/>
      <c r="D7471" s="125">
        <f>COUNTIF(A2915:A7470,A7471)</f>
        <v>0</v>
      </c>
      <c r="E7471" s="124" t="s">
        <v>8367</v>
      </c>
      <c r="F7471" s="126">
        <v>89</v>
      </c>
      <c r="G7471" s="128">
        <v>368778.64</v>
      </c>
      <c r="H7471" s="124" t="s">
        <v>8368</v>
      </c>
      <c r="I7471" s="128">
        <v>23716.87</v>
      </c>
      <c r="J7471" s="128">
        <v>118584.36</v>
      </c>
    </row>
    <row r="7472" spans="1:10" hidden="1" x14ac:dyDescent="0.25">
      <c r="A7472" s="124" t="s">
        <v>9909</v>
      </c>
      <c r="B7472" s="124" t="s">
        <v>11736</v>
      </c>
      <c r="C7472" s="132"/>
      <c r="D7472" s="125">
        <f>COUNTIF(A2916:A7471,A7472)</f>
        <v>0</v>
      </c>
      <c r="E7472" s="124" t="s">
        <v>8367</v>
      </c>
      <c r="F7472" s="126">
        <v>89</v>
      </c>
      <c r="G7472" s="128">
        <v>47327.51</v>
      </c>
      <c r="H7472" s="124" t="s">
        <v>8368</v>
      </c>
      <c r="I7472" s="128">
        <v>1333.4</v>
      </c>
      <c r="J7472" s="128">
        <v>6667</v>
      </c>
    </row>
    <row r="7473" spans="1:10" hidden="1" x14ac:dyDescent="0.25">
      <c r="A7473" s="124" t="s">
        <v>1503</v>
      </c>
      <c r="B7473" s="124" t="s">
        <v>11736</v>
      </c>
      <c r="C7473" s="132"/>
      <c r="D7473" s="125">
        <f>COUNTIF(A2917:A7472,A7473)</f>
        <v>0</v>
      </c>
      <c r="E7473" s="124" t="s">
        <v>8367</v>
      </c>
      <c r="F7473" s="126">
        <v>35</v>
      </c>
      <c r="G7473" s="128">
        <v>1494329.55</v>
      </c>
      <c r="H7473" s="124" t="s">
        <v>8368</v>
      </c>
      <c r="I7473" s="128">
        <v>12261.8</v>
      </c>
      <c r="J7473" s="128">
        <v>61309</v>
      </c>
    </row>
    <row r="7474" spans="1:10" hidden="1" x14ac:dyDescent="0.25">
      <c r="A7474" s="124" t="s">
        <v>9910</v>
      </c>
      <c r="B7474" s="124" t="s">
        <v>11736</v>
      </c>
      <c r="C7474" s="132"/>
      <c r="D7474" s="125">
        <f>COUNTIF(A2919:A7473,A7474)</f>
        <v>0</v>
      </c>
      <c r="E7474" s="124" t="s">
        <v>8367</v>
      </c>
      <c r="F7474" s="126">
        <v>89</v>
      </c>
      <c r="G7474" s="128">
        <v>142301.23000000001</v>
      </c>
      <c r="H7474" s="124" t="s">
        <v>8368</v>
      </c>
      <c r="I7474" s="127">
        <v>650.6</v>
      </c>
      <c r="J7474" s="128">
        <v>3253</v>
      </c>
    </row>
    <row r="7475" spans="1:10" hidden="1" x14ac:dyDescent="0.25">
      <c r="A7475" s="124" t="s">
        <v>9911</v>
      </c>
      <c r="B7475" s="124" t="s">
        <v>11736</v>
      </c>
      <c r="C7475" s="132"/>
      <c r="D7475" s="125">
        <f>COUNTIF(A2920:A7474,A7475)</f>
        <v>0</v>
      </c>
      <c r="E7475" s="124" t="s">
        <v>8367</v>
      </c>
      <c r="F7475" s="126">
        <v>10</v>
      </c>
      <c r="G7475" s="128">
        <v>8000.4</v>
      </c>
      <c r="H7475" s="124" t="s">
        <v>8368</v>
      </c>
      <c r="I7475" s="127">
        <v>511.6</v>
      </c>
      <c r="J7475" s="128">
        <v>2558</v>
      </c>
    </row>
    <row r="7476" spans="1:10" hidden="1" x14ac:dyDescent="0.25">
      <c r="A7476" s="124" t="s">
        <v>9912</v>
      </c>
      <c r="B7476" s="124" t="s">
        <v>11736</v>
      </c>
      <c r="C7476" s="132"/>
      <c r="D7476" s="125">
        <f>COUNTIF(A2921:A7475,A7476)</f>
        <v>0</v>
      </c>
      <c r="E7476" s="124" t="s">
        <v>8367</v>
      </c>
      <c r="F7476" s="126">
        <v>1</v>
      </c>
      <c r="G7476" s="128">
        <v>73570.8</v>
      </c>
      <c r="H7476" s="124" t="s">
        <v>8368</v>
      </c>
      <c r="I7476" s="127">
        <v>447.6</v>
      </c>
      <c r="J7476" s="128">
        <v>2238</v>
      </c>
    </row>
    <row r="7477" spans="1:10" hidden="1" x14ac:dyDescent="0.25">
      <c r="A7477" s="124" t="s">
        <v>9913</v>
      </c>
      <c r="B7477" s="124" t="s">
        <v>11736</v>
      </c>
      <c r="C7477" s="132"/>
      <c r="D7477" s="125">
        <f>COUNTIF(A2929:A7476,A7477)</f>
        <v>0</v>
      </c>
      <c r="E7477" s="124" t="s">
        <v>8367</v>
      </c>
      <c r="F7477" s="126">
        <v>1</v>
      </c>
      <c r="G7477" s="128">
        <v>3903.6</v>
      </c>
      <c r="H7477" s="124" t="s">
        <v>8368</v>
      </c>
      <c r="I7477" s="127">
        <v>63.4</v>
      </c>
      <c r="J7477" s="127">
        <v>317</v>
      </c>
    </row>
    <row r="7478" spans="1:10" hidden="1" x14ac:dyDescent="0.25">
      <c r="A7478" s="124" t="s">
        <v>9914</v>
      </c>
      <c r="B7478" s="124" t="s">
        <v>11736</v>
      </c>
      <c r="C7478" s="132"/>
      <c r="D7478" s="125">
        <f>COUNTIF(A2930:A7477,A7478)</f>
        <v>0</v>
      </c>
      <c r="E7478" s="124" t="s">
        <v>8367</v>
      </c>
      <c r="F7478" s="126">
        <v>1</v>
      </c>
      <c r="G7478" s="128">
        <v>3069.6</v>
      </c>
      <c r="H7478" s="124" t="s">
        <v>8368</v>
      </c>
      <c r="I7478" s="127">
        <v>63.4</v>
      </c>
      <c r="J7478" s="127">
        <v>317</v>
      </c>
    </row>
    <row r="7479" spans="1:10" hidden="1" x14ac:dyDescent="0.25">
      <c r="A7479" s="124" t="s">
        <v>9915</v>
      </c>
      <c r="B7479" s="124" t="s">
        <v>11736</v>
      </c>
      <c r="C7479" s="132"/>
      <c r="D7479" s="125">
        <f>COUNTIF(A2931:A7478,A7479)</f>
        <v>0</v>
      </c>
      <c r="E7479" s="124" t="s">
        <v>8367</v>
      </c>
      <c r="F7479" s="126">
        <v>1</v>
      </c>
      <c r="G7479" s="128">
        <v>2685.6</v>
      </c>
      <c r="H7479" s="124" t="s">
        <v>8368</v>
      </c>
      <c r="I7479" s="128">
        <v>2280</v>
      </c>
      <c r="J7479" s="128">
        <v>11400</v>
      </c>
    </row>
    <row r="7480" spans="1:10" hidden="1" x14ac:dyDescent="0.25">
      <c r="A7480" s="124" t="s">
        <v>9916</v>
      </c>
      <c r="B7480" s="124" t="s">
        <v>11736</v>
      </c>
      <c r="C7480" s="132"/>
      <c r="D7480" s="125">
        <f t="shared" ref="D7480:D7486" si="100">COUNTIF(A2937:A7479,A7480)</f>
        <v>0</v>
      </c>
      <c r="E7480" s="124" t="s">
        <v>8367</v>
      </c>
      <c r="F7480" s="126">
        <v>2</v>
      </c>
      <c r="G7480" s="127">
        <v>380.4</v>
      </c>
      <c r="H7480" s="124" t="s">
        <v>8368</v>
      </c>
      <c r="I7480" s="127">
        <v>630.20000000000005</v>
      </c>
      <c r="J7480" s="128">
        <v>3151</v>
      </c>
    </row>
    <row r="7481" spans="1:10" hidden="1" x14ac:dyDescent="0.25">
      <c r="A7481" s="124" t="s">
        <v>9917</v>
      </c>
      <c r="B7481" s="124" t="s">
        <v>11736</v>
      </c>
      <c r="C7481" s="132"/>
      <c r="D7481" s="125">
        <f t="shared" si="100"/>
        <v>0</v>
      </c>
      <c r="E7481" s="124" t="s">
        <v>8367</v>
      </c>
      <c r="F7481" s="126">
        <v>2</v>
      </c>
      <c r="G7481" s="127">
        <v>380.4</v>
      </c>
      <c r="H7481" s="124" t="s">
        <v>8368</v>
      </c>
      <c r="I7481" s="127">
        <v>610</v>
      </c>
      <c r="J7481" s="128">
        <v>3050</v>
      </c>
    </row>
    <row r="7482" spans="1:10" hidden="1" x14ac:dyDescent="0.25">
      <c r="A7482" s="124" t="s">
        <v>2185</v>
      </c>
      <c r="B7482" s="124" t="s">
        <v>11736</v>
      </c>
      <c r="C7482" s="132"/>
      <c r="D7482" s="125">
        <f t="shared" si="100"/>
        <v>0</v>
      </c>
      <c r="E7482" s="124" t="s">
        <v>8367</v>
      </c>
      <c r="F7482" s="126">
        <v>95</v>
      </c>
      <c r="G7482" s="128">
        <v>13680</v>
      </c>
      <c r="H7482" s="124" t="s">
        <v>8368</v>
      </c>
      <c r="I7482" s="127">
        <v>650.4</v>
      </c>
      <c r="J7482" s="128">
        <v>3252</v>
      </c>
    </row>
    <row r="7483" spans="1:10" hidden="1" x14ac:dyDescent="0.25">
      <c r="A7483" s="124" t="s">
        <v>9918</v>
      </c>
      <c r="B7483" s="124" t="s">
        <v>11736</v>
      </c>
      <c r="C7483" s="132"/>
      <c r="D7483" s="125">
        <f t="shared" si="100"/>
        <v>0</v>
      </c>
      <c r="E7483" s="124" t="s">
        <v>8367</v>
      </c>
      <c r="F7483" s="126">
        <v>1</v>
      </c>
      <c r="G7483" s="128">
        <v>3781.2</v>
      </c>
      <c r="H7483" s="124" t="s">
        <v>8368</v>
      </c>
      <c r="I7483" s="127">
        <v>142</v>
      </c>
      <c r="J7483" s="127">
        <v>710</v>
      </c>
    </row>
    <row r="7484" spans="1:10" hidden="1" x14ac:dyDescent="0.25">
      <c r="A7484" s="124" t="s">
        <v>9919</v>
      </c>
      <c r="B7484" s="124" t="s">
        <v>11736</v>
      </c>
      <c r="C7484" s="132"/>
      <c r="D7484" s="125">
        <f t="shared" si="100"/>
        <v>0</v>
      </c>
      <c r="E7484" s="124" t="s">
        <v>8367</v>
      </c>
      <c r="F7484" s="126">
        <v>10</v>
      </c>
      <c r="G7484" s="128">
        <v>3660</v>
      </c>
      <c r="H7484" s="124" t="s">
        <v>8368</v>
      </c>
      <c r="I7484" s="127">
        <v>256.60000000000002</v>
      </c>
      <c r="J7484" s="128">
        <v>1283</v>
      </c>
    </row>
    <row r="7485" spans="1:10" hidden="1" x14ac:dyDescent="0.25">
      <c r="A7485" s="124" t="s">
        <v>3641</v>
      </c>
      <c r="B7485" s="124" t="s">
        <v>11736</v>
      </c>
      <c r="C7485" s="132"/>
      <c r="D7485" s="125">
        <f t="shared" si="100"/>
        <v>0</v>
      </c>
      <c r="E7485" s="124" t="s">
        <v>8367</v>
      </c>
      <c r="F7485" s="126">
        <v>2</v>
      </c>
      <c r="G7485" s="128">
        <v>3902.4</v>
      </c>
      <c r="H7485" s="124" t="s">
        <v>8368</v>
      </c>
      <c r="I7485" s="127">
        <v>49.6</v>
      </c>
      <c r="J7485" s="127">
        <v>248</v>
      </c>
    </row>
    <row r="7486" spans="1:10" hidden="1" x14ac:dyDescent="0.25">
      <c r="A7486" s="124" t="s">
        <v>9920</v>
      </c>
      <c r="B7486" s="124" t="s">
        <v>11736</v>
      </c>
      <c r="C7486" s="132"/>
      <c r="D7486" s="125">
        <f t="shared" si="100"/>
        <v>0</v>
      </c>
      <c r="E7486" s="124" t="s">
        <v>8367</v>
      </c>
      <c r="F7486" s="126">
        <v>4</v>
      </c>
      <c r="G7486" s="127">
        <v>852</v>
      </c>
      <c r="H7486" s="124" t="s">
        <v>8368</v>
      </c>
      <c r="I7486" s="128">
        <v>5752.4</v>
      </c>
      <c r="J7486" s="128">
        <v>28762</v>
      </c>
    </row>
    <row r="7487" spans="1:10" hidden="1" x14ac:dyDescent="0.25">
      <c r="A7487" s="124" t="s">
        <v>9921</v>
      </c>
      <c r="B7487" s="124" t="s">
        <v>11736</v>
      </c>
      <c r="C7487" s="132"/>
      <c r="D7487" s="125">
        <f>COUNTIF(A2945:A7486,A7487)</f>
        <v>0</v>
      </c>
      <c r="E7487" s="124" t="s">
        <v>8367</v>
      </c>
      <c r="F7487" s="126">
        <v>20</v>
      </c>
      <c r="G7487" s="128">
        <v>1539.6</v>
      </c>
      <c r="H7487" s="124" t="s">
        <v>8368</v>
      </c>
      <c r="I7487" s="127">
        <v>886</v>
      </c>
      <c r="J7487" s="128">
        <v>4430</v>
      </c>
    </row>
    <row r="7488" spans="1:10" hidden="1" x14ac:dyDescent="0.25">
      <c r="A7488" s="124" t="s">
        <v>9922</v>
      </c>
      <c r="B7488" s="124" t="s">
        <v>11736</v>
      </c>
      <c r="C7488" s="132"/>
      <c r="D7488" s="125">
        <f>COUNTIF(A2946:A7487,A7488)</f>
        <v>0</v>
      </c>
      <c r="E7488" s="124" t="s">
        <v>8367</v>
      </c>
      <c r="F7488" s="126">
        <v>3</v>
      </c>
      <c r="G7488" s="127">
        <v>297.60000000000002</v>
      </c>
      <c r="H7488" s="124" t="s">
        <v>8368</v>
      </c>
      <c r="I7488" s="128">
        <v>4979.1499999999996</v>
      </c>
      <c r="J7488" s="128">
        <v>24895.75</v>
      </c>
    </row>
    <row r="7489" spans="1:10" hidden="1" x14ac:dyDescent="0.25">
      <c r="A7489" s="124" t="s">
        <v>9923</v>
      </c>
      <c r="B7489" s="124" t="s">
        <v>11736</v>
      </c>
      <c r="C7489" s="132"/>
      <c r="D7489" s="125">
        <f>COUNTIF(A2947:A7488,A7489)</f>
        <v>0</v>
      </c>
      <c r="E7489" s="124" t="s">
        <v>8367</v>
      </c>
      <c r="F7489" s="126">
        <v>2</v>
      </c>
      <c r="G7489" s="128">
        <v>34514.400000000001</v>
      </c>
      <c r="H7489" s="124" t="s">
        <v>8368</v>
      </c>
      <c r="I7489" s="127">
        <v>107.6</v>
      </c>
      <c r="J7489" s="127">
        <v>538</v>
      </c>
    </row>
    <row r="7490" spans="1:10" hidden="1" x14ac:dyDescent="0.25">
      <c r="A7490" s="124" t="s">
        <v>9924</v>
      </c>
      <c r="B7490" s="124" t="s">
        <v>11736</v>
      </c>
      <c r="C7490" s="132"/>
      <c r="D7490" s="125">
        <f>COUNTIF(A2948:A7489,A7490)</f>
        <v>0</v>
      </c>
      <c r="E7490" s="124" t="s">
        <v>8367</v>
      </c>
      <c r="F7490" s="126">
        <v>1</v>
      </c>
      <c r="G7490" s="128">
        <v>5316</v>
      </c>
      <c r="H7490" s="124" t="s">
        <v>8368</v>
      </c>
      <c r="I7490" s="128">
        <v>1053</v>
      </c>
      <c r="J7490" s="128">
        <v>5265</v>
      </c>
    </row>
    <row r="7491" spans="1:10" hidden="1" x14ac:dyDescent="0.25">
      <c r="A7491" s="124" t="s">
        <v>9925</v>
      </c>
      <c r="B7491" s="124" t="s">
        <v>11736</v>
      </c>
      <c r="C7491" s="132"/>
      <c r="D7491" s="125">
        <f>COUNTIF(A2949:A7490,A7491)</f>
        <v>0</v>
      </c>
      <c r="E7491" s="124" t="s">
        <v>8367</v>
      </c>
      <c r="F7491" s="126">
        <v>25</v>
      </c>
      <c r="G7491" s="128">
        <v>29874.9</v>
      </c>
      <c r="H7491" s="124" t="s">
        <v>8368</v>
      </c>
      <c r="I7491" s="128">
        <v>3815000</v>
      </c>
      <c r="J7491" s="128">
        <v>19075000</v>
      </c>
    </row>
    <row r="7492" spans="1:10" hidden="1" x14ac:dyDescent="0.25">
      <c r="A7492" s="124" t="s">
        <v>9926</v>
      </c>
      <c r="B7492" s="124" t="s">
        <v>11736</v>
      </c>
      <c r="C7492" s="132"/>
      <c r="D7492" s="125">
        <f>COUNTIF(A2952:A7491,A7492)</f>
        <v>0</v>
      </c>
      <c r="E7492" s="124" t="s">
        <v>8367</v>
      </c>
      <c r="F7492" s="126">
        <v>2</v>
      </c>
      <c r="G7492" s="127">
        <v>645.6</v>
      </c>
      <c r="H7492" s="124" t="s">
        <v>8368</v>
      </c>
      <c r="I7492" s="128">
        <v>25172</v>
      </c>
      <c r="J7492" s="128">
        <v>125859.98</v>
      </c>
    </row>
    <row r="7493" spans="1:10" hidden="1" x14ac:dyDescent="0.25">
      <c r="A7493" s="124" t="s">
        <v>9927</v>
      </c>
      <c r="B7493" s="124" t="s">
        <v>11736</v>
      </c>
      <c r="C7493" s="132"/>
      <c r="D7493" s="125">
        <f>COUNTIF(A2953:A7492,A7493)</f>
        <v>0</v>
      </c>
      <c r="E7493" s="124" t="s">
        <v>8367</v>
      </c>
      <c r="F7493" s="126">
        <v>6</v>
      </c>
      <c r="G7493" s="128">
        <v>6318</v>
      </c>
      <c r="H7493" s="124" t="s">
        <v>8368</v>
      </c>
      <c r="I7493" s="128">
        <v>34200</v>
      </c>
      <c r="J7493" s="128">
        <v>171000</v>
      </c>
    </row>
    <row r="7494" spans="1:10" hidden="1" x14ac:dyDescent="0.25">
      <c r="A7494" s="124" t="s">
        <v>9928</v>
      </c>
      <c r="B7494" s="124" t="s">
        <v>11736</v>
      </c>
      <c r="C7494" s="132"/>
      <c r="D7494" s="125">
        <f>COUNTIF(A2955:A7493,A7494)</f>
        <v>0</v>
      </c>
      <c r="E7494" s="124" t="s">
        <v>8367</v>
      </c>
      <c r="F7494" s="129">
        <v>2289</v>
      </c>
      <c r="G7494" s="128">
        <v>22890000</v>
      </c>
      <c r="H7494" s="124" t="s">
        <v>8368</v>
      </c>
      <c r="I7494" s="128">
        <v>1000</v>
      </c>
      <c r="J7494" s="128">
        <v>5000</v>
      </c>
    </row>
    <row r="7495" spans="1:10" hidden="1" x14ac:dyDescent="0.25">
      <c r="A7495" s="124" t="s">
        <v>9929</v>
      </c>
      <c r="B7495" s="124" t="s">
        <v>11736</v>
      </c>
      <c r="C7495" s="132"/>
      <c r="D7495" s="125">
        <f>COUNTIF(A2962:A7494,A7495)</f>
        <v>0</v>
      </c>
      <c r="E7495" s="124" t="s">
        <v>8367</v>
      </c>
      <c r="F7495" s="126">
        <v>87</v>
      </c>
      <c r="G7495" s="128">
        <v>151031.98000000001</v>
      </c>
      <c r="H7495" s="124" t="s">
        <v>8368</v>
      </c>
      <c r="I7495" s="127">
        <v>15.8</v>
      </c>
      <c r="J7495" s="127">
        <v>79</v>
      </c>
    </row>
    <row r="7496" spans="1:10" hidden="1" x14ac:dyDescent="0.25">
      <c r="A7496" s="124" t="s">
        <v>9930</v>
      </c>
      <c r="B7496" s="124" t="s">
        <v>11736</v>
      </c>
      <c r="C7496" s="132"/>
      <c r="D7496" s="125">
        <f>COUNTIF(A2966:A7495,A7496)</f>
        <v>0</v>
      </c>
      <c r="E7496" s="124" t="s">
        <v>1</v>
      </c>
      <c r="F7496" s="126">
        <v>19</v>
      </c>
      <c r="G7496" s="128">
        <v>205200</v>
      </c>
      <c r="H7496" s="124" t="s">
        <v>8368</v>
      </c>
      <c r="I7496" s="127">
        <v>46.6</v>
      </c>
      <c r="J7496" s="127">
        <v>233</v>
      </c>
    </row>
    <row r="7497" spans="1:10" hidden="1" x14ac:dyDescent="0.25">
      <c r="A7497" s="124" t="s">
        <v>9931</v>
      </c>
      <c r="B7497" s="124" t="s">
        <v>11736</v>
      </c>
      <c r="C7497" s="132"/>
      <c r="D7497" s="125">
        <f t="shared" ref="D7497:D7508" si="101">COUNTIF(A2968:A7496,A7497)</f>
        <v>0</v>
      </c>
      <c r="E7497" s="124" t="s">
        <v>8</v>
      </c>
      <c r="F7497" s="126">
        <v>20</v>
      </c>
      <c r="G7497" s="128">
        <v>6000</v>
      </c>
      <c r="H7497" s="124" t="s">
        <v>8368</v>
      </c>
      <c r="I7497" s="127">
        <v>26</v>
      </c>
      <c r="J7497" s="127">
        <v>130</v>
      </c>
    </row>
    <row r="7498" spans="1:10" hidden="1" x14ac:dyDescent="0.25">
      <c r="A7498" s="124" t="s">
        <v>9932</v>
      </c>
      <c r="B7498" s="124" t="s">
        <v>11736</v>
      </c>
      <c r="C7498" s="132"/>
      <c r="D7498" s="125">
        <f t="shared" si="101"/>
        <v>0</v>
      </c>
      <c r="E7498" s="124" t="s">
        <v>8367</v>
      </c>
      <c r="F7498" s="126">
        <v>5</v>
      </c>
      <c r="G7498" s="127">
        <v>94.8</v>
      </c>
      <c r="H7498" s="124" t="s">
        <v>8368</v>
      </c>
      <c r="I7498" s="127">
        <v>131.6</v>
      </c>
      <c r="J7498" s="127">
        <v>658</v>
      </c>
    </row>
    <row r="7499" spans="1:10" hidden="1" x14ac:dyDescent="0.25">
      <c r="A7499" s="124" t="s">
        <v>1722</v>
      </c>
      <c r="B7499" s="124" t="s">
        <v>11736</v>
      </c>
      <c r="C7499" s="132"/>
      <c r="D7499" s="125">
        <f t="shared" si="101"/>
        <v>0</v>
      </c>
      <c r="E7499" s="124" t="s">
        <v>8367</v>
      </c>
      <c r="F7499" s="126">
        <v>1</v>
      </c>
      <c r="G7499" s="127">
        <v>279.60000000000002</v>
      </c>
      <c r="H7499" s="124" t="s">
        <v>8368</v>
      </c>
      <c r="I7499" s="127">
        <v>139.6</v>
      </c>
      <c r="J7499" s="127">
        <v>698</v>
      </c>
    </row>
    <row r="7500" spans="1:10" hidden="1" x14ac:dyDescent="0.25">
      <c r="A7500" s="124" t="s">
        <v>9933</v>
      </c>
      <c r="B7500" s="124" t="s">
        <v>11736</v>
      </c>
      <c r="C7500" s="132"/>
      <c r="D7500" s="125">
        <f t="shared" si="101"/>
        <v>0</v>
      </c>
      <c r="E7500" s="124" t="s">
        <v>8367</v>
      </c>
      <c r="F7500" s="126">
        <v>4</v>
      </c>
      <c r="G7500" s="127">
        <v>156</v>
      </c>
      <c r="H7500" s="124" t="s">
        <v>8368</v>
      </c>
      <c r="I7500" s="127">
        <v>152.6</v>
      </c>
      <c r="J7500" s="127">
        <v>763</v>
      </c>
    </row>
    <row r="7501" spans="1:10" hidden="1" x14ac:dyDescent="0.25">
      <c r="A7501" s="124" t="s">
        <v>9934</v>
      </c>
      <c r="B7501" s="124" t="s">
        <v>11736</v>
      </c>
      <c r="C7501" s="132"/>
      <c r="D7501" s="125">
        <f t="shared" si="101"/>
        <v>0</v>
      </c>
      <c r="E7501" s="124" t="s">
        <v>8367</v>
      </c>
      <c r="F7501" s="126">
        <v>2</v>
      </c>
      <c r="G7501" s="127">
        <v>789.6</v>
      </c>
      <c r="H7501" s="124" t="s">
        <v>8368</v>
      </c>
      <c r="I7501" s="127">
        <v>35.799999999999997</v>
      </c>
      <c r="J7501" s="127">
        <v>179</v>
      </c>
    </row>
    <row r="7502" spans="1:10" hidden="1" x14ac:dyDescent="0.25">
      <c r="A7502" s="124" t="s">
        <v>9935</v>
      </c>
      <c r="B7502" s="124" t="s">
        <v>11736</v>
      </c>
      <c r="C7502" s="132"/>
      <c r="D7502" s="125">
        <f t="shared" si="101"/>
        <v>0</v>
      </c>
      <c r="E7502" s="124" t="s">
        <v>8367</v>
      </c>
      <c r="F7502" s="126">
        <v>3</v>
      </c>
      <c r="G7502" s="127">
        <v>837.6</v>
      </c>
      <c r="H7502" s="124" t="s">
        <v>8368</v>
      </c>
      <c r="I7502" s="127">
        <v>785</v>
      </c>
      <c r="J7502" s="128">
        <v>3925</v>
      </c>
    </row>
    <row r="7503" spans="1:10" hidden="1" x14ac:dyDescent="0.25">
      <c r="A7503" s="124" t="s">
        <v>9936</v>
      </c>
      <c r="B7503" s="124" t="s">
        <v>11736</v>
      </c>
      <c r="C7503" s="132"/>
      <c r="D7503" s="125">
        <f t="shared" si="101"/>
        <v>0</v>
      </c>
      <c r="E7503" s="124" t="s">
        <v>8367</v>
      </c>
      <c r="F7503" s="126">
        <v>2</v>
      </c>
      <c r="G7503" s="127">
        <v>915.6</v>
      </c>
      <c r="H7503" s="124" t="s">
        <v>8368</v>
      </c>
      <c r="I7503" s="127">
        <v>33.6</v>
      </c>
      <c r="J7503" s="127">
        <v>168</v>
      </c>
    </row>
    <row r="7504" spans="1:10" hidden="1" x14ac:dyDescent="0.25">
      <c r="A7504" s="124" t="s">
        <v>9937</v>
      </c>
      <c r="B7504" s="124" t="s">
        <v>11736</v>
      </c>
      <c r="C7504" s="132"/>
      <c r="D7504" s="125">
        <f t="shared" si="101"/>
        <v>0</v>
      </c>
      <c r="E7504" s="124" t="s">
        <v>8367</v>
      </c>
      <c r="F7504" s="126">
        <v>1</v>
      </c>
      <c r="G7504" s="127">
        <v>214.8</v>
      </c>
      <c r="H7504" s="124" t="s">
        <v>8368</v>
      </c>
      <c r="I7504" s="127">
        <v>322.41000000000003</v>
      </c>
      <c r="J7504" s="128">
        <v>1612.06</v>
      </c>
    </row>
    <row r="7505" spans="1:10" hidden="1" x14ac:dyDescent="0.25">
      <c r="A7505" s="124" t="s">
        <v>9938</v>
      </c>
      <c r="B7505" s="124" t="s">
        <v>11736</v>
      </c>
      <c r="C7505" s="132"/>
      <c r="D7505" s="125">
        <f t="shared" si="101"/>
        <v>0</v>
      </c>
      <c r="E7505" s="124" t="s">
        <v>8367</v>
      </c>
      <c r="F7505" s="126">
        <v>30</v>
      </c>
      <c r="G7505" s="128">
        <v>4710</v>
      </c>
      <c r="H7505" s="124" t="s">
        <v>8368</v>
      </c>
      <c r="I7505" s="128">
        <v>28090438.75</v>
      </c>
      <c r="J7505" s="128">
        <v>140452193.75</v>
      </c>
    </row>
    <row r="7506" spans="1:10" hidden="1" x14ac:dyDescent="0.25">
      <c r="A7506" s="124" t="s">
        <v>9939</v>
      </c>
      <c r="B7506" s="124" t="s">
        <v>11736</v>
      </c>
      <c r="C7506" s="132"/>
      <c r="D7506" s="125">
        <f t="shared" si="101"/>
        <v>0</v>
      </c>
      <c r="E7506" s="124" t="s">
        <v>8367</v>
      </c>
      <c r="F7506" s="126">
        <v>1</v>
      </c>
      <c r="G7506" s="127">
        <v>201.6</v>
      </c>
      <c r="H7506" s="124" t="s">
        <v>8368</v>
      </c>
      <c r="I7506" s="127">
        <v>863.34</v>
      </c>
      <c r="J7506" s="128">
        <v>4316.68</v>
      </c>
    </row>
    <row r="7507" spans="1:10" hidden="1" x14ac:dyDescent="0.25">
      <c r="A7507" s="124" t="s">
        <v>9940</v>
      </c>
      <c r="B7507" s="124" t="s">
        <v>11736</v>
      </c>
      <c r="C7507" s="132"/>
      <c r="D7507" s="125">
        <f t="shared" si="101"/>
        <v>0</v>
      </c>
      <c r="E7507" s="124" t="s">
        <v>8451</v>
      </c>
      <c r="F7507" s="126">
        <v>1.349</v>
      </c>
      <c r="G7507" s="128">
        <v>1934.47</v>
      </c>
      <c r="H7507" s="124" t="s">
        <v>8368</v>
      </c>
      <c r="I7507" s="127">
        <v>348</v>
      </c>
      <c r="J7507" s="128">
        <v>1740</v>
      </c>
    </row>
    <row r="7508" spans="1:10" hidden="1" x14ac:dyDescent="0.25">
      <c r="A7508" s="124" t="s">
        <v>9941</v>
      </c>
      <c r="B7508" s="124" t="s">
        <v>11736</v>
      </c>
      <c r="C7508" s="132"/>
      <c r="D7508" s="125">
        <f t="shared" si="101"/>
        <v>0</v>
      </c>
      <c r="E7508" s="124" t="s">
        <v>8367</v>
      </c>
      <c r="F7508" s="126">
        <v>289</v>
      </c>
      <c r="G7508" s="128">
        <v>168542632.5</v>
      </c>
      <c r="H7508" s="124" t="s">
        <v>8368</v>
      </c>
      <c r="I7508" s="128">
        <v>1633.2</v>
      </c>
      <c r="J7508" s="128">
        <v>8165.99</v>
      </c>
    </row>
    <row r="7509" spans="1:10" hidden="1" x14ac:dyDescent="0.25">
      <c r="A7509" s="124" t="s">
        <v>9942</v>
      </c>
      <c r="B7509" s="124" t="s">
        <v>11736</v>
      </c>
      <c r="C7509" s="132"/>
      <c r="D7509" s="125">
        <f>COUNTIF(A2983:A7508,A7509)</f>
        <v>0</v>
      </c>
      <c r="E7509" s="124" t="s">
        <v>8367</v>
      </c>
      <c r="F7509" s="126">
        <v>2</v>
      </c>
      <c r="G7509" s="128">
        <v>5180.0200000000004</v>
      </c>
      <c r="H7509" s="124" t="s">
        <v>8368</v>
      </c>
      <c r="I7509" s="127">
        <v>450</v>
      </c>
      <c r="J7509" s="128">
        <v>2250</v>
      </c>
    </row>
    <row r="7510" spans="1:10" hidden="1" x14ac:dyDescent="0.25">
      <c r="A7510" s="124" t="s">
        <v>9943</v>
      </c>
      <c r="B7510" s="124" t="s">
        <v>11736</v>
      </c>
      <c r="C7510" s="132"/>
      <c r="D7510" s="125">
        <f>COUNTIF(A2984:A7509,A7510)</f>
        <v>0</v>
      </c>
      <c r="E7510" s="124" t="s">
        <v>9134</v>
      </c>
      <c r="F7510" s="126">
        <v>24</v>
      </c>
      <c r="G7510" s="128">
        <v>2088</v>
      </c>
      <c r="H7510" s="124" t="s">
        <v>8368</v>
      </c>
      <c r="I7510" s="128">
        <v>26344.5</v>
      </c>
      <c r="J7510" s="128">
        <v>131722.5</v>
      </c>
    </row>
    <row r="7511" spans="1:10" hidden="1" x14ac:dyDescent="0.25">
      <c r="A7511" s="124" t="s">
        <v>9944</v>
      </c>
      <c r="B7511" s="124" t="s">
        <v>11736</v>
      </c>
      <c r="C7511" s="132"/>
      <c r="D7511" s="125">
        <f>COUNTIF(A2986:A7510,A7511)</f>
        <v>0</v>
      </c>
      <c r="E7511" s="124" t="s">
        <v>8367</v>
      </c>
      <c r="F7511" s="126">
        <v>200</v>
      </c>
      <c r="G7511" s="128">
        <v>9799.19</v>
      </c>
      <c r="H7511" s="124" t="s">
        <v>8368</v>
      </c>
      <c r="I7511" s="128">
        <v>1710.63</v>
      </c>
      <c r="J7511" s="128">
        <v>8553.1299999999992</v>
      </c>
    </row>
    <row r="7512" spans="1:10" hidden="1" x14ac:dyDescent="0.25">
      <c r="A7512" s="124" t="s">
        <v>9945</v>
      </c>
      <c r="B7512" s="124" t="s">
        <v>11736</v>
      </c>
      <c r="C7512" s="132"/>
      <c r="D7512" s="125">
        <f>COUNTIF(A2988:A7511,A7512)</f>
        <v>0</v>
      </c>
      <c r="E7512" s="124" t="s">
        <v>9134</v>
      </c>
      <c r="F7512" s="126">
        <v>50</v>
      </c>
      <c r="G7512" s="128">
        <v>2700</v>
      </c>
      <c r="H7512" s="124" t="s">
        <v>8368</v>
      </c>
      <c r="I7512" s="128">
        <v>1267</v>
      </c>
      <c r="J7512" s="128">
        <v>6335</v>
      </c>
    </row>
    <row r="7513" spans="1:10" hidden="1" x14ac:dyDescent="0.25">
      <c r="A7513" s="124" t="s">
        <v>9946</v>
      </c>
      <c r="B7513" s="124" t="s">
        <v>11736</v>
      </c>
      <c r="C7513" s="132"/>
      <c r="D7513" s="125">
        <f>COUNTIF(A2989:A7512,A7513)</f>
        <v>0</v>
      </c>
      <c r="E7513" s="124" t="s">
        <v>9134</v>
      </c>
      <c r="F7513" s="129">
        <v>4053</v>
      </c>
      <c r="G7513" s="128">
        <v>158067</v>
      </c>
      <c r="H7513" s="124" t="s">
        <v>8368</v>
      </c>
      <c r="I7513" s="128">
        <v>1166</v>
      </c>
      <c r="J7513" s="128">
        <v>5830</v>
      </c>
    </row>
    <row r="7514" spans="1:10" hidden="1" x14ac:dyDescent="0.25">
      <c r="A7514" s="124" t="s">
        <v>3406</v>
      </c>
      <c r="B7514" s="124" t="s">
        <v>11736</v>
      </c>
      <c r="C7514" s="132"/>
      <c r="D7514" s="125">
        <f>COUNTIF(A2991:A7513,A7514)</f>
        <v>0</v>
      </c>
      <c r="E7514" s="124" t="s">
        <v>8367</v>
      </c>
      <c r="F7514" s="126">
        <v>2.5499999999999998</v>
      </c>
      <c r="G7514" s="128">
        <v>10263.76</v>
      </c>
      <c r="H7514" s="124" t="s">
        <v>8368</v>
      </c>
      <c r="I7514" s="128">
        <v>2327500.0699999998</v>
      </c>
      <c r="J7514" s="128">
        <v>11637500.33</v>
      </c>
    </row>
    <row r="7515" spans="1:10" hidden="1" x14ac:dyDescent="0.25">
      <c r="A7515" s="124" t="s">
        <v>9947</v>
      </c>
      <c r="B7515" s="124" t="s">
        <v>11736</v>
      </c>
      <c r="C7515" s="132"/>
      <c r="D7515" s="125">
        <f t="shared" ref="D7515:D7537" si="102">COUNTIF(A2993:A7514,A7515)</f>
        <v>0</v>
      </c>
      <c r="E7515" s="124" t="s">
        <v>8367</v>
      </c>
      <c r="F7515" s="126">
        <v>1</v>
      </c>
      <c r="G7515" s="128">
        <v>7602</v>
      </c>
      <c r="H7515" s="124" t="s">
        <v>8368</v>
      </c>
      <c r="I7515" s="128">
        <v>997500</v>
      </c>
      <c r="J7515" s="128">
        <v>4987500</v>
      </c>
    </row>
    <row r="7516" spans="1:10" hidden="1" x14ac:dyDescent="0.25">
      <c r="A7516" s="124" t="s">
        <v>9948</v>
      </c>
      <c r="B7516" s="124" t="s">
        <v>11736</v>
      </c>
      <c r="C7516" s="132"/>
      <c r="D7516" s="125">
        <f t="shared" si="102"/>
        <v>0</v>
      </c>
      <c r="E7516" s="124" t="s">
        <v>8367</v>
      </c>
      <c r="F7516" s="126">
        <v>1</v>
      </c>
      <c r="G7516" s="128">
        <v>6996</v>
      </c>
      <c r="H7516" s="124" t="s">
        <v>8368</v>
      </c>
      <c r="I7516" s="128">
        <v>2992500</v>
      </c>
      <c r="J7516" s="128">
        <v>14962500</v>
      </c>
    </row>
    <row r="7517" spans="1:10" hidden="1" x14ac:dyDescent="0.25">
      <c r="A7517" s="124" t="s">
        <v>9949</v>
      </c>
      <c r="B7517" s="124" t="s">
        <v>11736</v>
      </c>
      <c r="C7517" s="132"/>
      <c r="D7517" s="125">
        <f t="shared" si="102"/>
        <v>0</v>
      </c>
      <c r="E7517" s="124" t="s">
        <v>8367</v>
      </c>
      <c r="F7517" s="129">
        <v>1995</v>
      </c>
      <c r="G7517" s="128">
        <v>13965000.4</v>
      </c>
      <c r="H7517" s="124" t="s">
        <v>8368</v>
      </c>
      <c r="I7517" s="128">
        <v>5985000</v>
      </c>
      <c r="J7517" s="128">
        <v>29925000</v>
      </c>
    </row>
    <row r="7518" spans="1:10" hidden="1" x14ac:dyDescent="0.25">
      <c r="A7518" s="124" t="s">
        <v>9950</v>
      </c>
      <c r="B7518" s="124" t="s">
        <v>11736</v>
      </c>
      <c r="C7518" s="132"/>
      <c r="D7518" s="125">
        <f t="shared" si="102"/>
        <v>0</v>
      </c>
      <c r="E7518" s="124" t="s">
        <v>8367</v>
      </c>
      <c r="F7518" s="129">
        <v>1995</v>
      </c>
      <c r="G7518" s="128">
        <v>5985000</v>
      </c>
      <c r="H7518" s="124" t="s">
        <v>8368</v>
      </c>
      <c r="I7518" s="128">
        <v>532000.06999999995</v>
      </c>
      <c r="J7518" s="128">
        <v>2660000.33</v>
      </c>
    </row>
    <row r="7519" spans="1:10" hidden="1" x14ac:dyDescent="0.25">
      <c r="A7519" s="124" t="s">
        <v>9951</v>
      </c>
      <c r="B7519" s="124" t="s">
        <v>11736</v>
      </c>
      <c r="C7519" s="132"/>
      <c r="D7519" s="125">
        <f t="shared" si="102"/>
        <v>0</v>
      </c>
      <c r="E7519" s="124" t="s">
        <v>8367</v>
      </c>
      <c r="F7519" s="129">
        <v>1995</v>
      </c>
      <c r="G7519" s="128">
        <v>17955000</v>
      </c>
      <c r="H7519" s="124" t="s">
        <v>8368</v>
      </c>
      <c r="I7519" s="128">
        <v>1330000.07</v>
      </c>
      <c r="J7519" s="128">
        <v>6650000.3300000001</v>
      </c>
    </row>
    <row r="7520" spans="1:10" hidden="1" x14ac:dyDescent="0.25">
      <c r="A7520" s="124" t="s">
        <v>9952</v>
      </c>
      <c r="B7520" s="124" t="s">
        <v>11736</v>
      </c>
      <c r="C7520" s="132"/>
      <c r="D7520" s="125">
        <f t="shared" si="102"/>
        <v>0</v>
      </c>
      <c r="E7520" s="124" t="s">
        <v>8367</v>
      </c>
      <c r="F7520" s="129">
        <v>7980</v>
      </c>
      <c r="G7520" s="128">
        <v>35910000</v>
      </c>
      <c r="H7520" s="124" t="s">
        <v>8368</v>
      </c>
      <c r="I7520" s="128">
        <v>29333.33</v>
      </c>
      <c r="J7520" s="128">
        <v>146666.67000000001</v>
      </c>
    </row>
    <row r="7521" spans="1:10" hidden="1" x14ac:dyDescent="0.25">
      <c r="A7521" s="124" t="s">
        <v>9953</v>
      </c>
      <c r="B7521" s="124" t="s">
        <v>11736</v>
      </c>
      <c r="C7521" s="132"/>
      <c r="D7521" s="125">
        <f t="shared" si="102"/>
        <v>0</v>
      </c>
      <c r="E7521" s="124" t="s">
        <v>9270</v>
      </c>
      <c r="F7521" s="129">
        <v>3990</v>
      </c>
      <c r="G7521" s="128">
        <v>3192000.4</v>
      </c>
      <c r="H7521" s="124" t="s">
        <v>8368</v>
      </c>
      <c r="I7521" s="127">
        <v>86.6</v>
      </c>
      <c r="J7521" s="127">
        <v>433</v>
      </c>
    </row>
    <row r="7522" spans="1:10" hidden="1" x14ac:dyDescent="0.25">
      <c r="A7522" s="124" t="s">
        <v>9954</v>
      </c>
      <c r="B7522" s="124" t="s">
        <v>11736</v>
      </c>
      <c r="C7522" s="132"/>
      <c r="D7522" s="125">
        <f t="shared" si="102"/>
        <v>0</v>
      </c>
      <c r="E7522" s="124" t="s">
        <v>8367</v>
      </c>
      <c r="F7522" s="129">
        <v>1995</v>
      </c>
      <c r="G7522" s="128">
        <v>7980000.4000000004</v>
      </c>
      <c r="H7522" s="124" t="s">
        <v>8368</v>
      </c>
      <c r="I7522" s="127">
        <v>26</v>
      </c>
      <c r="J7522" s="127">
        <v>130</v>
      </c>
    </row>
    <row r="7523" spans="1:10" hidden="1" x14ac:dyDescent="0.25">
      <c r="A7523" s="124" t="s">
        <v>9955</v>
      </c>
      <c r="B7523" s="124" t="s">
        <v>11736</v>
      </c>
      <c r="C7523" s="132"/>
      <c r="D7523" s="125">
        <f t="shared" si="102"/>
        <v>0</v>
      </c>
      <c r="E7523" s="124" t="s">
        <v>8367</v>
      </c>
      <c r="F7523" s="126">
        <v>440</v>
      </c>
      <c r="G7523" s="128">
        <v>176000</v>
      </c>
      <c r="H7523" s="124" t="s">
        <v>8368</v>
      </c>
      <c r="I7523" s="128">
        <v>1058.5999999999999</v>
      </c>
      <c r="J7523" s="128">
        <v>5293</v>
      </c>
    </row>
    <row r="7524" spans="1:10" hidden="1" x14ac:dyDescent="0.25">
      <c r="A7524" s="124" t="s">
        <v>9956</v>
      </c>
      <c r="B7524" s="124" t="s">
        <v>11736</v>
      </c>
      <c r="C7524" s="132"/>
      <c r="D7524" s="125">
        <f t="shared" si="102"/>
        <v>0</v>
      </c>
      <c r="E7524" s="124" t="s">
        <v>8367</v>
      </c>
      <c r="F7524" s="126">
        <v>1</v>
      </c>
      <c r="G7524" s="127">
        <v>519.6</v>
      </c>
      <c r="H7524" s="124" t="s">
        <v>8368</v>
      </c>
      <c r="I7524" s="127">
        <v>54.6</v>
      </c>
      <c r="J7524" s="127">
        <v>273</v>
      </c>
    </row>
    <row r="7525" spans="1:10" hidden="1" x14ac:dyDescent="0.25">
      <c r="A7525" s="124" t="s">
        <v>4148</v>
      </c>
      <c r="B7525" s="124" t="s">
        <v>11736</v>
      </c>
      <c r="C7525" s="132"/>
      <c r="D7525" s="125">
        <f t="shared" si="102"/>
        <v>0</v>
      </c>
      <c r="E7525" s="124" t="s">
        <v>8367</v>
      </c>
      <c r="F7525" s="126">
        <v>2</v>
      </c>
      <c r="G7525" s="127">
        <v>156</v>
      </c>
      <c r="H7525" s="124" t="s">
        <v>8368</v>
      </c>
      <c r="I7525" s="127">
        <v>529.4</v>
      </c>
      <c r="J7525" s="128">
        <v>2647</v>
      </c>
    </row>
    <row r="7526" spans="1:10" hidden="1" x14ac:dyDescent="0.25">
      <c r="A7526" s="124" t="s">
        <v>9957</v>
      </c>
      <c r="B7526" s="124" t="s">
        <v>11736</v>
      </c>
      <c r="C7526" s="132"/>
      <c r="D7526" s="125">
        <f t="shared" si="102"/>
        <v>0</v>
      </c>
      <c r="E7526" s="124" t="s">
        <v>8367</v>
      </c>
      <c r="F7526" s="126">
        <v>4</v>
      </c>
      <c r="G7526" s="128">
        <v>6351.6</v>
      </c>
      <c r="H7526" s="124" t="s">
        <v>8368</v>
      </c>
      <c r="I7526" s="127">
        <v>33.4</v>
      </c>
      <c r="J7526" s="127">
        <v>167</v>
      </c>
    </row>
    <row r="7527" spans="1:10" hidden="1" x14ac:dyDescent="0.25">
      <c r="A7527" s="124" t="s">
        <v>9958</v>
      </c>
      <c r="B7527" s="124" t="s">
        <v>11736</v>
      </c>
      <c r="C7527" s="132"/>
      <c r="D7527" s="125">
        <f t="shared" si="102"/>
        <v>0</v>
      </c>
      <c r="E7527" s="124" t="s">
        <v>8367</v>
      </c>
      <c r="F7527" s="126">
        <v>3</v>
      </c>
      <c r="G7527" s="127">
        <v>327.60000000000002</v>
      </c>
      <c r="H7527" s="124" t="s">
        <v>8368</v>
      </c>
      <c r="I7527" s="127">
        <v>199.2</v>
      </c>
      <c r="J7527" s="127">
        <v>996</v>
      </c>
    </row>
    <row r="7528" spans="1:10" hidden="1" x14ac:dyDescent="0.25">
      <c r="A7528" s="124" t="s">
        <v>9959</v>
      </c>
      <c r="B7528" s="124" t="s">
        <v>11736</v>
      </c>
      <c r="C7528" s="132"/>
      <c r="D7528" s="125">
        <f t="shared" si="102"/>
        <v>0</v>
      </c>
      <c r="E7528" s="124" t="s">
        <v>8367</v>
      </c>
      <c r="F7528" s="126">
        <v>2</v>
      </c>
      <c r="G7528" s="128">
        <v>3176.4</v>
      </c>
      <c r="H7528" s="124" t="s">
        <v>8368</v>
      </c>
      <c r="I7528" s="127">
        <v>436</v>
      </c>
      <c r="J7528" s="128">
        <v>2180</v>
      </c>
    </row>
    <row r="7529" spans="1:10" hidden="1" x14ac:dyDescent="0.25">
      <c r="A7529" s="124" t="s">
        <v>9960</v>
      </c>
      <c r="B7529" s="124" t="s">
        <v>11736</v>
      </c>
      <c r="C7529" s="132"/>
      <c r="D7529" s="125">
        <f t="shared" si="102"/>
        <v>0</v>
      </c>
      <c r="E7529" s="124" t="s">
        <v>8367</v>
      </c>
      <c r="F7529" s="126">
        <v>4</v>
      </c>
      <c r="G7529" s="127">
        <v>200.4</v>
      </c>
      <c r="H7529" s="124" t="s">
        <v>8368</v>
      </c>
      <c r="I7529" s="127">
        <v>913.33</v>
      </c>
      <c r="J7529" s="128">
        <v>4566.67</v>
      </c>
    </row>
    <row r="7530" spans="1:10" hidden="1" x14ac:dyDescent="0.25">
      <c r="A7530" s="124" t="s">
        <v>3762</v>
      </c>
      <c r="B7530" s="124" t="s">
        <v>11736</v>
      </c>
      <c r="C7530" s="132"/>
      <c r="D7530" s="125">
        <f t="shared" si="102"/>
        <v>0</v>
      </c>
      <c r="E7530" s="124" t="s">
        <v>8367</v>
      </c>
      <c r="F7530" s="126">
        <v>5</v>
      </c>
      <c r="G7530" s="128">
        <v>1195.2</v>
      </c>
      <c r="H7530" s="124" t="s">
        <v>8368</v>
      </c>
      <c r="I7530" s="127">
        <v>375</v>
      </c>
      <c r="J7530" s="128">
        <v>1875</v>
      </c>
    </row>
    <row r="7531" spans="1:10" hidden="1" x14ac:dyDescent="0.25">
      <c r="A7531" s="124" t="s">
        <v>9961</v>
      </c>
      <c r="B7531" s="124" t="s">
        <v>11736</v>
      </c>
      <c r="C7531" s="132"/>
      <c r="D7531" s="125">
        <f t="shared" si="102"/>
        <v>0</v>
      </c>
      <c r="E7531" s="124" t="s">
        <v>8367</v>
      </c>
      <c r="F7531" s="126">
        <v>6</v>
      </c>
      <c r="G7531" s="128">
        <v>2616</v>
      </c>
      <c r="H7531" s="124" t="s">
        <v>8368</v>
      </c>
      <c r="I7531" s="127">
        <v>203.67</v>
      </c>
      <c r="J7531" s="128">
        <v>1018.33</v>
      </c>
    </row>
    <row r="7532" spans="1:10" hidden="1" x14ac:dyDescent="0.25">
      <c r="A7532" s="124" t="s">
        <v>9962</v>
      </c>
      <c r="B7532" s="124" t="s">
        <v>11736</v>
      </c>
      <c r="C7532" s="132"/>
      <c r="D7532" s="125">
        <f t="shared" si="102"/>
        <v>0</v>
      </c>
      <c r="E7532" s="124" t="s">
        <v>8367</v>
      </c>
      <c r="F7532" s="126">
        <v>4</v>
      </c>
      <c r="G7532" s="128">
        <v>5480</v>
      </c>
      <c r="H7532" s="124" t="s">
        <v>8368</v>
      </c>
      <c r="I7532" s="128">
        <v>2885.8</v>
      </c>
      <c r="J7532" s="128">
        <v>14429</v>
      </c>
    </row>
    <row r="7533" spans="1:10" hidden="1" x14ac:dyDescent="0.25">
      <c r="A7533" s="124" t="s">
        <v>9963</v>
      </c>
      <c r="B7533" s="124" t="s">
        <v>11736</v>
      </c>
      <c r="C7533" s="132"/>
      <c r="D7533" s="125">
        <f t="shared" si="102"/>
        <v>0</v>
      </c>
      <c r="E7533" s="124" t="s">
        <v>8367</v>
      </c>
      <c r="F7533" s="126">
        <v>30</v>
      </c>
      <c r="G7533" s="128">
        <v>2250</v>
      </c>
      <c r="H7533" s="124" t="s">
        <v>8368</v>
      </c>
      <c r="I7533" s="127">
        <v>434</v>
      </c>
      <c r="J7533" s="128">
        <v>2170</v>
      </c>
    </row>
    <row r="7534" spans="1:10" hidden="1" x14ac:dyDescent="0.25">
      <c r="A7534" s="124" t="s">
        <v>9964</v>
      </c>
      <c r="B7534" s="124" t="s">
        <v>11736</v>
      </c>
      <c r="C7534" s="132"/>
      <c r="D7534" s="125">
        <f t="shared" si="102"/>
        <v>0</v>
      </c>
      <c r="E7534" s="124" t="s">
        <v>8451</v>
      </c>
      <c r="F7534" s="126">
        <v>26</v>
      </c>
      <c r="G7534" s="128">
        <v>1222</v>
      </c>
      <c r="H7534" s="124" t="s">
        <v>8368</v>
      </c>
      <c r="I7534" s="128">
        <v>1200</v>
      </c>
      <c r="J7534" s="128">
        <v>6000</v>
      </c>
    </row>
    <row r="7535" spans="1:10" hidden="1" x14ac:dyDescent="0.25">
      <c r="A7535" s="124" t="s">
        <v>9965</v>
      </c>
      <c r="B7535" s="124" t="s">
        <v>11736</v>
      </c>
      <c r="C7535" s="132"/>
      <c r="D7535" s="125">
        <f t="shared" si="102"/>
        <v>0</v>
      </c>
      <c r="E7535" s="124" t="s">
        <v>8367</v>
      </c>
      <c r="F7535" s="126">
        <v>5</v>
      </c>
      <c r="G7535" s="128">
        <v>17314.8</v>
      </c>
      <c r="H7535" s="124" t="s">
        <v>8368</v>
      </c>
      <c r="I7535" s="127">
        <v>483.33</v>
      </c>
      <c r="J7535" s="128">
        <v>2416.67</v>
      </c>
    </row>
    <row r="7536" spans="1:10" hidden="1" x14ac:dyDescent="0.25">
      <c r="A7536" s="124" t="s">
        <v>9966</v>
      </c>
      <c r="B7536" s="124" t="s">
        <v>11736</v>
      </c>
      <c r="C7536" s="132"/>
      <c r="D7536" s="125">
        <f t="shared" si="102"/>
        <v>0</v>
      </c>
      <c r="E7536" s="124" t="s">
        <v>8367</v>
      </c>
      <c r="F7536" s="126">
        <v>4</v>
      </c>
      <c r="G7536" s="128">
        <v>2604</v>
      </c>
      <c r="H7536" s="124" t="s">
        <v>8368</v>
      </c>
      <c r="I7536" s="127">
        <v>911</v>
      </c>
      <c r="J7536" s="128">
        <v>4555</v>
      </c>
    </row>
    <row r="7537" spans="1:10" hidden="1" x14ac:dyDescent="0.25">
      <c r="A7537" s="124" t="s">
        <v>9967</v>
      </c>
      <c r="B7537" s="124" t="s">
        <v>11736</v>
      </c>
      <c r="C7537" s="132"/>
      <c r="D7537" s="125">
        <f t="shared" si="102"/>
        <v>0</v>
      </c>
      <c r="E7537" s="124" t="s">
        <v>8579</v>
      </c>
      <c r="F7537" s="126">
        <v>300</v>
      </c>
      <c r="G7537" s="128">
        <v>7200</v>
      </c>
      <c r="H7537" s="124" t="s">
        <v>8368</v>
      </c>
      <c r="I7537" s="128">
        <v>1104.2</v>
      </c>
      <c r="J7537" s="128">
        <v>5521</v>
      </c>
    </row>
    <row r="7538" spans="1:10" hidden="1" x14ac:dyDescent="0.25">
      <c r="A7538" s="124" t="s">
        <v>9968</v>
      </c>
      <c r="B7538" s="124" t="s">
        <v>11736</v>
      </c>
      <c r="C7538" s="132"/>
      <c r="D7538" s="125">
        <f>COUNTIF(A3018:A7537,A7538)</f>
        <v>0</v>
      </c>
      <c r="E7538" s="124" t="s">
        <v>8367</v>
      </c>
      <c r="F7538" s="126">
        <v>1</v>
      </c>
      <c r="G7538" s="128">
        <v>2900</v>
      </c>
      <c r="H7538" s="124" t="s">
        <v>8368</v>
      </c>
      <c r="I7538" s="128">
        <v>26000</v>
      </c>
      <c r="J7538" s="128">
        <v>130000</v>
      </c>
    </row>
    <row r="7539" spans="1:10" hidden="1" x14ac:dyDescent="0.25">
      <c r="A7539" s="124" t="s">
        <v>9969</v>
      </c>
      <c r="B7539" s="124" t="s">
        <v>11736</v>
      </c>
      <c r="C7539" s="132"/>
      <c r="D7539" s="125">
        <f>COUNTIF(A3019:A7538,A7539)</f>
        <v>0</v>
      </c>
      <c r="E7539" s="124" t="s">
        <v>8367</v>
      </c>
      <c r="F7539" s="126">
        <v>1</v>
      </c>
      <c r="G7539" s="128">
        <v>5466</v>
      </c>
      <c r="H7539" s="124" t="s">
        <v>8368</v>
      </c>
      <c r="I7539" s="128">
        <v>8145.6</v>
      </c>
      <c r="J7539" s="128">
        <v>40728</v>
      </c>
    </row>
    <row r="7540" spans="1:10" hidden="1" x14ac:dyDescent="0.25">
      <c r="A7540" s="124" t="s">
        <v>9970</v>
      </c>
      <c r="B7540" s="124" t="s">
        <v>11736</v>
      </c>
      <c r="C7540" s="132"/>
      <c r="D7540" s="125">
        <f>COUNTIF(A3021:A7539,A7540)</f>
        <v>0</v>
      </c>
      <c r="E7540" s="124" t="s">
        <v>8367</v>
      </c>
      <c r="F7540" s="126">
        <v>1</v>
      </c>
      <c r="G7540" s="128">
        <v>6625.2</v>
      </c>
      <c r="H7540" s="124" t="s">
        <v>8368</v>
      </c>
      <c r="I7540" s="128">
        <v>16246.4</v>
      </c>
      <c r="J7540" s="128">
        <v>81232</v>
      </c>
    </row>
    <row r="7541" spans="1:10" hidden="1" x14ac:dyDescent="0.25">
      <c r="A7541" s="124" t="s">
        <v>9971</v>
      </c>
      <c r="B7541" s="124" t="s">
        <v>11736</v>
      </c>
      <c r="C7541" s="132"/>
      <c r="D7541" s="125">
        <f>COUNTIF(A3022:A7540,A7541)</f>
        <v>0</v>
      </c>
      <c r="E7541" s="124" t="s">
        <v>8367</v>
      </c>
      <c r="F7541" s="126">
        <v>2</v>
      </c>
      <c r="G7541" s="128">
        <v>156000</v>
      </c>
      <c r="H7541" s="124" t="s">
        <v>8368</v>
      </c>
      <c r="I7541" s="128">
        <v>4808</v>
      </c>
      <c r="J7541" s="128">
        <v>24040</v>
      </c>
    </row>
    <row r="7542" spans="1:10" hidden="1" x14ac:dyDescent="0.25">
      <c r="A7542" s="124" t="s">
        <v>9972</v>
      </c>
      <c r="B7542" s="124" t="s">
        <v>11736</v>
      </c>
      <c r="C7542" s="132"/>
      <c r="D7542" s="125">
        <f>COUNTIF(A3023:A7541,A7542)</f>
        <v>0</v>
      </c>
      <c r="E7542" s="124" t="s">
        <v>8367</v>
      </c>
      <c r="F7542" s="126">
        <v>6</v>
      </c>
      <c r="G7542" s="128">
        <v>48873.599999999999</v>
      </c>
      <c r="H7542" s="124" t="s">
        <v>8368</v>
      </c>
      <c r="I7542" s="128">
        <v>9460</v>
      </c>
      <c r="J7542" s="128">
        <v>47300</v>
      </c>
    </row>
    <row r="7543" spans="1:10" hidden="1" x14ac:dyDescent="0.25">
      <c r="A7543" s="124" t="s">
        <v>9973</v>
      </c>
      <c r="B7543" s="124" t="s">
        <v>11736</v>
      </c>
      <c r="C7543" s="132"/>
      <c r="D7543" s="125">
        <f>COUNTIF(A3025:A7542,A7543)</f>
        <v>0</v>
      </c>
      <c r="E7543" s="124" t="s">
        <v>8367</v>
      </c>
      <c r="F7543" s="126">
        <v>2</v>
      </c>
      <c r="G7543" s="128">
        <v>97478.399999999994</v>
      </c>
      <c r="H7543" s="124" t="s">
        <v>8368</v>
      </c>
      <c r="I7543" s="128">
        <v>1705.8</v>
      </c>
      <c r="J7543" s="128">
        <v>8529</v>
      </c>
    </row>
    <row r="7544" spans="1:10" hidden="1" x14ac:dyDescent="0.25">
      <c r="A7544" s="124" t="s">
        <v>9974</v>
      </c>
      <c r="B7544" s="124" t="s">
        <v>11736</v>
      </c>
      <c r="C7544" s="132"/>
      <c r="D7544" s="125">
        <f>COUNTIF(A3027:A7543,A7544)</f>
        <v>0</v>
      </c>
      <c r="E7544" s="124" t="s">
        <v>8367</v>
      </c>
      <c r="F7544" s="126">
        <v>10</v>
      </c>
      <c r="G7544" s="128">
        <v>28848</v>
      </c>
      <c r="H7544" s="124" t="s">
        <v>8368</v>
      </c>
      <c r="I7544" s="128">
        <v>24248</v>
      </c>
      <c r="J7544" s="128">
        <v>121240</v>
      </c>
    </row>
    <row r="7545" spans="1:10" hidden="1" x14ac:dyDescent="0.25">
      <c r="A7545" s="124" t="s">
        <v>9975</v>
      </c>
      <c r="B7545" s="124" t="s">
        <v>11736</v>
      </c>
      <c r="C7545" s="132"/>
      <c r="D7545" s="125">
        <f>COUNTIF(A3029:A7544,A7545)</f>
        <v>0</v>
      </c>
      <c r="E7545" s="124" t="s">
        <v>8367</v>
      </c>
      <c r="F7545" s="126">
        <v>1</v>
      </c>
      <c r="G7545" s="128">
        <v>56760</v>
      </c>
      <c r="H7545" s="124" t="s">
        <v>8368</v>
      </c>
      <c r="I7545" s="128">
        <v>28000</v>
      </c>
      <c r="J7545" s="128">
        <v>140000</v>
      </c>
    </row>
    <row r="7546" spans="1:10" hidden="1" x14ac:dyDescent="0.25">
      <c r="A7546" s="124" t="s">
        <v>9976</v>
      </c>
      <c r="B7546" s="124" t="s">
        <v>11736</v>
      </c>
      <c r="C7546" s="132"/>
      <c r="D7546" s="125">
        <f>COUNTIF(A3030:A7545,A7546)</f>
        <v>0</v>
      </c>
      <c r="E7546" s="124" t="s">
        <v>8367</v>
      </c>
      <c r="F7546" s="126">
        <v>1</v>
      </c>
      <c r="G7546" s="128">
        <v>10234.799999999999</v>
      </c>
      <c r="H7546" s="124" t="s">
        <v>8368</v>
      </c>
      <c r="I7546" s="128">
        <v>1736</v>
      </c>
      <c r="J7546" s="128">
        <v>8680</v>
      </c>
    </row>
    <row r="7547" spans="1:10" hidden="1" x14ac:dyDescent="0.25">
      <c r="A7547" s="124" t="s">
        <v>2832</v>
      </c>
      <c r="B7547" s="124" t="s">
        <v>11736</v>
      </c>
      <c r="C7547" s="132"/>
      <c r="D7547" s="125">
        <f>COUNTIF(A3031:A7546,A7547)</f>
        <v>0</v>
      </c>
      <c r="E7547" s="124" t="s">
        <v>8367</v>
      </c>
      <c r="F7547" s="126">
        <v>7</v>
      </c>
      <c r="G7547" s="128">
        <v>145488</v>
      </c>
      <c r="H7547" s="124" t="s">
        <v>8368</v>
      </c>
      <c r="I7547" s="127">
        <v>805.2</v>
      </c>
      <c r="J7547" s="128">
        <v>4026</v>
      </c>
    </row>
    <row r="7548" spans="1:10" hidden="1" x14ac:dyDescent="0.25">
      <c r="A7548" s="124" t="s">
        <v>9977</v>
      </c>
      <c r="B7548" s="124" t="s">
        <v>11736</v>
      </c>
      <c r="C7548" s="132"/>
      <c r="D7548" s="125">
        <f>COUNTIF(A3033:A7547,A7548)</f>
        <v>0</v>
      </c>
      <c r="E7548" s="124" t="s">
        <v>8367</v>
      </c>
      <c r="F7548" s="126">
        <v>2</v>
      </c>
      <c r="G7548" s="128">
        <v>168000</v>
      </c>
      <c r="H7548" s="124" t="s">
        <v>8368</v>
      </c>
      <c r="I7548" s="128">
        <v>10718.27</v>
      </c>
      <c r="J7548" s="128">
        <v>53591.33</v>
      </c>
    </row>
    <row r="7549" spans="1:10" hidden="1" x14ac:dyDescent="0.25">
      <c r="A7549" s="124" t="s">
        <v>9978</v>
      </c>
      <c r="B7549" s="124" t="s">
        <v>11736</v>
      </c>
      <c r="C7549" s="132"/>
      <c r="D7549" s="125">
        <f t="shared" ref="D7549:D7565" si="103">COUNTIF(A3036:A7548,A7549)</f>
        <v>0</v>
      </c>
      <c r="E7549" s="124" t="s">
        <v>8367</v>
      </c>
      <c r="F7549" s="126">
        <v>1</v>
      </c>
      <c r="G7549" s="128">
        <v>10416</v>
      </c>
      <c r="H7549" s="124" t="s">
        <v>8368</v>
      </c>
      <c r="I7549" s="128">
        <v>1620</v>
      </c>
      <c r="J7549" s="128">
        <v>8100</v>
      </c>
    </row>
    <row r="7550" spans="1:10" hidden="1" x14ac:dyDescent="0.25">
      <c r="A7550" s="124" t="s">
        <v>9979</v>
      </c>
      <c r="B7550" s="124" t="s">
        <v>11736</v>
      </c>
      <c r="C7550" s="132"/>
      <c r="D7550" s="125">
        <f t="shared" si="103"/>
        <v>0</v>
      </c>
      <c r="E7550" s="124" t="s">
        <v>8367</v>
      </c>
      <c r="F7550" s="126">
        <v>2</v>
      </c>
      <c r="G7550" s="128">
        <v>4831.2</v>
      </c>
      <c r="H7550" s="124" t="s">
        <v>8368</v>
      </c>
      <c r="I7550" s="127">
        <v>288</v>
      </c>
      <c r="J7550" s="128">
        <v>1440</v>
      </c>
    </row>
    <row r="7551" spans="1:10" hidden="1" x14ac:dyDescent="0.25">
      <c r="A7551" s="124" t="s">
        <v>3926</v>
      </c>
      <c r="B7551" s="124" t="s">
        <v>11736</v>
      </c>
      <c r="C7551" s="132"/>
      <c r="D7551" s="125">
        <f t="shared" si="103"/>
        <v>0</v>
      </c>
      <c r="E7551" s="124" t="s">
        <v>8367</v>
      </c>
      <c r="F7551" s="126">
        <v>2</v>
      </c>
      <c r="G7551" s="128">
        <v>64309.599999999999</v>
      </c>
      <c r="H7551" s="124" t="s">
        <v>8368</v>
      </c>
      <c r="I7551" s="127">
        <v>66</v>
      </c>
      <c r="J7551" s="127">
        <v>330</v>
      </c>
    </row>
    <row r="7552" spans="1:10" hidden="1" x14ac:dyDescent="0.25">
      <c r="A7552" s="124" t="s">
        <v>9980</v>
      </c>
      <c r="B7552" s="124" t="s">
        <v>11736</v>
      </c>
      <c r="C7552" s="132"/>
      <c r="D7552" s="125">
        <f t="shared" si="103"/>
        <v>0</v>
      </c>
      <c r="E7552" s="124" t="s">
        <v>8367</v>
      </c>
      <c r="F7552" s="126">
        <v>9</v>
      </c>
      <c r="G7552" s="128">
        <v>9720</v>
      </c>
      <c r="H7552" s="124" t="s">
        <v>8368</v>
      </c>
      <c r="I7552" s="128">
        <v>4628</v>
      </c>
      <c r="J7552" s="128">
        <v>23140</v>
      </c>
    </row>
    <row r="7553" spans="1:10" hidden="1" x14ac:dyDescent="0.25">
      <c r="A7553" s="124" t="s">
        <v>9981</v>
      </c>
      <c r="B7553" s="124" t="s">
        <v>11736</v>
      </c>
      <c r="C7553" s="132"/>
      <c r="D7553" s="125">
        <f t="shared" si="103"/>
        <v>0</v>
      </c>
      <c r="E7553" s="124" t="s">
        <v>8367</v>
      </c>
      <c r="F7553" s="126">
        <v>4</v>
      </c>
      <c r="G7553" s="128">
        <v>1728</v>
      </c>
      <c r="H7553" s="124" t="s">
        <v>8368</v>
      </c>
      <c r="I7553" s="128">
        <v>2135</v>
      </c>
      <c r="J7553" s="128">
        <v>10675</v>
      </c>
    </row>
    <row r="7554" spans="1:10" hidden="1" x14ac:dyDescent="0.25">
      <c r="A7554" s="124" t="s">
        <v>9982</v>
      </c>
      <c r="B7554" s="124" t="s">
        <v>11736</v>
      </c>
      <c r="C7554" s="132"/>
      <c r="D7554" s="125">
        <f t="shared" si="103"/>
        <v>0</v>
      </c>
      <c r="E7554" s="124" t="s">
        <v>8367</v>
      </c>
      <c r="F7554" s="126">
        <v>1</v>
      </c>
      <c r="G7554" s="127">
        <v>396</v>
      </c>
      <c r="H7554" s="124" t="s">
        <v>8368</v>
      </c>
      <c r="I7554" s="128">
        <v>4101.6000000000004</v>
      </c>
      <c r="J7554" s="128">
        <v>20508</v>
      </c>
    </row>
    <row r="7555" spans="1:10" hidden="1" x14ac:dyDescent="0.25">
      <c r="A7555" s="124" t="s">
        <v>352</v>
      </c>
      <c r="B7555" s="124" t="s">
        <v>11736</v>
      </c>
      <c r="C7555" s="132"/>
      <c r="D7555" s="125">
        <f t="shared" si="103"/>
        <v>0</v>
      </c>
      <c r="E7555" s="124" t="s">
        <v>8367</v>
      </c>
      <c r="F7555" s="126">
        <v>3</v>
      </c>
      <c r="G7555" s="128">
        <v>27768</v>
      </c>
      <c r="H7555" s="124" t="s">
        <v>8368</v>
      </c>
      <c r="I7555" s="127">
        <v>39.46</v>
      </c>
      <c r="J7555" s="127">
        <v>197.31</v>
      </c>
    </row>
    <row r="7556" spans="1:10" hidden="1" x14ac:dyDescent="0.25">
      <c r="A7556" s="124" t="s">
        <v>9983</v>
      </c>
      <c r="B7556" s="124" t="s">
        <v>11736</v>
      </c>
      <c r="C7556" s="132"/>
      <c r="D7556" s="125">
        <f t="shared" si="103"/>
        <v>0</v>
      </c>
      <c r="E7556" s="124" t="s">
        <v>8367</v>
      </c>
      <c r="F7556" s="126">
        <v>10</v>
      </c>
      <c r="G7556" s="128">
        <v>12810</v>
      </c>
      <c r="H7556" s="124" t="s">
        <v>8368</v>
      </c>
      <c r="I7556" s="128">
        <v>1492.97</v>
      </c>
      <c r="J7556" s="128">
        <v>7464.83</v>
      </c>
    </row>
    <row r="7557" spans="1:10" hidden="1" x14ac:dyDescent="0.25">
      <c r="A7557" s="124" t="s">
        <v>9984</v>
      </c>
      <c r="B7557" s="124" t="s">
        <v>11736</v>
      </c>
      <c r="C7557" s="132"/>
      <c r="D7557" s="125">
        <f t="shared" si="103"/>
        <v>0</v>
      </c>
      <c r="E7557" s="124" t="s">
        <v>8367</v>
      </c>
      <c r="F7557" s="126">
        <v>10</v>
      </c>
      <c r="G7557" s="128">
        <v>24609.599999999999</v>
      </c>
      <c r="H7557" s="124" t="s">
        <v>8368</v>
      </c>
      <c r="I7557" s="127">
        <v>211.65</v>
      </c>
      <c r="J7557" s="128">
        <v>1058.23</v>
      </c>
    </row>
    <row r="7558" spans="1:10" hidden="1" x14ac:dyDescent="0.25">
      <c r="A7558" s="124" t="s">
        <v>9985</v>
      </c>
      <c r="B7558" s="124" t="s">
        <v>11736</v>
      </c>
      <c r="C7558" s="132"/>
      <c r="D7558" s="125">
        <f t="shared" si="103"/>
        <v>0</v>
      </c>
      <c r="E7558" s="124" t="s">
        <v>8367</v>
      </c>
      <c r="F7558" s="126">
        <v>3</v>
      </c>
      <c r="G7558" s="127">
        <v>236.77</v>
      </c>
      <c r="H7558" s="124" t="s">
        <v>8368</v>
      </c>
      <c r="I7558" s="128">
        <v>765000</v>
      </c>
      <c r="J7558" s="128">
        <v>3825000</v>
      </c>
    </row>
    <row r="7559" spans="1:10" hidden="1" x14ac:dyDescent="0.25">
      <c r="A7559" s="124" t="s">
        <v>9986</v>
      </c>
      <c r="B7559" s="124" t="s">
        <v>11736</v>
      </c>
      <c r="C7559" s="132"/>
      <c r="D7559" s="125">
        <f t="shared" si="103"/>
        <v>0</v>
      </c>
      <c r="E7559" s="124" t="s">
        <v>8367</v>
      </c>
      <c r="F7559" s="126">
        <v>1</v>
      </c>
      <c r="G7559" s="128">
        <v>8957.7999999999993</v>
      </c>
      <c r="H7559" s="124" t="s">
        <v>8368</v>
      </c>
      <c r="I7559" s="128">
        <v>66364.800000000003</v>
      </c>
      <c r="J7559" s="128">
        <v>331824</v>
      </c>
    </row>
    <row r="7560" spans="1:10" hidden="1" x14ac:dyDescent="0.25">
      <c r="A7560" s="124" t="s">
        <v>9987</v>
      </c>
      <c r="B7560" s="124" t="s">
        <v>11736</v>
      </c>
      <c r="C7560" s="132"/>
      <c r="D7560" s="125">
        <f t="shared" si="103"/>
        <v>0</v>
      </c>
      <c r="E7560" s="124" t="s">
        <v>8367</v>
      </c>
      <c r="F7560" s="126">
        <v>1</v>
      </c>
      <c r="G7560" s="128">
        <v>1269.8800000000001</v>
      </c>
      <c r="H7560" s="124" t="s">
        <v>8368</v>
      </c>
      <c r="I7560" s="128">
        <v>2343.3200000000002</v>
      </c>
      <c r="J7560" s="128">
        <v>11716.6</v>
      </c>
    </row>
    <row r="7561" spans="1:10" hidden="1" x14ac:dyDescent="0.25">
      <c r="A7561" s="124" t="s">
        <v>9988</v>
      </c>
      <c r="B7561" s="124" t="s">
        <v>11736</v>
      </c>
      <c r="C7561" s="132"/>
      <c r="D7561" s="125">
        <f t="shared" si="103"/>
        <v>0</v>
      </c>
      <c r="E7561" s="124" t="s">
        <v>8367</v>
      </c>
      <c r="F7561" s="126">
        <v>45</v>
      </c>
      <c r="G7561" s="128">
        <v>4590000</v>
      </c>
      <c r="H7561" s="124" t="s">
        <v>8368</v>
      </c>
      <c r="I7561" s="128">
        <v>140290.79999999999</v>
      </c>
      <c r="J7561" s="128">
        <v>701454</v>
      </c>
    </row>
    <row r="7562" spans="1:10" hidden="1" x14ac:dyDescent="0.25">
      <c r="A7562" s="124" t="s">
        <v>9989</v>
      </c>
      <c r="B7562" s="124" t="s">
        <v>11736</v>
      </c>
      <c r="C7562" s="132"/>
      <c r="D7562" s="125">
        <f t="shared" si="103"/>
        <v>0</v>
      </c>
      <c r="E7562" s="124" t="s">
        <v>8367</v>
      </c>
      <c r="F7562" s="126">
        <v>12</v>
      </c>
      <c r="G7562" s="128">
        <v>398188.79999999999</v>
      </c>
      <c r="H7562" s="124" t="s">
        <v>8368</v>
      </c>
      <c r="I7562" s="128">
        <v>12028</v>
      </c>
      <c r="J7562" s="128">
        <v>60140</v>
      </c>
    </row>
    <row r="7563" spans="1:10" hidden="1" x14ac:dyDescent="0.25">
      <c r="A7563" s="124" t="s">
        <v>9990</v>
      </c>
      <c r="B7563" s="124" t="s">
        <v>11736</v>
      </c>
      <c r="C7563" s="132"/>
      <c r="D7563" s="125">
        <f t="shared" si="103"/>
        <v>0</v>
      </c>
      <c r="E7563" s="124" t="s">
        <v>8367</v>
      </c>
      <c r="F7563" s="126">
        <v>12</v>
      </c>
      <c r="G7563" s="128">
        <v>14059.92</v>
      </c>
      <c r="H7563" s="124" t="s">
        <v>8368</v>
      </c>
      <c r="I7563" s="128">
        <v>7250.67</v>
      </c>
      <c r="J7563" s="128">
        <v>36253.33</v>
      </c>
    </row>
    <row r="7564" spans="1:10" hidden="1" x14ac:dyDescent="0.25">
      <c r="A7564" s="124" t="s">
        <v>9991</v>
      </c>
      <c r="B7564" s="124" t="s">
        <v>11736</v>
      </c>
      <c r="C7564" s="132"/>
      <c r="D7564" s="125">
        <f t="shared" si="103"/>
        <v>0</v>
      </c>
      <c r="E7564" s="124" t="s">
        <v>8367</v>
      </c>
      <c r="F7564" s="126">
        <v>299</v>
      </c>
      <c r="G7564" s="128">
        <v>841744.8</v>
      </c>
      <c r="H7564" s="124" t="s">
        <v>8368</v>
      </c>
      <c r="I7564" s="128">
        <v>18605</v>
      </c>
      <c r="J7564" s="128">
        <v>93025</v>
      </c>
    </row>
    <row r="7565" spans="1:10" hidden="1" x14ac:dyDescent="0.25">
      <c r="A7565" s="124" t="s">
        <v>9992</v>
      </c>
      <c r="B7565" s="124" t="s">
        <v>11736</v>
      </c>
      <c r="C7565" s="132"/>
      <c r="D7565" s="125">
        <f t="shared" si="103"/>
        <v>0</v>
      </c>
      <c r="E7565" s="124" t="s">
        <v>8367</v>
      </c>
      <c r="F7565" s="126">
        <v>124</v>
      </c>
      <c r="G7565" s="128">
        <v>72168</v>
      </c>
      <c r="H7565" s="124" t="s">
        <v>8368</v>
      </c>
      <c r="I7565" s="128">
        <v>220000</v>
      </c>
      <c r="J7565" s="128">
        <v>1100000</v>
      </c>
    </row>
    <row r="7566" spans="1:10" hidden="1" x14ac:dyDescent="0.25">
      <c r="A7566" s="124" t="s">
        <v>9993</v>
      </c>
      <c r="B7566" s="124" t="s">
        <v>11736</v>
      </c>
      <c r="C7566" s="132"/>
      <c r="D7566" s="125">
        <f>COUNTIF(A3054:A7565,A7566)</f>
        <v>0</v>
      </c>
      <c r="E7566" s="124" t="s">
        <v>8579</v>
      </c>
      <c r="F7566" s="126">
        <v>80</v>
      </c>
      <c r="G7566" s="128">
        <v>43504</v>
      </c>
      <c r="H7566" s="124" t="s">
        <v>8368</v>
      </c>
      <c r="I7566" s="128">
        <v>6141.6</v>
      </c>
      <c r="J7566" s="128">
        <v>30708</v>
      </c>
    </row>
    <row r="7567" spans="1:10" hidden="1" x14ac:dyDescent="0.25">
      <c r="A7567" s="124" t="s">
        <v>9994</v>
      </c>
      <c r="B7567" s="124" t="s">
        <v>11736</v>
      </c>
      <c r="C7567" s="132"/>
      <c r="D7567" s="125">
        <f>COUNTIF(A3062:A7566,A7567)</f>
        <v>0</v>
      </c>
      <c r="E7567" s="124" t="s">
        <v>1</v>
      </c>
      <c r="F7567" s="126">
        <v>10</v>
      </c>
      <c r="G7567" s="128">
        <v>111630</v>
      </c>
      <c r="H7567" s="124" t="s">
        <v>8368</v>
      </c>
      <c r="I7567" s="128">
        <v>7668</v>
      </c>
      <c r="J7567" s="128">
        <v>38340</v>
      </c>
    </row>
    <row r="7568" spans="1:10" hidden="1" x14ac:dyDescent="0.25">
      <c r="A7568" s="124" t="s">
        <v>9995</v>
      </c>
      <c r="B7568" s="124" t="s">
        <v>11736</v>
      </c>
      <c r="C7568" s="132"/>
      <c r="D7568" s="125">
        <f>COUNTIF(A3064:A7567,A7568)</f>
        <v>0</v>
      </c>
      <c r="E7568" s="124" t="s">
        <v>8367</v>
      </c>
      <c r="F7568" s="126">
        <v>1</v>
      </c>
      <c r="G7568" s="128">
        <v>1320000</v>
      </c>
      <c r="H7568" s="124" t="s">
        <v>8368</v>
      </c>
      <c r="I7568" s="127">
        <v>194</v>
      </c>
      <c r="J7568" s="127">
        <v>970</v>
      </c>
    </row>
    <row r="7569" spans="1:10" hidden="1" x14ac:dyDescent="0.25">
      <c r="A7569" s="124" t="s">
        <v>9996</v>
      </c>
      <c r="B7569" s="124" t="s">
        <v>11736</v>
      </c>
      <c r="C7569" s="132"/>
      <c r="D7569" s="125">
        <f>COUNTIF(A3066:A7568,A7569)</f>
        <v>0</v>
      </c>
      <c r="E7569" s="124" t="s">
        <v>8367</v>
      </c>
      <c r="F7569" s="126">
        <v>1</v>
      </c>
      <c r="G7569" s="128">
        <v>36849.599999999999</v>
      </c>
      <c r="H7569" s="124" t="s">
        <v>8368</v>
      </c>
      <c r="I7569" s="128">
        <v>1172.5999999999999</v>
      </c>
      <c r="J7569" s="128">
        <v>5863</v>
      </c>
    </row>
    <row r="7570" spans="1:10" hidden="1" x14ac:dyDescent="0.25">
      <c r="A7570" s="124" t="s">
        <v>9997</v>
      </c>
      <c r="B7570" s="124" t="s">
        <v>11736</v>
      </c>
      <c r="C7570" s="132"/>
      <c r="D7570" s="125">
        <f>COUNTIF(A3067:A7569,A7570)</f>
        <v>0</v>
      </c>
      <c r="E7570" s="124" t="s">
        <v>8579</v>
      </c>
      <c r="F7570" s="129">
        <v>7200</v>
      </c>
      <c r="G7570" s="128">
        <v>46008</v>
      </c>
      <c r="H7570" s="124" t="s">
        <v>8368</v>
      </c>
      <c r="I7570" s="127">
        <v>194.2</v>
      </c>
      <c r="J7570" s="127">
        <v>971</v>
      </c>
    </row>
    <row r="7571" spans="1:10" hidden="1" x14ac:dyDescent="0.25">
      <c r="A7571" s="124" t="s">
        <v>9998</v>
      </c>
      <c r="B7571" s="124" t="s">
        <v>11736</v>
      </c>
      <c r="C7571" s="132"/>
      <c r="D7571" s="125">
        <f>COUNTIF(A3070:A7570,A7571)</f>
        <v>0</v>
      </c>
      <c r="E7571" s="124" t="s">
        <v>8367</v>
      </c>
      <c r="F7571" s="126">
        <v>4</v>
      </c>
      <c r="G7571" s="128">
        <v>1164</v>
      </c>
      <c r="H7571" s="124" t="s">
        <v>8368</v>
      </c>
      <c r="I7571" s="128">
        <v>12333.9</v>
      </c>
      <c r="J7571" s="128">
        <v>61669.52</v>
      </c>
    </row>
    <row r="7572" spans="1:10" hidden="1" x14ac:dyDescent="0.25">
      <c r="A7572" s="124" t="s">
        <v>9999</v>
      </c>
      <c r="B7572" s="124" t="s">
        <v>11736</v>
      </c>
      <c r="C7572" s="132"/>
      <c r="D7572" s="125">
        <f>COUNTIF(A3072:A7571,A7572)</f>
        <v>0</v>
      </c>
      <c r="E7572" s="124" t="s">
        <v>8367</v>
      </c>
      <c r="F7572" s="126">
        <v>5</v>
      </c>
      <c r="G7572" s="128">
        <v>7035.6</v>
      </c>
      <c r="H7572" s="124" t="s">
        <v>8368</v>
      </c>
      <c r="I7572" s="127">
        <v>603.33000000000004</v>
      </c>
      <c r="J7572" s="128">
        <v>3016.67</v>
      </c>
    </row>
    <row r="7573" spans="1:10" hidden="1" x14ac:dyDescent="0.25">
      <c r="A7573" s="124" t="s">
        <v>10000</v>
      </c>
      <c r="B7573" s="124" t="s">
        <v>11736</v>
      </c>
      <c r="C7573" s="132"/>
      <c r="D7573" s="125">
        <f>COUNTIF(A3073:A7572,A7573)</f>
        <v>0</v>
      </c>
      <c r="E7573" s="124" t="s">
        <v>8367</v>
      </c>
      <c r="F7573" s="126">
        <v>5</v>
      </c>
      <c r="G7573" s="128">
        <v>1165.2</v>
      </c>
      <c r="H7573" s="124" t="s">
        <v>8368</v>
      </c>
      <c r="I7573" s="127">
        <v>117.4</v>
      </c>
      <c r="J7573" s="127">
        <v>587</v>
      </c>
    </row>
    <row r="7574" spans="1:10" hidden="1" x14ac:dyDescent="0.25">
      <c r="A7574" s="124" t="s">
        <v>1191</v>
      </c>
      <c r="B7574" s="124" t="s">
        <v>11736</v>
      </c>
      <c r="C7574" s="132"/>
      <c r="D7574" s="125">
        <f>COUNTIF(A3074:A7573,A7574)</f>
        <v>0</v>
      </c>
      <c r="E7574" s="124" t="s">
        <v>8367</v>
      </c>
      <c r="F7574" s="126">
        <v>54</v>
      </c>
      <c r="G7574" s="128">
        <v>74003.42</v>
      </c>
      <c r="H7574" s="124" t="s">
        <v>8368</v>
      </c>
      <c r="I7574" s="128">
        <v>51333.24</v>
      </c>
      <c r="J7574" s="128">
        <v>256666.2</v>
      </c>
    </row>
    <row r="7575" spans="1:10" hidden="1" x14ac:dyDescent="0.25">
      <c r="A7575" s="124" t="s">
        <v>10001</v>
      </c>
      <c r="B7575" s="124" t="s">
        <v>11736</v>
      </c>
      <c r="C7575" s="132"/>
      <c r="D7575" s="125">
        <f>COUNTIF(A3076:A7574,A7575)</f>
        <v>0</v>
      </c>
      <c r="E7575" s="124" t="s">
        <v>8367</v>
      </c>
      <c r="F7575" s="126">
        <v>2</v>
      </c>
      <c r="G7575" s="128">
        <v>3620</v>
      </c>
      <c r="H7575" s="124" t="s">
        <v>8368</v>
      </c>
      <c r="I7575" s="128">
        <v>2751.6</v>
      </c>
      <c r="J7575" s="128">
        <v>13758</v>
      </c>
    </row>
    <row r="7576" spans="1:10" hidden="1" x14ac:dyDescent="0.25">
      <c r="A7576" s="124" t="s">
        <v>10002</v>
      </c>
      <c r="B7576" s="124" t="s">
        <v>11736</v>
      </c>
      <c r="C7576" s="132"/>
      <c r="D7576" s="125">
        <f>COUNTIF(A3078:A7575,A7576)</f>
        <v>0</v>
      </c>
      <c r="E7576" s="124" t="s">
        <v>8367</v>
      </c>
      <c r="F7576" s="126">
        <v>4</v>
      </c>
      <c r="G7576" s="127">
        <v>704.4</v>
      </c>
      <c r="H7576" s="124" t="s">
        <v>8368</v>
      </c>
      <c r="I7576" s="128">
        <v>2128.6</v>
      </c>
      <c r="J7576" s="128">
        <v>10643</v>
      </c>
    </row>
    <row r="7577" spans="1:10" hidden="1" x14ac:dyDescent="0.25">
      <c r="A7577" s="124" t="s">
        <v>10003</v>
      </c>
      <c r="B7577" s="124" t="s">
        <v>11736</v>
      </c>
      <c r="C7577" s="132"/>
      <c r="D7577" s="125">
        <f>COUNTIF(A3079:A7576,A7577)</f>
        <v>0</v>
      </c>
      <c r="E7577" s="124" t="s">
        <v>8367</v>
      </c>
      <c r="F7577" s="126">
        <v>140</v>
      </c>
      <c r="G7577" s="128">
        <v>307999.44</v>
      </c>
      <c r="H7577" s="124" t="s">
        <v>8368</v>
      </c>
      <c r="I7577" s="128">
        <v>1642.4</v>
      </c>
      <c r="J7577" s="128">
        <v>8212</v>
      </c>
    </row>
    <row r="7578" spans="1:10" hidden="1" x14ac:dyDescent="0.25">
      <c r="A7578" s="124" t="s">
        <v>10004</v>
      </c>
      <c r="B7578" s="124" t="s">
        <v>11736</v>
      </c>
      <c r="C7578" s="132"/>
      <c r="D7578" s="125">
        <f>COUNTIF(A3080:A7577,A7578)</f>
        <v>0</v>
      </c>
      <c r="E7578" s="124" t="s">
        <v>8367</v>
      </c>
      <c r="F7578" s="126">
        <v>1</v>
      </c>
      <c r="G7578" s="128">
        <v>16509.599999999999</v>
      </c>
      <c r="H7578" s="124" t="s">
        <v>8368</v>
      </c>
      <c r="I7578" s="127">
        <v>283</v>
      </c>
      <c r="J7578" s="128">
        <v>1415</v>
      </c>
    </row>
    <row r="7579" spans="1:10" hidden="1" x14ac:dyDescent="0.25">
      <c r="A7579" s="124" t="s">
        <v>10005</v>
      </c>
      <c r="B7579" s="124" t="s">
        <v>11736</v>
      </c>
      <c r="C7579" s="132"/>
      <c r="D7579" s="125">
        <f t="shared" ref="D7579:D7596" si="104">COUNTIF(A3084:A7578,A7579)</f>
        <v>0</v>
      </c>
      <c r="E7579" s="124" t="s">
        <v>8367</v>
      </c>
      <c r="F7579" s="126">
        <v>2</v>
      </c>
      <c r="G7579" s="128">
        <v>12771.6</v>
      </c>
      <c r="H7579" s="124" t="s">
        <v>8368</v>
      </c>
      <c r="I7579" s="127">
        <v>73.8</v>
      </c>
      <c r="J7579" s="127">
        <v>369</v>
      </c>
    </row>
    <row r="7580" spans="1:10" hidden="1" x14ac:dyDescent="0.25">
      <c r="A7580" s="124" t="s">
        <v>10006</v>
      </c>
      <c r="B7580" s="124" t="s">
        <v>11736</v>
      </c>
      <c r="C7580" s="132"/>
      <c r="D7580" s="125">
        <f t="shared" si="104"/>
        <v>0</v>
      </c>
      <c r="E7580" s="124" t="s">
        <v>8367</v>
      </c>
      <c r="F7580" s="126">
        <v>1</v>
      </c>
      <c r="G7580" s="128">
        <v>9854.4</v>
      </c>
      <c r="H7580" s="124" t="s">
        <v>8368</v>
      </c>
      <c r="I7580" s="127">
        <v>282</v>
      </c>
      <c r="J7580" s="128">
        <v>1410</v>
      </c>
    </row>
    <row r="7581" spans="1:10" hidden="1" x14ac:dyDescent="0.25">
      <c r="A7581" s="124" t="s">
        <v>1564</v>
      </c>
      <c r="B7581" s="124" t="s">
        <v>11736</v>
      </c>
      <c r="C7581" s="132"/>
      <c r="D7581" s="125">
        <f t="shared" si="104"/>
        <v>0</v>
      </c>
      <c r="E7581" s="124" t="s">
        <v>8367</v>
      </c>
      <c r="F7581" s="126">
        <v>1</v>
      </c>
      <c r="G7581" s="128">
        <v>1698</v>
      </c>
      <c r="H7581" s="124" t="s">
        <v>8368</v>
      </c>
      <c r="I7581" s="127">
        <v>88.6</v>
      </c>
      <c r="J7581" s="127">
        <v>443</v>
      </c>
    </row>
    <row r="7582" spans="1:10" hidden="1" x14ac:dyDescent="0.25">
      <c r="A7582" s="124" t="s">
        <v>10007</v>
      </c>
      <c r="B7582" s="124" t="s">
        <v>11736</v>
      </c>
      <c r="C7582" s="132"/>
      <c r="D7582" s="125">
        <f t="shared" si="104"/>
        <v>0</v>
      </c>
      <c r="E7582" s="124" t="s">
        <v>8367</v>
      </c>
      <c r="F7582" s="126">
        <v>1</v>
      </c>
      <c r="G7582" s="127">
        <v>442.8</v>
      </c>
      <c r="H7582" s="124" t="s">
        <v>8368</v>
      </c>
      <c r="I7582" s="127">
        <v>352.4</v>
      </c>
      <c r="J7582" s="128">
        <v>1762</v>
      </c>
    </row>
    <row r="7583" spans="1:10" hidden="1" x14ac:dyDescent="0.25">
      <c r="A7583" s="124" t="s">
        <v>10008</v>
      </c>
      <c r="B7583" s="124" t="s">
        <v>11736</v>
      </c>
      <c r="C7583" s="132"/>
      <c r="D7583" s="125">
        <f t="shared" si="104"/>
        <v>0</v>
      </c>
      <c r="E7583" s="124" t="s">
        <v>8367</v>
      </c>
      <c r="F7583" s="126">
        <v>2</v>
      </c>
      <c r="G7583" s="128">
        <v>1692</v>
      </c>
      <c r="H7583" s="124" t="s">
        <v>8368</v>
      </c>
      <c r="I7583" s="127">
        <v>45.2</v>
      </c>
      <c r="J7583" s="127">
        <v>226</v>
      </c>
    </row>
    <row r="7584" spans="1:10" hidden="1" x14ac:dyDescent="0.25">
      <c r="A7584" s="124" t="s">
        <v>10009</v>
      </c>
      <c r="B7584" s="124" t="s">
        <v>11736</v>
      </c>
      <c r="C7584" s="132"/>
      <c r="D7584" s="125">
        <f t="shared" si="104"/>
        <v>0</v>
      </c>
      <c r="E7584" s="124" t="s">
        <v>8367</v>
      </c>
      <c r="F7584" s="126">
        <v>2</v>
      </c>
      <c r="G7584" s="127">
        <v>531.6</v>
      </c>
      <c r="H7584" s="124" t="s">
        <v>8368</v>
      </c>
      <c r="I7584" s="127">
        <v>226.6</v>
      </c>
      <c r="J7584" s="128">
        <v>1133</v>
      </c>
    </row>
    <row r="7585" spans="1:10" hidden="1" x14ac:dyDescent="0.25">
      <c r="A7585" s="124" t="s">
        <v>10010</v>
      </c>
      <c r="B7585" s="124" t="s">
        <v>11736</v>
      </c>
      <c r="C7585" s="132"/>
      <c r="D7585" s="125">
        <f t="shared" si="104"/>
        <v>0</v>
      </c>
      <c r="E7585" s="124" t="s">
        <v>8367</v>
      </c>
      <c r="F7585" s="126">
        <v>1</v>
      </c>
      <c r="G7585" s="128">
        <v>2114.4</v>
      </c>
      <c r="H7585" s="124" t="s">
        <v>8368</v>
      </c>
      <c r="I7585" s="127">
        <v>630</v>
      </c>
      <c r="J7585" s="128">
        <v>3150</v>
      </c>
    </row>
    <row r="7586" spans="1:10" hidden="1" x14ac:dyDescent="0.25">
      <c r="A7586" s="124" t="s">
        <v>10011</v>
      </c>
      <c r="B7586" s="124" t="s">
        <v>11736</v>
      </c>
      <c r="C7586" s="132"/>
      <c r="D7586" s="125">
        <f t="shared" si="104"/>
        <v>0</v>
      </c>
      <c r="E7586" s="124" t="s">
        <v>8367</v>
      </c>
      <c r="F7586" s="126">
        <v>1</v>
      </c>
      <c r="G7586" s="127">
        <v>271.2</v>
      </c>
      <c r="H7586" s="124" t="s">
        <v>8368</v>
      </c>
      <c r="I7586" s="127">
        <v>32.4</v>
      </c>
      <c r="J7586" s="127">
        <v>162</v>
      </c>
    </row>
    <row r="7587" spans="1:10" hidden="1" x14ac:dyDescent="0.25">
      <c r="A7587" s="124" t="s">
        <v>10012</v>
      </c>
      <c r="B7587" s="124" t="s">
        <v>11736</v>
      </c>
      <c r="C7587" s="132"/>
      <c r="D7587" s="125">
        <f t="shared" si="104"/>
        <v>0</v>
      </c>
      <c r="E7587" s="124" t="s">
        <v>8367</v>
      </c>
      <c r="F7587" s="126">
        <v>4</v>
      </c>
      <c r="G7587" s="128">
        <v>1359.6</v>
      </c>
      <c r="H7587" s="124" t="s">
        <v>8368</v>
      </c>
      <c r="I7587" s="127">
        <v>180.4</v>
      </c>
      <c r="J7587" s="127">
        <v>902</v>
      </c>
    </row>
    <row r="7588" spans="1:10" hidden="1" x14ac:dyDescent="0.25">
      <c r="A7588" s="124" t="s">
        <v>10013</v>
      </c>
      <c r="B7588" s="124" t="s">
        <v>11736</v>
      </c>
      <c r="C7588" s="132"/>
      <c r="D7588" s="125">
        <f t="shared" si="104"/>
        <v>0</v>
      </c>
      <c r="E7588" s="124" t="s">
        <v>8367</v>
      </c>
      <c r="F7588" s="126">
        <v>5</v>
      </c>
      <c r="G7588" s="128">
        <v>3780</v>
      </c>
      <c r="H7588" s="124" t="s">
        <v>8368</v>
      </c>
      <c r="I7588" s="127">
        <v>140</v>
      </c>
      <c r="J7588" s="127">
        <v>700</v>
      </c>
    </row>
    <row r="7589" spans="1:10" hidden="1" x14ac:dyDescent="0.25">
      <c r="A7589" s="124" t="s">
        <v>10014</v>
      </c>
      <c r="B7589" s="124" t="s">
        <v>11736</v>
      </c>
      <c r="C7589" s="132"/>
      <c r="D7589" s="125">
        <f t="shared" si="104"/>
        <v>0</v>
      </c>
      <c r="E7589" s="124" t="s">
        <v>8367</v>
      </c>
      <c r="F7589" s="126">
        <v>1</v>
      </c>
      <c r="G7589" s="127">
        <v>194.4</v>
      </c>
      <c r="H7589" s="124" t="s">
        <v>8368</v>
      </c>
      <c r="I7589" s="127">
        <v>26</v>
      </c>
      <c r="J7589" s="127">
        <v>130</v>
      </c>
    </row>
    <row r="7590" spans="1:10" hidden="1" x14ac:dyDescent="0.25">
      <c r="A7590" s="124" t="s">
        <v>10015</v>
      </c>
      <c r="B7590" s="124" t="s">
        <v>11736</v>
      </c>
      <c r="C7590" s="132"/>
      <c r="D7590" s="125">
        <f t="shared" si="104"/>
        <v>0</v>
      </c>
      <c r="E7590" s="124" t="s">
        <v>8367</v>
      </c>
      <c r="F7590" s="126">
        <v>2</v>
      </c>
      <c r="G7590" s="128">
        <v>1082.4000000000001</v>
      </c>
      <c r="H7590" s="124" t="s">
        <v>8368</v>
      </c>
      <c r="I7590" s="127">
        <v>40.4</v>
      </c>
      <c r="J7590" s="127">
        <v>202</v>
      </c>
    </row>
    <row r="7591" spans="1:10" hidden="1" x14ac:dyDescent="0.25">
      <c r="A7591" s="124" t="s">
        <v>10016</v>
      </c>
      <c r="B7591" s="124" t="s">
        <v>11736</v>
      </c>
      <c r="C7591" s="132"/>
      <c r="D7591" s="125">
        <f t="shared" si="104"/>
        <v>0</v>
      </c>
      <c r="E7591" s="124" t="s">
        <v>8451</v>
      </c>
      <c r="F7591" s="126">
        <v>8</v>
      </c>
      <c r="G7591" s="127">
        <v>840</v>
      </c>
      <c r="H7591" s="124" t="s">
        <v>8368</v>
      </c>
      <c r="I7591" s="127">
        <v>29</v>
      </c>
      <c r="J7591" s="127">
        <v>145</v>
      </c>
    </row>
    <row r="7592" spans="1:10" hidden="1" x14ac:dyDescent="0.25">
      <c r="A7592" s="124" t="s">
        <v>10017</v>
      </c>
      <c r="B7592" s="124" t="s">
        <v>11736</v>
      </c>
      <c r="C7592" s="132"/>
      <c r="D7592" s="125">
        <f t="shared" si="104"/>
        <v>0</v>
      </c>
      <c r="E7592" s="124" t="s">
        <v>8367</v>
      </c>
      <c r="F7592" s="126">
        <v>1</v>
      </c>
      <c r="G7592" s="127">
        <v>156</v>
      </c>
      <c r="H7592" s="124" t="s">
        <v>8368</v>
      </c>
      <c r="I7592" s="127">
        <v>10.6</v>
      </c>
      <c r="J7592" s="127">
        <v>53</v>
      </c>
    </row>
    <row r="7593" spans="1:10" hidden="1" x14ac:dyDescent="0.25">
      <c r="A7593" s="124" t="s">
        <v>10018</v>
      </c>
      <c r="B7593" s="124" t="s">
        <v>11736</v>
      </c>
      <c r="C7593" s="132"/>
      <c r="D7593" s="125">
        <f t="shared" si="104"/>
        <v>0</v>
      </c>
      <c r="E7593" s="124" t="s">
        <v>8367</v>
      </c>
      <c r="F7593" s="126">
        <v>1</v>
      </c>
      <c r="G7593" s="127">
        <v>242.4</v>
      </c>
      <c r="H7593" s="124" t="s">
        <v>8368</v>
      </c>
      <c r="I7593" s="128">
        <v>2031.2</v>
      </c>
      <c r="J7593" s="128">
        <v>10156</v>
      </c>
    </row>
    <row r="7594" spans="1:10" hidden="1" x14ac:dyDescent="0.25">
      <c r="A7594" s="124" t="s">
        <v>10019</v>
      </c>
      <c r="B7594" s="124" t="s">
        <v>11736</v>
      </c>
      <c r="C7594" s="132"/>
      <c r="D7594" s="125">
        <f t="shared" si="104"/>
        <v>0</v>
      </c>
      <c r="E7594" s="124" t="s">
        <v>8367</v>
      </c>
      <c r="F7594" s="126">
        <v>2</v>
      </c>
      <c r="G7594" s="127">
        <v>174</v>
      </c>
      <c r="H7594" s="124" t="s">
        <v>8368</v>
      </c>
      <c r="I7594" s="127">
        <v>55.6</v>
      </c>
      <c r="J7594" s="127">
        <v>278</v>
      </c>
    </row>
    <row r="7595" spans="1:10" hidden="1" x14ac:dyDescent="0.25">
      <c r="A7595" s="124" t="s">
        <v>10020</v>
      </c>
      <c r="B7595" s="124" t="s">
        <v>11736</v>
      </c>
      <c r="C7595" s="132"/>
      <c r="D7595" s="125">
        <f t="shared" si="104"/>
        <v>0</v>
      </c>
      <c r="E7595" s="124" t="s">
        <v>8367</v>
      </c>
      <c r="F7595" s="126">
        <v>1</v>
      </c>
      <c r="G7595" s="127">
        <v>63.6</v>
      </c>
      <c r="H7595" s="124" t="s">
        <v>8368</v>
      </c>
      <c r="I7595" s="127">
        <v>323</v>
      </c>
      <c r="J7595" s="128">
        <v>1615</v>
      </c>
    </row>
    <row r="7596" spans="1:10" hidden="1" x14ac:dyDescent="0.25">
      <c r="A7596" s="124" t="s">
        <v>1446</v>
      </c>
      <c r="B7596" s="124" t="s">
        <v>11736</v>
      </c>
      <c r="C7596" s="132"/>
      <c r="D7596" s="125">
        <f t="shared" si="104"/>
        <v>0</v>
      </c>
      <c r="E7596" s="124" t="s">
        <v>8367</v>
      </c>
      <c r="F7596" s="126">
        <v>1</v>
      </c>
      <c r="G7596" s="128">
        <v>12187.2</v>
      </c>
      <c r="H7596" s="124" t="s">
        <v>8368</v>
      </c>
      <c r="I7596" s="127">
        <v>65</v>
      </c>
      <c r="J7596" s="127">
        <v>325</v>
      </c>
    </row>
    <row r="7597" spans="1:10" hidden="1" x14ac:dyDescent="0.25">
      <c r="A7597" s="124" t="s">
        <v>10021</v>
      </c>
      <c r="B7597" s="124" t="s">
        <v>11736</v>
      </c>
      <c r="C7597" s="132"/>
      <c r="D7597" s="125">
        <f t="shared" ref="D7597:D7635" si="105">COUNTIF(A3103:A7596,A7597)</f>
        <v>0</v>
      </c>
      <c r="E7597" s="124" t="s">
        <v>8367</v>
      </c>
      <c r="F7597" s="126">
        <v>1</v>
      </c>
      <c r="G7597" s="127">
        <v>333.6</v>
      </c>
      <c r="H7597" s="124" t="s">
        <v>8368</v>
      </c>
      <c r="I7597" s="127">
        <v>206.6</v>
      </c>
      <c r="J7597" s="128">
        <v>1033</v>
      </c>
    </row>
    <row r="7598" spans="1:10" hidden="1" x14ac:dyDescent="0.25">
      <c r="A7598" s="124" t="s">
        <v>10022</v>
      </c>
      <c r="B7598" s="124" t="s">
        <v>11736</v>
      </c>
      <c r="C7598" s="132"/>
      <c r="D7598" s="125">
        <f t="shared" si="105"/>
        <v>0</v>
      </c>
      <c r="E7598" s="124" t="s">
        <v>8367</v>
      </c>
      <c r="F7598" s="126">
        <v>3</v>
      </c>
      <c r="G7598" s="128">
        <v>1938</v>
      </c>
      <c r="H7598" s="124" t="s">
        <v>8368</v>
      </c>
      <c r="I7598" s="128">
        <v>1354.2</v>
      </c>
      <c r="J7598" s="128">
        <v>6771</v>
      </c>
    </row>
    <row r="7599" spans="1:10" hidden="1" x14ac:dyDescent="0.25">
      <c r="A7599" s="124" t="s">
        <v>10023</v>
      </c>
      <c r="B7599" s="124" t="s">
        <v>11736</v>
      </c>
      <c r="C7599" s="132"/>
      <c r="D7599" s="125">
        <f t="shared" si="105"/>
        <v>0</v>
      </c>
      <c r="E7599" s="124" t="s">
        <v>8367</v>
      </c>
      <c r="F7599" s="126">
        <v>2</v>
      </c>
      <c r="G7599" s="127">
        <v>390</v>
      </c>
      <c r="H7599" s="124" t="s">
        <v>8368</v>
      </c>
      <c r="I7599" s="127">
        <v>16.399999999999999</v>
      </c>
      <c r="J7599" s="127">
        <v>82</v>
      </c>
    </row>
    <row r="7600" spans="1:10" hidden="1" x14ac:dyDescent="0.25">
      <c r="A7600" s="124" t="s">
        <v>10024</v>
      </c>
      <c r="B7600" s="124" t="s">
        <v>11736</v>
      </c>
      <c r="C7600" s="132"/>
      <c r="D7600" s="125">
        <f t="shared" si="105"/>
        <v>0</v>
      </c>
      <c r="E7600" s="124" t="s">
        <v>8367</v>
      </c>
      <c r="F7600" s="126">
        <v>2</v>
      </c>
      <c r="G7600" s="128">
        <v>1239.5999999999999</v>
      </c>
      <c r="H7600" s="124" t="s">
        <v>8368</v>
      </c>
      <c r="I7600" s="127">
        <v>10</v>
      </c>
      <c r="J7600" s="127">
        <v>50</v>
      </c>
    </row>
    <row r="7601" spans="1:10" hidden="1" x14ac:dyDescent="0.25">
      <c r="A7601" s="124" t="s">
        <v>10025</v>
      </c>
      <c r="B7601" s="124" t="s">
        <v>11736</v>
      </c>
      <c r="C7601" s="132"/>
      <c r="D7601" s="125">
        <f t="shared" si="105"/>
        <v>0</v>
      </c>
      <c r="E7601" s="124" t="s">
        <v>8367</v>
      </c>
      <c r="F7601" s="126">
        <v>15</v>
      </c>
      <c r="G7601" s="128">
        <v>8125.2</v>
      </c>
      <c r="H7601" s="124" t="s">
        <v>8368</v>
      </c>
      <c r="I7601" s="127">
        <v>10.4</v>
      </c>
      <c r="J7601" s="127">
        <v>52</v>
      </c>
    </row>
    <row r="7602" spans="1:10" hidden="1" x14ac:dyDescent="0.25">
      <c r="A7602" s="124" t="s">
        <v>10026</v>
      </c>
      <c r="B7602" s="124" t="s">
        <v>11736</v>
      </c>
      <c r="C7602" s="132"/>
      <c r="D7602" s="125">
        <f t="shared" si="105"/>
        <v>0</v>
      </c>
      <c r="E7602" s="124" t="s">
        <v>8367</v>
      </c>
      <c r="F7602" s="126">
        <v>2</v>
      </c>
      <c r="G7602" s="127">
        <v>98.4</v>
      </c>
      <c r="H7602" s="124" t="s">
        <v>8368</v>
      </c>
      <c r="I7602" s="127">
        <v>8</v>
      </c>
      <c r="J7602" s="127">
        <v>40</v>
      </c>
    </row>
    <row r="7603" spans="1:10" hidden="1" x14ac:dyDescent="0.25">
      <c r="A7603" s="124" t="s">
        <v>10027</v>
      </c>
      <c r="B7603" s="124" t="s">
        <v>11736</v>
      </c>
      <c r="C7603" s="132"/>
      <c r="D7603" s="125">
        <f t="shared" si="105"/>
        <v>0</v>
      </c>
      <c r="E7603" s="124" t="s">
        <v>8367</v>
      </c>
      <c r="F7603" s="126">
        <v>3</v>
      </c>
      <c r="G7603" s="127">
        <v>60</v>
      </c>
      <c r="H7603" s="124" t="s">
        <v>8368</v>
      </c>
      <c r="I7603" s="127">
        <v>647.4</v>
      </c>
      <c r="J7603" s="128">
        <v>3237</v>
      </c>
    </row>
    <row r="7604" spans="1:10" hidden="1" x14ac:dyDescent="0.25">
      <c r="A7604" s="124" t="s">
        <v>10028</v>
      </c>
      <c r="B7604" s="124" t="s">
        <v>11736</v>
      </c>
      <c r="C7604" s="132"/>
      <c r="D7604" s="125">
        <f t="shared" si="105"/>
        <v>0</v>
      </c>
      <c r="E7604" s="124" t="s">
        <v>8367</v>
      </c>
      <c r="F7604" s="126">
        <v>2</v>
      </c>
      <c r="G7604" s="127">
        <v>62.4</v>
      </c>
      <c r="H7604" s="124" t="s">
        <v>8368</v>
      </c>
      <c r="I7604" s="127">
        <v>962.6</v>
      </c>
      <c r="J7604" s="128">
        <v>4813</v>
      </c>
    </row>
    <row r="7605" spans="1:10" hidden="1" x14ac:dyDescent="0.25">
      <c r="A7605" s="124" t="s">
        <v>10029</v>
      </c>
      <c r="B7605" s="124" t="s">
        <v>11736</v>
      </c>
      <c r="C7605" s="132"/>
      <c r="D7605" s="125">
        <f t="shared" si="105"/>
        <v>0</v>
      </c>
      <c r="E7605" s="124" t="s">
        <v>8367</v>
      </c>
      <c r="F7605" s="126">
        <v>2</v>
      </c>
      <c r="G7605" s="127">
        <v>48</v>
      </c>
      <c r="H7605" s="124" t="s">
        <v>8368</v>
      </c>
      <c r="I7605" s="127">
        <v>9</v>
      </c>
      <c r="J7605" s="127">
        <v>45</v>
      </c>
    </row>
    <row r="7606" spans="1:10" hidden="1" x14ac:dyDescent="0.25">
      <c r="A7606" s="124" t="s">
        <v>10030</v>
      </c>
      <c r="B7606" s="124" t="s">
        <v>11736</v>
      </c>
      <c r="C7606" s="132"/>
      <c r="D7606" s="125">
        <f t="shared" si="105"/>
        <v>0</v>
      </c>
      <c r="E7606" s="124" t="s">
        <v>8367</v>
      </c>
      <c r="F7606" s="126">
        <v>4</v>
      </c>
      <c r="G7606" s="128">
        <v>3884.4</v>
      </c>
      <c r="H7606" s="124" t="s">
        <v>8368</v>
      </c>
      <c r="I7606" s="127">
        <v>437.4</v>
      </c>
      <c r="J7606" s="128">
        <v>2187</v>
      </c>
    </row>
    <row r="7607" spans="1:10" hidden="1" x14ac:dyDescent="0.25">
      <c r="A7607" s="124" t="s">
        <v>10031</v>
      </c>
      <c r="B7607" s="124" t="s">
        <v>11736</v>
      </c>
      <c r="C7607" s="132"/>
      <c r="D7607" s="125">
        <f t="shared" si="105"/>
        <v>0</v>
      </c>
      <c r="E7607" s="124" t="s">
        <v>8367</v>
      </c>
      <c r="F7607" s="126">
        <v>5</v>
      </c>
      <c r="G7607" s="128">
        <v>5775.6</v>
      </c>
      <c r="H7607" s="124" t="s">
        <v>8368</v>
      </c>
      <c r="I7607" s="127">
        <v>45.6</v>
      </c>
      <c r="J7607" s="127">
        <v>228</v>
      </c>
    </row>
    <row r="7608" spans="1:10" hidden="1" x14ac:dyDescent="0.25">
      <c r="A7608" s="124" t="s">
        <v>10032</v>
      </c>
      <c r="B7608" s="124" t="s">
        <v>11736</v>
      </c>
      <c r="C7608" s="132"/>
      <c r="D7608" s="125">
        <f t="shared" si="105"/>
        <v>0</v>
      </c>
      <c r="E7608" s="124" t="s">
        <v>8367</v>
      </c>
      <c r="F7608" s="126">
        <v>3</v>
      </c>
      <c r="G7608" s="127">
        <v>54</v>
      </c>
      <c r="H7608" s="124" t="s">
        <v>8368</v>
      </c>
      <c r="I7608" s="127">
        <v>98.4</v>
      </c>
      <c r="J7608" s="127">
        <v>492</v>
      </c>
    </row>
    <row r="7609" spans="1:10" hidden="1" x14ac:dyDescent="0.25">
      <c r="A7609" s="124" t="s">
        <v>10033</v>
      </c>
      <c r="B7609" s="124" t="s">
        <v>11736</v>
      </c>
      <c r="C7609" s="132"/>
      <c r="D7609" s="125">
        <f t="shared" si="105"/>
        <v>0</v>
      </c>
      <c r="E7609" s="124" t="s">
        <v>8367</v>
      </c>
      <c r="F7609" s="126">
        <v>4</v>
      </c>
      <c r="G7609" s="128">
        <v>2624.4</v>
      </c>
      <c r="H7609" s="124" t="s">
        <v>8368</v>
      </c>
      <c r="I7609" s="127">
        <v>6.6</v>
      </c>
      <c r="J7609" s="127">
        <v>33</v>
      </c>
    </row>
    <row r="7610" spans="1:10" hidden="1" x14ac:dyDescent="0.25">
      <c r="A7610" s="124" t="s">
        <v>10034</v>
      </c>
      <c r="B7610" s="124" t="s">
        <v>11736</v>
      </c>
      <c r="C7610" s="132"/>
      <c r="D7610" s="125">
        <f t="shared" si="105"/>
        <v>0</v>
      </c>
      <c r="E7610" s="124" t="s">
        <v>8367</v>
      </c>
      <c r="F7610" s="126">
        <v>2</v>
      </c>
      <c r="G7610" s="127">
        <v>273.60000000000002</v>
      </c>
      <c r="H7610" s="124" t="s">
        <v>8368</v>
      </c>
      <c r="I7610" s="127">
        <v>57.6</v>
      </c>
      <c r="J7610" s="127">
        <v>288</v>
      </c>
    </row>
    <row r="7611" spans="1:10" hidden="1" x14ac:dyDescent="0.25">
      <c r="A7611" s="124" t="s">
        <v>10035</v>
      </c>
      <c r="B7611" s="124" t="s">
        <v>11736</v>
      </c>
      <c r="C7611" s="132"/>
      <c r="D7611" s="125">
        <f t="shared" si="105"/>
        <v>0</v>
      </c>
      <c r="E7611" s="124" t="s">
        <v>8367</v>
      </c>
      <c r="F7611" s="126">
        <v>10</v>
      </c>
      <c r="G7611" s="127">
        <v>590.4</v>
      </c>
      <c r="H7611" s="124" t="s">
        <v>8368</v>
      </c>
      <c r="I7611" s="127">
        <v>131.6</v>
      </c>
      <c r="J7611" s="127">
        <v>658</v>
      </c>
    </row>
    <row r="7612" spans="1:10" hidden="1" x14ac:dyDescent="0.25">
      <c r="A7612" s="124" t="s">
        <v>10036</v>
      </c>
      <c r="B7612" s="124" t="s">
        <v>11736</v>
      </c>
      <c r="C7612" s="132"/>
      <c r="D7612" s="125">
        <f t="shared" si="105"/>
        <v>0</v>
      </c>
      <c r="E7612" s="124" t="s">
        <v>8367</v>
      </c>
      <c r="F7612" s="126">
        <v>2</v>
      </c>
      <c r="G7612" s="127">
        <v>39.6</v>
      </c>
      <c r="H7612" s="124" t="s">
        <v>8368</v>
      </c>
      <c r="I7612" s="127">
        <v>3.6</v>
      </c>
      <c r="J7612" s="127">
        <v>18</v>
      </c>
    </row>
    <row r="7613" spans="1:10" hidden="1" x14ac:dyDescent="0.25">
      <c r="A7613" s="124" t="s">
        <v>10037</v>
      </c>
      <c r="B7613" s="124" t="s">
        <v>11736</v>
      </c>
      <c r="C7613" s="132"/>
      <c r="D7613" s="125">
        <f t="shared" si="105"/>
        <v>0</v>
      </c>
      <c r="E7613" s="124" t="s">
        <v>8367</v>
      </c>
      <c r="F7613" s="126">
        <v>2</v>
      </c>
      <c r="G7613" s="127">
        <v>345.6</v>
      </c>
      <c r="H7613" s="124" t="s">
        <v>8368</v>
      </c>
      <c r="I7613" s="127">
        <v>255.8</v>
      </c>
      <c r="J7613" s="128">
        <v>1279</v>
      </c>
    </row>
    <row r="7614" spans="1:10" hidden="1" x14ac:dyDescent="0.25">
      <c r="A7614" s="124" t="s">
        <v>10038</v>
      </c>
      <c r="B7614" s="124" t="s">
        <v>11736</v>
      </c>
      <c r="C7614" s="132"/>
      <c r="D7614" s="125">
        <f t="shared" si="105"/>
        <v>0</v>
      </c>
      <c r="E7614" s="124" t="s">
        <v>8367</v>
      </c>
      <c r="F7614" s="126">
        <v>10</v>
      </c>
      <c r="G7614" s="127">
        <v>789.6</v>
      </c>
      <c r="H7614" s="124" t="s">
        <v>8368</v>
      </c>
      <c r="I7614" s="127">
        <v>121</v>
      </c>
      <c r="J7614" s="127">
        <v>605</v>
      </c>
    </row>
    <row r="7615" spans="1:10" hidden="1" x14ac:dyDescent="0.25">
      <c r="A7615" s="124" t="s">
        <v>1040</v>
      </c>
      <c r="B7615" s="124" t="s">
        <v>11736</v>
      </c>
      <c r="C7615" s="132"/>
      <c r="D7615" s="125">
        <f t="shared" si="105"/>
        <v>0</v>
      </c>
      <c r="E7615" s="124" t="s">
        <v>8367</v>
      </c>
      <c r="F7615" s="126">
        <v>2</v>
      </c>
      <c r="G7615" s="127">
        <v>21.6</v>
      </c>
      <c r="H7615" s="124" t="s">
        <v>8368</v>
      </c>
      <c r="I7615" s="127">
        <v>73.400000000000006</v>
      </c>
      <c r="J7615" s="127">
        <v>367</v>
      </c>
    </row>
    <row r="7616" spans="1:10" hidden="1" x14ac:dyDescent="0.25">
      <c r="A7616" s="124" t="s">
        <v>10039</v>
      </c>
      <c r="B7616" s="124" t="s">
        <v>11736</v>
      </c>
      <c r="C7616" s="132"/>
      <c r="D7616" s="125">
        <f t="shared" si="105"/>
        <v>0</v>
      </c>
      <c r="E7616" s="124" t="s">
        <v>8367</v>
      </c>
      <c r="F7616" s="126">
        <v>5</v>
      </c>
      <c r="G7616" s="128">
        <v>1534.8</v>
      </c>
      <c r="H7616" s="124" t="s">
        <v>8368</v>
      </c>
      <c r="I7616" s="127">
        <v>34</v>
      </c>
      <c r="J7616" s="127">
        <v>170</v>
      </c>
    </row>
    <row r="7617" spans="1:10" hidden="1" x14ac:dyDescent="0.25">
      <c r="A7617" s="124" t="s">
        <v>10040</v>
      </c>
      <c r="B7617" s="124" t="s">
        <v>11736</v>
      </c>
      <c r="C7617" s="132"/>
      <c r="D7617" s="125">
        <f t="shared" si="105"/>
        <v>0</v>
      </c>
      <c r="E7617" s="124" t="s">
        <v>8367</v>
      </c>
      <c r="F7617" s="126">
        <v>3</v>
      </c>
      <c r="G7617" s="127">
        <v>726</v>
      </c>
      <c r="H7617" s="124" t="s">
        <v>8368</v>
      </c>
      <c r="I7617" s="127">
        <v>15</v>
      </c>
      <c r="J7617" s="127">
        <v>75</v>
      </c>
    </row>
    <row r="7618" spans="1:10" hidden="1" x14ac:dyDescent="0.25">
      <c r="A7618" s="124" t="s">
        <v>10041</v>
      </c>
      <c r="B7618" s="124" t="s">
        <v>11736</v>
      </c>
      <c r="C7618" s="132"/>
      <c r="D7618" s="125">
        <f t="shared" si="105"/>
        <v>0</v>
      </c>
      <c r="E7618" s="124" t="s">
        <v>8367</v>
      </c>
      <c r="F7618" s="126">
        <v>4</v>
      </c>
      <c r="G7618" s="127">
        <v>440.4</v>
      </c>
      <c r="H7618" s="124" t="s">
        <v>8368</v>
      </c>
      <c r="I7618" s="127">
        <v>12</v>
      </c>
      <c r="J7618" s="127">
        <v>60</v>
      </c>
    </row>
    <row r="7619" spans="1:10" hidden="1" x14ac:dyDescent="0.25">
      <c r="A7619" s="124" t="s">
        <v>10042</v>
      </c>
      <c r="B7619" s="124" t="s">
        <v>11736</v>
      </c>
      <c r="C7619" s="132"/>
      <c r="D7619" s="125">
        <f t="shared" si="105"/>
        <v>0</v>
      </c>
      <c r="E7619" s="124" t="s">
        <v>8367</v>
      </c>
      <c r="F7619" s="126">
        <v>2</v>
      </c>
      <c r="G7619" s="127">
        <v>204</v>
      </c>
      <c r="H7619" s="124" t="s">
        <v>8368</v>
      </c>
      <c r="I7619" s="127">
        <v>105</v>
      </c>
      <c r="J7619" s="127">
        <v>525</v>
      </c>
    </row>
    <row r="7620" spans="1:10" hidden="1" x14ac:dyDescent="0.25">
      <c r="A7620" s="124" t="s">
        <v>10043</v>
      </c>
      <c r="B7620" s="124" t="s">
        <v>11736</v>
      </c>
      <c r="C7620" s="132"/>
      <c r="D7620" s="125">
        <f t="shared" si="105"/>
        <v>0</v>
      </c>
      <c r="E7620" s="124" t="s">
        <v>8367</v>
      </c>
      <c r="F7620" s="126">
        <v>3</v>
      </c>
      <c r="G7620" s="127">
        <v>90</v>
      </c>
      <c r="H7620" s="124" t="s">
        <v>8368</v>
      </c>
      <c r="I7620" s="127">
        <v>372</v>
      </c>
      <c r="J7620" s="128">
        <v>1860</v>
      </c>
    </row>
    <row r="7621" spans="1:10" hidden="1" x14ac:dyDescent="0.25">
      <c r="A7621" s="124" t="s">
        <v>10044</v>
      </c>
      <c r="B7621" s="124" t="s">
        <v>11736</v>
      </c>
      <c r="C7621" s="132"/>
      <c r="D7621" s="125">
        <f t="shared" si="105"/>
        <v>0</v>
      </c>
      <c r="E7621" s="124" t="s">
        <v>8367</v>
      </c>
      <c r="F7621" s="126">
        <v>2</v>
      </c>
      <c r="G7621" s="127">
        <v>72</v>
      </c>
      <c r="H7621" s="124" t="s">
        <v>8368</v>
      </c>
      <c r="I7621" s="127">
        <v>16.399999999999999</v>
      </c>
      <c r="J7621" s="127">
        <v>82</v>
      </c>
    </row>
    <row r="7622" spans="1:10" hidden="1" x14ac:dyDescent="0.25">
      <c r="A7622" s="124" t="s">
        <v>10045</v>
      </c>
      <c r="B7622" s="124" t="s">
        <v>11736</v>
      </c>
      <c r="C7622" s="132"/>
      <c r="D7622" s="125">
        <f t="shared" si="105"/>
        <v>0</v>
      </c>
      <c r="E7622" s="124" t="s">
        <v>8367</v>
      </c>
      <c r="F7622" s="126">
        <v>3</v>
      </c>
      <c r="G7622" s="127">
        <v>630</v>
      </c>
      <c r="H7622" s="124" t="s">
        <v>8368</v>
      </c>
      <c r="I7622" s="127">
        <v>59.4</v>
      </c>
      <c r="J7622" s="127">
        <v>297</v>
      </c>
    </row>
    <row r="7623" spans="1:10" hidden="1" x14ac:dyDescent="0.25">
      <c r="A7623" s="124" t="s">
        <v>1753</v>
      </c>
      <c r="B7623" s="124" t="s">
        <v>11736</v>
      </c>
      <c r="C7623" s="132"/>
      <c r="D7623" s="125">
        <f t="shared" si="105"/>
        <v>0</v>
      </c>
      <c r="E7623" s="124" t="s">
        <v>8367</v>
      </c>
      <c r="F7623" s="126">
        <v>4</v>
      </c>
      <c r="G7623" s="128">
        <v>2232</v>
      </c>
      <c r="H7623" s="124" t="s">
        <v>8368</v>
      </c>
      <c r="I7623" s="127">
        <v>71</v>
      </c>
      <c r="J7623" s="127">
        <v>355</v>
      </c>
    </row>
    <row r="7624" spans="1:10" hidden="1" x14ac:dyDescent="0.25">
      <c r="A7624" s="124" t="s">
        <v>10046</v>
      </c>
      <c r="B7624" s="124" t="s">
        <v>11736</v>
      </c>
      <c r="C7624" s="132"/>
      <c r="D7624" s="125">
        <f t="shared" si="105"/>
        <v>0</v>
      </c>
      <c r="E7624" s="124" t="s">
        <v>8367</v>
      </c>
      <c r="F7624" s="126">
        <v>2</v>
      </c>
      <c r="G7624" s="127">
        <v>98.4</v>
      </c>
      <c r="H7624" s="124" t="s">
        <v>8368</v>
      </c>
      <c r="I7624" s="127">
        <v>133.4</v>
      </c>
      <c r="J7624" s="127">
        <v>667</v>
      </c>
    </row>
    <row r="7625" spans="1:10" hidden="1" x14ac:dyDescent="0.25">
      <c r="A7625" s="124" t="s">
        <v>10047</v>
      </c>
      <c r="B7625" s="124" t="s">
        <v>11736</v>
      </c>
      <c r="C7625" s="132"/>
      <c r="D7625" s="125">
        <f t="shared" si="105"/>
        <v>0</v>
      </c>
      <c r="E7625" s="124" t="s">
        <v>8367</v>
      </c>
      <c r="F7625" s="126">
        <v>2</v>
      </c>
      <c r="G7625" s="127">
        <v>356.4</v>
      </c>
      <c r="H7625" s="124" t="s">
        <v>8368</v>
      </c>
      <c r="I7625" s="127">
        <v>711.6</v>
      </c>
      <c r="J7625" s="128">
        <v>3558</v>
      </c>
    </row>
    <row r="7626" spans="1:10" hidden="1" x14ac:dyDescent="0.25">
      <c r="A7626" s="124" t="s">
        <v>10048</v>
      </c>
      <c r="B7626" s="124" t="s">
        <v>11736</v>
      </c>
      <c r="C7626" s="132"/>
      <c r="D7626" s="125">
        <f t="shared" si="105"/>
        <v>0</v>
      </c>
      <c r="E7626" s="124" t="s">
        <v>8367</v>
      </c>
      <c r="F7626" s="126">
        <v>2</v>
      </c>
      <c r="G7626" s="127">
        <v>426</v>
      </c>
      <c r="H7626" s="124" t="s">
        <v>8368</v>
      </c>
      <c r="I7626" s="127">
        <v>202</v>
      </c>
      <c r="J7626" s="128">
        <v>1010</v>
      </c>
    </row>
    <row r="7627" spans="1:10" hidden="1" x14ac:dyDescent="0.25">
      <c r="A7627" s="124" t="s">
        <v>10049</v>
      </c>
      <c r="B7627" s="124" t="s">
        <v>11736</v>
      </c>
      <c r="C7627" s="132"/>
      <c r="D7627" s="125">
        <f t="shared" si="105"/>
        <v>0</v>
      </c>
      <c r="E7627" s="124" t="s">
        <v>8367</v>
      </c>
      <c r="F7627" s="126">
        <v>10</v>
      </c>
      <c r="G7627" s="127">
        <v>800.4</v>
      </c>
      <c r="H7627" s="124" t="s">
        <v>8368</v>
      </c>
      <c r="I7627" s="127">
        <v>174.6</v>
      </c>
      <c r="J7627" s="127">
        <v>873</v>
      </c>
    </row>
    <row r="7628" spans="1:10" hidden="1" x14ac:dyDescent="0.25">
      <c r="A7628" s="124" t="s">
        <v>10050</v>
      </c>
      <c r="B7628" s="124" t="s">
        <v>11736</v>
      </c>
      <c r="C7628" s="132"/>
      <c r="D7628" s="125">
        <f t="shared" si="105"/>
        <v>0</v>
      </c>
      <c r="E7628" s="124" t="s">
        <v>8367</v>
      </c>
      <c r="F7628" s="126">
        <v>1</v>
      </c>
      <c r="G7628" s="128">
        <v>4269.6000000000004</v>
      </c>
      <c r="H7628" s="124" t="s">
        <v>8368</v>
      </c>
      <c r="I7628" s="128">
        <v>2080.1999999999998</v>
      </c>
      <c r="J7628" s="128">
        <v>10401</v>
      </c>
    </row>
    <row r="7629" spans="1:10" hidden="1" x14ac:dyDescent="0.25">
      <c r="A7629" s="124" t="s">
        <v>10051</v>
      </c>
      <c r="B7629" s="124" t="s">
        <v>11736</v>
      </c>
      <c r="C7629" s="132"/>
      <c r="D7629" s="125">
        <f t="shared" si="105"/>
        <v>0</v>
      </c>
      <c r="E7629" s="124" t="s">
        <v>8367</v>
      </c>
      <c r="F7629" s="126">
        <v>1</v>
      </c>
      <c r="G7629" s="128">
        <v>1212</v>
      </c>
      <c r="H7629" s="124" t="s">
        <v>8368</v>
      </c>
      <c r="I7629" s="127">
        <v>813</v>
      </c>
      <c r="J7629" s="128">
        <v>4065</v>
      </c>
    </row>
    <row r="7630" spans="1:10" hidden="1" x14ac:dyDescent="0.25">
      <c r="A7630" s="124" t="s">
        <v>10052</v>
      </c>
      <c r="B7630" s="124" t="s">
        <v>11736</v>
      </c>
      <c r="C7630" s="132"/>
      <c r="D7630" s="125">
        <f t="shared" si="105"/>
        <v>0</v>
      </c>
      <c r="E7630" s="124" t="s">
        <v>8367</v>
      </c>
      <c r="F7630" s="126">
        <v>1</v>
      </c>
      <c r="G7630" s="128">
        <v>1047.5999999999999</v>
      </c>
      <c r="H7630" s="124" t="s">
        <v>8368</v>
      </c>
      <c r="I7630" s="127">
        <v>142.6</v>
      </c>
      <c r="J7630" s="127">
        <v>713</v>
      </c>
    </row>
    <row r="7631" spans="1:10" hidden="1" x14ac:dyDescent="0.25">
      <c r="A7631" s="124" t="s">
        <v>10053</v>
      </c>
      <c r="B7631" s="124" t="s">
        <v>11736</v>
      </c>
      <c r="C7631" s="132"/>
      <c r="D7631" s="125">
        <f t="shared" si="105"/>
        <v>0</v>
      </c>
      <c r="E7631" s="124" t="s">
        <v>8367</v>
      </c>
      <c r="F7631" s="126">
        <v>13</v>
      </c>
      <c r="G7631" s="128">
        <v>12481.2</v>
      </c>
      <c r="H7631" s="124" t="s">
        <v>8368</v>
      </c>
      <c r="I7631" s="128">
        <v>11261.6</v>
      </c>
      <c r="J7631" s="128">
        <v>56308</v>
      </c>
    </row>
    <row r="7632" spans="1:10" hidden="1" x14ac:dyDescent="0.25">
      <c r="A7632" s="124" t="s">
        <v>10054</v>
      </c>
      <c r="B7632" s="124" t="s">
        <v>11736</v>
      </c>
      <c r="C7632" s="132"/>
      <c r="D7632" s="125">
        <f t="shared" si="105"/>
        <v>0</v>
      </c>
      <c r="E7632" s="124" t="s">
        <v>8367</v>
      </c>
      <c r="F7632" s="126">
        <v>2</v>
      </c>
      <c r="G7632" s="128">
        <v>4878</v>
      </c>
      <c r="H7632" s="124" t="s">
        <v>8368</v>
      </c>
      <c r="I7632" s="128">
        <v>2825356.89</v>
      </c>
      <c r="J7632" s="128">
        <v>14126784.470000001</v>
      </c>
    </row>
    <row r="7633" spans="1:10" hidden="1" x14ac:dyDescent="0.25">
      <c r="A7633" s="124" t="s">
        <v>10055</v>
      </c>
      <c r="B7633" s="124" t="s">
        <v>11736</v>
      </c>
      <c r="C7633" s="132"/>
      <c r="D7633" s="125">
        <f t="shared" si="105"/>
        <v>0</v>
      </c>
      <c r="E7633" s="124" t="s">
        <v>8367</v>
      </c>
      <c r="F7633" s="126">
        <v>2</v>
      </c>
      <c r="G7633" s="127">
        <v>855.6</v>
      </c>
      <c r="H7633" s="124" t="s">
        <v>8368</v>
      </c>
      <c r="I7633" s="127">
        <v>92.2</v>
      </c>
      <c r="J7633" s="127">
        <v>461</v>
      </c>
    </row>
    <row r="7634" spans="1:10" hidden="1" x14ac:dyDescent="0.25">
      <c r="A7634" s="124" t="s">
        <v>10056</v>
      </c>
      <c r="B7634" s="124" t="s">
        <v>11736</v>
      </c>
      <c r="C7634" s="132"/>
      <c r="D7634" s="125">
        <f t="shared" si="105"/>
        <v>0</v>
      </c>
      <c r="E7634" s="124" t="s">
        <v>8367</v>
      </c>
      <c r="F7634" s="126">
        <v>30</v>
      </c>
      <c r="G7634" s="128">
        <v>67569.600000000006</v>
      </c>
      <c r="H7634" s="124" t="s">
        <v>8368</v>
      </c>
      <c r="I7634" s="128">
        <v>1530.4</v>
      </c>
      <c r="J7634" s="128">
        <v>7652</v>
      </c>
    </row>
    <row r="7635" spans="1:10" hidden="1" x14ac:dyDescent="0.25">
      <c r="A7635" s="124" t="s">
        <v>10057</v>
      </c>
      <c r="B7635" s="124" t="s">
        <v>11736</v>
      </c>
      <c r="C7635" s="132"/>
      <c r="D7635" s="125">
        <f t="shared" si="105"/>
        <v>0</v>
      </c>
      <c r="E7635" s="124" t="s">
        <v>8367</v>
      </c>
      <c r="F7635" s="129">
        <v>1393</v>
      </c>
      <c r="G7635" s="128">
        <v>16952141.359999999</v>
      </c>
      <c r="H7635" s="124" t="s">
        <v>8368</v>
      </c>
      <c r="I7635" s="128">
        <v>7726.6</v>
      </c>
      <c r="J7635" s="128">
        <v>38633</v>
      </c>
    </row>
    <row r="7636" spans="1:10" hidden="1" x14ac:dyDescent="0.25">
      <c r="A7636" s="124" t="s">
        <v>10058</v>
      </c>
      <c r="B7636" s="124" t="s">
        <v>11736</v>
      </c>
      <c r="C7636" s="132"/>
      <c r="D7636" s="125">
        <f>COUNTIF(A3146:A7635,A7636)</f>
        <v>0</v>
      </c>
      <c r="E7636" s="124" t="s">
        <v>8367</v>
      </c>
      <c r="F7636" s="126">
        <v>1</v>
      </c>
      <c r="G7636" s="127">
        <v>553.20000000000005</v>
      </c>
      <c r="H7636" s="124" t="s">
        <v>8368</v>
      </c>
      <c r="I7636" s="127">
        <v>205.29</v>
      </c>
      <c r="J7636" s="128">
        <v>1026.47</v>
      </c>
    </row>
    <row r="7637" spans="1:10" hidden="1" x14ac:dyDescent="0.25">
      <c r="A7637" s="124" t="s">
        <v>10059</v>
      </c>
      <c r="B7637" s="124" t="s">
        <v>11736</v>
      </c>
      <c r="C7637" s="132"/>
      <c r="D7637" s="125">
        <f>COUNTIF(A3147:A7636,A7637)</f>
        <v>0</v>
      </c>
      <c r="E7637" s="124" t="s">
        <v>8531</v>
      </c>
      <c r="F7637" s="126">
        <v>1</v>
      </c>
      <c r="G7637" s="128">
        <v>9182.4</v>
      </c>
      <c r="H7637" s="124" t="s">
        <v>8368</v>
      </c>
      <c r="I7637" s="127">
        <v>248.6</v>
      </c>
      <c r="J7637" s="128">
        <v>1243</v>
      </c>
    </row>
    <row r="7638" spans="1:10" hidden="1" x14ac:dyDescent="0.25">
      <c r="A7638" s="124" t="s">
        <v>10060</v>
      </c>
      <c r="B7638" s="124" t="s">
        <v>11736</v>
      </c>
      <c r="C7638" s="132"/>
      <c r="D7638" s="125">
        <f>COUNTIF(A3148:A7637,A7638)</f>
        <v>0</v>
      </c>
      <c r="E7638" s="124" t="s">
        <v>8367</v>
      </c>
      <c r="F7638" s="126">
        <v>8</v>
      </c>
      <c r="G7638" s="128">
        <v>46359.6</v>
      </c>
      <c r="H7638" s="124" t="s">
        <v>8368</v>
      </c>
      <c r="I7638" s="128">
        <v>1519</v>
      </c>
      <c r="J7638" s="128">
        <v>7595</v>
      </c>
    </row>
    <row r="7639" spans="1:10" hidden="1" x14ac:dyDescent="0.25">
      <c r="A7639" s="124" t="s">
        <v>10061</v>
      </c>
      <c r="B7639" s="124" t="s">
        <v>11736</v>
      </c>
      <c r="C7639" s="132"/>
      <c r="D7639" s="125">
        <f>COUNTIF(A3149:A7638,A7639)</f>
        <v>0</v>
      </c>
      <c r="E7639" s="124" t="s">
        <v>8367</v>
      </c>
      <c r="F7639" s="126">
        <v>3</v>
      </c>
      <c r="G7639" s="128">
        <v>1231.76</v>
      </c>
      <c r="H7639" s="124" t="s">
        <v>8368</v>
      </c>
      <c r="I7639" s="127">
        <v>720.64</v>
      </c>
      <c r="J7639" s="128">
        <v>3603.2</v>
      </c>
    </row>
    <row r="7640" spans="1:10" hidden="1" x14ac:dyDescent="0.25">
      <c r="A7640" s="124" t="s">
        <v>10062</v>
      </c>
      <c r="B7640" s="124" t="s">
        <v>11736</v>
      </c>
      <c r="C7640" s="132"/>
      <c r="D7640" s="125">
        <f>COUNTIF(A3151:A7639,A7640)</f>
        <v>0</v>
      </c>
      <c r="E7640" s="124" t="s">
        <v>8367</v>
      </c>
      <c r="F7640" s="126">
        <v>3</v>
      </c>
      <c r="G7640" s="128">
        <v>1491.6</v>
      </c>
      <c r="H7640" s="124" t="s">
        <v>8368</v>
      </c>
      <c r="I7640" s="127">
        <v>618.91</v>
      </c>
      <c r="J7640" s="128">
        <v>3094.54</v>
      </c>
    </row>
    <row r="7641" spans="1:10" hidden="1" x14ac:dyDescent="0.25">
      <c r="A7641" s="124" t="s">
        <v>10063</v>
      </c>
      <c r="B7641" s="124" t="s">
        <v>11736</v>
      </c>
      <c r="C7641" s="132"/>
      <c r="D7641" s="125">
        <f>COUNTIF(A3152:A7640,A7641)</f>
        <v>0</v>
      </c>
      <c r="E7641" s="124" t="s">
        <v>8367</v>
      </c>
      <c r="F7641" s="126">
        <v>42</v>
      </c>
      <c r="G7641" s="128">
        <v>9114</v>
      </c>
      <c r="H7641" s="124" t="s">
        <v>8368</v>
      </c>
      <c r="I7641" s="128">
        <v>1371.67</v>
      </c>
      <c r="J7641" s="128">
        <v>6858.33</v>
      </c>
    </row>
    <row r="7642" spans="1:10" hidden="1" x14ac:dyDescent="0.25">
      <c r="A7642" s="124" t="s">
        <v>2200</v>
      </c>
      <c r="B7642" s="124" t="s">
        <v>11736</v>
      </c>
      <c r="C7642" s="132"/>
      <c r="D7642" s="125">
        <f>COUNTIF(A3156:A7641,A7642)</f>
        <v>0</v>
      </c>
      <c r="E7642" s="124" t="s">
        <v>8367</v>
      </c>
      <c r="F7642" s="126">
        <v>4</v>
      </c>
      <c r="G7642" s="128">
        <v>4323.84</v>
      </c>
      <c r="H7642" s="124" t="s">
        <v>8368</v>
      </c>
      <c r="I7642" s="127">
        <v>71.5</v>
      </c>
      <c r="J7642" s="127">
        <v>357.5</v>
      </c>
    </row>
    <row r="7643" spans="1:10" hidden="1" x14ac:dyDescent="0.25">
      <c r="A7643" s="124" t="s">
        <v>3764</v>
      </c>
      <c r="B7643" s="124" t="s">
        <v>11736</v>
      </c>
      <c r="C7643" s="132"/>
      <c r="D7643" s="125">
        <f>COUNTIF(A3159:A7642,A7643)</f>
        <v>0</v>
      </c>
      <c r="E7643" s="124" t="s">
        <v>8367</v>
      </c>
      <c r="F7643" s="126">
        <v>5</v>
      </c>
      <c r="G7643" s="128">
        <v>3713.45</v>
      </c>
      <c r="H7643" s="124" t="s">
        <v>8368</v>
      </c>
      <c r="I7643" s="127">
        <v>38.4</v>
      </c>
      <c r="J7643" s="127">
        <v>192</v>
      </c>
    </row>
    <row r="7644" spans="1:10" hidden="1" x14ac:dyDescent="0.25">
      <c r="A7644" s="124" t="s">
        <v>10064</v>
      </c>
      <c r="B7644" s="124" t="s">
        <v>11736</v>
      </c>
      <c r="C7644" s="132"/>
      <c r="D7644" s="125">
        <f>COUNTIF(A3162:A7643,A7644)</f>
        <v>0</v>
      </c>
      <c r="E7644" s="124" t="s">
        <v>8367</v>
      </c>
      <c r="F7644" s="126">
        <v>10</v>
      </c>
      <c r="G7644" s="128">
        <v>8230</v>
      </c>
      <c r="H7644" s="124" t="s">
        <v>8368</v>
      </c>
      <c r="I7644" s="127">
        <v>110.67</v>
      </c>
      <c r="J7644" s="127">
        <v>553.33000000000004</v>
      </c>
    </row>
    <row r="7645" spans="1:10" hidden="1" x14ac:dyDescent="0.25">
      <c r="A7645" s="124" t="s">
        <v>2139</v>
      </c>
      <c r="B7645" s="124" t="s">
        <v>11736</v>
      </c>
      <c r="C7645" s="132"/>
      <c r="D7645" s="125">
        <f>COUNTIF(A3164:A7644,A7645)</f>
        <v>0</v>
      </c>
      <c r="E7645" s="124" t="s">
        <v>8367</v>
      </c>
      <c r="F7645" s="126">
        <v>13</v>
      </c>
      <c r="G7645" s="127">
        <v>429</v>
      </c>
      <c r="H7645" s="124" t="s">
        <v>8368</v>
      </c>
      <c r="I7645" s="127">
        <v>57.84</v>
      </c>
      <c r="J7645" s="127">
        <v>289.2</v>
      </c>
    </row>
    <row r="7646" spans="1:10" hidden="1" x14ac:dyDescent="0.25">
      <c r="A7646" s="124" t="s">
        <v>10065</v>
      </c>
      <c r="B7646" s="124" t="s">
        <v>11736</v>
      </c>
      <c r="C7646" s="132"/>
      <c r="D7646" s="125">
        <f>COUNTIF(A3165:A7645,A7646)</f>
        <v>0</v>
      </c>
      <c r="E7646" s="124" t="s">
        <v>8367</v>
      </c>
      <c r="F7646" s="126">
        <v>10</v>
      </c>
      <c r="G7646" s="127">
        <v>230.4</v>
      </c>
      <c r="H7646" s="124" t="s">
        <v>8368</v>
      </c>
      <c r="I7646" s="127">
        <v>73.37</v>
      </c>
      <c r="J7646" s="127">
        <v>366.86</v>
      </c>
    </row>
    <row r="7647" spans="1:10" hidden="1" x14ac:dyDescent="0.25">
      <c r="A7647" s="124" t="s">
        <v>10066</v>
      </c>
      <c r="B7647" s="124" t="s">
        <v>11736</v>
      </c>
      <c r="C7647" s="132"/>
      <c r="D7647" s="125">
        <f>COUNTIF(A3166:A7646,A7647)</f>
        <v>0</v>
      </c>
      <c r="E7647" s="124" t="s">
        <v>8367</v>
      </c>
      <c r="F7647" s="126">
        <v>2</v>
      </c>
      <c r="G7647" s="127">
        <v>664</v>
      </c>
      <c r="H7647" s="124" t="s">
        <v>8368</v>
      </c>
      <c r="I7647" s="127">
        <v>297.36</v>
      </c>
      <c r="J7647" s="128">
        <v>1486.8</v>
      </c>
    </row>
    <row r="7648" spans="1:10" hidden="1" x14ac:dyDescent="0.25">
      <c r="A7648" s="124" t="s">
        <v>4144</v>
      </c>
      <c r="B7648" s="124" t="s">
        <v>11736</v>
      </c>
      <c r="C7648" s="132"/>
      <c r="D7648" s="125">
        <f>COUNTIF(A3168:A7647,A7648)</f>
        <v>0</v>
      </c>
      <c r="E7648" s="124" t="s">
        <v>8367</v>
      </c>
      <c r="F7648" s="126">
        <v>1</v>
      </c>
      <c r="G7648" s="127">
        <v>347.04</v>
      </c>
      <c r="H7648" s="124" t="s">
        <v>8368</v>
      </c>
      <c r="I7648" s="127">
        <v>86</v>
      </c>
      <c r="J7648" s="127">
        <v>430</v>
      </c>
    </row>
    <row r="7649" spans="1:10" hidden="1" x14ac:dyDescent="0.25">
      <c r="A7649" s="124" t="s">
        <v>10067</v>
      </c>
      <c r="B7649" s="124" t="s">
        <v>11736</v>
      </c>
      <c r="C7649" s="132"/>
      <c r="D7649" s="125">
        <f>COUNTIF(A3171:A7648,A7649)</f>
        <v>0</v>
      </c>
      <c r="E7649" s="124" t="s">
        <v>8367</v>
      </c>
      <c r="F7649" s="126">
        <v>1</v>
      </c>
      <c r="G7649" s="127">
        <v>440.23</v>
      </c>
      <c r="H7649" s="124" t="s">
        <v>8368</v>
      </c>
      <c r="I7649" s="128">
        <v>3866.6</v>
      </c>
      <c r="J7649" s="128">
        <v>19333</v>
      </c>
    </row>
    <row r="7650" spans="1:10" hidden="1" x14ac:dyDescent="0.25">
      <c r="A7650" s="124" t="s">
        <v>10068</v>
      </c>
      <c r="B7650" s="124" t="s">
        <v>11736</v>
      </c>
      <c r="C7650" s="132"/>
      <c r="D7650" s="125">
        <f>COUNTIF(A3175:A7649,A7650)</f>
        <v>0</v>
      </c>
      <c r="E7650" s="124" t="s">
        <v>8367</v>
      </c>
      <c r="F7650" s="126">
        <v>3</v>
      </c>
      <c r="G7650" s="128">
        <v>1784.16</v>
      </c>
      <c r="H7650" s="124" t="s">
        <v>8368</v>
      </c>
      <c r="I7650" s="127">
        <v>370.6</v>
      </c>
      <c r="J7650" s="128">
        <v>1853</v>
      </c>
    </row>
    <row r="7651" spans="1:10" hidden="1" x14ac:dyDescent="0.25">
      <c r="A7651" s="124" t="s">
        <v>2138</v>
      </c>
      <c r="B7651" s="124" t="s">
        <v>11736</v>
      </c>
      <c r="C7651" s="132"/>
      <c r="D7651" s="125">
        <f t="shared" ref="D7651:D7659" si="106">COUNTIF(A3177:A7650,A7651)</f>
        <v>0</v>
      </c>
      <c r="E7651" s="124" t="s">
        <v>8367</v>
      </c>
      <c r="F7651" s="126">
        <v>3</v>
      </c>
      <c r="G7651" s="127">
        <v>516</v>
      </c>
      <c r="H7651" s="124" t="s">
        <v>8368</v>
      </c>
      <c r="I7651" s="127">
        <v>305</v>
      </c>
      <c r="J7651" s="128">
        <v>1525</v>
      </c>
    </row>
    <row r="7652" spans="1:10" hidden="1" x14ac:dyDescent="0.25">
      <c r="A7652" s="124" t="s">
        <v>10069</v>
      </c>
      <c r="B7652" s="124" t="s">
        <v>11736</v>
      </c>
      <c r="C7652" s="132"/>
      <c r="D7652" s="125">
        <f t="shared" si="106"/>
        <v>0</v>
      </c>
      <c r="E7652" s="124" t="s">
        <v>8367</v>
      </c>
      <c r="F7652" s="126">
        <v>50</v>
      </c>
      <c r="G7652" s="128">
        <v>23199.599999999999</v>
      </c>
      <c r="H7652" s="124" t="s">
        <v>8368</v>
      </c>
      <c r="I7652" s="127">
        <v>179.4</v>
      </c>
      <c r="J7652" s="127">
        <v>897</v>
      </c>
    </row>
    <row r="7653" spans="1:10" hidden="1" x14ac:dyDescent="0.25">
      <c r="A7653" s="124" t="s">
        <v>10070</v>
      </c>
      <c r="B7653" s="124" t="s">
        <v>11736</v>
      </c>
      <c r="C7653" s="132"/>
      <c r="D7653" s="125">
        <f t="shared" si="106"/>
        <v>0</v>
      </c>
      <c r="E7653" s="124" t="s">
        <v>8367</v>
      </c>
      <c r="F7653" s="126">
        <v>3</v>
      </c>
      <c r="G7653" s="128">
        <v>2223.6</v>
      </c>
      <c r="H7653" s="124" t="s">
        <v>8368</v>
      </c>
      <c r="I7653" s="128">
        <v>4834.6000000000004</v>
      </c>
      <c r="J7653" s="128">
        <v>24173</v>
      </c>
    </row>
    <row r="7654" spans="1:10" hidden="1" x14ac:dyDescent="0.25">
      <c r="A7654" s="124" t="s">
        <v>10071</v>
      </c>
      <c r="B7654" s="124" t="s">
        <v>11736</v>
      </c>
      <c r="C7654" s="132"/>
      <c r="D7654" s="125">
        <f t="shared" si="106"/>
        <v>0</v>
      </c>
      <c r="E7654" s="124" t="s">
        <v>8367</v>
      </c>
      <c r="F7654" s="126">
        <v>5</v>
      </c>
      <c r="G7654" s="128">
        <v>1830</v>
      </c>
      <c r="H7654" s="124" t="s">
        <v>8368</v>
      </c>
      <c r="I7654" s="127">
        <v>292</v>
      </c>
      <c r="J7654" s="128">
        <v>1460</v>
      </c>
    </row>
    <row r="7655" spans="1:10" hidden="1" x14ac:dyDescent="0.25">
      <c r="A7655" s="124" t="s">
        <v>10072</v>
      </c>
      <c r="B7655" s="124" t="s">
        <v>11736</v>
      </c>
      <c r="C7655" s="132"/>
      <c r="D7655" s="125">
        <f t="shared" si="106"/>
        <v>0</v>
      </c>
      <c r="E7655" s="124" t="s">
        <v>8367</v>
      </c>
      <c r="F7655" s="126">
        <v>4</v>
      </c>
      <c r="G7655" s="128">
        <v>1076.4000000000001</v>
      </c>
      <c r="H7655" s="124" t="s">
        <v>8368</v>
      </c>
      <c r="I7655" s="127">
        <v>114.6</v>
      </c>
      <c r="J7655" s="127">
        <v>573</v>
      </c>
    </row>
    <row r="7656" spans="1:10" hidden="1" x14ac:dyDescent="0.25">
      <c r="A7656" s="124" t="s">
        <v>10073</v>
      </c>
      <c r="B7656" s="124" t="s">
        <v>11736</v>
      </c>
      <c r="C7656" s="132"/>
      <c r="D7656" s="125">
        <f t="shared" si="106"/>
        <v>0</v>
      </c>
      <c r="E7656" s="124" t="s">
        <v>8367</v>
      </c>
      <c r="F7656" s="126">
        <v>8</v>
      </c>
      <c r="G7656" s="128">
        <v>29007.599999999999</v>
      </c>
      <c r="H7656" s="124" t="s">
        <v>8368</v>
      </c>
      <c r="I7656" s="127">
        <v>23.6</v>
      </c>
      <c r="J7656" s="127">
        <v>118</v>
      </c>
    </row>
    <row r="7657" spans="1:10" hidden="1" x14ac:dyDescent="0.25">
      <c r="A7657" s="124" t="s">
        <v>779</v>
      </c>
      <c r="B7657" s="124" t="s">
        <v>11736</v>
      </c>
      <c r="C7657" s="132"/>
      <c r="D7657" s="125">
        <f t="shared" si="106"/>
        <v>0</v>
      </c>
      <c r="E7657" s="124" t="s">
        <v>8367</v>
      </c>
      <c r="F7657" s="126">
        <v>8</v>
      </c>
      <c r="G7657" s="128">
        <v>1752</v>
      </c>
      <c r="H7657" s="124" t="s">
        <v>8368</v>
      </c>
      <c r="I7657" s="128">
        <v>4552</v>
      </c>
      <c r="J7657" s="128">
        <v>22760</v>
      </c>
    </row>
    <row r="7658" spans="1:10" hidden="1" x14ac:dyDescent="0.25">
      <c r="A7658" s="124" t="s">
        <v>777</v>
      </c>
      <c r="B7658" s="124" t="s">
        <v>11736</v>
      </c>
      <c r="C7658" s="132"/>
      <c r="D7658" s="125">
        <f t="shared" si="106"/>
        <v>0</v>
      </c>
      <c r="E7658" s="124" t="s">
        <v>8367</v>
      </c>
      <c r="F7658" s="126">
        <v>8</v>
      </c>
      <c r="G7658" s="127">
        <v>687.6</v>
      </c>
      <c r="H7658" s="124" t="s">
        <v>8368</v>
      </c>
      <c r="I7658" s="128">
        <v>4358.3999999999996</v>
      </c>
      <c r="J7658" s="128">
        <v>21792</v>
      </c>
    </row>
    <row r="7659" spans="1:10" hidden="1" x14ac:dyDescent="0.25">
      <c r="A7659" s="124" t="s">
        <v>10074</v>
      </c>
      <c r="B7659" s="124" t="s">
        <v>11736</v>
      </c>
      <c r="C7659" s="132"/>
      <c r="D7659" s="125">
        <f t="shared" si="106"/>
        <v>0</v>
      </c>
      <c r="E7659" s="124" t="s">
        <v>8367</v>
      </c>
      <c r="F7659" s="126">
        <v>2</v>
      </c>
      <c r="G7659" s="127">
        <v>141.6</v>
      </c>
      <c r="H7659" s="124" t="s">
        <v>8368</v>
      </c>
      <c r="I7659" s="127">
        <v>59.1</v>
      </c>
      <c r="J7659" s="127">
        <v>295.5</v>
      </c>
    </row>
    <row r="7660" spans="1:10" hidden="1" x14ac:dyDescent="0.25">
      <c r="A7660" s="124" t="s">
        <v>10075</v>
      </c>
      <c r="B7660" s="124" t="s">
        <v>11736</v>
      </c>
      <c r="C7660" s="132"/>
      <c r="D7660" s="125">
        <f>COUNTIF(A3187:A7659,A7660)</f>
        <v>0</v>
      </c>
      <c r="E7660" s="124" t="s">
        <v>8367</v>
      </c>
      <c r="F7660" s="126">
        <v>16</v>
      </c>
      <c r="G7660" s="128">
        <v>27312</v>
      </c>
      <c r="H7660" s="124" t="s">
        <v>8368</v>
      </c>
      <c r="I7660" s="128">
        <v>92446.8</v>
      </c>
      <c r="J7660" s="128">
        <v>462234</v>
      </c>
    </row>
    <row r="7661" spans="1:10" hidden="1" x14ac:dyDescent="0.25">
      <c r="A7661" s="124" t="s">
        <v>10076</v>
      </c>
      <c r="B7661" s="124" t="s">
        <v>11736</v>
      </c>
      <c r="C7661" s="132"/>
      <c r="D7661" s="125">
        <f>COUNTIF(A3188:A7660,A7661)</f>
        <v>0</v>
      </c>
      <c r="E7661" s="124" t="s">
        <v>8367</v>
      </c>
      <c r="F7661" s="126">
        <v>25</v>
      </c>
      <c r="G7661" s="128">
        <v>26150.400000000001</v>
      </c>
      <c r="H7661" s="124" t="s">
        <v>8368</v>
      </c>
      <c r="I7661" s="127">
        <v>485.33</v>
      </c>
      <c r="J7661" s="128">
        <v>2426.67</v>
      </c>
    </row>
    <row r="7662" spans="1:10" hidden="1" x14ac:dyDescent="0.25">
      <c r="A7662" s="124" t="s">
        <v>10077</v>
      </c>
      <c r="B7662" s="124" t="s">
        <v>11736</v>
      </c>
      <c r="C7662" s="132"/>
      <c r="D7662" s="125">
        <f>COUNTIF(A3189:A7661,A7662)</f>
        <v>0</v>
      </c>
      <c r="E7662" s="124" t="s">
        <v>8367</v>
      </c>
      <c r="F7662" s="126">
        <v>2</v>
      </c>
      <c r="G7662" s="127">
        <v>354.6</v>
      </c>
      <c r="H7662" s="124" t="s">
        <v>8368</v>
      </c>
      <c r="I7662" s="127">
        <v>215</v>
      </c>
      <c r="J7662" s="128">
        <v>1075</v>
      </c>
    </row>
    <row r="7663" spans="1:10" hidden="1" x14ac:dyDescent="0.25">
      <c r="A7663" s="124" t="s">
        <v>10078</v>
      </c>
      <c r="B7663" s="124" t="s">
        <v>11736</v>
      </c>
      <c r="C7663" s="132"/>
      <c r="D7663" s="125">
        <f>COUNTIF(A3190:A7662,A7663)</f>
        <v>0</v>
      </c>
      <c r="E7663" s="124" t="s">
        <v>8367</v>
      </c>
      <c r="F7663" s="126">
        <v>15</v>
      </c>
      <c r="G7663" s="128">
        <v>554680.80000000005</v>
      </c>
      <c r="H7663" s="124" t="s">
        <v>8368</v>
      </c>
      <c r="I7663" s="127">
        <v>281.60000000000002</v>
      </c>
      <c r="J7663" s="128">
        <v>1408</v>
      </c>
    </row>
    <row r="7664" spans="1:10" hidden="1" x14ac:dyDescent="0.25">
      <c r="A7664" s="124" t="s">
        <v>10079</v>
      </c>
      <c r="B7664" s="124" t="s">
        <v>11736</v>
      </c>
      <c r="C7664" s="132"/>
      <c r="D7664" s="125">
        <f>COUNTIF(A3191:A7663,A7664)</f>
        <v>0</v>
      </c>
      <c r="E7664" s="124" t="s">
        <v>8451</v>
      </c>
      <c r="F7664" s="126">
        <v>52</v>
      </c>
      <c r="G7664" s="128">
        <v>2912</v>
      </c>
      <c r="H7664" s="124" t="s">
        <v>8368</v>
      </c>
      <c r="I7664" s="128">
        <v>9165.7999999999993</v>
      </c>
      <c r="J7664" s="128">
        <v>45829</v>
      </c>
    </row>
    <row r="7665" spans="1:10" hidden="1" x14ac:dyDescent="0.25">
      <c r="A7665" s="124" t="s">
        <v>10080</v>
      </c>
      <c r="B7665" s="124" t="s">
        <v>11736</v>
      </c>
      <c r="C7665" s="132"/>
      <c r="D7665" s="125">
        <f>COUNTIF(A3199:A7664,A7665)</f>
        <v>0</v>
      </c>
      <c r="E7665" s="124" t="s">
        <v>8367</v>
      </c>
      <c r="F7665" s="126">
        <v>3</v>
      </c>
      <c r="G7665" s="128">
        <v>1290</v>
      </c>
      <c r="H7665" s="124" t="s">
        <v>8368</v>
      </c>
      <c r="I7665" s="127">
        <v>41.6</v>
      </c>
      <c r="J7665" s="127">
        <v>208</v>
      </c>
    </row>
    <row r="7666" spans="1:10" hidden="1" x14ac:dyDescent="0.25">
      <c r="A7666" s="124" t="s">
        <v>10081</v>
      </c>
      <c r="B7666" s="124" t="s">
        <v>11736</v>
      </c>
      <c r="C7666" s="132"/>
      <c r="D7666" s="125">
        <f>COUNTIF(A3200:A7665,A7666)</f>
        <v>0</v>
      </c>
      <c r="E7666" s="124" t="s">
        <v>8367</v>
      </c>
      <c r="F7666" s="126">
        <v>1</v>
      </c>
      <c r="G7666" s="128">
        <v>1689.6</v>
      </c>
      <c r="H7666" s="124" t="s">
        <v>8368</v>
      </c>
      <c r="I7666" s="128">
        <v>1632.2</v>
      </c>
      <c r="J7666" s="128">
        <v>8161</v>
      </c>
    </row>
    <row r="7667" spans="1:10" hidden="1" x14ac:dyDescent="0.25">
      <c r="A7667" s="124" t="s">
        <v>10082</v>
      </c>
      <c r="B7667" s="124" t="s">
        <v>11736</v>
      </c>
      <c r="C7667" s="132"/>
      <c r="D7667" s="125">
        <f>COUNTIF(A3201:A7666,A7667)</f>
        <v>0</v>
      </c>
      <c r="E7667" s="124" t="s">
        <v>8367</v>
      </c>
      <c r="F7667" s="126">
        <v>5</v>
      </c>
      <c r="G7667" s="128">
        <v>54994.8</v>
      </c>
      <c r="H7667" s="124" t="s">
        <v>8368</v>
      </c>
      <c r="I7667" s="128">
        <v>1635</v>
      </c>
      <c r="J7667" s="128">
        <v>8175</v>
      </c>
    </row>
    <row r="7668" spans="1:10" hidden="1" x14ac:dyDescent="0.25">
      <c r="A7668" s="124" t="s">
        <v>10083</v>
      </c>
      <c r="B7668" s="124" t="s">
        <v>11736</v>
      </c>
      <c r="C7668" s="132"/>
      <c r="D7668" s="125">
        <f>COUNTIF(A3202:A7667,A7668)</f>
        <v>0</v>
      </c>
      <c r="E7668" s="124" t="s">
        <v>8367</v>
      </c>
      <c r="F7668" s="126">
        <v>5</v>
      </c>
      <c r="G7668" s="127">
        <v>249.6</v>
      </c>
      <c r="H7668" s="124" t="s">
        <v>8368</v>
      </c>
      <c r="I7668" s="127">
        <v>427.6</v>
      </c>
      <c r="J7668" s="128">
        <v>2138</v>
      </c>
    </row>
    <row r="7669" spans="1:10" hidden="1" x14ac:dyDescent="0.25">
      <c r="A7669" s="124" t="s">
        <v>10084</v>
      </c>
      <c r="B7669" s="124" t="s">
        <v>11736</v>
      </c>
      <c r="C7669" s="132"/>
      <c r="D7669" s="125">
        <f>COUNTIF(A3203:A7668,A7669)</f>
        <v>0</v>
      </c>
      <c r="E7669" s="124" t="s">
        <v>8367</v>
      </c>
      <c r="F7669" s="126">
        <v>7</v>
      </c>
      <c r="G7669" s="128">
        <v>9793.2000000000007</v>
      </c>
      <c r="H7669" s="124" t="s">
        <v>8368</v>
      </c>
      <c r="I7669" s="127">
        <v>257.3</v>
      </c>
      <c r="J7669" s="128">
        <v>1286.5</v>
      </c>
    </row>
    <row r="7670" spans="1:10" hidden="1" x14ac:dyDescent="0.25">
      <c r="A7670" s="124" t="s">
        <v>10085</v>
      </c>
      <c r="B7670" s="124" t="s">
        <v>11736</v>
      </c>
      <c r="C7670" s="132"/>
      <c r="D7670" s="125">
        <f>COUNTIF(A3205:A7669,A7670)</f>
        <v>0</v>
      </c>
      <c r="E7670" s="124" t="s">
        <v>8367</v>
      </c>
      <c r="F7670" s="126">
        <v>10</v>
      </c>
      <c r="G7670" s="128">
        <v>9810</v>
      </c>
      <c r="H7670" s="124" t="s">
        <v>8368</v>
      </c>
      <c r="I7670" s="127">
        <v>143.33000000000001</v>
      </c>
      <c r="J7670" s="127">
        <v>716.67</v>
      </c>
    </row>
    <row r="7671" spans="1:10" hidden="1" x14ac:dyDescent="0.25">
      <c r="A7671" s="124" t="s">
        <v>10086</v>
      </c>
      <c r="B7671" s="124" t="s">
        <v>11736</v>
      </c>
      <c r="C7671" s="132"/>
      <c r="D7671" s="125">
        <f>COUNTIF(A3206:A7670,A7671)</f>
        <v>0</v>
      </c>
      <c r="E7671" s="124" t="s">
        <v>8367</v>
      </c>
      <c r="F7671" s="126">
        <v>9</v>
      </c>
      <c r="G7671" s="128">
        <v>2565.6</v>
      </c>
      <c r="H7671" s="124" t="s">
        <v>8368</v>
      </c>
      <c r="I7671" s="128">
        <v>4252.8</v>
      </c>
      <c r="J7671" s="128">
        <v>21264</v>
      </c>
    </row>
    <row r="7672" spans="1:10" hidden="1" x14ac:dyDescent="0.25">
      <c r="A7672" s="124" t="s">
        <v>10087</v>
      </c>
      <c r="B7672" s="124" t="s">
        <v>11736</v>
      </c>
      <c r="C7672" s="132"/>
      <c r="D7672" s="125">
        <f>COUNTIF(A3207:A7671,A7672)</f>
        <v>0</v>
      </c>
      <c r="E7672" s="124" t="s">
        <v>8579</v>
      </c>
      <c r="F7672" s="126">
        <v>50</v>
      </c>
      <c r="G7672" s="128">
        <v>1543.8</v>
      </c>
      <c r="H7672" s="124" t="s">
        <v>8368</v>
      </c>
      <c r="I7672" s="128">
        <v>2907.4</v>
      </c>
      <c r="J7672" s="128">
        <v>14537</v>
      </c>
    </row>
    <row r="7673" spans="1:10" hidden="1" x14ac:dyDescent="0.25">
      <c r="A7673" s="124" t="s">
        <v>4407</v>
      </c>
      <c r="B7673" s="124" t="s">
        <v>11736</v>
      </c>
      <c r="C7673" s="132"/>
      <c r="D7673" s="125">
        <f>COUNTIF(A3209:A7672,A7673)</f>
        <v>0</v>
      </c>
      <c r="E7673" s="124" t="s">
        <v>8367</v>
      </c>
      <c r="F7673" s="126">
        <v>15</v>
      </c>
      <c r="G7673" s="127">
        <v>860</v>
      </c>
      <c r="H7673" s="124" t="s">
        <v>8368</v>
      </c>
      <c r="I7673" s="128">
        <v>3900</v>
      </c>
      <c r="J7673" s="128">
        <v>19500</v>
      </c>
    </row>
    <row r="7674" spans="1:10" hidden="1" x14ac:dyDescent="0.25">
      <c r="A7674" s="124" t="s">
        <v>2204</v>
      </c>
      <c r="B7674" s="124" t="s">
        <v>11736</v>
      </c>
      <c r="C7674" s="132"/>
      <c r="D7674" s="125">
        <f t="shared" ref="D7674:D7682" si="107">COUNTIF(A3213:A7673,A7674)</f>
        <v>0</v>
      </c>
      <c r="E7674" s="124" t="s">
        <v>8367</v>
      </c>
      <c r="F7674" s="126">
        <v>50</v>
      </c>
      <c r="G7674" s="128">
        <v>25516.799999999999</v>
      </c>
      <c r="H7674" s="124" t="s">
        <v>8368</v>
      </c>
      <c r="I7674" s="128">
        <v>3360</v>
      </c>
      <c r="J7674" s="128">
        <v>16800</v>
      </c>
    </row>
    <row r="7675" spans="1:10" hidden="1" x14ac:dyDescent="0.25">
      <c r="A7675" s="124" t="s">
        <v>10088</v>
      </c>
      <c r="B7675" s="124" t="s">
        <v>11736</v>
      </c>
      <c r="C7675" s="132"/>
      <c r="D7675" s="125">
        <f t="shared" si="107"/>
        <v>0</v>
      </c>
      <c r="E7675" s="124" t="s">
        <v>8367</v>
      </c>
      <c r="F7675" s="126">
        <v>28</v>
      </c>
      <c r="G7675" s="128">
        <v>17444.400000000001</v>
      </c>
      <c r="H7675" s="124" t="s">
        <v>8368</v>
      </c>
      <c r="I7675" s="128">
        <v>17166.599999999999</v>
      </c>
      <c r="J7675" s="128">
        <v>85833</v>
      </c>
    </row>
    <row r="7676" spans="1:10" hidden="1" x14ac:dyDescent="0.25">
      <c r="A7676" s="124" t="s">
        <v>3944</v>
      </c>
      <c r="B7676" s="124" t="s">
        <v>11736</v>
      </c>
      <c r="C7676" s="132"/>
      <c r="D7676" s="125">
        <f t="shared" si="107"/>
        <v>0</v>
      </c>
      <c r="E7676" s="124" t="s">
        <v>8367</v>
      </c>
      <c r="F7676" s="126">
        <v>10</v>
      </c>
      <c r="G7676" s="128">
        <v>23400</v>
      </c>
      <c r="H7676" s="124" t="s">
        <v>8368</v>
      </c>
      <c r="I7676" s="128">
        <v>8503.4</v>
      </c>
      <c r="J7676" s="128">
        <v>42517</v>
      </c>
    </row>
    <row r="7677" spans="1:10" hidden="1" x14ac:dyDescent="0.25">
      <c r="A7677" s="124" t="s">
        <v>10089</v>
      </c>
      <c r="B7677" s="124" t="s">
        <v>11736</v>
      </c>
      <c r="C7677" s="132"/>
      <c r="D7677" s="125">
        <f t="shared" si="107"/>
        <v>0</v>
      </c>
      <c r="E7677" s="124" t="s">
        <v>8367</v>
      </c>
      <c r="F7677" s="126">
        <v>5</v>
      </c>
      <c r="G7677" s="128">
        <v>20160</v>
      </c>
      <c r="H7677" s="124" t="s">
        <v>8368</v>
      </c>
      <c r="I7677" s="127">
        <v>726.8</v>
      </c>
      <c r="J7677" s="128">
        <v>3634</v>
      </c>
    </row>
    <row r="7678" spans="1:10" hidden="1" x14ac:dyDescent="0.25">
      <c r="A7678" s="124" t="s">
        <v>10090</v>
      </c>
      <c r="B7678" s="124" t="s">
        <v>11736</v>
      </c>
      <c r="C7678" s="132"/>
      <c r="D7678" s="125">
        <f t="shared" si="107"/>
        <v>0</v>
      </c>
      <c r="E7678" s="124" t="s">
        <v>8367</v>
      </c>
      <c r="F7678" s="126">
        <v>1</v>
      </c>
      <c r="G7678" s="128">
        <v>102999.6</v>
      </c>
      <c r="H7678" s="124" t="s">
        <v>8368</v>
      </c>
      <c r="I7678" s="128">
        <v>64872.57</v>
      </c>
      <c r="J7678" s="128">
        <v>324362.87</v>
      </c>
    </row>
    <row r="7679" spans="1:10" hidden="1" x14ac:dyDescent="0.25">
      <c r="A7679" s="124" t="s">
        <v>10091</v>
      </c>
      <c r="B7679" s="124" t="s">
        <v>11736</v>
      </c>
      <c r="C7679" s="132"/>
      <c r="D7679" s="125">
        <f t="shared" si="107"/>
        <v>0</v>
      </c>
      <c r="E7679" s="124" t="s">
        <v>8367</v>
      </c>
      <c r="F7679" s="126">
        <v>1</v>
      </c>
      <c r="G7679" s="128">
        <v>51020.4</v>
      </c>
      <c r="H7679" s="124" t="s">
        <v>8368</v>
      </c>
      <c r="I7679" s="128">
        <v>54332.639999999999</v>
      </c>
      <c r="J7679" s="128">
        <v>271663.2</v>
      </c>
    </row>
    <row r="7680" spans="1:10" hidden="1" x14ac:dyDescent="0.25">
      <c r="A7680" s="124" t="s">
        <v>10092</v>
      </c>
      <c r="B7680" s="124" t="s">
        <v>11736</v>
      </c>
      <c r="C7680" s="132"/>
      <c r="D7680" s="125">
        <f t="shared" si="107"/>
        <v>0</v>
      </c>
      <c r="E7680" s="124" t="s">
        <v>8367</v>
      </c>
      <c r="F7680" s="126">
        <v>2</v>
      </c>
      <c r="G7680" s="128">
        <v>4360.8</v>
      </c>
      <c r="H7680" s="124" t="s">
        <v>8368</v>
      </c>
      <c r="I7680" s="128">
        <v>62166.6</v>
      </c>
      <c r="J7680" s="128">
        <v>310833</v>
      </c>
    </row>
    <row r="7681" spans="1:10" hidden="1" x14ac:dyDescent="0.25">
      <c r="A7681" s="124" t="s">
        <v>10093</v>
      </c>
      <c r="B7681" s="124" t="s">
        <v>11736</v>
      </c>
      <c r="C7681" s="132"/>
      <c r="D7681" s="125">
        <f t="shared" si="107"/>
        <v>0</v>
      </c>
      <c r="E7681" s="124" t="s">
        <v>8367</v>
      </c>
      <c r="F7681" s="126">
        <v>262</v>
      </c>
      <c r="G7681" s="128">
        <v>389235.44</v>
      </c>
      <c r="H7681" s="124" t="s">
        <v>8368</v>
      </c>
      <c r="I7681" s="127">
        <v>20.6</v>
      </c>
      <c r="J7681" s="127">
        <v>103</v>
      </c>
    </row>
    <row r="7682" spans="1:10" hidden="1" x14ac:dyDescent="0.25">
      <c r="A7682" s="124" t="s">
        <v>10094</v>
      </c>
      <c r="B7682" s="124" t="s">
        <v>11736</v>
      </c>
      <c r="C7682" s="132"/>
      <c r="D7682" s="125">
        <f t="shared" si="107"/>
        <v>0</v>
      </c>
      <c r="E7682" s="124" t="s">
        <v>8367</v>
      </c>
      <c r="F7682" s="126">
        <v>12</v>
      </c>
      <c r="G7682" s="128">
        <v>325995.84000000003</v>
      </c>
      <c r="H7682" s="124" t="s">
        <v>8368</v>
      </c>
      <c r="I7682" s="127">
        <v>397.6</v>
      </c>
      <c r="J7682" s="128">
        <v>1988</v>
      </c>
    </row>
    <row r="7683" spans="1:10" hidden="1" x14ac:dyDescent="0.25">
      <c r="A7683" s="124" t="s">
        <v>10095</v>
      </c>
      <c r="B7683" s="124" t="s">
        <v>11736</v>
      </c>
      <c r="C7683" s="132"/>
      <c r="D7683" s="125">
        <f t="shared" ref="D7683:D7693" si="108">COUNTIF(A3223:A7682,A7683)</f>
        <v>0</v>
      </c>
      <c r="E7683" s="124" t="s">
        <v>8367</v>
      </c>
      <c r="F7683" s="126">
        <v>2</v>
      </c>
      <c r="G7683" s="128">
        <v>372999.6</v>
      </c>
      <c r="H7683" s="124" t="s">
        <v>8368</v>
      </c>
      <c r="I7683" s="128">
        <v>13906.2</v>
      </c>
      <c r="J7683" s="128">
        <v>69531</v>
      </c>
    </row>
    <row r="7684" spans="1:10" hidden="1" x14ac:dyDescent="0.25">
      <c r="A7684" s="124" t="s">
        <v>10096</v>
      </c>
      <c r="B7684" s="124" t="s">
        <v>11736</v>
      </c>
      <c r="C7684" s="132"/>
      <c r="D7684" s="125">
        <f t="shared" si="108"/>
        <v>0</v>
      </c>
      <c r="E7684" s="124" t="s">
        <v>8367</v>
      </c>
      <c r="F7684" s="126">
        <v>3</v>
      </c>
      <c r="G7684" s="127">
        <v>123.6</v>
      </c>
      <c r="H7684" s="124" t="s">
        <v>8368</v>
      </c>
      <c r="I7684" s="128">
        <v>26606</v>
      </c>
      <c r="J7684" s="128">
        <v>133030</v>
      </c>
    </row>
    <row r="7685" spans="1:10" hidden="1" x14ac:dyDescent="0.25">
      <c r="A7685" s="124" t="s">
        <v>3321</v>
      </c>
      <c r="B7685" s="124" t="s">
        <v>11736</v>
      </c>
      <c r="C7685" s="132"/>
      <c r="D7685" s="125">
        <f t="shared" si="108"/>
        <v>0</v>
      </c>
      <c r="E7685" s="124" t="s">
        <v>8367</v>
      </c>
      <c r="F7685" s="126">
        <v>1</v>
      </c>
      <c r="G7685" s="128">
        <v>2385.6</v>
      </c>
      <c r="H7685" s="124" t="s">
        <v>8368</v>
      </c>
      <c r="I7685" s="128">
        <v>12885</v>
      </c>
      <c r="J7685" s="128">
        <v>64425</v>
      </c>
    </row>
    <row r="7686" spans="1:10" hidden="1" x14ac:dyDescent="0.25">
      <c r="A7686" s="124" t="s">
        <v>10097</v>
      </c>
      <c r="B7686" s="124" t="s">
        <v>11736</v>
      </c>
      <c r="C7686" s="132"/>
      <c r="D7686" s="125">
        <f t="shared" si="108"/>
        <v>0</v>
      </c>
      <c r="E7686" s="124" t="s">
        <v>8</v>
      </c>
      <c r="F7686" s="126">
        <v>129</v>
      </c>
      <c r="G7686" s="128">
        <v>83437.2</v>
      </c>
      <c r="H7686" s="124" t="s">
        <v>8368</v>
      </c>
      <c r="I7686" s="128">
        <v>7416.6</v>
      </c>
      <c r="J7686" s="128">
        <v>37083</v>
      </c>
    </row>
    <row r="7687" spans="1:10" hidden="1" x14ac:dyDescent="0.25">
      <c r="A7687" s="124" t="s">
        <v>10098</v>
      </c>
      <c r="B7687" s="124" t="s">
        <v>11736</v>
      </c>
      <c r="C7687" s="132"/>
      <c r="D7687" s="125">
        <f t="shared" si="108"/>
        <v>0</v>
      </c>
      <c r="E7687" s="124" t="s">
        <v>8367</v>
      </c>
      <c r="F7687" s="126">
        <v>10</v>
      </c>
      <c r="G7687" s="128">
        <v>159636</v>
      </c>
      <c r="H7687" s="124" t="s">
        <v>8368</v>
      </c>
      <c r="I7687" s="128">
        <v>1350.2</v>
      </c>
      <c r="J7687" s="128">
        <v>6751</v>
      </c>
    </row>
    <row r="7688" spans="1:10" hidden="1" x14ac:dyDescent="0.25">
      <c r="A7688" s="124" t="s">
        <v>3214</v>
      </c>
      <c r="B7688" s="124" t="s">
        <v>11736</v>
      </c>
      <c r="C7688" s="132"/>
      <c r="D7688" s="125">
        <f t="shared" si="108"/>
        <v>0</v>
      </c>
      <c r="E7688" s="124" t="s">
        <v>8367</v>
      </c>
      <c r="F7688" s="126">
        <v>5</v>
      </c>
      <c r="G7688" s="128">
        <v>77310</v>
      </c>
      <c r="H7688" s="124" t="s">
        <v>8368</v>
      </c>
      <c r="I7688" s="127">
        <v>964.6</v>
      </c>
      <c r="J7688" s="128">
        <v>4823</v>
      </c>
    </row>
    <row r="7689" spans="1:10" hidden="1" x14ac:dyDescent="0.25">
      <c r="A7689" s="124" t="s">
        <v>10099</v>
      </c>
      <c r="B7689" s="124" t="s">
        <v>11736</v>
      </c>
      <c r="C7689" s="132"/>
      <c r="D7689" s="125">
        <f t="shared" si="108"/>
        <v>0</v>
      </c>
      <c r="E7689" s="124" t="s">
        <v>8367</v>
      </c>
      <c r="F7689" s="126">
        <v>1</v>
      </c>
      <c r="G7689" s="128">
        <v>44499.6</v>
      </c>
      <c r="H7689" s="124" t="s">
        <v>8368</v>
      </c>
      <c r="I7689" s="128">
        <v>71467.600000000006</v>
      </c>
      <c r="J7689" s="128">
        <v>357338</v>
      </c>
    </row>
    <row r="7690" spans="1:10" hidden="1" x14ac:dyDescent="0.25">
      <c r="A7690" s="124" t="s">
        <v>10100</v>
      </c>
      <c r="B7690" s="124" t="s">
        <v>11736</v>
      </c>
      <c r="C7690" s="132"/>
      <c r="D7690" s="125">
        <f t="shared" si="108"/>
        <v>0</v>
      </c>
      <c r="E7690" s="124" t="s">
        <v>8367</v>
      </c>
      <c r="F7690" s="126">
        <v>1</v>
      </c>
      <c r="G7690" s="128">
        <v>8101.2</v>
      </c>
      <c r="H7690" s="124" t="s">
        <v>8368</v>
      </c>
      <c r="I7690" s="127">
        <v>583.33000000000004</v>
      </c>
      <c r="J7690" s="128">
        <v>2916.67</v>
      </c>
    </row>
    <row r="7691" spans="1:10" hidden="1" x14ac:dyDescent="0.25">
      <c r="A7691" s="124" t="s">
        <v>10101</v>
      </c>
      <c r="B7691" s="124" t="s">
        <v>11736</v>
      </c>
      <c r="C7691" s="132"/>
      <c r="D7691" s="125">
        <f t="shared" si="108"/>
        <v>0</v>
      </c>
      <c r="E7691" s="124" t="s">
        <v>8367</v>
      </c>
      <c r="F7691" s="126">
        <v>1</v>
      </c>
      <c r="G7691" s="128">
        <v>5787.6</v>
      </c>
      <c r="H7691" s="124" t="s">
        <v>8368</v>
      </c>
      <c r="I7691" s="128">
        <v>7001.82</v>
      </c>
      <c r="J7691" s="128">
        <v>35009.07</v>
      </c>
    </row>
    <row r="7692" spans="1:10" hidden="1" x14ac:dyDescent="0.25">
      <c r="A7692" s="124" t="s">
        <v>10102</v>
      </c>
      <c r="B7692" s="124" t="s">
        <v>11736</v>
      </c>
      <c r="C7692" s="132"/>
      <c r="D7692" s="125">
        <f t="shared" si="108"/>
        <v>0</v>
      </c>
      <c r="E7692" s="124" t="s">
        <v>8367</v>
      </c>
      <c r="F7692" s="126">
        <v>15</v>
      </c>
      <c r="G7692" s="128">
        <v>428805.6</v>
      </c>
      <c r="H7692" s="124" t="s">
        <v>8368</v>
      </c>
      <c r="I7692" s="127">
        <v>424.6</v>
      </c>
      <c r="J7692" s="128">
        <v>2123</v>
      </c>
    </row>
    <row r="7693" spans="1:10" hidden="1" x14ac:dyDescent="0.25">
      <c r="A7693" s="124" t="s">
        <v>10103</v>
      </c>
      <c r="B7693" s="124" t="s">
        <v>11736</v>
      </c>
      <c r="C7693" s="132"/>
      <c r="D7693" s="125">
        <f t="shared" si="108"/>
        <v>0</v>
      </c>
      <c r="E7693" s="124" t="s">
        <v>8367</v>
      </c>
      <c r="F7693" s="126">
        <v>1</v>
      </c>
      <c r="G7693" s="128">
        <v>3500</v>
      </c>
      <c r="H7693" s="124" t="s">
        <v>8368</v>
      </c>
      <c r="I7693" s="127">
        <v>238.2</v>
      </c>
      <c r="J7693" s="128">
        <v>1191</v>
      </c>
    </row>
    <row r="7694" spans="1:10" hidden="1" x14ac:dyDescent="0.25">
      <c r="A7694" s="124" t="s">
        <v>10104</v>
      </c>
      <c r="B7694" s="124" t="s">
        <v>11736</v>
      </c>
      <c r="C7694" s="132"/>
      <c r="D7694" s="125">
        <f>COUNTIF(A3236:A7693,A7694)</f>
        <v>0</v>
      </c>
      <c r="E7694" s="124" t="s">
        <v>8367</v>
      </c>
      <c r="F7694" s="126">
        <v>3</v>
      </c>
      <c r="G7694" s="128">
        <v>42010.89</v>
      </c>
      <c r="H7694" s="124" t="s">
        <v>8368</v>
      </c>
      <c r="I7694" s="127">
        <v>199.8</v>
      </c>
      <c r="J7694" s="127">
        <v>999</v>
      </c>
    </row>
    <row r="7695" spans="1:10" hidden="1" x14ac:dyDescent="0.25">
      <c r="A7695" s="124" t="s">
        <v>10105</v>
      </c>
      <c r="B7695" s="124" t="s">
        <v>11736</v>
      </c>
      <c r="C7695" s="132"/>
      <c r="D7695" s="125">
        <f>COUNTIF(A3239:A7694,A7695)</f>
        <v>0</v>
      </c>
      <c r="E7695" s="124" t="s">
        <v>8367</v>
      </c>
      <c r="F7695" s="126">
        <v>11</v>
      </c>
      <c r="G7695" s="128">
        <v>2547.6</v>
      </c>
      <c r="H7695" s="124" t="s">
        <v>8368</v>
      </c>
      <c r="I7695" s="127">
        <v>179.64</v>
      </c>
      <c r="J7695" s="127">
        <v>898.2</v>
      </c>
    </row>
    <row r="7696" spans="1:10" hidden="1" x14ac:dyDescent="0.25">
      <c r="A7696" s="124" t="s">
        <v>10106</v>
      </c>
      <c r="B7696" s="124" t="s">
        <v>11736</v>
      </c>
      <c r="C7696" s="132"/>
      <c r="D7696" s="125">
        <f>COUNTIF(A3240:A7695,A7696)</f>
        <v>0</v>
      </c>
      <c r="E7696" s="124" t="s">
        <v>8579</v>
      </c>
      <c r="F7696" s="126">
        <v>20</v>
      </c>
      <c r="G7696" s="128">
        <v>1429.2</v>
      </c>
      <c r="H7696" s="124" t="s">
        <v>8368</v>
      </c>
      <c r="I7696" s="128">
        <v>2000</v>
      </c>
      <c r="J7696" s="128">
        <v>10000</v>
      </c>
    </row>
    <row r="7697" spans="1:10" hidden="1" x14ac:dyDescent="0.25">
      <c r="A7697" s="124" t="s">
        <v>10107</v>
      </c>
      <c r="B7697" s="124" t="s">
        <v>11736</v>
      </c>
      <c r="C7697" s="132"/>
      <c r="D7697" s="125">
        <f>COUNTIF(A3241:A7696,A7697)</f>
        <v>0</v>
      </c>
      <c r="E7697" s="124" t="s">
        <v>8367</v>
      </c>
      <c r="F7697" s="126">
        <v>2</v>
      </c>
      <c r="G7697" s="128">
        <v>1198.8</v>
      </c>
      <c r="H7697" s="124" t="s">
        <v>8368</v>
      </c>
      <c r="I7697" s="127">
        <v>1.4</v>
      </c>
      <c r="J7697" s="127">
        <v>7</v>
      </c>
    </row>
    <row r="7698" spans="1:10" hidden="1" x14ac:dyDescent="0.25">
      <c r="A7698" s="124" t="s">
        <v>10108</v>
      </c>
      <c r="B7698" s="124" t="s">
        <v>11736</v>
      </c>
      <c r="C7698" s="132"/>
      <c r="D7698" s="125">
        <f>COUNTIF(A3242:A7697,A7698)</f>
        <v>0</v>
      </c>
      <c r="E7698" s="124" t="s">
        <v>8367</v>
      </c>
      <c r="F7698" s="126">
        <v>3</v>
      </c>
      <c r="G7698" s="128">
        <v>1077.8399999999999</v>
      </c>
      <c r="H7698" s="124" t="s">
        <v>8368</v>
      </c>
      <c r="I7698" s="127">
        <v>9.6</v>
      </c>
      <c r="J7698" s="127">
        <v>48</v>
      </c>
    </row>
    <row r="7699" spans="1:10" hidden="1" x14ac:dyDescent="0.25">
      <c r="A7699" s="124" t="s">
        <v>10109</v>
      </c>
      <c r="B7699" s="124" t="s">
        <v>11736</v>
      </c>
      <c r="C7699" s="132"/>
      <c r="D7699" s="125">
        <f t="shared" ref="D7699:D7716" si="109">COUNTIF(A3244:A7698,A7699)</f>
        <v>0</v>
      </c>
      <c r="E7699" s="124" t="s">
        <v>8367</v>
      </c>
      <c r="F7699" s="129">
        <v>1000</v>
      </c>
      <c r="G7699" s="128">
        <v>12000</v>
      </c>
      <c r="H7699" s="124" t="s">
        <v>8368</v>
      </c>
      <c r="I7699" s="128">
        <v>26126.67</v>
      </c>
      <c r="J7699" s="128">
        <v>130633.33</v>
      </c>
    </row>
    <row r="7700" spans="1:10" hidden="1" x14ac:dyDescent="0.25">
      <c r="A7700" s="124" t="s">
        <v>10110</v>
      </c>
      <c r="B7700" s="124" t="s">
        <v>11736</v>
      </c>
      <c r="C7700" s="132"/>
      <c r="D7700" s="125">
        <f t="shared" si="109"/>
        <v>0</v>
      </c>
      <c r="E7700" s="124" t="s">
        <v>8367</v>
      </c>
      <c r="F7700" s="126">
        <v>1</v>
      </c>
      <c r="G7700" s="127">
        <v>8.4</v>
      </c>
      <c r="H7700" s="124" t="s">
        <v>8368</v>
      </c>
      <c r="I7700" s="128">
        <v>32593.4</v>
      </c>
      <c r="J7700" s="128">
        <v>162967</v>
      </c>
    </row>
    <row r="7701" spans="1:10" hidden="1" x14ac:dyDescent="0.25">
      <c r="A7701" s="124" t="s">
        <v>10111</v>
      </c>
      <c r="B7701" s="124" t="s">
        <v>11736</v>
      </c>
      <c r="C7701" s="132"/>
      <c r="D7701" s="125">
        <f t="shared" si="109"/>
        <v>0</v>
      </c>
      <c r="E7701" s="124" t="s">
        <v>8367</v>
      </c>
      <c r="F7701" s="126">
        <v>2</v>
      </c>
      <c r="G7701" s="127">
        <v>57.6</v>
      </c>
      <c r="H7701" s="124" t="s">
        <v>8368</v>
      </c>
      <c r="I7701" s="128">
        <v>6046.6</v>
      </c>
      <c r="J7701" s="128">
        <v>30233</v>
      </c>
    </row>
    <row r="7702" spans="1:10" hidden="1" x14ac:dyDescent="0.25">
      <c r="A7702" s="124" t="s">
        <v>10112</v>
      </c>
      <c r="B7702" s="124" t="s">
        <v>11736</v>
      </c>
      <c r="C7702" s="132"/>
      <c r="D7702" s="125">
        <f t="shared" si="109"/>
        <v>0</v>
      </c>
      <c r="E7702" s="124" t="s">
        <v>8367</v>
      </c>
      <c r="F7702" s="126">
        <v>1</v>
      </c>
      <c r="G7702" s="128">
        <v>156760</v>
      </c>
      <c r="H7702" s="124" t="s">
        <v>8368</v>
      </c>
      <c r="I7702" s="128">
        <v>3331.6</v>
      </c>
      <c r="J7702" s="128">
        <v>16658</v>
      </c>
    </row>
    <row r="7703" spans="1:10" hidden="1" x14ac:dyDescent="0.25">
      <c r="A7703" s="124" t="s">
        <v>10113</v>
      </c>
      <c r="B7703" s="124" t="s">
        <v>11736</v>
      </c>
      <c r="C7703" s="132"/>
      <c r="D7703" s="125">
        <f t="shared" si="109"/>
        <v>0</v>
      </c>
      <c r="E7703" s="124" t="s">
        <v>8367</v>
      </c>
      <c r="F7703" s="126">
        <v>4</v>
      </c>
      <c r="G7703" s="128">
        <v>195560.4</v>
      </c>
      <c r="H7703" s="124" t="s">
        <v>8368</v>
      </c>
      <c r="I7703" s="127">
        <v>237.5</v>
      </c>
      <c r="J7703" s="128">
        <v>1187.5</v>
      </c>
    </row>
    <row r="7704" spans="1:10" hidden="1" x14ac:dyDescent="0.25">
      <c r="A7704" s="124" t="s">
        <v>10114</v>
      </c>
      <c r="B7704" s="124" t="s">
        <v>11736</v>
      </c>
      <c r="C7704" s="132"/>
      <c r="D7704" s="125">
        <f t="shared" si="109"/>
        <v>0</v>
      </c>
      <c r="E7704" s="124" t="s">
        <v>8367</v>
      </c>
      <c r="F7704" s="126">
        <v>1</v>
      </c>
      <c r="G7704" s="128">
        <v>36279.599999999999</v>
      </c>
      <c r="H7704" s="124" t="s">
        <v>8368</v>
      </c>
      <c r="I7704" s="128">
        <v>5199.8</v>
      </c>
      <c r="J7704" s="128">
        <v>25999</v>
      </c>
    </row>
    <row r="7705" spans="1:10" hidden="1" x14ac:dyDescent="0.25">
      <c r="A7705" s="124" t="s">
        <v>10115</v>
      </c>
      <c r="B7705" s="124" t="s">
        <v>11736</v>
      </c>
      <c r="C7705" s="132"/>
      <c r="D7705" s="125">
        <f t="shared" si="109"/>
        <v>0</v>
      </c>
      <c r="E7705" s="124" t="s">
        <v>8367</v>
      </c>
      <c r="F7705" s="126">
        <v>1</v>
      </c>
      <c r="G7705" s="128">
        <v>19989.599999999999</v>
      </c>
      <c r="H7705" s="124" t="s">
        <v>8368</v>
      </c>
      <c r="I7705" s="128">
        <v>23046</v>
      </c>
      <c r="J7705" s="128">
        <v>115230</v>
      </c>
    </row>
    <row r="7706" spans="1:10" hidden="1" x14ac:dyDescent="0.25">
      <c r="A7706" s="124" t="s">
        <v>10116</v>
      </c>
      <c r="B7706" s="124" t="s">
        <v>11736</v>
      </c>
      <c r="C7706" s="132"/>
      <c r="D7706" s="125">
        <f t="shared" si="109"/>
        <v>0</v>
      </c>
      <c r="E7706" s="124" t="s">
        <v>8367</v>
      </c>
      <c r="F7706" s="126">
        <v>1</v>
      </c>
      <c r="G7706" s="128">
        <v>1425</v>
      </c>
      <c r="H7706" s="124" t="s">
        <v>8368</v>
      </c>
      <c r="I7706" s="128">
        <v>1130</v>
      </c>
      <c r="J7706" s="128">
        <v>5650</v>
      </c>
    </row>
    <row r="7707" spans="1:10" hidden="1" x14ac:dyDescent="0.25">
      <c r="A7707" s="124" t="s">
        <v>10117</v>
      </c>
      <c r="B7707" s="124" t="s">
        <v>11736</v>
      </c>
      <c r="C7707" s="132"/>
      <c r="D7707" s="125">
        <f t="shared" si="109"/>
        <v>0</v>
      </c>
      <c r="E7707" s="124" t="s">
        <v>8367</v>
      </c>
      <c r="F7707" s="126">
        <v>1</v>
      </c>
      <c r="G7707" s="128">
        <v>31198.799999999999</v>
      </c>
      <c r="H7707" s="124" t="s">
        <v>8368</v>
      </c>
      <c r="I7707" s="128">
        <v>1021.6</v>
      </c>
      <c r="J7707" s="128">
        <v>5108</v>
      </c>
    </row>
    <row r="7708" spans="1:10" hidden="1" x14ac:dyDescent="0.25">
      <c r="A7708" s="124" t="s">
        <v>10118</v>
      </c>
      <c r="B7708" s="124" t="s">
        <v>11736</v>
      </c>
      <c r="C7708" s="132"/>
      <c r="D7708" s="125">
        <f t="shared" si="109"/>
        <v>0</v>
      </c>
      <c r="E7708" s="124" t="s">
        <v>8367</v>
      </c>
      <c r="F7708" s="126">
        <v>23</v>
      </c>
      <c r="G7708" s="128">
        <v>138276</v>
      </c>
      <c r="H7708" s="124" t="s">
        <v>8368</v>
      </c>
      <c r="I7708" s="128">
        <v>4483.6000000000004</v>
      </c>
      <c r="J7708" s="128">
        <v>22418</v>
      </c>
    </row>
    <row r="7709" spans="1:10" hidden="1" x14ac:dyDescent="0.25">
      <c r="A7709" s="124" t="s">
        <v>2083</v>
      </c>
      <c r="B7709" s="124" t="s">
        <v>11736</v>
      </c>
      <c r="C7709" s="132"/>
      <c r="D7709" s="125">
        <f t="shared" si="109"/>
        <v>0</v>
      </c>
      <c r="E7709" s="124" t="s">
        <v>8367</v>
      </c>
      <c r="F7709" s="126">
        <v>2</v>
      </c>
      <c r="G7709" s="128">
        <v>6780</v>
      </c>
      <c r="H7709" s="124" t="s">
        <v>8368</v>
      </c>
      <c r="I7709" s="128">
        <v>3296.4</v>
      </c>
      <c r="J7709" s="128">
        <v>16482</v>
      </c>
    </row>
    <row r="7710" spans="1:10" hidden="1" x14ac:dyDescent="0.25">
      <c r="A7710" s="124" t="s">
        <v>10119</v>
      </c>
      <c r="B7710" s="124" t="s">
        <v>11736</v>
      </c>
      <c r="C7710" s="132"/>
      <c r="D7710" s="125">
        <f t="shared" si="109"/>
        <v>0</v>
      </c>
      <c r="E7710" s="124" t="s">
        <v>8367</v>
      </c>
      <c r="F7710" s="126">
        <v>1</v>
      </c>
      <c r="G7710" s="128">
        <v>6129.6</v>
      </c>
      <c r="H7710" s="124" t="s">
        <v>8368</v>
      </c>
      <c r="I7710" s="128">
        <v>55300</v>
      </c>
      <c r="J7710" s="128">
        <v>276500</v>
      </c>
    </row>
    <row r="7711" spans="1:10" hidden="1" x14ac:dyDescent="0.25">
      <c r="A7711" s="124" t="s">
        <v>10120</v>
      </c>
      <c r="B7711" s="124" t="s">
        <v>11736</v>
      </c>
      <c r="C7711" s="132"/>
      <c r="D7711" s="125">
        <f t="shared" si="109"/>
        <v>0</v>
      </c>
      <c r="E7711" s="124" t="s">
        <v>8367</v>
      </c>
      <c r="F7711" s="126">
        <v>3</v>
      </c>
      <c r="G7711" s="128">
        <v>26901.599999999999</v>
      </c>
      <c r="H7711" s="124" t="s">
        <v>8368</v>
      </c>
      <c r="I7711" s="128">
        <v>7776.6</v>
      </c>
      <c r="J7711" s="128">
        <v>38883</v>
      </c>
    </row>
    <row r="7712" spans="1:10" hidden="1" x14ac:dyDescent="0.25">
      <c r="A7712" s="124" t="s">
        <v>10121</v>
      </c>
      <c r="B7712" s="124" t="s">
        <v>11736</v>
      </c>
      <c r="C7712" s="132"/>
      <c r="D7712" s="125">
        <f t="shared" si="109"/>
        <v>0</v>
      </c>
      <c r="E7712" s="124" t="s">
        <v>8367</v>
      </c>
      <c r="F7712" s="126">
        <v>2</v>
      </c>
      <c r="G7712" s="128">
        <v>19778.400000000001</v>
      </c>
      <c r="H7712" s="124" t="s">
        <v>8368</v>
      </c>
      <c r="I7712" s="127">
        <v>383.4</v>
      </c>
      <c r="J7712" s="128">
        <v>1917</v>
      </c>
    </row>
    <row r="7713" spans="1:10" hidden="1" x14ac:dyDescent="0.25">
      <c r="A7713" s="124" t="s">
        <v>10122</v>
      </c>
      <c r="B7713" s="124" t="s">
        <v>11736</v>
      </c>
      <c r="C7713" s="132"/>
      <c r="D7713" s="125">
        <f t="shared" si="109"/>
        <v>0</v>
      </c>
      <c r="E7713" s="124" t="s">
        <v>8367</v>
      </c>
      <c r="F7713" s="126">
        <v>1</v>
      </c>
      <c r="G7713" s="128">
        <v>331800</v>
      </c>
      <c r="H7713" s="124" t="s">
        <v>8368</v>
      </c>
      <c r="I7713" s="128">
        <v>5535</v>
      </c>
      <c r="J7713" s="128">
        <v>27675</v>
      </c>
    </row>
    <row r="7714" spans="1:10" hidden="1" x14ac:dyDescent="0.25">
      <c r="A7714" s="124" t="s">
        <v>10123</v>
      </c>
      <c r="B7714" s="124" t="s">
        <v>11736</v>
      </c>
      <c r="C7714" s="132"/>
      <c r="D7714" s="125">
        <f t="shared" si="109"/>
        <v>0</v>
      </c>
      <c r="E7714" s="124" t="s">
        <v>8367</v>
      </c>
      <c r="F7714" s="126">
        <v>1</v>
      </c>
      <c r="G7714" s="128">
        <v>46659.6</v>
      </c>
      <c r="H7714" s="124" t="s">
        <v>8368</v>
      </c>
      <c r="I7714" s="128">
        <v>2534.73</v>
      </c>
      <c r="J7714" s="128">
        <v>12673.62</v>
      </c>
    </row>
    <row r="7715" spans="1:10" hidden="1" x14ac:dyDescent="0.25">
      <c r="A7715" s="124" t="s">
        <v>10124</v>
      </c>
      <c r="B7715" s="124" t="s">
        <v>11736</v>
      </c>
      <c r="C7715" s="132"/>
      <c r="D7715" s="125">
        <f t="shared" si="109"/>
        <v>0</v>
      </c>
      <c r="E7715" s="124" t="s">
        <v>8367</v>
      </c>
      <c r="F7715" s="126">
        <v>65</v>
      </c>
      <c r="G7715" s="128">
        <v>2300.4</v>
      </c>
      <c r="H7715" s="124" t="s">
        <v>8368</v>
      </c>
      <c r="I7715" s="128">
        <v>3497.4</v>
      </c>
      <c r="J7715" s="128">
        <v>17487</v>
      </c>
    </row>
    <row r="7716" spans="1:10" hidden="1" x14ac:dyDescent="0.25">
      <c r="A7716" s="124" t="s">
        <v>671</v>
      </c>
      <c r="B7716" s="124" t="s">
        <v>11736</v>
      </c>
      <c r="C7716" s="132"/>
      <c r="D7716" s="125">
        <f t="shared" si="109"/>
        <v>0</v>
      </c>
      <c r="E7716" s="124" t="s">
        <v>8367</v>
      </c>
      <c r="F7716" s="126">
        <v>1</v>
      </c>
      <c r="G7716" s="128">
        <v>33210</v>
      </c>
      <c r="H7716" s="124" t="s">
        <v>8368</v>
      </c>
      <c r="I7716" s="128">
        <v>2187.5</v>
      </c>
      <c r="J7716" s="128">
        <v>10937.5</v>
      </c>
    </row>
    <row r="7717" spans="1:10" hidden="1" x14ac:dyDescent="0.25">
      <c r="A7717" s="124" t="s">
        <v>10125</v>
      </c>
      <c r="B7717" s="124" t="s">
        <v>11736</v>
      </c>
      <c r="C7717" s="132"/>
      <c r="D7717" s="125">
        <f>COUNTIF(A3263:A7716,A7717)</f>
        <v>0</v>
      </c>
      <c r="E7717" s="124" t="s">
        <v>1</v>
      </c>
      <c r="F7717" s="126">
        <v>5</v>
      </c>
      <c r="G7717" s="128">
        <v>15208.35</v>
      </c>
      <c r="H7717" s="124" t="s">
        <v>8368</v>
      </c>
      <c r="I7717" s="128">
        <v>1243.06</v>
      </c>
      <c r="J7717" s="128">
        <v>6215.29</v>
      </c>
    </row>
    <row r="7718" spans="1:10" hidden="1" x14ac:dyDescent="0.25">
      <c r="A7718" s="124" t="s">
        <v>3561</v>
      </c>
      <c r="B7718" s="124" t="s">
        <v>11736</v>
      </c>
      <c r="C7718" s="132"/>
      <c r="D7718" s="125">
        <f>COUNTIF(A3264:A7717,A7718)</f>
        <v>0</v>
      </c>
      <c r="E7718" s="124" t="s">
        <v>8367</v>
      </c>
      <c r="F7718" s="126">
        <v>67</v>
      </c>
      <c r="G7718" s="128">
        <v>20984.400000000001</v>
      </c>
      <c r="H7718" s="124" t="s">
        <v>8368</v>
      </c>
      <c r="I7718" s="127">
        <v>900</v>
      </c>
      <c r="J7718" s="128">
        <v>4500</v>
      </c>
    </row>
    <row r="7719" spans="1:10" hidden="1" x14ac:dyDescent="0.25">
      <c r="A7719" s="124" t="s">
        <v>10126</v>
      </c>
      <c r="B7719" s="124" t="s">
        <v>11736</v>
      </c>
      <c r="C7719" s="132"/>
      <c r="D7719" s="125">
        <f>COUNTIF(A3265:A7718,A7719)</f>
        <v>0</v>
      </c>
      <c r="E7719" s="124" t="s">
        <v>1</v>
      </c>
      <c r="F7719" s="126">
        <v>5</v>
      </c>
      <c r="G7719" s="128">
        <v>13125</v>
      </c>
      <c r="H7719" s="124" t="s">
        <v>8368</v>
      </c>
      <c r="I7719" s="128">
        <v>1200</v>
      </c>
      <c r="J7719" s="128">
        <v>6000</v>
      </c>
    </row>
    <row r="7720" spans="1:10" hidden="1" x14ac:dyDescent="0.25">
      <c r="A7720" s="124" t="s">
        <v>10127</v>
      </c>
      <c r="B7720" s="124" t="s">
        <v>11736</v>
      </c>
      <c r="C7720" s="132"/>
      <c r="D7720" s="125">
        <f>COUNTIF(A3266:A7719,A7720)</f>
        <v>0</v>
      </c>
      <c r="E7720" s="124" t="s">
        <v>1</v>
      </c>
      <c r="F7720" s="126">
        <v>5</v>
      </c>
      <c r="G7720" s="128">
        <v>7458.35</v>
      </c>
      <c r="H7720" s="124" t="s">
        <v>8368</v>
      </c>
      <c r="I7720" s="127">
        <v>940.33</v>
      </c>
      <c r="J7720" s="128">
        <v>4701.6400000000003</v>
      </c>
    </row>
    <row r="7721" spans="1:10" hidden="1" x14ac:dyDescent="0.25">
      <c r="A7721" s="124" t="s">
        <v>10128</v>
      </c>
      <c r="B7721" s="124" t="s">
        <v>11736</v>
      </c>
      <c r="C7721" s="132"/>
      <c r="D7721" s="125">
        <f>COUNTIF(A3267:A7720,A7721)</f>
        <v>0</v>
      </c>
      <c r="E7721" s="124" t="s">
        <v>8367</v>
      </c>
      <c r="F7721" s="126">
        <v>4</v>
      </c>
      <c r="G7721" s="128">
        <v>5400</v>
      </c>
      <c r="H7721" s="124" t="s">
        <v>8368</v>
      </c>
      <c r="I7721" s="127">
        <v>150</v>
      </c>
      <c r="J7721" s="127">
        <v>750</v>
      </c>
    </row>
    <row r="7722" spans="1:10" hidden="1" x14ac:dyDescent="0.25">
      <c r="A7722" s="124" t="s">
        <v>10129</v>
      </c>
      <c r="B7722" s="124" t="s">
        <v>11736</v>
      </c>
      <c r="C7722" s="132"/>
      <c r="D7722" s="125">
        <f>COUNTIF(A3269:A7721,A7722)</f>
        <v>0</v>
      </c>
      <c r="E7722" s="124" t="s">
        <v>8367</v>
      </c>
      <c r="F7722" s="126">
        <v>48</v>
      </c>
      <c r="G7722" s="128">
        <v>7200</v>
      </c>
      <c r="H7722" s="124" t="s">
        <v>8368</v>
      </c>
      <c r="I7722" s="128">
        <v>5668.6</v>
      </c>
      <c r="J7722" s="128">
        <v>28343</v>
      </c>
    </row>
    <row r="7723" spans="1:10" hidden="1" x14ac:dyDescent="0.25">
      <c r="A7723" s="124" t="s">
        <v>10130</v>
      </c>
      <c r="B7723" s="124" t="s">
        <v>11736</v>
      </c>
      <c r="C7723" s="132"/>
      <c r="D7723" s="125">
        <f>COUNTIF(A3270:A7722,A7723)</f>
        <v>0</v>
      </c>
      <c r="E7723" s="124" t="s">
        <v>8591</v>
      </c>
      <c r="F7723" s="126">
        <v>8.06</v>
      </c>
      <c r="G7723" s="128">
        <v>5641.97</v>
      </c>
      <c r="H7723" s="124" t="s">
        <v>8368</v>
      </c>
      <c r="I7723" s="127">
        <v>900</v>
      </c>
      <c r="J7723" s="128">
        <v>4500</v>
      </c>
    </row>
    <row r="7724" spans="1:10" hidden="1" x14ac:dyDescent="0.25">
      <c r="A7724" s="124" t="s">
        <v>10131</v>
      </c>
      <c r="B7724" s="124" t="s">
        <v>11736</v>
      </c>
      <c r="C7724" s="132"/>
      <c r="D7724" s="125">
        <f t="shared" ref="D7724:D7733" si="110">COUNTIF(A3272:A7723,A7724)</f>
        <v>0</v>
      </c>
      <c r="E7724" s="124" t="s">
        <v>8579</v>
      </c>
      <c r="F7724" s="126">
        <v>10</v>
      </c>
      <c r="G7724" s="127">
        <v>900</v>
      </c>
      <c r="H7724" s="124" t="s">
        <v>8368</v>
      </c>
      <c r="I7724" s="127">
        <v>900</v>
      </c>
      <c r="J7724" s="128">
        <v>4500</v>
      </c>
    </row>
    <row r="7725" spans="1:10" hidden="1" x14ac:dyDescent="0.25">
      <c r="A7725" s="124" t="s">
        <v>10132</v>
      </c>
      <c r="B7725" s="124" t="s">
        <v>11736</v>
      </c>
      <c r="C7725" s="132"/>
      <c r="D7725" s="125">
        <f t="shared" si="110"/>
        <v>0</v>
      </c>
      <c r="E7725" s="124" t="s">
        <v>8367</v>
      </c>
      <c r="F7725" s="126">
        <v>1</v>
      </c>
      <c r="G7725" s="128">
        <v>34011.599999999999</v>
      </c>
      <c r="H7725" s="124" t="s">
        <v>8368</v>
      </c>
      <c r="I7725" s="127">
        <v>806.6</v>
      </c>
      <c r="J7725" s="128">
        <v>4033</v>
      </c>
    </row>
    <row r="7726" spans="1:10" hidden="1" x14ac:dyDescent="0.25">
      <c r="A7726" s="124" t="s">
        <v>10133</v>
      </c>
      <c r="B7726" s="124" t="s">
        <v>11736</v>
      </c>
      <c r="C7726" s="132"/>
      <c r="D7726" s="125">
        <f t="shared" si="110"/>
        <v>0</v>
      </c>
      <c r="E7726" s="124" t="s">
        <v>1</v>
      </c>
      <c r="F7726" s="126">
        <v>1.5</v>
      </c>
      <c r="G7726" s="128">
        <v>5400</v>
      </c>
      <c r="H7726" s="124" t="s">
        <v>8368</v>
      </c>
      <c r="I7726" s="128">
        <v>1322.35</v>
      </c>
      <c r="J7726" s="128">
        <v>6611.76</v>
      </c>
    </row>
    <row r="7727" spans="1:10" hidden="1" x14ac:dyDescent="0.25">
      <c r="A7727" s="124" t="s">
        <v>10134</v>
      </c>
      <c r="B7727" s="124" t="s">
        <v>11736</v>
      </c>
      <c r="C7727" s="132"/>
      <c r="D7727" s="125">
        <f t="shared" si="110"/>
        <v>0</v>
      </c>
      <c r="E7727" s="124" t="s">
        <v>1</v>
      </c>
      <c r="F7727" s="126">
        <v>1.5</v>
      </c>
      <c r="G7727" s="128">
        <v>5400</v>
      </c>
      <c r="H7727" s="124" t="s">
        <v>8368</v>
      </c>
      <c r="I7727" s="128">
        <v>1216.8499999999999</v>
      </c>
      <c r="J7727" s="128">
        <v>6084.24</v>
      </c>
    </row>
    <row r="7728" spans="1:10" hidden="1" x14ac:dyDescent="0.25">
      <c r="A7728" s="124" t="s">
        <v>2316</v>
      </c>
      <c r="B7728" s="124" t="s">
        <v>11736</v>
      </c>
      <c r="C7728" s="132"/>
      <c r="D7728" s="125">
        <f t="shared" si="110"/>
        <v>0</v>
      </c>
      <c r="E7728" s="124" t="s">
        <v>8579</v>
      </c>
      <c r="F7728" s="126">
        <v>2</v>
      </c>
      <c r="G7728" s="128">
        <v>4839.6000000000004</v>
      </c>
      <c r="H7728" s="124" t="s">
        <v>8368</v>
      </c>
      <c r="I7728" s="127">
        <v>256.06</v>
      </c>
      <c r="J7728" s="128">
        <v>1280.32</v>
      </c>
    </row>
    <row r="7729" spans="1:10" hidden="1" x14ac:dyDescent="0.25">
      <c r="A7729" s="124" t="s">
        <v>10135</v>
      </c>
      <c r="B7729" s="124" t="s">
        <v>11736</v>
      </c>
      <c r="C7729" s="132"/>
      <c r="D7729" s="125">
        <f t="shared" si="110"/>
        <v>0</v>
      </c>
      <c r="E7729" s="124" t="s">
        <v>8367</v>
      </c>
      <c r="F7729" s="126">
        <v>8</v>
      </c>
      <c r="G7729" s="128">
        <v>7934.11</v>
      </c>
      <c r="H7729" s="124" t="s">
        <v>8368</v>
      </c>
      <c r="I7729" s="127">
        <v>268.02999999999997</v>
      </c>
      <c r="J7729" s="128">
        <v>1340.16</v>
      </c>
    </row>
    <row r="7730" spans="1:10" hidden="1" x14ac:dyDescent="0.25">
      <c r="A7730" s="124" t="s">
        <v>10136</v>
      </c>
      <c r="B7730" s="124" t="s">
        <v>11736</v>
      </c>
      <c r="C7730" s="132"/>
      <c r="D7730" s="125">
        <f t="shared" si="110"/>
        <v>0</v>
      </c>
      <c r="E7730" s="124" t="s">
        <v>8367</v>
      </c>
      <c r="F7730" s="126">
        <v>8</v>
      </c>
      <c r="G7730" s="128">
        <v>7301.09</v>
      </c>
      <c r="H7730" s="124" t="s">
        <v>8368</v>
      </c>
      <c r="I7730" s="127">
        <v>14.17</v>
      </c>
      <c r="J7730" s="127">
        <v>70.819999999999993</v>
      </c>
    </row>
    <row r="7731" spans="1:10" hidden="1" x14ac:dyDescent="0.25">
      <c r="A7731" s="124" t="s">
        <v>10137</v>
      </c>
      <c r="B7731" s="124" t="s">
        <v>11736</v>
      </c>
      <c r="C7731" s="132"/>
      <c r="D7731" s="125">
        <f t="shared" si="110"/>
        <v>0</v>
      </c>
      <c r="E7731" s="124" t="s">
        <v>8367</v>
      </c>
      <c r="F7731" s="126">
        <v>16</v>
      </c>
      <c r="G7731" s="128">
        <v>1536.38</v>
      </c>
      <c r="H7731" s="124" t="s">
        <v>8368</v>
      </c>
      <c r="I7731" s="127">
        <v>47</v>
      </c>
      <c r="J7731" s="127">
        <v>235</v>
      </c>
    </row>
    <row r="7732" spans="1:10" hidden="1" x14ac:dyDescent="0.25">
      <c r="A7732" s="124" t="s">
        <v>10138</v>
      </c>
      <c r="B7732" s="124" t="s">
        <v>11736</v>
      </c>
      <c r="C7732" s="132"/>
      <c r="D7732" s="125">
        <f t="shared" si="110"/>
        <v>0</v>
      </c>
      <c r="E7732" s="124" t="s">
        <v>8367</v>
      </c>
      <c r="F7732" s="126">
        <v>16</v>
      </c>
      <c r="G7732" s="128">
        <v>1608.19</v>
      </c>
      <c r="H7732" s="124" t="s">
        <v>8368</v>
      </c>
      <c r="I7732" s="127">
        <v>36.1</v>
      </c>
      <c r="J7732" s="127">
        <v>180.48</v>
      </c>
    </row>
    <row r="7733" spans="1:10" hidden="1" x14ac:dyDescent="0.25">
      <c r="A7733" s="124" t="s">
        <v>10139</v>
      </c>
      <c r="B7733" s="124" t="s">
        <v>11736</v>
      </c>
      <c r="C7733" s="132"/>
      <c r="D7733" s="125">
        <f t="shared" si="110"/>
        <v>0</v>
      </c>
      <c r="E7733" s="124" t="s">
        <v>8367</v>
      </c>
      <c r="F7733" s="126">
        <v>1</v>
      </c>
      <c r="G7733" s="127">
        <v>84.99</v>
      </c>
      <c r="H7733" s="124" t="s">
        <v>8368</v>
      </c>
      <c r="I7733" s="127">
        <v>67.5</v>
      </c>
      <c r="J7733" s="127">
        <v>337.5</v>
      </c>
    </row>
    <row r="7734" spans="1:10" hidden="1" x14ac:dyDescent="0.25">
      <c r="A7734" s="124" t="s">
        <v>10140</v>
      </c>
      <c r="B7734" s="124" t="s">
        <v>11736</v>
      </c>
      <c r="C7734" s="132"/>
      <c r="D7734" s="125">
        <f>COUNTIF(A3283:A7733,A7734)</f>
        <v>0</v>
      </c>
      <c r="E7734" s="124" t="s">
        <v>8367</v>
      </c>
      <c r="F7734" s="126">
        <v>47</v>
      </c>
      <c r="G7734" s="127">
        <v>282</v>
      </c>
      <c r="H7734" s="124" t="s">
        <v>8368</v>
      </c>
      <c r="I7734" s="127">
        <v>47</v>
      </c>
      <c r="J7734" s="127">
        <v>235</v>
      </c>
    </row>
    <row r="7735" spans="1:10" hidden="1" x14ac:dyDescent="0.25">
      <c r="A7735" s="124" t="s">
        <v>2717</v>
      </c>
      <c r="B7735" s="124" t="s">
        <v>11736</v>
      </c>
      <c r="C7735" s="132"/>
      <c r="D7735" s="125">
        <f>COUNTIF(A3284:A7734,A7735)</f>
        <v>0</v>
      </c>
      <c r="E7735" s="124" t="s">
        <v>8367</v>
      </c>
      <c r="F7735" s="126">
        <v>94</v>
      </c>
      <c r="G7735" s="127">
        <v>216.58</v>
      </c>
      <c r="H7735" s="124" t="s">
        <v>8368</v>
      </c>
      <c r="I7735" s="127">
        <v>42.67</v>
      </c>
      <c r="J7735" s="127">
        <v>213.33</v>
      </c>
    </row>
    <row r="7736" spans="1:10" hidden="1" x14ac:dyDescent="0.25">
      <c r="A7736" s="124" t="s">
        <v>10141</v>
      </c>
      <c r="B7736" s="124" t="s">
        <v>11736</v>
      </c>
      <c r="C7736" s="132"/>
      <c r="D7736" s="125">
        <f>COUNTIF(A3285:A7735,A7736)</f>
        <v>0</v>
      </c>
      <c r="E7736" s="124" t="s">
        <v>8367</v>
      </c>
      <c r="F7736" s="126">
        <v>270</v>
      </c>
      <c r="G7736" s="127">
        <v>405</v>
      </c>
      <c r="H7736" s="124" t="s">
        <v>8368</v>
      </c>
      <c r="I7736" s="128">
        <v>2000</v>
      </c>
      <c r="J7736" s="128">
        <v>10000</v>
      </c>
    </row>
    <row r="7737" spans="1:10" hidden="1" x14ac:dyDescent="0.25">
      <c r="A7737" s="124" t="s">
        <v>10142</v>
      </c>
      <c r="B7737" s="124" t="s">
        <v>11736</v>
      </c>
      <c r="C7737" s="132"/>
      <c r="D7737" s="125">
        <f>COUNTIF(A3286:A7736,A7737)</f>
        <v>0</v>
      </c>
      <c r="E7737" s="124" t="s">
        <v>8367</v>
      </c>
      <c r="F7737" s="126">
        <v>47</v>
      </c>
      <c r="G7737" s="127">
        <v>282</v>
      </c>
      <c r="H7737" s="124" t="s">
        <v>8368</v>
      </c>
      <c r="I7737" s="128">
        <v>4375</v>
      </c>
      <c r="J7737" s="128">
        <v>21875</v>
      </c>
    </row>
    <row r="7738" spans="1:10" hidden="1" x14ac:dyDescent="0.25">
      <c r="A7738" s="124" t="s">
        <v>10143</v>
      </c>
      <c r="B7738" s="124" t="s">
        <v>11736</v>
      </c>
      <c r="C7738" s="132"/>
      <c r="D7738" s="125">
        <f>COUNTIF(A3287:A7737,A7738)</f>
        <v>0</v>
      </c>
      <c r="E7738" s="124" t="s">
        <v>8367</v>
      </c>
      <c r="F7738" s="126">
        <v>160</v>
      </c>
      <c r="G7738" s="127">
        <v>256</v>
      </c>
      <c r="H7738" s="124" t="s">
        <v>8368</v>
      </c>
      <c r="I7738" s="128">
        <v>2600</v>
      </c>
      <c r="J7738" s="128">
        <v>13000</v>
      </c>
    </row>
    <row r="7739" spans="1:10" hidden="1" x14ac:dyDescent="0.25">
      <c r="A7739" s="124" t="s">
        <v>10144</v>
      </c>
      <c r="B7739" s="124" t="s">
        <v>11736</v>
      </c>
      <c r="C7739" s="132"/>
      <c r="D7739" s="125">
        <f>COUNTIF(A3289:A7738,A7739)</f>
        <v>0</v>
      </c>
      <c r="E7739" s="124" t="s">
        <v>8367</v>
      </c>
      <c r="F7739" s="126">
        <v>5</v>
      </c>
      <c r="G7739" s="128">
        <v>12000</v>
      </c>
      <c r="H7739" s="124" t="s">
        <v>8368</v>
      </c>
      <c r="I7739" s="128">
        <v>10618.75</v>
      </c>
      <c r="J7739" s="128">
        <v>53093.760000000002</v>
      </c>
    </row>
    <row r="7740" spans="1:10" hidden="1" x14ac:dyDescent="0.25">
      <c r="A7740" s="124" t="s">
        <v>10145</v>
      </c>
      <c r="B7740" s="124" t="s">
        <v>11736</v>
      </c>
      <c r="C7740" s="132"/>
      <c r="D7740" s="125">
        <f>COUNTIF(A3290:A7739,A7740)</f>
        <v>0</v>
      </c>
      <c r="E7740" s="124" t="s">
        <v>8367</v>
      </c>
      <c r="F7740" s="126">
        <v>5</v>
      </c>
      <c r="G7740" s="128">
        <v>26250</v>
      </c>
      <c r="H7740" s="124" t="s">
        <v>8368</v>
      </c>
      <c r="I7740" s="128">
        <v>4789.58</v>
      </c>
      <c r="J7740" s="128">
        <v>23947.919999999998</v>
      </c>
    </row>
    <row r="7741" spans="1:10" hidden="1" x14ac:dyDescent="0.25">
      <c r="A7741" s="124" t="s">
        <v>10146</v>
      </c>
      <c r="B7741" s="124" t="s">
        <v>11736</v>
      </c>
      <c r="C7741" s="132"/>
      <c r="D7741" s="125">
        <f t="shared" ref="D7741:D7746" si="111">COUNTIF(A3292:A7740,A7741)</f>
        <v>0</v>
      </c>
      <c r="E7741" s="124" t="s">
        <v>8367</v>
      </c>
      <c r="F7741" s="126">
        <v>40</v>
      </c>
      <c r="G7741" s="128">
        <v>15600</v>
      </c>
      <c r="H7741" s="124" t="s">
        <v>8368</v>
      </c>
      <c r="I7741" s="128">
        <v>4935.42</v>
      </c>
      <c r="J7741" s="128">
        <v>24677.08</v>
      </c>
    </row>
    <row r="7742" spans="1:10" hidden="1" x14ac:dyDescent="0.25">
      <c r="A7742" s="124" t="s">
        <v>10147</v>
      </c>
      <c r="B7742" s="124" t="s">
        <v>11736</v>
      </c>
      <c r="C7742" s="132"/>
      <c r="D7742" s="125">
        <f t="shared" si="111"/>
        <v>0</v>
      </c>
      <c r="E7742" s="124" t="s">
        <v>8367</v>
      </c>
      <c r="F7742" s="126">
        <v>3</v>
      </c>
      <c r="G7742" s="128">
        <v>63712.51</v>
      </c>
      <c r="H7742" s="124" t="s">
        <v>8368</v>
      </c>
      <c r="I7742" s="127">
        <v>38</v>
      </c>
      <c r="J7742" s="127">
        <v>190</v>
      </c>
    </row>
    <row r="7743" spans="1:10" hidden="1" x14ac:dyDescent="0.25">
      <c r="A7743" s="124" t="s">
        <v>10148</v>
      </c>
      <c r="B7743" s="124" t="s">
        <v>11736</v>
      </c>
      <c r="C7743" s="132"/>
      <c r="D7743" s="125">
        <f t="shared" si="111"/>
        <v>0</v>
      </c>
      <c r="E7743" s="124" t="s">
        <v>8367</v>
      </c>
      <c r="F7743" s="126">
        <v>1</v>
      </c>
      <c r="G7743" s="128">
        <v>28737.5</v>
      </c>
      <c r="H7743" s="124" t="s">
        <v>8368</v>
      </c>
      <c r="I7743" s="128">
        <v>590389.84</v>
      </c>
      <c r="J7743" s="128">
        <v>2951949.17</v>
      </c>
    </row>
    <row r="7744" spans="1:10" hidden="1" x14ac:dyDescent="0.25">
      <c r="A7744" s="124" t="s">
        <v>10149</v>
      </c>
      <c r="B7744" s="124" t="s">
        <v>11736</v>
      </c>
      <c r="C7744" s="132"/>
      <c r="D7744" s="125">
        <f t="shared" si="111"/>
        <v>0</v>
      </c>
      <c r="E7744" s="124" t="s">
        <v>8367</v>
      </c>
      <c r="F7744" s="126">
        <v>1</v>
      </c>
      <c r="G7744" s="128">
        <v>29612.5</v>
      </c>
      <c r="H7744" s="124" t="s">
        <v>8368</v>
      </c>
      <c r="I7744" s="127">
        <v>165.2</v>
      </c>
      <c r="J7744" s="127">
        <v>826</v>
      </c>
    </row>
    <row r="7745" spans="1:10" hidden="1" x14ac:dyDescent="0.25">
      <c r="A7745" s="124" t="s">
        <v>10150</v>
      </c>
      <c r="B7745" s="124" t="s">
        <v>11736</v>
      </c>
      <c r="C7745" s="132"/>
      <c r="D7745" s="125">
        <f t="shared" si="111"/>
        <v>0</v>
      </c>
      <c r="E7745" s="124" t="s">
        <v>8367</v>
      </c>
      <c r="F7745" s="126">
        <v>1</v>
      </c>
      <c r="G7745" s="127">
        <v>228</v>
      </c>
      <c r="H7745" s="124" t="s">
        <v>8368</v>
      </c>
      <c r="I7745" s="127">
        <v>25.34</v>
      </c>
      <c r="J7745" s="127">
        <v>126.7</v>
      </c>
    </row>
    <row r="7746" spans="1:10" hidden="1" x14ac:dyDescent="0.25">
      <c r="A7746" s="124" t="s">
        <v>2781</v>
      </c>
      <c r="B7746" s="124" t="s">
        <v>11736</v>
      </c>
      <c r="C7746" s="132"/>
      <c r="D7746" s="125">
        <f t="shared" si="111"/>
        <v>0</v>
      </c>
      <c r="E7746" s="124" t="s">
        <v>8367</v>
      </c>
      <c r="F7746" s="129">
        <v>1962</v>
      </c>
      <c r="G7746" s="128">
        <v>3542339.01</v>
      </c>
      <c r="H7746" s="124" t="s">
        <v>8368</v>
      </c>
      <c r="I7746" s="127">
        <v>31.6</v>
      </c>
      <c r="J7746" s="127">
        <v>158</v>
      </c>
    </row>
    <row r="7747" spans="1:10" hidden="1" x14ac:dyDescent="0.25">
      <c r="A7747" s="124" t="s">
        <v>10151</v>
      </c>
      <c r="B7747" s="124" t="s">
        <v>11736</v>
      </c>
      <c r="C7747" s="132"/>
      <c r="D7747" s="125">
        <f>COUNTIF(A3299:A7746,A7747)</f>
        <v>0</v>
      </c>
      <c r="E7747" s="124" t="s">
        <v>8367</v>
      </c>
      <c r="F7747" s="126">
        <v>1</v>
      </c>
      <c r="G7747" s="127">
        <v>991.2</v>
      </c>
      <c r="H7747" s="124" t="s">
        <v>8368</v>
      </c>
      <c r="I7747" s="127">
        <v>126.51</v>
      </c>
      <c r="J7747" s="127">
        <v>632.57000000000005</v>
      </c>
    </row>
    <row r="7748" spans="1:10" hidden="1" x14ac:dyDescent="0.25">
      <c r="A7748" s="124" t="s">
        <v>10152</v>
      </c>
      <c r="B7748" s="124" t="s">
        <v>11736</v>
      </c>
      <c r="C7748" s="132"/>
      <c r="D7748" s="125">
        <f>COUNTIF(A3300:A7747,A7748)</f>
        <v>0</v>
      </c>
      <c r="E7748" s="124" t="s">
        <v>8367</v>
      </c>
      <c r="F7748" s="126">
        <v>1</v>
      </c>
      <c r="G7748" s="127">
        <v>152.04</v>
      </c>
      <c r="H7748" s="124" t="s">
        <v>8368</v>
      </c>
      <c r="I7748" s="127">
        <v>32.4</v>
      </c>
      <c r="J7748" s="127">
        <v>162</v>
      </c>
    </row>
    <row r="7749" spans="1:10" hidden="1" x14ac:dyDescent="0.25">
      <c r="A7749" s="124" t="s">
        <v>10153</v>
      </c>
      <c r="B7749" s="124" t="s">
        <v>11736</v>
      </c>
      <c r="C7749" s="132"/>
      <c r="D7749" s="125">
        <f>COUNTIF(A3301:A7748,A7749)</f>
        <v>0</v>
      </c>
      <c r="E7749" s="124" t="s">
        <v>8367</v>
      </c>
      <c r="F7749" s="126">
        <v>1</v>
      </c>
      <c r="G7749" s="127">
        <v>189.6</v>
      </c>
      <c r="H7749" s="124" t="s">
        <v>8368</v>
      </c>
      <c r="I7749" s="127">
        <v>69</v>
      </c>
      <c r="J7749" s="127">
        <v>345</v>
      </c>
    </row>
    <row r="7750" spans="1:10" hidden="1" x14ac:dyDescent="0.25">
      <c r="A7750" s="124" t="s">
        <v>10154</v>
      </c>
      <c r="B7750" s="124" t="s">
        <v>11736</v>
      </c>
      <c r="C7750" s="132"/>
      <c r="D7750" s="125">
        <f>COUNTIF(A3302:A7749,A7750)</f>
        <v>0</v>
      </c>
      <c r="E7750" s="124" t="s">
        <v>8367</v>
      </c>
      <c r="F7750" s="126">
        <v>4</v>
      </c>
      <c r="G7750" s="127">
        <v>759.08</v>
      </c>
      <c r="H7750" s="124" t="s">
        <v>8368</v>
      </c>
      <c r="I7750" s="127">
        <v>71.2</v>
      </c>
      <c r="J7750" s="127">
        <v>356</v>
      </c>
    </row>
    <row r="7751" spans="1:10" hidden="1" x14ac:dyDescent="0.25">
      <c r="A7751" s="124" t="s">
        <v>4424</v>
      </c>
      <c r="B7751" s="124" t="s">
        <v>11736</v>
      </c>
      <c r="C7751" s="132"/>
      <c r="D7751" s="125">
        <f t="shared" ref="D7751:D7757" si="112">COUNTIF(A3304:A7750,A7751)</f>
        <v>0</v>
      </c>
      <c r="E7751" s="124" t="s">
        <v>8367</v>
      </c>
      <c r="F7751" s="126">
        <v>1</v>
      </c>
      <c r="G7751" s="127">
        <v>194.4</v>
      </c>
      <c r="H7751" s="124" t="s">
        <v>8368</v>
      </c>
      <c r="I7751" s="127">
        <v>77.8</v>
      </c>
      <c r="J7751" s="127">
        <v>389</v>
      </c>
    </row>
    <row r="7752" spans="1:10" hidden="1" x14ac:dyDescent="0.25">
      <c r="A7752" s="124" t="s">
        <v>10155</v>
      </c>
      <c r="B7752" s="124" t="s">
        <v>11736</v>
      </c>
      <c r="C7752" s="132"/>
      <c r="D7752" s="125">
        <f t="shared" si="112"/>
        <v>0</v>
      </c>
      <c r="E7752" s="124" t="s">
        <v>8367</v>
      </c>
      <c r="F7752" s="126">
        <v>1</v>
      </c>
      <c r="G7752" s="127">
        <v>414</v>
      </c>
      <c r="H7752" s="124" t="s">
        <v>8368</v>
      </c>
      <c r="I7752" s="127">
        <v>332.2</v>
      </c>
      <c r="J7752" s="128">
        <v>1661</v>
      </c>
    </row>
    <row r="7753" spans="1:10" hidden="1" x14ac:dyDescent="0.25">
      <c r="A7753" s="124" t="s">
        <v>10156</v>
      </c>
      <c r="B7753" s="124" t="s">
        <v>11736</v>
      </c>
      <c r="C7753" s="132"/>
      <c r="D7753" s="125">
        <f t="shared" si="112"/>
        <v>0</v>
      </c>
      <c r="E7753" s="124" t="s">
        <v>8367</v>
      </c>
      <c r="F7753" s="126">
        <v>2</v>
      </c>
      <c r="G7753" s="127">
        <v>427.2</v>
      </c>
      <c r="H7753" s="124" t="s">
        <v>8368</v>
      </c>
      <c r="I7753" s="127">
        <v>25.6</v>
      </c>
      <c r="J7753" s="127">
        <v>128</v>
      </c>
    </row>
    <row r="7754" spans="1:10" hidden="1" x14ac:dyDescent="0.25">
      <c r="A7754" s="124" t="s">
        <v>10157</v>
      </c>
      <c r="B7754" s="124" t="s">
        <v>11736</v>
      </c>
      <c r="C7754" s="132"/>
      <c r="D7754" s="125">
        <f t="shared" si="112"/>
        <v>0</v>
      </c>
      <c r="E7754" s="124" t="s">
        <v>8367</v>
      </c>
      <c r="F7754" s="126">
        <v>2</v>
      </c>
      <c r="G7754" s="127">
        <v>466.8</v>
      </c>
      <c r="H7754" s="124" t="s">
        <v>8368</v>
      </c>
      <c r="I7754" s="127">
        <v>166.5</v>
      </c>
      <c r="J7754" s="127">
        <v>832.5</v>
      </c>
    </row>
    <row r="7755" spans="1:10" hidden="1" x14ac:dyDescent="0.25">
      <c r="A7755" s="124" t="s">
        <v>10158</v>
      </c>
      <c r="B7755" s="124" t="s">
        <v>11736</v>
      </c>
      <c r="C7755" s="132"/>
      <c r="D7755" s="125">
        <f t="shared" si="112"/>
        <v>0</v>
      </c>
      <c r="E7755" s="124" t="s">
        <v>8451</v>
      </c>
      <c r="F7755" s="126">
        <v>1</v>
      </c>
      <c r="G7755" s="128">
        <v>1993.2</v>
      </c>
      <c r="H7755" s="124" t="s">
        <v>8368</v>
      </c>
      <c r="I7755" s="128">
        <v>21250</v>
      </c>
      <c r="J7755" s="128">
        <v>106250</v>
      </c>
    </row>
    <row r="7756" spans="1:10" hidden="1" x14ac:dyDescent="0.25">
      <c r="A7756" s="124" t="s">
        <v>10159</v>
      </c>
      <c r="B7756" s="124" t="s">
        <v>11736</v>
      </c>
      <c r="C7756" s="132"/>
      <c r="D7756" s="125">
        <f t="shared" si="112"/>
        <v>0</v>
      </c>
      <c r="E7756" s="124" t="s">
        <v>8367</v>
      </c>
      <c r="F7756" s="126">
        <v>1</v>
      </c>
      <c r="G7756" s="127">
        <v>153.6</v>
      </c>
      <c r="H7756" s="124" t="s">
        <v>8368</v>
      </c>
      <c r="I7756" s="128">
        <v>3928100.74</v>
      </c>
      <c r="J7756" s="128">
        <v>19640503.719999999</v>
      </c>
    </row>
    <row r="7757" spans="1:10" hidden="1" x14ac:dyDescent="0.25">
      <c r="A7757" s="124" t="s">
        <v>2725</v>
      </c>
      <c r="B7757" s="124" t="s">
        <v>11736</v>
      </c>
      <c r="C7757" s="132"/>
      <c r="D7757" s="125">
        <f t="shared" si="112"/>
        <v>0</v>
      </c>
      <c r="E7757" s="124" t="s">
        <v>8367</v>
      </c>
      <c r="F7757" s="126">
        <v>300</v>
      </c>
      <c r="G7757" s="127">
        <v>999</v>
      </c>
      <c r="H7757" s="124" t="s">
        <v>8368</v>
      </c>
      <c r="I7757" s="128">
        <v>2896874.74</v>
      </c>
      <c r="J7757" s="128">
        <v>14484373.699999999</v>
      </c>
    </row>
    <row r="7758" spans="1:10" hidden="1" x14ac:dyDescent="0.25">
      <c r="A7758" s="124" t="s">
        <v>10160</v>
      </c>
      <c r="B7758" s="124" t="s">
        <v>11736</v>
      </c>
      <c r="C7758" s="132"/>
      <c r="D7758" s="125">
        <f>COUNTIF(A3312:A7757,A7758)</f>
        <v>0</v>
      </c>
      <c r="E7758" s="124" t="s">
        <v>8367</v>
      </c>
      <c r="F7758" s="129">
        <v>1500</v>
      </c>
      <c r="G7758" s="128">
        <v>127500</v>
      </c>
      <c r="H7758" s="124" t="s">
        <v>8368</v>
      </c>
      <c r="I7758" s="128">
        <v>387093.28</v>
      </c>
      <c r="J7758" s="128">
        <v>1935466.4</v>
      </c>
    </row>
    <row r="7759" spans="1:10" hidden="1" x14ac:dyDescent="0.25">
      <c r="A7759" s="124" t="s">
        <v>1869</v>
      </c>
      <c r="B7759" s="124" t="s">
        <v>11736</v>
      </c>
      <c r="C7759" s="132"/>
      <c r="D7759" s="125">
        <f>COUNTIF(A3313:A7758,A7759)</f>
        <v>0</v>
      </c>
      <c r="E7759" s="124" t="s">
        <v>8367</v>
      </c>
      <c r="F7759" s="126">
        <v>544</v>
      </c>
      <c r="G7759" s="128">
        <v>23568604.460000001</v>
      </c>
      <c r="H7759" s="124" t="s">
        <v>8368</v>
      </c>
      <c r="I7759" s="127">
        <v>38</v>
      </c>
      <c r="J7759" s="127">
        <v>190</v>
      </c>
    </row>
    <row r="7760" spans="1:10" hidden="1" x14ac:dyDescent="0.25">
      <c r="A7760" s="124" t="s">
        <v>10161</v>
      </c>
      <c r="B7760" s="124" t="s">
        <v>11736</v>
      </c>
      <c r="C7760" s="132"/>
      <c r="D7760" s="125">
        <f>COUNTIF(A3315:A7759,A7760)</f>
        <v>0</v>
      </c>
      <c r="E7760" s="124" t="s">
        <v>8367</v>
      </c>
      <c r="F7760" s="129">
        <v>1418</v>
      </c>
      <c r="G7760" s="128">
        <v>17381248.440000001</v>
      </c>
      <c r="H7760" s="124" t="s">
        <v>8368</v>
      </c>
      <c r="I7760" s="127">
        <v>660</v>
      </c>
      <c r="J7760" s="128">
        <v>3300</v>
      </c>
    </row>
    <row r="7761" spans="1:10" hidden="1" x14ac:dyDescent="0.25">
      <c r="A7761" s="124" t="s">
        <v>10162</v>
      </c>
      <c r="B7761" s="124" t="s">
        <v>11736</v>
      </c>
      <c r="C7761" s="132"/>
      <c r="D7761" s="125">
        <f>COUNTIF(A3320:A7760,A7761)</f>
        <v>0</v>
      </c>
      <c r="E7761" s="124" t="s">
        <v>8367</v>
      </c>
      <c r="F7761" s="126">
        <v>200</v>
      </c>
      <c r="G7761" s="128">
        <v>2322559.6800000002</v>
      </c>
      <c r="H7761" s="124" t="s">
        <v>8368</v>
      </c>
      <c r="I7761" s="128">
        <v>1986.86</v>
      </c>
      <c r="J7761" s="128">
        <v>9934.27</v>
      </c>
    </row>
    <row r="7762" spans="1:10" hidden="1" x14ac:dyDescent="0.25">
      <c r="A7762" s="124" t="s">
        <v>402</v>
      </c>
      <c r="B7762" s="124" t="s">
        <v>11736</v>
      </c>
      <c r="C7762" s="132"/>
      <c r="D7762" s="125">
        <f t="shared" ref="D7762:D7793" si="113">COUNTIF(A3322:A7761,A7762)</f>
        <v>0</v>
      </c>
      <c r="E7762" s="124" t="s">
        <v>8367</v>
      </c>
      <c r="F7762" s="129">
        <v>20000</v>
      </c>
      <c r="G7762" s="127">
        <v>228</v>
      </c>
      <c r="H7762" s="124" t="s">
        <v>8368</v>
      </c>
      <c r="I7762" s="128">
        <v>3529</v>
      </c>
      <c r="J7762" s="128">
        <v>17645</v>
      </c>
    </row>
    <row r="7763" spans="1:10" hidden="1" x14ac:dyDescent="0.25">
      <c r="A7763" s="124" t="s">
        <v>404</v>
      </c>
      <c r="B7763" s="124" t="s">
        <v>11736</v>
      </c>
      <c r="C7763" s="132"/>
      <c r="D7763" s="125">
        <f t="shared" si="113"/>
        <v>0</v>
      </c>
      <c r="E7763" s="124" t="s">
        <v>8367</v>
      </c>
      <c r="F7763" s="129">
        <v>40000</v>
      </c>
      <c r="G7763" s="128">
        <v>3960</v>
      </c>
      <c r="H7763" s="124" t="s">
        <v>8368</v>
      </c>
      <c r="I7763" s="127">
        <v>361.93</v>
      </c>
      <c r="J7763" s="128">
        <v>1809.66</v>
      </c>
    </row>
    <row r="7764" spans="1:10" hidden="1" x14ac:dyDescent="0.25">
      <c r="A7764" s="124" t="s">
        <v>408</v>
      </c>
      <c r="B7764" s="124" t="s">
        <v>11736</v>
      </c>
      <c r="C7764" s="132"/>
      <c r="D7764" s="125">
        <f t="shared" si="113"/>
        <v>0</v>
      </c>
      <c r="E7764" s="124" t="s">
        <v>8367</v>
      </c>
      <c r="F7764" s="129">
        <v>60050</v>
      </c>
      <c r="G7764" s="128">
        <v>11921.13</v>
      </c>
      <c r="H7764" s="124" t="s">
        <v>8368</v>
      </c>
      <c r="I7764" s="128">
        <v>1735.2</v>
      </c>
      <c r="J7764" s="128">
        <v>8676</v>
      </c>
    </row>
    <row r="7765" spans="1:10" hidden="1" x14ac:dyDescent="0.25">
      <c r="A7765" s="124" t="s">
        <v>409</v>
      </c>
      <c r="B7765" s="124" t="s">
        <v>11736</v>
      </c>
      <c r="C7765" s="132"/>
      <c r="D7765" s="125">
        <f t="shared" si="113"/>
        <v>0</v>
      </c>
      <c r="E7765" s="124" t="s">
        <v>8367</v>
      </c>
      <c r="F7765" s="129">
        <v>20000</v>
      </c>
      <c r="G7765" s="128">
        <v>21174</v>
      </c>
      <c r="H7765" s="124" t="s">
        <v>8368</v>
      </c>
      <c r="I7765" s="127">
        <v>148</v>
      </c>
      <c r="J7765" s="127">
        <v>740</v>
      </c>
    </row>
    <row r="7766" spans="1:10" hidden="1" x14ac:dyDescent="0.25">
      <c r="A7766" s="124" t="s">
        <v>410</v>
      </c>
      <c r="B7766" s="124" t="s">
        <v>11736</v>
      </c>
      <c r="C7766" s="132"/>
      <c r="D7766" s="125">
        <f t="shared" si="113"/>
        <v>0</v>
      </c>
      <c r="E7766" s="124" t="s">
        <v>8367</v>
      </c>
      <c r="F7766" s="129">
        <v>23594</v>
      </c>
      <c r="G7766" s="128">
        <v>2171.59</v>
      </c>
      <c r="H7766" s="124" t="s">
        <v>8368</v>
      </c>
      <c r="I7766" s="128">
        <v>1749</v>
      </c>
      <c r="J7766" s="128">
        <v>8745</v>
      </c>
    </row>
    <row r="7767" spans="1:10" hidden="1" x14ac:dyDescent="0.25">
      <c r="A7767" s="124" t="s">
        <v>411</v>
      </c>
      <c r="B7767" s="124" t="s">
        <v>11736</v>
      </c>
      <c r="C7767" s="132"/>
      <c r="D7767" s="125">
        <f t="shared" si="113"/>
        <v>0</v>
      </c>
      <c r="E7767" s="124" t="s">
        <v>8367</v>
      </c>
      <c r="F7767" s="129">
        <v>90000</v>
      </c>
      <c r="G7767" s="128">
        <v>10411.200000000001</v>
      </c>
      <c r="H7767" s="124" t="s">
        <v>8368</v>
      </c>
      <c r="I7767" s="127">
        <v>583.20000000000005</v>
      </c>
      <c r="J7767" s="128">
        <v>2916</v>
      </c>
    </row>
    <row r="7768" spans="1:10" hidden="1" x14ac:dyDescent="0.25">
      <c r="A7768" s="124" t="s">
        <v>413</v>
      </c>
      <c r="B7768" s="124" t="s">
        <v>11736</v>
      </c>
      <c r="C7768" s="132"/>
      <c r="D7768" s="125">
        <f t="shared" si="113"/>
        <v>0</v>
      </c>
      <c r="E7768" s="124" t="s">
        <v>8367</v>
      </c>
      <c r="F7768" s="129">
        <v>10000</v>
      </c>
      <c r="G7768" s="127">
        <v>888</v>
      </c>
      <c r="H7768" s="124" t="s">
        <v>8368</v>
      </c>
      <c r="I7768" s="127">
        <v>583.20000000000005</v>
      </c>
      <c r="J7768" s="128">
        <v>2916</v>
      </c>
    </row>
    <row r="7769" spans="1:10" hidden="1" x14ac:dyDescent="0.25">
      <c r="A7769" s="124" t="s">
        <v>414</v>
      </c>
      <c r="B7769" s="124" t="s">
        <v>11736</v>
      </c>
      <c r="C7769" s="132"/>
      <c r="D7769" s="125">
        <f t="shared" si="113"/>
        <v>0</v>
      </c>
      <c r="E7769" s="124" t="s">
        <v>8367</v>
      </c>
      <c r="F7769" s="129">
        <v>60000</v>
      </c>
      <c r="G7769" s="128">
        <v>10494</v>
      </c>
      <c r="H7769" s="124" t="s">
        <v>8368</v>
      </c>
      <c r="I7769" s="127">
        <v>319.2</v>
      </c>
      <c r="J7769" s="128">
        <v>1596</v>
      </c>
    </row>
    <row r="7770" spans="1:10" hidden="1" x14ac:dyDescent="0.25">
      <c r="A7770" s="124" t="s">
        <v>416</v>
      </c>
      <c r="B7770" s="124" t="s">
        <v>11736</v>
      </c>
      <c r="C7770" s="132"/>
      <c r="D7770" s="125">
        <f t="shared" si="113"/>
        <v>0</v>
      </c>
      <c r="E7770" s="124" t="s">
        <v>8367</v>
      </c>
      <c r="F7770" s="129">
        <v>20000</v>
      </c>
      <c r="G7770" s="128">
        <v>3499.2</v>
      </c>
      <c r="H7770" s="124" t="s">
        <v>8368</v>
      </c>
      <c r="I7770" s="127">
        <v>969.2</v>
      </c>
      <c r="J7770" s="128">
        <v>4846</v>
      </c>
    </row>
    <row r="7771" spans="1:10" hidden="1" x14ac:dyDescent="0.25">
      <c r="A7771" s="124" t="s">
        <v>417</v>
      </c>
      <c r="B7771" s="124" t="s">
        <v>11736</v>
      </c>
      <c r="C7771" s="132"/>
      <c r="D7771" s="125">
        <f t="shared" si="113"/>
        <v>0</v>
      </c>
      <c r="E7771" s="124" t="s">
        <v>8367</v>
      </c>
      <c r="F7771" s="129">
        <v>20000</v>
      </c>
      <c r="G7771" s="128">
        <v>3499.2</v>
      </c>
      <c r="H7771" s="124" t="s">
        <v>8368</v>
      </c>
      <c r="I7771" s="127">
        <v>777.6</v>
      </c>
      <c r="J7771" s="128">
        <v>3888</v>
      </c>
    </row>
    <row r="7772" spans="1:10" hidden="1" x14ac:dyDescent="0.25">
      <c r="A7772" s="124" t="s">
        <v>423</v>
      </c>
      <c r="B7772" s="124" t="s">
        <v>11736</v>
      </c>
      <c r="C7772" s="132"/>
      <c r="D7772" s="125">
        <f t="shared" si="113"/>
        <v>0</v>
      </c>
      <c r="E7772" s="124" t="s">
        <v>8367</v>
      </c>
      <c r="F7772" s="129">
        <v>8000</v>
      </c>
      <c r="G7772" s="128">
        <v>1915.2</v>
      </c>
      <c r="H7772" s="124" t="s">
        <v>8368</v>
      </c>
      <c r="I7772" s="128">
        <v>3858.64</v>
      </c>
      <c r="J7772" s="128">
        <v>19293.18</v>
      </c>
    </row>
    <row r="7773" spans="1:10" hidden="1" x14ac:dyDescent="0.25">
      <c r="A7773" s="124" t="s">
        <v>427</v>
      </c>
      <c r="B7773" s="124" t="s">
        <v>11736</v>
      </c>
      <c r="C7773" s="132"/>
      <c r="D7773" s="125">
        <f t="shared" si="113"/>
        <v>0</v>
      </c>
      <c r="E7773" s="124" t="s">
        <v>8367</v>
      </c>
      <c r="F7773" s="129">
        <v>12000</v>
      </c>
      <c r="G7773" s="128">
        <v>5815.2</v>
      </c>
      <c r="H7773" s="124" t="s">
        <v>8368</v>
      </c>
      <c r="I7773" s="128">
        <v>9435.2000000000007</v>
      </c>
      <c r="J7773" s="128">
        <v>47176</v>
      </c>
    </row>
    <row r="7774" spans="1:10" hidden="1" x14ac:dyDescent="0.25">
      <c r="A7774" s="124" t="s">
        <v>429</v>
      </c>
      <c r="B7774" s="124" t="s">
        <v>11736</v>
      </c>
      <c r="C7774" s="132"/>
      <c r="D7774" s="125">
        <f t="shared" si="113"/>
        <v>0</v>
      </c>
      <c r="E7774" s="124" t="s">
        <v>8367</v>
      </c>
      <c r="F7774" s="129">
        <v>8000</v>
      </c>
      <c r="G7774" s="128">
        <v>4665.6000000000004</v>
      </c>
      <c r="H7774" s="124" t="s">
        <v>8368</v>
      </c>
      <c r="I7774" s="128">
        <v>1067.2</v>
      </c>
      <c r="J7774" s="128">
        <v>5336</v>
      </c>
    </row>
    <row r="7775" spans="1:10" hidden="1" x14ac:dyDescent="0.25">
      <c r="A7775" s="124" t="s">
        <v>434</v>
      </c>
      <c r="B7775" s="124" t="s">
        <v>11736</v>
      </c>
      <c r="C7775" s="132"/>
      <c r="D7775" s="125">
        <f t="shared" si="113"/>
        <v>0</v>
      </c>
      <c r="E7775" s="124" t="s">
        <v>8367</v>
      </c>
      <c r="F7775" s="129">
        <v>21010</v>
      </c>
      <c r="G7775" s="128">
        <v>23151.82</v>
      </c>
      <c r="H7775" s="124" t="s">
        <v>8368</v>
      </c>
      <c r="I7775" s="128">
        <v>2335.8000000000002</v>
      </c>
      <c r="J7775" s="128">
        <v>11679</v>
      </c>
    </row>
    <row r="7776" spans="1:10" hidden="1" x14ac:dyDescent="0.25">
      <c r="A7776" s="124" t="s">
        <v>436</v>
      </c>
      <c r="B7776" s="124" t="s">
        <v>11736</v>
      </c>
      <c r="C7776" s="132"/>
      <c r="D7776" s="125">
        <f t="shared" si="113"/>
        <v>0</v>
      </c>
      <c r="E7776" s="124" t="s">
        <v>8367</v>
      </c>
      <c r="F7776" s="129">
        <v>21000</v>
      </c>
      <c r="G7776" s="128">
        <v>56611.199999999997</v>
      </c>
      <c r="H7776" s="124" t="s">
        <v>8368</v>
      </c>
      <c r="I7776" s="128">
        <v>2710.4</v>
      </c>
      <c r="J7776" s="128">
        <v>13552</v>
      </c>
    </row>
    <row r="7777" spans="1:10" hidden="1" x14ac:dyDescent="0.25">
      <c r="A7777" s="124" t="s">
        <v>454</v>
      </c>
      <c r="B7777" s="124" t="s">
        <v>11736</v>
      </c>
      <c r="C7777" s="132"/>
      <c r="D7777" s="125">
        <f t="shared" si="113"/>
        <v>0</v>
      </c>
      <c r="E7777" s="124" t="s">
        <v>8367</v>
      </c>
      <c r="F7777" s="129">
        <v>16000</v>
      </c>
      <c r="G7777" s="128">
        <v>6403.2</v>
      </c>
      <c r="H7777" s="124" t="s">
        <v>8368</v>
      </c>
      <c r="I7777" s="128">
        <v>1867.8</v>
      </c>
      <c r="J7777" s="128">
        <v>9339</v>
      </c>
    </row>
    <row r="7778" spans="1:10" hidden="1" x14ac:dyDescent="0.25">
      <c r="A7778" s="124" t="s">
        <v>461</v>
      </c>
      <c r="B7778" s="124" t="s">
        <v>11736</v>
      </c>
      <c r="C7778" s="132"/>
      <c r="D7778" s="125">
        <f t="shared" si="113"/>
        <v>0</v>
      </c>
      <c r="E7778" s="124" t="s">
        <v>8367</v>
      </c>
      <c r="F7778" s="129">
        <v>4000</v>
      </c>
      <c r="G7778" s="128">
        <v>14014.8</v>
      </c>
      <c r="H7778" s="124" t="s">
        <v>8368</v>
      </c>
      <c r="I7778" s="128">
        <v>2088</v>
      </c>
      <c r="J7778" s="128">
        <v>10440</v>
      </c>
    </row>
    <row r="7779" spans="1:10" hidden="1" x14ac:dyDescent="0.25">
      <c r="A7779" s="124" t="s">
        <v>538</v>
      </c>
      <c r="B7779" s="124" t="s">
        <v>11736</v>
      </c>
      <c r="C7779" s="132"/>
      <c r="D7779" s="125">
        <f t="shared" si="113"/>
        <v>0</v>
      </c>
      <c r="E7779" s="124" t="s">
        <v>8367</v>
      </c>
      <c r="F7779" s="129">
        <v>4000</v>
      </c>
      <c r="G7779" s="128">
        <v>16262.4</v>
      </c>
      <c r="H7779" s="124" t="s">
        <v>8368</v>
      </c>
      <c r="I7779" s="128">
        <v>2523.6</v>
      </c>
      <c r="J7779" s="128">
        <v>12618</v>
      </c>
    </row>
    <row r="7780" spans="1:10" hidden="1" x14ac:dyDescent="0.25">
      <c r="A7780" s="124" t="s">
        <v>839</v>
      </c>
      <c r="B7780" s="124" t="s">
        <v>11736</v>
      </c>
      <c r="C7780" s="132"/>
      <c r="D7780" s="125">
        <f t="shared" si="113"/>
        <v>0</v>
      </c>
      <c r="E7780" s="124" t="s">
        <v>8367</v>
      </c>
      <c r="F7780" s="129">
        <v>12000</v>
      </c>
      <c r="G7780" s="128">
        <v>11206.8</v>
      </c>
      <c r="H7780" s="124" t="s">
        <v>8368</v>
      </c>
      <c r="I7780" s="128">
        <v>1194.2</v>
      </c>
      <c r="J7780" s="128">
        <v>5971</v>
      </c>
    </row>
    <row r="7781" spans="1:10" hidden="1" x14ac:dyDescent="0.25">
      <c r="A7781" s="124" t="s">
        <v>840</v>
      </c>
      <c r="B7781" s="124" t="s">
        <v>11736</v>
      </c>
      <c r="C7781" s="132"/>
      <c r="D7781" s="125">
        <f t="shared" si="113"/>
        <v>0</v>
      </c>
      <c r="E7781" s="124" t="s">
        <v>8367</v>
      </c>
      <c r="F7781" s="129">
        <v>7000</v>
      </c>
      <c r="G7781" s="128">
        <v>12528</v>
      </c>
      <c r="H7781" s="124" t="s">
        <v>8368</v>
      </c>
      <c r="I7781" s="127">
        <v>223.6</v>
      </c>
      <c r="J7781" s="128">
        <v>1118</v>
      </c>
    </row>
    <row r="7782" spans="1:10" hidden="1" x14ac:dyDescent="0.25">
      <c r="A7782" s="124" t="s">
        <v>851</v>
      </c>
      <c r="B7782" s="124" t="s">
        <v>11736</v>
      </c>
      <c r="C7782" s="132"/>
      <c r="D7782" s="125">
        <f t="shared" si="113"/>
        <v>0</v>
      </c>
      <c r="E7782" s="124" t="s">
        <v>8367</v>
      </c>
      <c r="F7782" s="129">
        <v>12000</v>
      </c>
      <c r="G7782" s="128">
        <v>15141.6</v>
      </c>
      <c r="H7782" s="124" t="s">
        <v>8368</v>
      </c>
      <c r="I7782" s="127">
        <v>190.8</v>
      </c>
      <c r="J7782" s="127">
        <v>954</v>
      </c>
    </row>
    <row r="7783" spans="1:10" hidden="1" x14ac:dyDescent="0.25">
      <c r="A7783" s="124" t="s">
        <v>859</v>
      </c>
      <c r="B7783" s="124" t="s">
        <v>11736</v>
      </c>
      <c r="C7783" s="132"/>
      <c r="D7783" s="125">
        <f t="shared" si="113"/>
        <v>0</v>
      </c>
      <c r="E7783" s="124" t="s">
        <v>8367</v>
      </c>
      <c r="F7783" s="129">
        <v>2000</v>
      </c>
      <c r="G7783" s="128">
        <v>7165.2</v>
      </c>
      <c r="H7783" s="124" t="s">
        <v>8368</v>
      </c>
      <c r="I7783" s="127">
        <v>255.4</v>
      </c>
      <c r="J7783" s="128">
        <v>1277</v>
      </c>
    </row>
    <row r="7784" spans="1:10" hidden="1" x14ac:dyDescent="0.25">
      <c r="A7784" s="124" t="s">
        <v>1272</v>
      </c>
      <c r="B7784" s="124" t="s">
        <v>11736</v>
      </c>
      <c r="C7784" s="132"/>
      <c r="D7784" s="125">
        <f t="shared" si="113"/>
        <v>0</v>
      </c>
      <c r="E7784" s="124" t="s">
        <v>8367</v>
      </c>
      <c r="F7784" s="129">
        <v>20000</v>
      </c>
      <c r="G7784" s="128">
        <v>1341.6</v>
      </c>
      <c r="H7784" s="124" t="s">
        <v>8368</v>
      </c>
      <c r="I7784" s="127">
        <v>567</v>
      </c>
      <c r="J7784" s="128">
        <v>2835</v>
      </c>
    </row>
    <row r="7785" spans="1:10" hidden="1" x14ac:dyDescent="0.25">
      <c r="A7785" s="124" t="s">
        <v>1273</v>
      </c>
      <c r="B7785" s="124" t="s">
        <v>11736</v>
      </c>
      <c r="C7785" s="132"/>
      <c r="D7785" s="125">
        <f t="shared" si="113"/>
        <v>0</v>
      </c>
      <c r="E7785" s="124" t="s">
        <v>8367</v>
      </c>
      <c r="F7785" s="129">
        <v>20000</v>
      </c>
      <c r="G7785" s="128">
        <v>1144.8</v>
      </c>
      <c r="H7785" s="124" t="s">
        <v>8368</v>
      </c>
      <c r="I7785" s="127">
        <v>415</v>
      </c>
      <c r="J7785" s="128">
        <v>2075</v>
      </c>
    </row>
    <row r="7786" spans="1:10" hidden="1" x14ac:dyDescent="0.25">
      <c r="A7786" s="124" t="s">
        <v>1275</v>
      </c>
      <c r="B7786" s="124" t="s">
        <v>11736</v>
      </c>
      <c r="C7786" s="132"/>
      <c r="D7786" s="125">
        <f t="shared" si="113"/>
        <v>0</v>
      </c>
      <c r="E7786" s="124" t="s">
        <v>8367</v>
      </c>
      <c r="F7786" s="129">
        <v>20000</v>
      </c>
      <c r="G7786" s="128">
        <v>1532.4</v>
      </c>
      <c r="H7786" s="124" t="s">
        <v>8368</v>
      </c>
      <c r="I7786" s="127">
        <v>499.8</v>
      </c>
      <c r="J7786" s="128">
        <v>2499</v>
      </c>
    </row>
    <row r="7787" spans="1:10" hidden="1" x14ac:dyDescent="0.25">
      <c r="A7787" s="124" t="s">
        <v>1276</v>
      </c>
      <c r="B7787" s="124" t="s">
        <v>11736</v>
      </c>
      <c r="C7787" s="132"/>
      <c r="D7787" s="125">
        <f t="shared" si="113"/>
        <v>0</v>
      </c>
      <c r="E7787" s="124" t="s">
        <v>8367</v>
      </c>
      <c r="F7787" s="129">
        <v>50000</v>
      </c>
      <c r="G7787" s="128">
        <v>3402</v>
      </c>
      <c r="H7787" s="124" t="s">
        <v>8368</v>
      </c>
      <c r="I7787" s="128">
        <v>1530.4</v>
      </c>
      <c r="J7787" s="128">
        <v>7652</v>
      </c>
    </row>
    <row r="7788" spans="1:10" hidden="1" x14ac:dyDescent="0.25">
      <c r="A7788" s="124" t="s">
        <v>1277</v>
      </c>
      <c r="B7788" s="124" t="s">
        <v>11736</v>
      </c>
      <c r="C7788" s="132"/>
      <c r="D7788" s="125">
        <f t="shared" si="113"/>
        <v>0</v>
      </c>
      <c r="E7788" s="124" t="s">
        <v>8367</v>
      </c>
      <c r="F7788" s="129">
        <v>40000</v>
      </c>
      <c r="G7788" s="128">
        <v>2490</v>
      </c>
      <c r="H7788" s="124" t="s">
        <v>8368</v>
      </c>
      <c r="I7788" s="127">
        <v>273</v>
      </c>
      <c r="J7788" s="128">
        <v>1365</v>
      </c>
    </row>
    <row r="7789" spans="1:10" hidden="1" x14ac:dyDescent="0.25">
      <c r="A7789" s="124" t="s">
        <v>1278</v>
      </c>
      <c r="B7789" s="124" t="s">
        <v>11736</v>
      </c>
      <c r="C7789" s="132"/>
      <c r="D7789" s="125">
        <f t="shared" si="113"/>
        <v>0</v>
      </c>
      <c r="E7789" s="124" t="s">
        <v>8367</v>
      </c>
      <c r="F7789" s="129">
        <v>50000</v>
      </c>
      <c r="G7789" s="128">
        <v>2998.8</v>
      </c>
      <c r="H7789" s="124" t="s">
        <v>8368</v>
      </c>
      <c r="I7789" s="127">
        <v>273</v>
      </c>
      <c r="J7789" s="128">
        <v>1365</v>
      </c>
    </row>
    <row r="7790" spans="1:10" hidden="1" x14ac:dyDescent="0.25">
      <c r="A7790" s="124" t="s">
        <v>1280</v>
      </c>
      <c r="B7790" s="124" t="s">
        <v>11736</v>
      </c>
      <c r="C7790" s="132"/>
      <c r="D7790" s="125">
        <f t="shared" si="113"/>
        <v>0</v>
      </c>
      <c r="E7790" s="124" t="s">
        <v>8367</v>
      </c>
      <c r="F7790" s="129">
        <v>150000</v>
      </c>
      <c r="G7790" s="128">
        <v>9182.4</v>
      </c>
      <c r="H7790" s="124" t="s">
        <v>8368</v>
      </c>
      <c r="I7790" s="127">
        <v>364</v>
      </c>
      <c r="J7790" s="128">
        <v>1820</v>
      </c>
    </row>
    <row r="7791" spans="1:10" hidden="1" x14ac:dyDescent="0.25">
      <c r="A7791" s="124" t="s">
        <v>1282</v>
      </c>
      <c r="B7791" s="124" t="s">
        <v>11736</v>
      </c>
      <c r="C7791" s="132"/>
      <c r="D7791" s="125">
        <f t="shared" si="113"/>
        <v>0</v>
      </c>
      <c r="E7791" s="124" t="s">
        <v>8367</v>
      </c>
      <c r="F7791" s="129">
        <v>20000</v>
      </c>
      <c r="G7791" s="128">
        <v>1638</v>
      </c>
      <c r="H7791" s="124" t="s">
        <v>8368</v>
      </c>
      <c r="I7791" s="127">
        <v>223.6</v>
      </c>
      <c r="J7791" s="128">
        <v>1118</v>
      </c>
    </row>
    <row r="7792" spans="1:10" hidden="1" x14ac:dyDescent="0.25">
      <c r="A7792" s="124" t="s">
        <v>1285</v>
      </c>
      <c r="B7792" s="124" t="s">
        <v>11736</v>
      </c>
      <c r="C7792" s="132"/>
      <c r="D7792" s="125">
        <f t="shared" si="113"/>
        <v>0</v>
      </c>
      <c r="E7792" s="124" t="s">
        <v>8367</v>
      </c>
      <c r="F7792" s="129">
        <v>20000</v>
      </c>
      <c r="G7792" s="128">
        <v>1638</v>
      </c>
      <c r="H7792" s="124" t="s">
        <v>8368</v>
      </c>
      <c r="I7792" s="127">
        <v>190.8</v>
      </c>
      <c r="J7792" s="127">
        <v>954</v>
      </c>
    </row>
    <row r="7793" spans="1:10" hidden="1" x14ac:dyDescent="0.25">
      <c r="A7793" s="124" t="s">
        <v>1286</v>
      </c>
      <c r="B7793" s="124" t="s">
        <v>11736</v>
      </c>
      <c r="C7793" s="132"/>
      <c r="D7793" s="125">
        <f t="shared" si="113"/>
        <v>0</v>
      </c>
      <c r="E7793" s="124" t="s">
        <v>8367</v>
      </c>
      <c r="F7793" s="129">
        <v>30000</v>
      </c>
      <c r="G7793" s="128">
        <v>2184</v>
      </c>
      <c r="H7793" s="124" t="s">
        <v>8368</v>
      </c>
      <c r="I7793" s="127">
        <v>680.74</v>
      </c>
      <c r="J7793" s="128">
        <v>3403.7</v>
      </c>
    </row>
    <row r="7794" spans="1:10" hidden="1" x14ac:dyDescent="0.25">
      <c r="A7794" s="124" t="s">
        <v>1287</v>
      </c>
      <c r="B7794" s="124" t="s">
        <v>11736</v>
      </c>
      <c r="C7794" s="132"/>
      <c r="D7794" s="125">
        <f t="shared" ref="D7794:D7825" si="114">COUNTIF(A3354:A7793,A7794)</f>
        <v>0</v>
      </c>
      <c r="E7794" s="124" t="s">
        <v>8367</v>
      </c>
      <c r="F7794" s="129">
        <v>20000</v>
      </c>
      <c r="G7794" s="128">
        <v>1341.6</v>
      </c>
      <c r="H7794" s="124" t="s">
        <v>8368</v>
      </c>
      <c r="I7794" s="127">
        <v>383.4</v>
      </c>
      <c r="J7794" s="128">
        <v>1917</v>
      </c>
    </row>
    <row r="7795" spans="1:10" hidden="1" x14ac:dyDescent="0.25">
      <c r="A7795" s="124" t="s">
        <v>1288</v>
      </c>
      <c r="B7795" s="124" t="s">
        <v>11736</v>
      </c>
      <c r="C7795" s="132"/>
      <c r="D7795" s="125">
        <f t="shared" si="114"/>
        <v>0</v>
      </c>
      <c r="E7795" s="124" t="s">
        <v>8367</v>
      </c>
      <c r="F7795" s="129">
        <v>20000</v>
      </c>
      <c r="G7795" s="128">
        <v>1144.8</v>
      </c>
      <c r="H7795" s="124" t="s">
        <v>8368</v>
      </c>
      <c r="I7795" s="127">
        <v>208.6</v>
      </c>
      <c r="J7795" s="128">
        <v>1043</v>
      </c>
    </row>
    <row r="7796" spans="1:10" hidden="1" x14ac:dyDescent="0.25">
      <c r="A7796" s="124" t="s">
        <v>1291</v>
      </c>
      <c r="B7796" s="124" t="s">
        <v>11736</v>
      </c>
      <c r="C7796" s="132"/>
      <c r="D7796" s="125">
        <f t="shared" si="114"/>
        <v>0</v>
      </c>
      <c r="E7796" s="124" t="s">
        <v>8367</v>
      </c>
      <c r="F7796" s="129">
        <v>60030</v>
      </c>
      <c r="G7796" s="128">
        <v>4084.44</v>
      </c>
      <c r="H7796" s="124" t="s">
        <v>8368</v>
      </c>
      <c r="I7796" s="127">
        <v>240</v>
      </c>
      <c r="J7796" s="128">
        <v>1200</v>
      </c>
    </row>
    <row r="7797" spans="1:10" hidden="1" x14ac:dyDescent="0.25">
      <c r="A7797" s="124" t="s">
        <v>1294</v>
      </c>
      <c r="B7797" s="124" t="s">
        <v>11736</v>
      </c>
      <c r="C7797" s="132"/>
      <c r="D7797" s="125">
        <f t="shared" si="114"/>
        <v>0</v>
      </c>
      <c r="E7797" s="124" t="s">
        <v>8367</v>
      </c>
      <c r="F7797" s="129">
        <v>30000</v>
      </c>
      <c r="G7797" s="128">
        <v>2300.4</v>
      </c>
      <c r="H7797" s="124" t="s">
        <v>8368</v>
      </c>
      <c r="I7797" s="127">
        <v>223.6</v>
      </c>
      <c r="J7797" s="128">
        <v>1118</v>
      </c>
    </row>
    <row r="7798" spans="1:10" hidden="1" x14ac:dyDescent="0.25">
      <c r="A7798" s="124" t="s">
        <v>1295</v>
      </c>
      <c r="B7798" s="124" t="s">
        <v>11736</v>
      </c>
      <c r="C7798" s="132"/>
      <c r="D7798" s="125">
        <f t="shared" si="114"/>
        <v>0</v>
      </c>
      <c r="E7798" s="124" t="s">
        <v>8367</v>
      </c>
      <c r="F7798" s="129">
        <v>18863</v>
      </c>
      <c r="G7798" s="128">
        <v>1251.5999999999999</v>
      </c>
      <c r="H7798" s="124" t="s">
        <v>8368</v>
      </c>
      <c r="I7798" s="127">
        <v>174.4</v>
      </c>
      <c r="J7798" s="127">
        <v>872</v>
      </c>
    </row>
    <row r="7799" spans="1:10" hidden="1" x14ac:dyDescent="0.25">
      <c r="A7799" s="124" t="s">
        <v>1297</v>
      </c>
      <c r="B7799" s="124" t="s">
        <v>11736</v>
      </c>
      <c r="C7799" s="132"/>
      <c r="D7799" s="125">
        <f t="shared" si="114"/>
        <v>0</v>
      </c>
      <c r="E7799" s="124" t="s">
        <v>8367</v>
      </c>
      <c r="F7799" s="129">
        <v>20000</v>
      </c>
      <c r="G7799" s="128">
        <v>1440</v>
      </c>
      <c r="H7799" s="124" t="s">
        <v>8368</v>
      </c>
      <c r="I7799" s="127">
        <v>223.6</v>
      </c>
      <c r="J7799" s="128">
        <v>1118</v>
      </c>
    </row>
    <row r="7800" spans="1:10" hidden="1" x14ac:dyDescent="0.25">
      <c r="A7800" s="124" t="s">
        <v>1300</v>
      </c>
      <c r="B7800" s="124" t="s">
        <v>11736</v>
      </c>
      <c r="C7800" s="132"/>
      <c r="D7800" s="125">
        <f t="shared" si="114"/>
        <v>0</v>
      </c>
      <c r="E7800" s="124" t="s">
        <v>8367</v>
      </c>
      <c r="F7800" s="129">
        <v>20000</v>
      </c>
      <c r="G7800" s="128">
        <v>1341.6</v>
      </c>
      <c r="H7800" s="124" t="s">
        <v>8368</v>
      </c>
      <c r="I7800" s="127">
        <v>240</v>
      </c>
      <c r="J7800" s="128">
        <v>1200</v>
      </c>
    </row>
    <row r="7801" spans="1:10" hidden="1" x14ac:dyDescent="0.25">
      <c r="A7801" s="124" t="s">
        <v>1302</v>
      </c>
      <c r="B7801" s="124" t="s">
        <v>11736</v>
      </c>
      <c r="C7801" s="132"/>
      <c r="D7801" s="125">
        <f t="shared" si="114"/>
        <v>0</v>
      </c>
      <c r="E7801" s="124" t="s">
        <v>8367</v>
      </c>
      <c r="F7801" s="129">
        <v>20000</v>
      </c>
      <c r="G7801" s="128">
        <v>1046.4000000000001</v>
      </c>
      <c r="H7801" s="124" t="s">
        <v>8368</v>
      </c>
      <c r="I7801" s="127">
        <v>240</v>
      </c>
      <c r="J7801" s="128">
        <v>1200</v>
      </c>
    </row>
    <row r="7802" spans="1:10" hidden="1" x14ac:dyDescent="0.25">
      <c r="A7802" s="124" t="s">
        <v>1305</v>
      </c>
      <c r="B7802" s="124" t="s">
        <v>11736</v>
      </c>
      <c r="C7802" s="132"/>
      <c r="D7802" s="125">
        <f t="shared" si="114"/>
        <v>0</v>
      </c>
      <c r="E7802" s="124" t="s">
        <v>8367</v>
      </c>
      <c r="F7802" s="129">
        <v>20000</v>
      </c>
      <c r="G7802" s="128">
        <v>1341.6</v>
      </c>
      <c r="H7802" s="124" t="s">
        <v>8368</v>
      </c>
      <c r="I7802" s="127">
        <v>599</v>
      </c>
      <c r="J7802" s="128">
        <v>2995</v>
      </c>
    </row>
    <row r="7803" spans="1:10" hidden="1" x14ac:dyDescent="0.25">
      <c r="A7803" s="124" t="s">
        <v>1308</v>
      </c>
      <c r="B7803" s="124" t="s">
        <v>11736</v>
      </c>
      <c r="C7803" s="132"/>
      <c r="D7803" s="125">
        <f t="shared" si="114"/>
        <v>0</v>
      </c>
      <c r="E7803" s="124" t="s">
        <v>8367</v>
      </c>
      <c r="F7803" s="129">
        <v>20000</v>
      </c>
      <c r="G7803" s="128">
        <v>1440</v>
      </c>
      <c r="H7803" s="124" t="s">
        <v>8368</v>
      </c>
      <c r="I7803" s="127">
        <v>289.39999999999998</v>
      </c>
      <c r="J7803" s="128">
        <v>1447</v>
      </c>
    </row>
    <row r="7804" spans="1:10" hidden="1" x14ac:dyDescent="0.25">
      <c r="A7804" s="124" t="s">
        <v>1312</v>
      </c>
      <c r="B7804" s="124" t="s">
        <v>11736</v>
      </c>
      <c r="C7804" s="132"/>
      <c r="D7804" s="125">
        <f t="shared" si="114"/>
        <v>0</v>
      </c>
      <c r="E7804" s="124" t="s">
        <v>8367</v>
      </c>
      <c r="F7804" s="129">
        <v>20000</v>
      </c>
      <c r="G7804" s="128">
        <v>1440</v>
      </c>
      <c r="H7804" s="124" t="s">
        <v>8368</v>
      </c>
      <c r="I7804" s="127">
        <v>174.4</v>
      </c>
      <c r="J7804" s="127">
        <v>872</v>
      </c>
    </row>
    <row r="7805" spans="1:10" hidden="1" x14ac:dyDescent="0.25">
      <c r="A7805" s="124" t="s">
        <v>1315</v>
      </c>
      <c r="B7805" s="124" t="s">
        <v>11736</v>
      </c>
      <c r="C7805" s="132"/>
      <c r="D7805" s="125">
        <f t="shared" si="114"/>
        <v>0</v>
      </c>
      <c r="E7805" s="124" t="s">
        <v>8367</v>
      </c>
      <c r="F7805" s="129">
        <v>60000</v>
      </c>
      <c r="G7805" s="128">
        <v>3594</v>
      </c>
      <c r="H7805" s="124" t="s">
        <v>8368</v>
      </c>
      <c r="I7805" s="127">
        <v>240</v>
      </c>
      <c r="J7805" s="128">
        <v>1200</v>
      </c>
    </row>
    <row r="7806" spans="1:10" hidden="1" x14ac:dyDescent="0.25">
      <c r="A7806" s="124" t="s">
        <v>1320</v>
      </c>
      <c r="B7806" s="124" t="s">
        <v>11736</v>
      </c>
      <c r="C7806" s="132"/>
      <c r="D7806" s="125">
        <f t="shared" si="114"/>
        <v>0</v>
      </c>
      <c r="E7806" s="124" t="s">
        <v>8367</v>
      </c>
      <c r="F7806" s="129">
        <v>20000</v>
      </c>
      <c r="G7806" s="128">
        <v>1736.4</v>
      </c>
      <c r="H7806" s="124" t="s">
        <v>8368</v>
      </c>
      <c r="I7806" s="127">
        <v>223.6</v>
      </c>
      <c r="J7806" s="128">
        <v>1118</v>
      </c>
    </row>
    <row r="7807" spans="1:10" hidden="1" x14ac:dyDescent="0.25">
      <c r="A7807" s="124" t="s">
        <v>1328</v>
      </c>
      <c r="B7807" s="124" t="s">
        <v>11736</v>
      </c>
      <c r="C7807" s="132"/>
      <c r="D7807" s="125">
        <f t="shared" si="114"/>
        <v>0</v>
      </c>
      <c r="E7807" s="124" t="s">
        <v>8367</v>
      </c>
      <c r="F7807" s="129">
        <v>20000</v>
      </c>
      <c r="G7807" s="128">
        <v>1046.4000000000001</v>
      </c>
      <c r="H7807" s="124" t="s">
        <v>8368</v>
      </c>
      <c r="I7807" s="127">
        <v>190.8</v>
      </c>
      <c r="J7807" s="127">
        <v>954</v>
      </c>
    </row>
    <row r="7808" spans="1:10" hidden="1" x14ac:dyDescent="0.25">
      <c r="A7808" s="124" t="s">
        <v>1329</v>
      </c>
      <c r="B7808" s="124" t="s">
        <v>11736</v>
      </c>
      <c r="C7808" s="132"/>
      <c r="D7808" s="125">
        <f t="shared" si="114"/>
        <v>0</v>
      </c>
      <c r="E7808" s="124" t="s">
        <v>8367</v>
      </c>
      <c r="F7808" s="129">
        <v>20000</v>
      </c>
      <c r="G7808" s="128">
        <v>1440</v>
      </c>
      <c r="H7808" s="124" t="s">
        <v>8368</v>
      </c>
      <c r="I7808" s="127">
        <v>323.92</v>
      </c>
      <c r="J7808" s="128">
        <v>1619.62</v>
      </c>
    </row>
    <row r="7809" spans="1:10" hidden="1" x14ac:dyDescent="0.25">
      <c r="A7809" s="124" t="s">
        <v>1292</v>
      </c>
      <c r="B7809" s="124" t="s">
        <v>11736</v>
      </c>
      <c r="C7809" s="132"/>
      <c r="D7809" s="125">
        <f t="shared" si="114"/>
        <v>0</v>
      </c>
      <c r="E7809" s="124" t="s">
        <v>8367</v>
      </c>
      <c r="F7809" s="129">
        <v>20000</v>
      </c>
      <c r="G7809" s="128">
        <v>1341.6</v>
      </c>
      <c r="H7809" s="124" t="s">
        <v>8368</v>
      </c>
      <c r="I7809" s="127">
        <v>256.39999999999998</v>
      </c>
      <c r="J7809" s="128">
        <v>1282</v>
      </c>
    </row>
    <row r="7810" spans="1:10" hidden="1" x14ac:dyDescent="0.25">
      <c r="A7810" s="124" t="s">
        <v>1289</v>
      </c>
      <c r="B7810" s="124" t="s">
        <v>11736</v>
      </c>
      <c r="C7810" s="132"/>
      <c r="D7810" s="125">
        <f t="shared" si="114"/>
        <v>0</v>
      </c>
      <c r="E7810" s="124" t="s">
        <v>8367</v>
      </c>
      <c r="F7810" s="129">
        <v>20000</v>
      </c>
      <c r="G7810" s="128">
        <v>1144.8</v>
      </c>
      <c r="H7810" s="124" t="s">
        <v>8368</v>
      </c>
      <c r="I7810" s="127">
        <v>223.6</v>
      </c>
      <c r="J7810" s="128">
        <v>1118</v>
      </c>
    </row>
    <row r="7811" spans="1:10" hidden="1" x14ac:dyDescent="0.25">
      <c r="A7811" s="124" t="s">
        <v>1290</v>
      </c>
      <c r="B7811" s="124" t="s">
        <v>11736</v>
      </c>
      <c r="C7811" s="132"/>
      <c r="D7811" s="125">
        <f t="shared" si="114"/>
        <v>0</v>
      </c>
      <c r="E7811" s="124" t="s">
        <v>8367</v>
      </c>
      <c r="F7811" s="129">
        <v>30030</v>
      </c>
      <c r="G7811" s="128">
        <v>1943.54</v>
      </c>
      <c r="H7811" s="124" t="s">
        <v>8368</v>
      </c>
      <c r="I7811" s="127">
        <v>223.6</v>
      </c>
      <c r="J7811" s="128">
        <v>1118</v>
      </c>
    </row>
    <row r="7812" spans="1:10" hidden="1" x14ac:dyDescent="0.25">
      <c r="A7812" s="124" t="s">
        <v>1299</v>
      </c>
      <c r="B7812" s="124" t="s">
        <v>11736</v>
      </c>
      <c r="C7812" s="132"/>
      <c r="D7812" s="125">
        <f t="shared" si="114"/>
        <v>0</v>
      </c>
      <c r="E7812" s="124" t="s">
        <v>8367</v>
      </c>
      <c r="F7812" s="129">
        <v>20000</v>
      </c>
      <c r="G7812" s="128">
        <v>1538.4</v>
      </c>
      <c r="H7812" s="124" t="s">
        <v>8368</v>
      </c>
      <c r="I7812" s="127">
        <v>223.6</v>
      </c>
      <c r="J7812" s="128">
        <v>1118</v>
      </c>
    </row>
    <row r="7813" spans="1:10" hidden="1" x14ac:dyDescent="0.25">
      <c r="A7813" s="124" t="s">
        <v>1304</v>
      </c>
      <c r="B7813" s="124" t="s">
        <v>11736</v>
      </c>
      <c r="C7813" s="132"/>
      <c r="D7813" s="125">
        <f t="shared" si="114"/>
        <v>0</v>
      </c>
      <c r="E7813" s="124" t="s">
        <v>8367</v>
      </c>
      <c r="F7813" s="129">
        <v>20000</v>
      </c>
      <c r="G7813" s="128">
        <v>1341.6</v>
      </c>
      <c r="H7813" s="124" t="s">
        <v>8368</v>
      </c>
      <c r="I7813" s="127">
        <v>273</v>
      </c>
      <c r="J7813" s="128">
        <v>1365</v>
      </c>
    </row>
    <row r="7814" spans="1:10" hidden="1" x14ac:dyDescent="0.25">
      <c r="A7814" s="124" t="s">
        <v>1306</v>
      </c>
      <c r="B7814" s="124" t="s">
        <v>11736</v>
      </c>
      <c r="C7814" s="132"/>
      <c r="D7814" s="125">
        <f t="shared" si="114"/>
        <v>0</v>
      </c>
      <c r="E7814" s="124" t="s">
        <v>8367</v>
      </c>
      <c r="F7814" s="129">
        <v>20000</v>
      </c>
      <c r="G7814" s="128">
        <v>1341.6</v>
      </c>
      <c r="H7814" s="124" t="s">
        <v>8368</v>
      </c>
      <c r="I7814" s="127">
        <v>174.4</v>
      </c>
      <c r="J7814" s="127">
        <v>872</v>
      </c>
    </row>
    <row r="7815" spans="1:10" hidden="1" x14ac:dyDescent="0.25">
      <c r="A7815" s="124" t="s">
        <v>1307</v>
      </c>
      <c r="B7815" s="124" t="s">
        <v>11736</v>
      </c>
      <c r="C7815" s="132"/>
      <c r="D7815" s="125">
        <f t="shared" si="114"/>
        <v>0</v>
      </c>
      <c r="E7815" s="124" t="s">
        <v>8367</v>
      </c>
      <c r="F7815" s="129">
        <v>20000</v>
      </c>
      <c r="G7815" s="128">
        <v>1341.6</v>
      </c>
      <c r="H7815" s="124" t="s">
        <v>8368</v>
      </c>
      <c r="I7815" s="127">
        <v>223.6</v>
      </c>
      <c r="J7815" s="128">
        <v>1118</v>
      </c>
    </row>
    <row r="7816" spans="1:10" hidden="1" x14ac:dyDescent="0.25">
      <c r="A7816" s="124" t="s">
        <v>1309</v>
      </c>
      <c r="B7816" s="124" t="s">
        <v>11736</v>
      </c>
      <c r="C7816" s="132"/>
      <c r="D7816" s="125">
        <f t="shared" si="114"/>
        <v>0</v>
      </c>
      <c r="E7816" s="124" t="s">
        <v>8367</v>
      </c>
      <c r="F7816" s="129">
        <v>20000</v>
      </c>
      <c r="G7816" s="128">
        <v>1638</v>
      </c>
      <c r="H7816" s="124" t="s">
        <v>8368</v>
      </c>
      <c r="I7816" s="127">
        <v>364</v>
      </c>
      <c r="J7816" s="128">
        <v>1820</v>
      </c>
    </row>
    <row r="7817" spans="1:10" hidden="1" x14ac:dyDescent="0.25">
      <c r="A7817" s="124" t="s">
        <v>1311</v>
      </c>
      <c r="B7817" s="124" t="s">
        <v>11736</v>
      </c>
      <c r="C7817" s="132"/>
      <c r="D7817" s="125">
        <f t="shared" si="114"/>
        <v>0</v>
      </c>
      <c r="E7817" s="124" t="s">
        <v>8367</v>
      </c>
      <c r="F7817" s="129">
        <v>20000</v>
      </c>
      <c r="G7817" s="128">
        <v>1046.4000000000001</v>
      </c>
      <c r="H7817" s="124" t="s">
        <v>8368</v>
      </c>
      <c r="I7817" s="127">
        <v>223.6</v>
      </c>
      <c r="J7817" s="128">
        <v>1118</v>
      </c>
    </row>
    <row r="7818" spans="1:10" hidden="1" x14ac:dyDescent="0.25">
      <c r="A7818" s="124" t="s">
        <v>1318</v>
      </c>
      <c r="B7818" s="124" t="s">
        <v>11736</v>
      </c>
      <c r="C7818" s="132"/>
      <c r="D7818" s="125">
        <f t="shared" si="114"/>
        <v>0</v>
      </c>
      <c r="E7818" s="124" t="s">
        <v>8367</v>
      </c>
      <c r="F7818" s="129">
        <v>20000</v>
      </c>
      <c r="G7818" s="128">
        <v>1341.6</v>
      </c>
      <c r="H7818" s="124" t="s">
        <v>8368</v>
      </c>
      <c r="I7818" s="127">
        <v>131.6</v>
      </c>
      <c r="J7818" s="127">
        <v>658</v>
      </c>
    </row>
    <row r="7819" spans="1:10" hidden="1" x14ac:dyDescent="0.25">
      <c r="A7819" s="124" t="s">
        <v>1319</v>
      </c>
      <c r="B7819" s="124" t="s">
        <v>11736</v>
      </c>
      <c r="C7819" s="132"/>
      <c r="D7819" s="125">
        <f t="shared" si="114"/>
        <v>0</v>
      </c>
      <c r="E7819" s="124" t="s">
        <v>8367</v>
      </c>
      <c r="F7819" s="129">
        <v>30000</v>
      </c>
      <c r="G7819" s="128">
        <v>2184</v>
      </c>
      <c r="H7819" s="124" t="s">
        <v>8368</v>
      </c>
      <c r="I7819" s="127">
        <v>422</v>
      </c>
      <c r="J7819" s="128">
        <v>2110</v>
      </c>
    </row>
    <row r="7820" spans="1:10" hidden="1" x14ac:dyDescent="0.25">
      <c r="A7820" s="124" t="s">
        <v>1321</v>
      </c>
      <c r="B7820" s="124" t="s">
        <v>11736</v>
      </c>
      <c r="C7820" s="132"/>
      <c r="D7820" s="125">
        <f t="shared" si="114"/>
        <v>0</v>
      </c>
      <c r="E7820" s="124" t="s">
        <v>8367</v>
      </c>
      <c r="F7820" s="129">
        <v>20000</v>
      </c>
      <c r="G7820" s="128">
        <v>1341.6</v>
      </c>
      <c r="H7820" s="124" t="s">
        <v>8368</v>
      </c>
      <c r="I7820" s="127">
        <v>240</v>
      </c>
      <c r="J7820" s="128">
        <v>1200</v>
      </c>
    </row>
    <row r="7821" spans="1:10" hidden="1" x14ac:dyDescent="0.25">
      <c r="A7821" s="124" t="s">
        <v>10163</v>
      </c>
      <c r="B7821" s="124" t="s">
        <v>11736</v>
      </c>
      <c r="C7821" s="132"/>
      <c r="D7821" s="125">
        <f t="shared" si="114"/>
        <v>0</v>
      </c>
      <c r="E7821" s="124" t="s">
        <v>8367</v>
      </c>
      <c r="F7821" s="129">
        <v>10000</v>
      </c>
      <c r="G7821" s="127">
        <v>789.6</v>
      </c>
      <c r="H7821" s="124" t="s">
        <v>8368</v>
      </c>
      <c r="I7821" s="127">
        <v>144.80000000000001</v>
      </c>
      <c r="J7821" s="127">
        <v>724</v>
      </c>
    </row>
    <row r="7822" spans="1:10" hidden="1" x14ac:dyDescent="0.25">
      <c r="A7822" s="124" t="s">
        <v>1326</v>
      </c>
      <c r="B7822" s="124" t="s">
        <v>11736</v>
      </c>
      <c r="C7822" s="132"/>
      <c r="D7822" s="125">
        <f t="shared" si="114"/>
        <v>0</v>
      </c>
      <c r="E7822" s="124" t="s">
        <v>8367</v>
      </c>
      <c r="F7822" s="129">
        <v>40000</v>
      </c>
      <c r="G7822" s="128">
        <v>2532</v>
      </c>
      <c r="H7822" s="124" t="s">
        <v>8368</v>
      </c>
      <c r="I7822" s="127">
        <v>117.2</v>
      </c>
      <c r="J7822" s="127">
        <v>586</v>
      </c>
    </row>
    <row r="7823" spans="1:10" hidden="1" x14ac:dyDescent="0.25">
      <c r="A7823" s="124" t="s">
        <v>1330</v>
      </c>
      <c r="B7823" s="124" t="s">
        <v>11736</v>
      </c>
      <c r="C7823" s="132"/>
      <c r="D7823" s="125">
        <f t="shared" si="114"/>
        <v>0</v>
      </c>
      <c r="E7823" s="124" t="s">
        <v>8367</v>
      </c>
      <c r="F7823" s="129">
        <v>20000</v>
      </c>
      <c r="G7823" s="128">
        <v>1440</v>
      </c>
      <c r="H7823" s="124" t="s">
        <v>8368</v>
      </c>
      <c r="I7823" s="127">
        <v>868</v>
      </c>
      <c r="J7823" s="128">
        <v>4340</v>
      </c>
    </row>
    <row r="7824" spans="1:10" hidden="1" x14ac:dyDescent="0.25">
      <c r="A7824" s="124" t="s">
        <v>1333</v>
      </c>
      <c r="B7824" s="124" t="s">
        <v>11736</v>
      </c>
      <c r="C7824" s="132"/>
      <c r="D7824" s="125">
        <f t="shared" si="114"/>
        <v>0</v>
      </c>
      <c r="E7824" s="124" t="s">
        <v>8367</v>
      </c>
      <c r="F7824" s="129">
        <v>15000</v>
      </c>
      <c r="G7824" s="127">
        <v>868.8</v>
      </c>
      <c r="H7824" s="124" t="s">
        <v>8368</v>
      </c>
      <c r="I7824" s="128">
        <v>1379.77</v>
      </c>
      <c r="J7824" s="128">
        <v>6898.86</v>
      </c>
    </row>
    <row r="7825" spans="1:10" hidden="1" x14ac:dyDescent="0.25">
      <c r="A7825" s="124" t="s">
        <v>1347</v>
      </c>
      <c r="B7825" s="124" t="s">
        <v>11736</v>
      </c>
      <c r="C7825" s="132"/>
      <c r="D7825" s="125">
        <f t="shared" si="114"/>
        <v>0</v>
      </c>
      <c r="E7825" s="124" t="s">
        <v>8367</v>
      </c>
      <c r="F7825" s="129">
        <v>6000</v>
      </c>
      <c r="G7825" s="127">
        <v>703.2</v>
      </c>
      <c r="H7825" s="124" t="s">
        <v>8368</v>
      </c>
      <c r="I7825" s="127">
        <v>636.58000000000004</v>
      </c>
      <c r="J7825" s="128">
        <v>3182.92</v>
      </c>
    </row>
    <row r="7826" spans="1:10" hidden="1" x14ac:dyDescent="0.25">
      <c r="A7826" s="124" t="s">
        <v>10164</v>
      </c>
      <c r="B7826" s="124" t="s">
        <v>11736</v>
      </c>
      <c r="C7826" s="132"/>
      <c r="D7826" s="125">
        <f t="shared" ref="D7826:D7828" si="115">COUNTIF(A3386:A7825,A7826)</f>
        <v>0</v>
      </c>
      <c r="E7826" s="124" t="s">
        <v>8627</v>
      </c>
      <c r="F7826" s="126">
        <v>1</v>
      </c>
      <c r="G7826" s="128">
        <v>5208</v>
      </c>
      <c r="H7826" s="124" t="s">
        <v>8368</v>
      </c>
      <c r="I7826" s="128">
        <v>1146.6400000000001</v>
      </c>
      <c r="J7826" s="128">
        <v>5733.2</v>
      </c>
    </row>
    <row r="7827" spans="1:10" hidden="1" x14ac:dyDescent="0.25">
      <c r="A7827" s="124" t="s">
        <v>10165</v>
      </c>
      <c r="B7827" s="124" t="s">
        <v>11736</v>
      </c>
      <c r="C7827" s="132"/>
      <c r="D7827" s="125">
        <f t="shared" si="115"/>
        <v>0</v>
      </c>
      <c r="E7827" s="124" t="s">
        <v>8457</v>
      </c>
      <c r="F7827" s="126">
        <v>120</v>
      </c>
      <c r="G7827" s="128">
        <v>8278.6299999999992</v>
      </c>
      <c r="H7827" s="124" t="s">
        <v>8368</v>
      </c>
      <c r="I7827" s="128">
        <v>2224.3200000000002</v>
      </c>
      <c r="J7827" s="128">
        <v>11121.6</v>
      </c>
    </row>
    <row r="7828" spans="1:10" hidden="1" x14ac:dyDescent="0.25">
      <c r="A7828" s="124" t="s">
        <v>10166</v>
      </c>
      <c r="B7828" s="124" t="s">
        <v>11736</v>
      </c>
      <c r="C7828" s="132"/>
      <c r="D7828" s="125">
        <f t="shared" si="115"/>
        <v>0</v>
      </c>
      <c r="E7828" s="124" t="s">
        <v>9270</v>
      </c>
      <c r="F7828" s="126">
        <v>12</v>
      </c>
      <c r="G7828" s="128">
        <v>3819.5</v>
      </c>
      <c r="H7828" s="124" t="s">
        <v>8368</v>
      </c>
      <c r="I7828" s="128">
        <v>43333.33</v>
      </c>
      <c r="J7828" s="128">
        <v>216666.67</v>
      </c>
    </row>
    <row r="7829" spans="1:10" hidden="1" x14ac:dyDescent="0.25">
      <c r="A7829" s="124" t="s">
        <v>4041</v>
      </c>
      <c r="B7829" s="124" t="s">
        <v>11736</v>
      </c>
      <c r="C7829" s="132"/>
      <c r="D7829" s="125">
        <f>COUNTIF(A3390:A7828,A7829)</f>
        <v>0</v>
      </c>
      <c r="E7829" s="124" t="s">
        <v>1</v>
      </c>
      <c r="F7829" s="126">
        <v>4</v>
      </c>
      <c r="G7829" s="128">
        <v>6879.84</v>
      </c>
      <c r="H7829" s="124" t="s">
        <v>8368</v>
      </c>
      <c r="I7829" s="128">
        <v>5048</v>
      </c>
      <c r="J7829" s="128">
        <v>25240</v>
      </c>
    </row>
    <row r="7830" spans="1:10" hidden="1" x14ac:dyDescent="0.25">
      <c r="A7830" s="124" t="s">
        <v>10167</v>
      </c>
      <c r="B7830" s="124" t="s">
        <v>11736</v>
      </c>
      <c r="C7830" s="132"/>
      <c r="D7830" s="125">
        <f>COUNTIF(A3391:A7829,A7830)</f>
        <v>0</v>
      </c>
      <c r="E7830" s="124" t="s">
        <v>8591</v>
      </c>
      <c r="F7830" s="126">
        <v>7</v>
      </c>
      <c r="G7830" s="128">
        <v>13345.92</v>
      </c>
      <c r="H7830" s="124" t="s">
        <v>8368</v>
      </c>
      <c r="I7830" s="128">
        <v>7691.68</v>
      </c>
      <c r="J7830" s="128">
        <v>38458.39</v>
      </c>
    </row>
    <row r="7831" spans="1:10" hidden="1" x14ac:dyDescent="0.25">
      <c r="A7831" s="124" t="s">
        <v>10168</v>
      </c>
      <c r="B7831" s="124" t="s">
        <v>11736</v>
      </c>
      <c r="C7831" s="132"/>
      <c r="D7831" s="125">
        <f>COUNTIF(A3395:A7830,A7831)</f>
        <v>0</v>
      </c>
      <c r="E7831" s="124" t="s">
        <v>8367</v>
      </c>
      <c r="F7831" s="126">
        <v>13</v>
      </c>
      <c r="G7831" s="128">
        <v>260000</v>
      </c>
      <c r="H7831" s="124" t="s">
        <v>8368</v>
      </c>
      <c r="I7831" s="127">
        <v>465</v>
      </c>
      <c r="J7831" s="128">
        <v>2325</v>
      </c>
    </row>
    <row r="7832" spans="1:10" hidden="1" x14ac:dyDescent="0.25">
      <c r="A7832" s="124" t="s">
        <v>10169</v>
      </c>
      <c r="B7832" s="124" t="s">
        <v>11736</v>
      </c>
      <c r="C7832" s="132"/>
      <c r="D7832" s="125">
        <f>COUNTIF(A3397:A7831,A7832)</f>
        <v>0</v>
      </c>
      <c r="E7832" s="124" t="s">
        <v>9270</v>
      </c>
      <c r="F7832" s="126">
        <v>4</v>
      </c>
      <c r="G7832" s="128">
        <v>30288</v>
      </c>
      <c r="H7832" s="124" t="s">
        <v>8368</v>
      </c>
      <c r="I7832" s="127">
        <v>520</v>
      </c>
      <c r="J7832" s="128">
        <v>2600</v>
      </c>
    </row>
    <row r="7833" spans="1:10" hidden="1" x14ac:dyDescent="0.25">
      <c r="A7833" s="124" t="s">
        <v>10170</v>
      </c>
      <c r="B7833" s="124" t="s">
        <v>11736</v>
      </c>
      <c r="C7833" s="132"/>
      <c r="D7833" s="125">
        <f>COUNTIF(A3398:A7832,A7833)</f>
        <v>0</v>
      </c>
      <c r="E7833" s="124" t="s">
        <v>8367</v>
      </c>
      <c r="F7833" s="126">
        <v>5</v>
      </c>
      <c r="G7833" s="128">
        <v>46150.07</v>
      </c>
      <c r="H7833" s="124" t="s">
        <v>8368</v>
      </c>
      <c r="I7833" s="128">
        <v>10050</v>
      </c>
      <c r="J7833" s="128">
        <v>50250</v>
      </c>
    </row>
    <row r="7834" spans="1:10" hidden="1" x14ac:dyDescent="0.25">
      <c r="A7834" s="124" t="s">
        <v>10171</v>
      </c>
      <c r="B7834" s="124" t="s">
        <v>11736</v>
      </c>
      <c r="C7834" s="132"/>
      <c r="D7834" s="125">
        <f t="shared" ref="D7834:D7861" si="116">COUNTIF(A3400:A7833,A7834)</f>
        <v>0</v>
      </c>
      <c r="E7834" s="124" t="s">
        <v>8367</v>
      </c>
      <c r="F7834" s="126">
        <v>3</v>
      </c>
      <c r="G7834" s="128">
        <v>2790</v>
      </c>
      <c r="H7834" s="124" t="s">
        <v>8368</v>
      </c>
      <c r="I7834" s="128">
        <v>5933.9</v>
      </c>
      <c r="J7834" s="128">
        <v>29669.47</v>
      </c>
    </row>
    <row r="7835" spans="1:10" hidden="1" x14ac:dyDescent="0.25">
      <c r="A7835" s="124" t="s">
        <v>10172</v>
      </c>
      <c r="B7835" s="124" t="s">
        <v>11736</v>
      </c>
      <c r="C7835" s="132"/>
      <c r="D7835" s="125">
        <f t="shared" si="116"/>
        <v>0</v>
      </c>
      <c r="E7835" s="124" t="s">
        <v>8367</v>
      </c>
      <c r="F7835" s="126">
        <v>6</v>
      </c>
      <c r="G7835" s="128">
        <v>3120</v>
      </c>
      <c r="H7835" s="124" t="s">
        <v>8368</v>
      </c>
      <c r="I7835" s="128">
        <v>1584</v>
      </c>
      <c r="J7835" s="128">
        <v>7920</v>
      </c>
    </row>
    <row r="7836" spans="1:10" hidden="1" x14ac:dyDescent="0.25">
      <c r="A7836" s="124" t="s">
        <v>10173</v>
      </c>
      <c r="B7836" s="124" t="s">
        <v>11736</v>
      </c>
      <c r="C7836" s="132"/>
      <c r="D7836" s="125">
        <f t="shared" si="116"/>
        <v>0</v>
      </c>
      <c r="E7836" s="124" t="s">
        <v>8367</v>
      </c>
      <c r="F7836" s="126">
        <v>18</v>
      </c>
      <c r="G7836" s="128">
        <v>60300</v>
      </c>
      <c r="H7836" s="124" t="s">
        <v>8368</v>
      </c>
      <c r="I7836" s="128">
        <v>10786.67</v>
      </c>
      <c r="J7836" s="128">
        <v>53933.33</v>
      </c>
    </row>
    <row r="7837" spans="1:10" hidden="1" x14ac:dyDescent="0.25">
      <c r="A7837" s="124" t="s">
        <v>10174</v>
      </c>
      <c r="B7837" s="124" t="s">
        <v>11736</v>
      </c>
      <c r="C7837" s="132"/>
      <c r="D7837" s="125">
        <f t="shared" si="116"/>
        <v>0</v>
      </c>
      <c r="E7837" s="124" t="s">
        <v>8367</v>
      </c>
      <c r="F7837" s="126">
        <v>14</v>
      </c>
      <c r="G7837" s="128">
        <v>35603.370000000003</v>
      </c>
      <c r="H7837" s="124" t="s">
        <v>8368</v>
      </c>
      <c r="I7837" s="127">
        <v>365</v>
      </c>
      <c r="J7837" s="128">
        <v>1825</v>
      </c>
    </row>
    <row r="7838" spans="1:10" hidden="1" x14ac:dyDescent="0.25">
      <c r="A7838" s="124" t="s">
        <v>10175</v>
      </c>
      <c r="B7838" s="124" t="s">
        <v>11736</v>
      </c>
      <c r="C7838" s="132"/>
      <c r="D7838" s="125">
        <f t="shared" si="116"/>
        <v>0</v>
      </c>
      <c r="E7838" s="124" t="s">
        <v>8367</v>
      </c>
      <c r="F7838" s="126">
        <v>16</v>
      </c>
      <c r="G7838" s="128">
        <v>9504</v>
      </c>
      <c r="H7838" s="124" t="s">
        <v>8368</v>
      </c>
      <c r="I7838" s="127">
        <v>954</v>
      </c>
      <c r="J7838" s="128">
        <v>4770</v>
      </c>
    </row>
    <row r="7839" spans="1:10" hidden="1" x14ac:dyDescent="0.25">
      <c r="A7839" s="124" t="s">
        <v>10176</v>
      </c>
      <c r="B7839" s="124" t="s">
        <v>11736</v>
      </c>
      <c r="C7839" s="132"/>
      <c r="D7839" s="125">
        <f t="shared" si="116"/>
        <v>0</v>
      </c>
      <c r="E7839" s="124" t="s">
        <v>8367</v>
      </c>
      <c r="F7839" s="126">
        <v>16</v>
      </c>
      <c r="G7839" s="128">
        <v>64720</v>
      </c>
      <c r="H7839" s="124" t="s">
        <v>8368</v>
      </c>
      <c r="I7839" s="127">
        <v>41.6</v>
      </c>
      <c r="J7839" s="127">
        <v>208</v>
      </c>
    </row>
    <row r="7840" spans="1:10" hidden="1" x14ac:dyDescent="0.25">
      <c r="A7840" s="124" t="s">
        <v>10177</v>
      </c>
      <c r="B7840" s="124" t="s">
        <v>11736</v>
      </c>
      <c r="C7840" s="132"/>
      <c r="D7840" s="125">
        <f t="shared" si="116"/>
        <v>0</v>
      </c>
      <c r="E7840" s="124" t="s">
        <v>8367</v>
      </c>
      <c r="F7840" s="126">
        <v>2</v>
      </c>
      <c r="G7840" s="128">
        <v>2190</v>
      </c>
      <c r="H7840" s="124" t="s">
        <v>8368</v>
      </c>
      <c r="I7840" s="127">
        <v>208.4</v>
      </c>
      <c r="J7840" s="128">
        <v>1042</v>
      </c>
    </row>
    <row r="7841" spans="1:10" hidden="1" x14ac:dyDescent="0.25">
      <c r="A7841" s="124" t="s">
        <v>10178</v>
      </c>
      <c r="B7841" s="124" t="s">
        <v>11736</v>
      </c>
      <c r="C7841" s="132"/>
      <c r="D7841" s="125">
        <f t="shared" si="116"/>
        <v>0</v>
      </c>
      <c r="E7841" s="124" t="s">
        <v>8367</v>
      </c>
      <c r="F7841" s="126">
        <v>6</v>
      </c>
      <c r="G7841" s="128">
        <v>5724</v>
      </c>
      <c r="H7841" s="124" t="s">
        <v>8368</v>
      </c>
      <c r="I7841" s="127">
        <v>139.6</v>
      </c>
      <c r="J7841" s="127">
        <v>698</v>
      </c>
    </row>
    <row r="7842" spans="1:10" hidden="1" x14ac:dyDescent="0.25">
      <c r="A7842" s="124" t="s">
        <v>10179</v>
      </c>
      <c r="B7842" s="124" t="s">
        <v>11736</v>
      </c>
      <c r="C7842" s="132"/>
      <c r="D7842" s="125">
        <f t="shared" si="116"/>
        <v>0</v>
      </c>
      <c r="E7842" s="124" t="s">
        <v>8367</v>
      </c>
      <c r="F7842" s="126">
        <v>1</v>
      </c>
      <c r="G7842" s="127">
        <v>249.6</v>
      </c>
      <c r="H7842" s="124" t="s">
        <v>8368</v>
      </c>
      <c r="I7842" s="127">
        <v>91.6</v>
      </c>
      <c r="J7842" s="127">
        <v>458</v>
      </c>
    </row>
    <row r="7843" spans="1:10" hidden="1" x14ac:dyDescent="0.25">
      <c r="A7843" s="124" t="s">
        <v>10180</v>
      </c>
      <c r="B7843" s="124" t="s">
        <v>11736</v>
      </c>
      <c r="C7843" s="132"/>
      <c r="D7843" s="125">
        <f t="shared" si="116"/>
        <v>0</v>
      </c>
      <c r="E7843" s="124" t="s">
        <v>8367</v>
      </c>
      <c r="F7843" s="126">
        <v>5</v>
      </c>
      <c r="G7843" s="128">
        <v>1250.4000000000001</v>
      </c>
      <c r="H7843" s="124" t="s">
        <v>8368</v>
      </c>
      <c r="I7843" s="127">
        <v>3.4</v>
      </c>
      <c r="J7843" s="127">
        <v>17</v>
      </c>
    </row>
    <row r="7844" spans="1:10" hidden="1" x14ac:dyDescent="0.25">
      <c r="A7844" s="124" t="s">
        <v>10181</v>
      </c>
      <c r="B7844" s="124" t="s">
        <v>11736</v>
      </c>
      <c r="C7844" s="132"/>
      <c r="D7844" s="125">
        <f t="shared" si="116"/>
        <v>0</v>
      </c>
      <c r="E7844" s="124" t="s">
        <v>8367</v>
      </c>
      <c r="F7844" s="126">
        <v>1</v>
      </c>
      <c r="G7844" s="127">
        <v>837.6</v>
      </c>
      <c r="H7844" s="124" t="s">
        <v>8368</v>
      </c>
      <c r="I7844" s="127">
        <v>23.4</v>
      </c>
      <c r="J7844" s="127">
        <v>117</v>
      </c>
    </row>
    <row r="7845" spans="1:10" hidden="1" x14ac:dyDescent="0.25">
      <c r="A7845" s="124" t="s">
        <v>10182</v>
      </c>
      <c r="B7845" s="124" t="s">
        <v>11736</v>
      </c>
      <c r="C7845" s="132"/>
      <c r="D7845" s="125">
        <f t="shared" si="116"/>
        <v>0</v>
      </c>
      <c r="E7845" s="124" t="s">
        <v>8367</v>
      </c>
      <c r="F7845" s="126">
        <v>1</v>
      </c>
      <c r="G7845" s="127">
        <v>549.6</v>
      </c>
      <c r="H7845" s="124" t="s">
        <v>8368</v>
      </c>
      <c r="I7845" s="127">
        <v>355</v>
      </c>
      <c r="J7845" s="128">
        <v>1775</v>
      </c>
    </row>
    <row r="7846" spans="1:10" hidden="1" x14ac:dyDescent="0.25">
      <c r="A7846" s="124" t="s">
        <v>10183</v>
      </c>
      <c r="B7846" s="124" t="s">
        <v>11736</v>
      </c>
      <c r="C7846" s="132"/>
      <c r="D7846" s="125">
        <f t="shared" si="116"/>
        <v>0</v>
      </c>
      <c r="E7846" s="124" t="s">
        <v>8367</v>
      </c>
      <c r="F7846" s="126">
        <v>1</v>
      </c>
      <c r="G7846" s="127">
        <v>20.399999999999999</v>
      </c>
      <c r="H7846" s="124" t="s">
        <v>8368</v>
      </c>
      <c r="I7846" s="127">
        <v>61.6</v>
      </c>
      <c r="J7846" s="127">
        <v>308</v>
      </c>
    </row>
    <row r="7847" spans="1:10" hidden="1" x14ac:dyDescent="0.25">
      <c r="A7847" s="124" t="s">
        <v>10184</v>
      </c>
      <c r="B7847" s="124" t="s">
        <v>11736</v>
      </c>
      <c r="C7847" s="132"/>
      <c r="D7847" s="125">
        <f t="shared" si="116"/>
        <v>0</v>
      </c>
      <c r="E7847" s="124" t="s">
        <v>8367</v>
      </c>
      <c r="F7847" s="126">
        <v>1</v>
      </c>
      <c r="G7847" s="127">
        <v>140.4</v>
      </c>
      <c r="H7847" s="124" t="s">
        <v>8368</v>
      </c>
      <c r="I7847" s="127">
        <v>106.6</v>
      </c>
      <c r="J7847" s="127">
        <v>533</v>
      </c>
    </row>
    <row r="7848" spans="1:10" hidden="1" x14ac:dyDescent="0.25">
      <c r="A7848" s="124" t="s">
        <v>10185</v>
      </c>
      <c r="B7848" s="124" t="s">
        <v>11736</v>
      </c>
      <c r="C7848" s="132"/>
      <c r="D7848" s="125">
        <f t="shared" si="116"/>
        <v>0</v>
      </c>
      <c r="E7848" s="124" t="s">
        <v>8367</v>
      </c>
      <c r="F7848" s="126">
        <v>1</v>
      </c>
      <c r="G7848" s="128">
        <v>2130</v>
      </c>
      <c r="H7848" s="124" t="s">
        <v>8368</v>
      </c>
      <c r="I7848" s="127">
        <v>83.4</v>
      </c>
      <c r="J7848" s="127">
        <v>417</v>
      </c>
    </row>
    <row r="7849" spans="1:10" hidden="1" x14ac:dyDescent="0.25">
      <c r="A7849" s="124" t="s">
        <v>10186</v>
      </c>
      <c r="B7849" s="124" t="s">
        <v>11736</v>
      </c>
      <c r="C7849" s="132"/>
      <c r="D7849" s="125">
        <f t="shared" si="116"/>
        <v>0</v>
      </c>
      <c r="E7849" s="124" t="s">
        <v>8367</v>
      </c>
      <c r="F7849" s="126">
        <v>1</v>
      </c>
      <c r="G7849" s="127">
        <v>369.6</v>
      </c>
      <c r="H7849" s="124" t="s">
        <v>8368</v>
      </c>
      <c r="I7849" s="127">
        <v>42.2</v>
      </c>
      <c r="J7849" s="127">
        <v>211</v>
      </c>
    </row>
    <row r="7850" spans="1:10" hidden="1" x14ac:dyDescent="0.25">
      <c r="A7850" s="124" t="s">
        <v>10187</v>
      </c>
      <c r="B7850" s="124" t="s">
        <v>11736</v>
      </c>
      <c r="C7850" s="132"/>
      <c r="D7850" s="125">
        <f t="shared" si="116"/>
        <v>0</v>
      </c>
      <c r="E7850" s="124" t="s">
        <v>8367</v>
      </c>
      <c r="F7850" s="126">
        <v>1</v>
      </c>
      <c r="G7850" s="127">
        <v>639.6</v>
      </c>
      <c r="H7850" s="124" t="s">
        <v>8368</v>
      </c>
      <c r="I7850" s="127">
        <v>91.6</v>
      </c>
      <c r="J7850" s="127">
        <v>458</v>
      </c>
    </row>
    <row r="7851" spans="1:10" hidden="1" x14ac:dyDescent="0.25">
      <c r="A7851" s="124" t="s">
        <v>10188</v>
      </c>
      <c r="B7851" s="124" t="s">
        <v>11736</v>
      </c>
      <c r="C7851" s="132"/>
      <c r="D7851" s="125">
        <f t="shared" si="116"/>
        <v>0</v>
      </c>
      <c r="E7851" s="124" t="s">
        <v>8367</v>
      </c>
      <c r="F7851" s="126">
        <v>1</v>
      </c>
      <c r="G7851" s="127">
        <v>500.4</v>
      </c>
      <c r="H7851" s="124" t="s">
        <v>8368</v>
      </c>
      <c r="I7851" s="127">
        <v>296.60000000000002</v>
      </c>
      <c r="J7851" s="128">
        <v>1483</v>
      </c>
    </row>
    <row r="7852" spans="1:10" hidden="1" x14ac:dyDescent="0.25">
      <c r="A7852" s="124" t="s">
        <v>10189</v>
      </c>
      <c r="B7852" s="124" t="s">
        <v>11736</v>
      </c>
      <c r="C7852" s="132"/>
      <c r="D7852" s="125">
        <f t="shared" si="116"/>
        <v>0</v>
      </c>
      <c r="E7852" s="124" t="s">
        <v>8367</v>
      </c>
      <c r="F7852" s="126">
        <v>3</v>
      </c>
      <c r="G7852" s="127">
        <v>253.2</v>
      </c>
      <c r="H7852" s="124" t="s">
        <v>8368</v>
      </c>
      <c r="I7852" s="127">
        <v>238.33</v>
      </c>
      <c r="J7852" s="128">
        <v>1191.67</v>
      </c>
    </row>
    <row r="7853" spans="1:10" hidden="1" x14ac:dyDescent="0.25">
      <c r="A7853" s="124" t="s">
        <v>10190</v>
      </c>
      <c r="B7853" s="124" t="s">
        <v>11736</v>
      </c>
      <c r="C7853" s="132"/>
      <c r="D7853" s="125">
        <f t="shared" si="116"/>
        <v>0</v>
      </c>
      <c r="E7853" s="124" t="s">
        <v>8367</v>
      </c>
      <c r="F7853" s="126">
        <v>1</v>
      </c>
      <c r="G7853" s="127">
        <v>549.6</v>
      </c>
      <c r="H7853" s="124" t="s">
        <v>8368</v>
      </c>
      <c r="I7853" s="127">
        <v>173.4</v>
      </c>
      <c r="J7853" s="127">
        <v>867</v>
      </c>
    </row>
    <row r="7854" spans="1:10" hidden="1" x14ac:dyDescent="0.25">
      <c r="A7854" s="124" t="s">
        <v>10191</v>
      </c>
      <c r="B7854" s="124" t="s">
        <v>11736</v>
      </c>
      <c r="C7854" s="132"/>
      <c r="D7854" s="125">
        <f t="shared" si="116"/>
        <v>0</v>
      </c>
      <c r="E7854" s="124" t="s">
        <v>8367</v>
      </c>
      <c r="F7854" s="126">
        <v>1</v>
      </c>
      <c r="G7854" s="128">
        <v>1779.6</v>
      </c>
      <c r="H7854" s="124" t="s">
        <v>8368</v>
      </c>
      <c r="I7854" s="127">
        <v>880</v>
      </c>
      <c r="J7854" s="128">
        <v>4400</v>
      </c>
    </row>
    <row r="7855" spans="1:10" ht="22.5" hidden="1" x14ac:dyDescent="0.25">
      <c r="A7855" s="130" t="s">
        <v>10192</v>
      </c>
      <c r="B7855" s="124" t="s">
        <v>11736</v>
      </c>
      <c r="C7855" s="132"/>
      <c r="D7855" s="125">
        <f t="shared" si="116"/>
        <v>0</v>
      </c>
      <c r="E7855" s="124" t="s">
        <v>8367</v>
      </c>
      <c r="F7855" s="126">
        <v>1</v>
      </c>
      <c r="G7855" s="128">
        <v>1430</v>
      </c>
      <c r="H7855" s="124" t="s">
        <v>8368</v>
      </c>
      <c r="I7855" s="127">
        <v>700</v>
      </c>
      <c r="J7855" s="128">
        <v>3500</v>
      </c>
    </row>
    <row r="7856" spans="1:10" hidden="1" x14ac:dyDescent="0.25">
      <c r="A7856" s="124" t="s">
        <v>10193</v>
      </c>
      <c r="B7856" s="124" t="s">
        <v>11736</v>
      </c>
      <c r="C7856" s="132"/>
      <c r="D7856" s="125">
        <f t="shared" si="116"/>
        <v>0</v>
      </c>
      <c r="E7856" s="124" t="s">
        <v>8367</v>
      </c>
      <c r="F7856" s="126">
        <v>1</v>
      </c>
      <c r="G7856" s="128">
        <v>1040.4000000000001</v>
      </c>
      <c r="H7856" s="124" t="s">
        <v>8368</v>
      </c>
      <c r="I7856" s="127">
        <v>561.6</v>
      </c>
      <c r="J7856" s="128">
        <v>2808</v>
      </c>
    </row>
    <row r="7857" spans="1:10" hidden="1" x14ac:dyDescent="0.25">
      <c r="A7857" s="124" t="s">
        <v>10194</v>
      </c>
      <c r="B7857" s="124" t="s">
        <v>11736</v>
      </c>
      <c r="C7857" s="132"/>
      <c r="D7857" s="125">
        <f t="shared" si="116"/>
        <v>0</v>
      </c>
      <c r="E7857" s="124" t="s">
        <v>8367</v>
      </c>
      <c r="F7857" s="126">
        <v>1</v>
      </c>
      <c r="G7857" s="128">
        <v>5280</v>
      </c>
      <c r="H7857" s="124" t="s">
        <v>8368</v>
      </c>
      <c r="I7857" s="127">
        <v>53.4</v>
      </c>
      <c r="J7857" s="127">
        <v>267</v>
      </c>
    </row>
    <row r="7858" spans="1:10" hidden="1" x14ac:dyDescent="0.25">
      <c r="A7858" s="124" t="s">
        <v>10195</v>
      </c>
      <c r="B7858" s="124" t="s">
        <v>11736</v>
      </c>
      <c r="C7858" s="132"/>
      <c r="D7858" s="125">
        <f t="shared" si="116"/>
        <v>0</v>
      </c>
      <c r="E7858" s="124" t="s">
        <v>8367</v>
      </c>
      <c r="F7858" s="126">
        <v>1</v>
      </c>
      <c r="G7858" s="128">
        <v>4200</v>
      </c>
      <c r="H7858" s="124" t="s">
        <v>8368</v>
      </c>
      <c r="I7858" s="127">
        <v>111.6</v>
      </c>
      <c r="J7858" s="127">
        <v>558</v>
      </c>
    </row>
    <row r="7859" spans="1:10" hidden="1" x14ac:dyDescent="0.25">
      <c r="A7859" s="124" t="s">
        <v>10196</v>
      </c>
      <c r="B7859" s="124" t="s">
        <v>11736</v>
      </c>
      <c r="C7859" s="132"/>
      <c r="D7859" s="125">
        <f t="shared" si="116"/>
        <v>0</v>
      </c>
      <c r="E7859" s="124" t="s">
        <v>8367</v>
      </c>
      <c r="F7859" s="126">
        <v>1</v>
      </c>
      <c r="G7859" s="128">
        <v>3369.6</v>
      </c>
      <c r="H7859" s="124" t="s">
        <v>8368</v>
      </c>
      <c r="I7859" s="128">
        <v>1835</v>
      </c>
      <c r="J7859" s="128">
        <v>9175</v>
      </c>
    </row>
    <row r="7860" spans="1:10" hidden="1" x14ac:dyDescent="0.25">
      <c r="A7860" s="124" t="s">
        <v>10197</v>
      </c>
      <c r="B7860" s="124" t="s">
        <v>11736</v>
      </c>
      <c r="C7860" s="132"/>
      <c r="D7860" s="125">
        <f t="shared" si="116"/>
        <v>0</v>
      </c>
      <c r="E7860" s="124" t="s">
        <v>8367</v>
      </c>
      <c r="F7860" s="126">
        <v>1</v>
      </c>
      <c r="G7860" s="127">
        <v>320.39999999999998</v>
      </c>
      <c r="H7860" s="124" t="s">
        <v>8368</v>
      </c>
      <c r="I7860" s="127">
        <v>146.6</v>
      </c>
      <c r="J7860" s="127">
        <v>733</v>
      </c>
    </row>
    <row r="7861" spans="1:10" hidden="1" x14ac:dyDescent="0.25">
      <c r="A7861" s="124" t="s">
        <v>10198</v>
      </c>
      <c r="B7861" s="124" t="s">
        <v>11736</v>
      </c>
      <c r="C7861" s="132"/>
      <c r="D7861" s="125">
        <f t="shared" si="116"/>
        <v>0</v>
      </c>
      <c r="E7861" s="124" t="s">
        <v>8367</v>
      </c>
      <c r="F7861" s="126">
        <v>1</v>
      </c>
      <c r="G7861" s="127">
        <v>669.6</v>
      </c>
      <c r="H7861" s="124" t="s">
        <v>8368</v>
      </c>
      <c r="I7861" s="127">
        <v>705</v>
      </c>
      <c r="J7861" s="128">
        <v>3525</v>
      </c>
    </row>
    <row r="7862" spans="1:10" hidden="1" x14ac:dyDescent="0.25">
      <c r="A7862" s="124" t="s">
        <v>10199</v>
      </c>
      <c r="B7862" s="124" t="s">
        <v>11736</v>
      </c>
      <c r="C7862" s="132"/>
      <c r="D7862" s="125">
        <f t="shared" ref="D7862:D7874" si="117">COUNTIF(A3429:A7861,A7862)</f>
        <v>0</v>
      </c>
      <c r="E7862" s="124" t="s">
        <v>8367</v>
      </c>
      <c r="F7862" s="126">
        <v>1</v>
      </c>
      <c r="G7862" s="128">
        <v>11010</v>
      </c>
      <c r="H7862" s="124" t="s">
        <v>8368</v>
      </c>
      <c r="I7862" s="127">
        <v>58.4</v>
      </c>
      <c r="J7862" s="127">
        <v>292</v>
      </c>
    </row>
    <row r="7863" spans="1:10" hidden="1" x14ac:dyDescent="0.25">
      <c r="A7863" s="124" t="s">
        <v>10200</v>
      </c>
      <c r="B7863" s="124" t="s">
        <v>11736</v>
      </c>
      <c r="C7863" s="132"/>
      <c r="D7863" s="125">
        <f t="shared" si="117"/>
        <v>0</v>
      </c>
      <c r="E7863" s="124" t="s">
        <v>8367</v>
      </c>
      <c r="F7863" s="126">
        <v>1</v>
      </c>
      <c r="G7863" s="127">
        <v>879.6</v>
      </c>
      <c r="H7863" s="124" t="s">
        <v>8368</v>
      </c>
      <c r="I7863" s="127">
        <v>53.4</v>
      </c>
      <c r="J7863" s="127">
        <v>267</v>
      </c>
    </row>
    <row r="7864" spans="1:10" hidden="1" x14ac:dyDescent="0.25">
      <c r="A7864" s="124" t="s">
        <v>10201</v>
      </c>
      <c r="B7864" s="124" t="s">
        <v>11736</v>
      </c>
      <c r="C7864" s="132"/>
      <c r="D7864" s="125">
        <f t="shared" si="117"/>
        <v>0</v>
      </c>
      <c r="E7864" s="124" t="s">
        <v>8367</v>
      </c>
      <c r="F7864" s="126">
        <v>1</v>
      </c>
      <c r="G7864" s="128">
        <v>4230</v>
      </c>
      <c r="H7864" s="124" t="s">
        <v>8368</v>
      </c>
      <c r="I7864" s="127">
        <v>315</v>
      </c>
      <c r="J7864" s="128">
        <v>1575</v>
      </c>
    </row>
    <row r="7865" spans="1:10" hidden="1" x14ac:dyDescent="0.25">
      <c r="A7865" s="124" t="s">
        <v>10202</v>
      </c>
      <c r="B7865" s="124" t="s">
        <v>11736</v>
      </c>
      <c r="C7865" s="132"/>
      <c r="D7865" s="125">
        <f t="shared" si="117"/>
        <v>0</v>
      </c>
      <c r="E7865" s="124" t="s">
        <v>8367</v>
      </c>
      <c r="F7865" s="126">
        <v>1</v>
      </c>
      <c r="G7865" s="127">
        <v>350.4</v>
      </c>
      <c r="H7865" s="124" t="s">
        <v>8368</v>
      </c>
      <c r="I7865" s="127">
        <v>51.46</v>
      </c>
      <c r="J7865" s="127">
        <v>257.29000000000002</v>
      </c>
    </row>
    <row r="7866" spans="1:10" hidden="1" x14ac:dyDescent="0.25">
      <c r="A7866" s="124" t="s">
        <v>10203</v>
      </c>
      <c r="B7866" s="124" t="s">
        <v>11736</v>
      </c>
      <c r="C7866" s="132"/>
      <c r="D7866" s="125">
        <f t="shared" si="117"/>
        <v>0</v>
      </c>
      <c r="E7866" s="124" t="s">
        <v>8367</v>
      </c>
      <c r="F7866" s="126">
        <v>1</v>
      </c>
      <c r="G7866" s="127">
        <v>320.39999999999998</v>
      </c>
      <c r="H7866" s="124" t="s">
        <v>8368</v>
      </c>
      <c r="I7866" s="127">
        <v>45</v>
      </c>
      <c r="J7866" s="127">
        <v>225</v>
      </c>
    </row>
    <row r="7867" spans="1:10" hidden="1" x14ac:dyDescent="0.25">
      <c r="A7867" s="124" t="s">
        <v>10204</v>
      </c>
      <c r="B7867" s="124" t="s">
        <v>11736</v>
      </c>
      <c r="C7867" s="132"/>
      <c r="D7867" s="125">
        <f t="shared" si="117"/>
        <v>0</v>
      </c>
      <c r="E7867" s="124" t="s">
        <v>8367</v>
      </c>
      <c r="F7867" s="126">
        <v>3</v>
      </c>
      <c r="G7867" s="128">
        <v>1890</v>
      </c>
      <c r="H7867" s="124" t="s">
        <v>8368</v>
      </c>
      <c r="I7867" s="127">
        <v>193.33</v>
      </c>
      <c r="J7867" s="127">
        <v>966.67</v>
      </c>
    </row>
    <row r="7868" spans="1:10" hidden="1" x14ac:dyDescent="0.25">
      <c r="A7868" s="124" t="s">
        <v>3296</v>
      </c>
      <c r="B7868" s="124" t="s">
        <v>11736</v>
      </c>
      <c r="C7868" s="132"/>
      <c r="D7868" s="125">
        <f t="shared" si="117"/>
        <v>0</v>
      </c>
      <c r="E7868" s="124" t="s">
        <v>8367</v>
      </c>
      <c r="F7868" s="126">
        <v>0.61699999999999999</v>
      </c>
      <c r="G7868" s="127">
        <v>308.75</v>
      </c>
      <c r="H7868" s="124" t="s">
        <v>8368</v>
      </c>
      <c r="I7868" s="127">
        <v>258.39999999999998</v>
      </c>
      <c r="J7868" s="128">
        <v>1292</v>
      </c>
    </row>
    <row r="7869" spans="1:10" hidden="1" x14ac:dyDescent="0.25">
      <c r="A7869" s="124" t="s">
        <v>10205</v>
      </c>
      <c r="B7869" s="124" t="s">
        <v>11736</v>
      </c>
      <c r="C7869" s="132"/>
      <c r="D7869" s="125">
        <f t="shared" si="117"/>
        <v>0</v>
      </c>
      <c r="E7869" s="124" t="s">
        <v>8367</v>
      </c>
      <c r="F7869" s="126">
        <v>1</v>
      </c>
      <c r="G7869" s="127">
        <v>270</v>
      </c>
      <c r="H7869" s="124" t="s">
        <v>8368</v>
      </c>
      <c r="I7869" s="127">
        <v>445</v>
      </c>
      <c r="J7869" s="128">
        <v>2225</v>
      </c>
    </row>
    <row r="7870" spans="1:10" ht="22.5" hidden="1" x14ac:dyDescent="0.25">
      <c r="A7870" s="130" t="s">
        <v>10206</v>
      </c>
      <c r="B7870" s="124" t="s">
        <v>11736</v>
      </c>
      <c r="C7870" s="132"/>
      <c r="D7870" s="125">
        <f t="shared" si="117"/>
        <v>0</v>
      </c>
      <c r="E7870" s="124" t="s">
        <v>8367</v>
      </c>
      <c r="F7870" s="126">
        <v>2</v>
      </c>
      <c r="G7870" s="128">
        <v>1160</v>
      </c>
      <c r="H7870" s="124" t="s">
        <v>8368</v>
      </c>
      <c r="I7870" s="128">
        <v>3330.63</v>
      </c>
      <c r="J7870" s="128">
        <v>16653.12</v>
      </c>
    </row>
    <row r="7871" spans="1:10" hidden="1" x14ac:dyDescent="0.25">
      <c r="A7871" s="124" t="s">
        <v>10207</v>
      </c>
      <c r="B7871" s="124" t="s">
        <v>11736</v>
      </c>
      <c r="C7871" s="132"/>
      <c r="D7871" s="125">
        <f t="shared" si="117"/>
        <v>0</v>
      </c>
      <c r="E7871" s="124" t="s">
        <v>8367</v>
      </c>
      <c r="F7871" s="126">
        <v>1</v>
      </c>
      <c r="G7871" s="128">
        <v>1550.4</v>
      </c>
      <c r="H7871" s="124" t="s">
        <v>8368</v>
      </c>
      <c r="I7871" s="128">
        <v>2593.4</v>
      </c>
      <c r="J7871" s="128">
        <v>12967</v>
      </c>
    </row>
    <row r="7872" spans="1:10" hidden="1" x14ac:dyDescent="0.25">
      <c r="A7872" s="124" t="s">
        <v>10208</v>
      </c>
      <c r="B7872" s="124" t="s">
        <v>11736</v>
      </c>
      <c r="C7872" s="132"/>
      <c r="D7872" s="125">
        <f t="shared" si="117"/>
        <v>0</v>
      </c>
      <c r="E7872" s="124" t="s">
        <v>8367</v>
      </c>
      <c r="F7872" s="126">
        <v>1</v>
      </c>
      <c r="G7872" s="128">
        <v>2670</v>
      </c>
      <c r="H7872" s="124" t="s">
        <v>8368</v>
      </c>
      <c r="I7872" s="128">
        <v>26040</v>
      </c>
      <c r="J7872" s="128">
        <v>130200</v>
      </c>
    </row>
    <row r="7873" spans="1:10" hidden="1" x14ac:dyDescent="0.25">
      <c r="A7873" s="124" t="s">
        <v>10209</v>
      </c>
      <c r="B7873" s="124" t="s">
        <v>11736</v>
      </c>
      <c r="C7873" s="132"/>
      <c r="D7873" s="125">
        <f t="shared" si="117"/>
        <v>0</v>
      </c>
      <c r="E7873" s="124" t="s">
        <v>8579</v>
      </c>
      <c r="F7873" s="129">
        <v>2190</v>
      </c>
      <c r="G7873" s="128">
        <v>19983.75</v>
      </c>
      <c r="H7873" s="124" t="s">
        <v>8368</v>
      </c>
      <c r="I7873" s="128">
        <v>107572.31</v>
      </c>
      <c r="J7873" s="128">
        <v>537861.52</v>
      </c>
    </row>
    <row r="7874" spans="1:10" hidden="1" x14ac:dyDescent="0.25">
      <c r="A7874" s="124" t="s">
        <v>10210</v>
      </c>
      <c r="B7874" s="124" t="s">
        <v>11736</v>
      </c>
      <c r="C7874" s="132"/>
      <c r="D7874" s="125">
        <f t="shared" si="117"/>
        <v>0</v>
      </c>
      <c r="E7874" s="124" t="s">
        <v>8579</v>
      </c>
      <c r="F7874" s="129">
        <v>1000</v>
      </c>
      <c r="G7874" s="128">
        <v>15560.4</v>
      </c>
      <c r="H7874" s="124" t="s">
        <v>8368</v>
      </c>
      <c r="I7874" s="128">
        <v>15565.3</v>
      </c>
      <c r="J7874" s="128">
        <v>77826.5</v>
      </c>
    </row>
    <row r="7875" spans="1:10" hidden="1" x14ac:dyDescent="0.25">
      <c r="A7875" s="124" t="s">
        <v>10211</v>
      </c>
      <c r="B7875" s="124" t="s">
        <v>11736</v>
      </c>
      <c r="C7875" s="132"/>
      <c r="D7875" s="125">
        <f t="shared" ref="D7875:D7899" si="118">COUNTIF(A3443:A7874,A7875)</f>
        <v>0</v>
      </c>
      <c r="E7875" s="124" t="s">
        <v>8367</v>
      </c>
      <c r="F7875" s="126">
        <v>360</v>
      </c>
      <c r="G7875" s="128">
        <v>156240</v>
      </c>
      <c r="H7875" s="124" t="s">
        <v>8368</v>
      </c>
      <c r="I7875" s="128">
        <v>1118.8</v>
      </c>
      <c r="J7875" s="128">
        <v>5594</v>
      </c>
    </row>
    <row r="7876" spans="1:10" hidden="1" x14ac:dyDescent="0.25">
      <c r="A7876" s="124" t="s">
        <v>10212</v>
      </c>
      <c r="B7876" s="124" t="s">
        <v>11736</v>
      </c>
      <c r="C7876" s="132"/>
      <c r="D7876" s="125">
        <f t="shared" si="118"/>
        <v>0</v>
      </c>
      <c r="E7876" s="124" t="s">
        <v>8</v>
      </c>
      <c r="F7876" s="126">
        <v>106</v>
      </c>
      <c r="G7876" s="128">
        <v>645433.82999999996</v>
      </c>
      <c r="H7876" s="124" t="s">
        <v>8368</v>
      </c>
      <c r="I7876" s="127">
        <v>339.6</v>
      </c>
      <c r="J7876" s="128">
        <v>1698</v>
      </c>
    </row>
    <row r="7877" spans="1:10" hidden="1" x14ac:dyDescent="0.25">
      <c r="A7877" s="124" t="s">
        <v>10213</v>
      </c>
      <c r="B7877" s="124" t="s">
        <v>11736</v>
      </c>
      <c r="C7877" s="132"/>
      <c r="D7877" s="125">
        <f t="shared" si="118"/>
        <v>0</v>
      </c>
      <c r="E7877" s="124" t="s">
        <v>8367</v>
      </c>
      <c r="F7877" s="126">
        <v>650</v>
      </c>
      <c r="G7877" s="128">
        <v>93391.8</v>
      </c>
      <c r="H7877" s="124" t="s">
        <v>8368</v>
      </c>
      <c r="I7877" s="127">
        <v>679.2</v>
      </c>
      <c r="J7877" s="128">
        <v>3396</v>
      </c>
    </row>
    <row r="7878" spans="1:10" hidden="1" x14ac:dyDescent="0.25">
      <c r="A7878" s="124" t="s">
        <v>10214</v>
      </c>
      <c r="B7878" s="124" t="s">
        <v>11736</v>
      </c>
      <c r="C7878" s="132"/>
      <c r="D7878" s="125">
        <f t="shared" si="118"/>
        <v>0</v>
      </c>
      <c r="E7878" s="124" t="s">
        <v>8367</v>
      </c>
      <c r="F7878" s="126">
        <v>3</v>
      </c>
      <c r="G7878" s="128">
        <v>6712.8</v>
      </c>
      <c r="H7878" s="124" t="s">
        <v>8368</v>
      </c>
      <c r="I7878" s="127">
        <v>339.6</v>
      </c>
      <c r="J7878" s="128">
        <v>1698</v>
      </c>
    </row>
    <row r="7879" spans="1:10" hidden="1" x14ac:dyDescent="0.25">
      <c r="A7879" s="124" t="s">
        <v>10215</v>
      </c>
      <c r="B7879" s="124" t="s">
        <v>11736</v>
      </c>
      <c r="C7879" s="132"/>
      <c r="D7879" s="125">
        <f t="shared" si="118"/>
        <v>0</v>
      </c>
      <c r="E7879" s="124" t="s">
        <v>8367</v>
      </c>
      <c r="F7879" s="126">
        <v>1</v>
      </c>
      <c r="G7879" s="128">
        <v>2037.6</v>
      </c>
      <c r="H7879" s="124" t="s">
        <v>8368</v>
      </c>
      <c r="I7879" s="127">
        <v>679.2</v>
      </c>
      <c r="J7879" s="128">
        <v>3396</v>
      </c>
    </row>
    <row r="7880" spans="1:10" hidden="1" x14ac:dyDescent="0.25">
      <c r="A7880" s="124" t="s">
        <v>3982</v>
      </c>
      <c r="B7880" s="124" t="s">
        <v>11736</v>
      </c>
      <c r="C7880" s="132"/>
      <c r="D7880" s="125">
        <f t="shared" si="118"/>
        <v>0</v>
      </c>
      <c r="E7880" s="124" t="s">
        <v>8367</v>
      </c>
      <c r="F7880" s="126">
        <v>2</v>
      </c>
      <c r="G7880" s="128">
        <v>4075.2</v>
      </c>
      <c r="H7880" s="124" t="s">
        <v>8368</v>
      </c>
      <c r="I7880" s="128">
        <v>7828.3</v>
      </c>
      <c r="J7880" s="128">
        <v>39141.5</v>
      </c>
    </row>
    <row r="7881" spans="1:10" hidden="1" x14ac:dyDescent="0.25">
      <c r="A7881" s="124" t="s">
        <v>3986</v>
      </c>
      <c r="B7881" s="124" t="s">
        <v>11736</v>
      </c>
      <c r="C7881" s="132"/>
      <c r="D7881" s="125">
        <f t="shared" si="118"/>
        <v>0</v>
      </c>
      <c r="E7881" s="124" t="s">
        <v>8367</v>
      </c>
      <c r="F7881" s="126">
        <v>1</v>
      </c>
      <c r="G7881" s="128">
        <v>2037.6</v>
      </c>
      <c r="H7881" s="124" t="s">
        <v>8368</v>
      </c>
      <c r="I7881" s="128">
        <v>8593.6</v>
      </c>
      <c r="J7881" s="128">
        <v>42968</v>
      </c>
    </row>
    <row r="7882" spans="1:10" hidden="1" x14ac:dyDescent="0.25">
      <c r="A7882" s="124" t="s">
        <v>10216</v>
      </c>
      <c r="B7882" s="124" t="s">
        <v>11736</v>
      </c>
      <c r="C7882" s="132"/>
      <c r="D7882" s="125">
        <f t="shared" si="118"/>
        <v>0</v>
      </c>
      <c r="E7882" s="124" t="s">
        <v>8367</v>
      </c>
      <c r="F7882" s="126">
        <v>2</v>
      </c>
      <c r="G7882" s="128">
        <v>4075.2</v>
      </c>
      <c r="H7882" s="124" t="s">
        <v>8368</v>
      </c>
      <c r="I7882" s="128">
        <v>6232.2</v>
      </c>
      <c r="J7882" s="128">
        <v>31161</v>
      </c>
    </row>
    <row r="7883" spans="1:10" hidden="1" x14ac:dyDescent="0.25">
      <c r="A7883" s="124" t="s">
        <v>4010</v>
      </c>
      <c r="B7883" s="124" t="s">
        <v>11736</v>
      </c>
      <c r="C7883" s="132"/>
      <c r="D7883" s="125">
        <f t="shared" si="118"/>
        <v>0</v>
      </c>
      <c r="E7883" s="124" t="s">
        <v>8367</v>
      </c>
      <c r="F7883" s="126">
        <v>10</v>
      </c>
      <c r="G7883" s="128">
        <v>46969.8</v>
      </c>
      <c r="H7883" s="124" t="s">
        <v>8368</v>
      </c>
      <c r="I7883" s="128">
        <v>4712.1000000000004</v>
      </c>
      <c r="J7883" s="128">
        <v>23560.5</v>
      </c>
    </row>
    <row r="7884" spans="1:10" hidden="1" x14ac:dyDescent="0.25">
      <c r="A7884" s="124" t="s">
        <v>4014</v>
      </c>
      <c r="B7884" s="124" t="s">
        <v>11736</v>
      </c>
      <c r="C7884" s="132"/>
      <c r="D7884" s="125">
        <f t="shared" si="118"/>
        <v>0</v>
      </c>
      <c r="E7884" s="124" t="s">
        <v>8367</v>
      </c>
      <c r="F7884" s="126">
        <v>11</v>
      </c>
      <c r="G7884" s="128">
        <v>51561.599999999999</v>
      </c>
      <c r="H7884" s="124" t="s">
        <v>8368</v>
      </c>
      <c r="I7884" s="127">
        <v>779</v>
      </c>
      <c r="J7884" s="128">
        <v>3895</v>
      </c>
    </row>
    <row r="7885" spans="1:10" hidden="1" x14ac:dyDescent="0.25">
      <c r="A7885" s="124" t="s">
        <v>4016</v>
      </c>
      <c r="B7885" s="124" t="s">
        <v>11736</v>
      </c>
      <c r="C7885" s="132"/>
      <c r="D7885" s="125">
        <f t="shared" si="118"/>
        <v>0</v>
      </c>
      <c r="E7885" s="124" t="s">
        <v>8367</v>
      </c>
      <c r="F7885" s="126">
        <v>8</v>
      </c>
      <c r="G7885" s="128">
        <v>37393.199999999997</v>
      </c>
      <c r="H7885" s="124" t="s">
        <v>8368</v>
      </c>
      <c r="I7885" s="128">
        <v>22215.599999999999</v>
      </c>
      <c r="J7885" s="128">
        <v>111078</v>
      </c>
    </row>
    <row r="7886" spans="1:10" hidden="1" x14ac:dyDescent="0.25">
      <c r="A7886" s="124" t="s">
        <v>4017</v>
      </c>
      <c r="B7886" s="124" t="s">
        <v>11736</v>
      </c>
      <c r="C7886" s="132"/>
      <c r="D7886" s="125">
        <f t="shared" si="118"/>
        <v>0</v>
      </c>
      <c r="E7886" s="124" t="s">
        <v>8367</v>
      </c>
      <c r="F7886" s="126">
        <v>6</v>
      </c>
      <c r="G7886" s="128">
        <v>28272.6</v>
      </c>
      <c r="H7886" s="124" t="s">
        <v>8368</v>
      </c>
      <c r="I7886" s="128">
        <v>23141.200000000001</v>
      </c>
      <c r="J7886" s="128">
        <v>115706</v>
      </c>
    </row>
    <row r="7887" spans="1:10" hidden="1" x14ac:dyDescent="0.25">
      <c r="A7887" s="124" t="s">
        <v>4019</v>
      </c>
      <c r="B7887" s="124" t="s">
        <v>11736</v>
      </c>
      <c r="C7887" s="132"/>
      <c r="D7887" s="125">
        <f t="shared" si="118"/>
        <v>0</v>
      </c>
      <c r="E7887" s="124" t="s">
        <v>8367</v>
      </c>
      <c r="F7887" s="126">
        <v>1</v>
      </c>
      <c r="G7887" s="128">
        <v>4674</v>
      </c>
      <c r="H7887" s="124" t="s">
        <v>8368</v>
      </c>
      <c r="I7887" s="128">
        <v>36100.400000000001</v>
      </c>
      <c r="J7887" s="128">
        <v>180502</v>
      </c>
    </row>
    <row r="7888" spans="1:10" hidden="1" x14ac:dyDescent="0.25">
      <c r="A7888" s="124" t="s">
        <v>3992</v>
      </c>
      <c r="B7888" s="124" t="s">
        <v>11736</v>
      </c>
      <c r="C7888" s="132"/>
      <c r="D7888" s="125">
        <f t="shared" si="118"/>
        <v>0</v>
      </c>
      <c r="E7888" s="124" t="s">
        <v>8367</v>
      </c>
      <c r="F7888" s="126">
        <v>24</v>
      </c>
      <c r="G7888" s="128">
        <v>133293.6</v>
      </c>
      <c r="H7888" s="124" t="s">
        <v>8368</v>
      </c>
      <c r="I7888" s="128">
        <v>23141.200000000001</v>
      </c>
      <c r="J7888" s="128">
        <v>115706</v>
      </c>
    </row>
    <row r="7889" spans="1:10" hidden="1" x14ac:dyDescent="0.25">
      <c r="A7889" s="124" t="s">
        <v>3995</v>
      </c>
      <c r="B7889" s="124" t="s">
        <v>11736</v>
      </c>
      <c r="C7889" s="132"/>
      <c r="D7889" s="125">
        <f t="shared" si="118"/>
        <v>0</v>
      </c>
      <c r="E7889" s="124" t="s">
        <v>8367</v>
      </c>
      <c r="F7889" s="126">
        <v>25</v>
      </c>
      <c r="G7889" s="128">
        <v>138847.20000000001</v>
      </c>
      <c r="H7889" s="124" t="s">
        <v>8368</v>
      </c>
      <c r="I7889" s="128">
        <v>16661.8</v>
      </c>
      <c r="J7889" s="128">
        <v>83309</v>
      </c>
    </row>
    <row r="7890" spans="1:10" hidden="1" x14ac:dyDescent="0.25">
      <c r="A7890" s="124" t="s">
        <v>3994</v>
      </c>
      <c r="B7890" s="124" t="s">
        <v>11736</v>
      </c>
      <c r="C7890" s="132"/>
      <c r="D7890" s="125">
        <f t="shared" si="118"/>
        <v>0</v>
      </c>
      <c r="E7890" s="124" t="s">
        <v>8367</v>
      </c>
      <c r="F7890" s="126">
        <v>39</v>
      </c>
      <c r="G7890" s="128">
        <v>216602.4</v>
      </c>
      <c r="H7890" s="124" t="s">
        <v>8368</v>
      </c>
      <c r="I7890" s="128">
        <v>6479.6</v>
      </c>
      <c r="J7890" s="128">
        <v>32398</v>
      </c>
    </row>
    <row r="7891" spans="1:10" hidden="1" x14ac:dyDescent="0.25">
      <c r="A7891" s="124" t="s">
        <v>3996</v>
      </c>
      <c r="B7891" s="124" t="s">
        <v>11736</v>
      </c>
      <c r="C7891" s="132"/>
      <c r="D7891" s="125">
        <f t="shared" si="118"/>
        <v>0</v>
      </c>
      <c r="E7891" s="124" t="s">
        <v>8367</v>
      </c>
      <c r="F7891" s="126">
        <v>25</v>
      </c>
      <c r="G7891" s="128">
        <v>138847.20000000001</v>
      </c>
      <c r="H7891" s="124" t="s">
        <v>8368</v>
      </c>
      <c r="I7891" s="128">
        <v>7434.2</v>
      </c>
      <c r="J7891" s="128">
        <v>37171</v>
      </c>
    </row>
    <row r="7892" spans="1:10" hidden="1" x14ac:dyDescent="0.25">
      <c r="A7892" s="124" t="s">
        <v>3997</v>
      </c>
      <c r="B7892" s="124" t="s">
        <v>11736</v>
      </c>
      <c r="C7892" s="132"/>
      <c r="D7892" s="125">
        <f t="shared" si="118"/>
        <v>0</v>
      </c>
      <c r="E7892" s="124" t="s">
        <v>8367</v>
      </c>
      <c r="F7892" s="126">
        <v>18</v>
      </c>
      <c r="G7892" s="128">
        <v>99970.8</v>
      </c>
      <c r="H7892" s="124" t="s">
        <v>8368</v>
      </c>
      <c r="I7892" s="128">
        <v>1851.3</v>
      </c>
      <c r="J7892" s="128">
        <v>9256.5</v>
      </c>
    </row>
    <row r="7893" spans="1:10" hidden="1" x14ac:dyDescent="0.25">
      <c r="A7893" s="124" t="s">
        <v>10217</v>
      </c>
      <c r="B7893" s="124" t="s">
        <v>11736</v>
      </c>
      <c r="C7893" s="132"/>
      <c r="D7893" s="125">
        <f t="shared" si="118"/>
        <v>0</v>
      </c>
      <c r="E7893" s="124" t="s">
        <v>8367</v>
      </c>
      <c r="F7893" s="126">
        <v>7</v>
      </c>
      <c r="G7893" s="128">
        <v>38877.599999999999</v>
      </c>
      <c r="H7893" s="124" t="s">
        <v>8368</v>
      </c>
      <c r="I7893" s="127">
        <v>925.6</v>
      </c>
      <c r="J7893" s="128">
        <v>4628</v>
      </c>
    </row>
    <row r="7894" spans="1:10" hidden="1" x14ac:dyDescent="0.25">
      <c r="A7894" s="124" t="s">
        <v>3998</v>
      </c>
      <c r="B7894" s="124" t="s">
        <v>11736</v>
      </c>
      <c r="C7894" s="132"/>
      <c r="D7894" s="125">
        <f t="shared" si="118"/>
        <v>0</v>
      </c>
      <c r="E7894" s="124" t="s">
        <v>8367</v>
      </c>
      <c r="F7894" s="126">
        <v>8</v>
      </c>
      <c r="G7894" s="128">
        <v>44605.2</v>
      </c>
      <c r="H7894" s="124" t="s">
        <v>8368</v>
      </c>
      <c r="I7894" s="127">
        <v>338.05</v>
      </c>
      <c r="J7894" s="128">
        <v>1690.25</v>
      </c>
    </row>
    <row r="7895" spans="1:10" hidden="1" x14ac:dyDescent="0.25">
      <c r="A7895" s="124" t="s">
        <v>3999</v>
      </c>
      <c r="B7895" s="124" t="s">
        <v>11736</v>
      </c>
      <c r="C7895" s="132"/>
      <c r="D7895" s="125">
        <f t="shared" si="118"/>
        <v>0</v>
      </c>
      <c r="E7895" s="124" t="s">
        <v>8367</v>
      </c>
      <c r="F7895" s="126">
        <v>2</v>
      </c>
      <c r="G7895" s="128">
        <v>11107.8</v>
      </c>
      <c r="H7895" s="124" t="s">
        <v>8368</v>
      </c>
      <c r="I7895" s="127">
        <v>141.6</v>
      </c>
      <c r="J7895" s="127">
        <v>708</v>
      </c>
    </row>
    <row r="7896" spans="1:10" hidden="1" x14ac:dyDescent="0.25">
      <c r="A7896" s="124" t="s">
        <v>4001</v>
      </c>
      <c r="B7896" s="124" t="s">
        <v>11736</v>
      </c>
      <c r="C7896" s="132"/>
      <c r="D7896" s="125">
        <f t="shared" si="118"/>
        <v>0</v>
      </c>
      <c r="E7896" s="124" t="s">
        <v>8367</v>
      </c>
      <c r="F7896" s="126">
        <v>1</v>
      </c>
      <c r="G7896" s="128">
        <v>5553.6</v>
      </c>
      <c r="H7896" s="124" t="s">
        <v>8368</v>
      </c>
      <c r="I7896" s="127">
        <v>545.79999999999995</v>
      </c>
      <c r="J7896" s="128">
        <v>2729</v>
      </c>
    </row>
    <row r="7897" spans="1:10" hidden="1" x14ac:dyDescent="0.25">
      <c r="A7897" s="124" t="s">
        <v>10218</v>
      </c>
      <c r="B7897" s="124" t="s">
        <v>11736</v>
      </c>
      <c r="C7897" s="132"/>
      <c r="D7897" s="125">
        <f t="shared" si="118"/>
        <v>0</v>
      </c>
      <c r="E7897" s="124" t="s">
        <v>8367</v>
      </c>
      <c r="F7897" s="126">
        <v>2</v>
      </c>
      <c r="G7897" s="128">
        <v>2028.3</v>
      </c>
      <c r="H7897" s="124" t="s">
        <v>8368</v>
      </c>
      <c r="I7897" s="128">
        <v>1774.8</v>
      </c>
      <c r="J7897" s="128">
        <v>8874</v>
      </c>
    </row>
    <row r="7898" spans="1:10" hidden="1" x14ac:dyDescent="0.25">
      <c r="A7898" s="124" t="s">
        <v>10219</v>
      </c>
      <c r="B7898" s="124" t="s">
        <v>11736</v>
      </c>
      <c r="C7898" s="132"/>
      <c r="D7898" s="125">
        <f t="shared" si="118"/>
        <v>0</v>
      </c>
      <c r="E7898" s="124" t="s">
        <v>8367</v>
      </c>
      <c r="F7898" s="126">
        <v>1</v>
      </c>
      <c r="G7898" s="127">
        <v>849.6</v>
      </c>
      <c r="H7898" s="124" t="s">
        <v>8368</v>
      </c>
      <c r="I7898" s="128">
        <v>2000</v>
      </c>
      <c r="J7898" s="128">
        <v>10000</v>
      </c>
    </row>
    <row r="7899" spans="1:10" hidden="1" x14ac:dyDescent="0.25">
      <c r="A7899" s="124" t="s">
        <v>10220</v>
      </c>
      <c r="B7899" s="124" t="s">
        <v>11736</v>
      </c>
      <c r="C7899" s="132"/>
      <c r="D7899" s="125">
        <f t="shared" si="118"/>
        <v>0</v>
      </c>
      <c r="E7899" s="124" t="s">
        <v>8367</v>
      </c>
      <c r="F7899" s="126">
        <v>2</v>
      </c>
      <c r="G7899" s="128">
        <v>3274.8</v>
      </c>
      <c r="H7899" s="124" t="s">
        <v>8368</v>
      </c>
      <c r="I7899" s="128">
        <v>2000</v>
      </c>
      <c r="J7899" s="128">
        <v>10000</v>
      </c>
    </row>
    <row r="7900" spans="1:10" hidden="1" x14ac:dyDescent="0.25">
      <c r="A7900" s="124" t="s">
        <v>10221</v>
      </c>
      <c r="B7900" s="124" t="s">
        <v>11736</v>
      </c>
      <c r="C7900" s="132"/>
      <c r="D7900" s="125">
        <f>COUNTIF(A3470:A7899,A7900)</f>
        <v>0</v>
      </c>
      <c r="E7900" s="124" t="s">
        <v>9270</v>
      </c>
      <c r="F7900" s="126">
        <v>2</v>
      </c>
      <c r="G7900" s="128">
        <v>10648.8</v>
      </c>
      <c r="H7900" s="124" t="s">
        <v>8368</v>
      </c>
      <c r="I7900" s="128">
        <v>2414</v>
      </c>
      <c r="J7900" s="128">
        <v>12070</v>
      </c>
    </row>
    <row r="7901" spans="1:10" hidden="1" x14ac:dyDescent="0.25">
      <c r="A7901" s="124" t="s">
        <v>10222</v>
      </c>
      <c r="B7901" s="124" t="s">
        <v>11736</v>
      </c>
      <c r="C7901" s="132"/>
      <c r="D7901" s="125">
        <f>COUNTIF(A3472:A7900,A7901)</f>
        <v>0</v>
      </c>
      <c r="E7901" s="124" t="s">
        <v>8367</v>
      </c>
      <c r="F7901" s="126">
        <v>10</v>
      </c>
      <c r="G7901" s="128">
        <v>12000</v>
      </c>
      <c r="H7901" s="124" t="s">
        <v>8368</v>
      </c>
      <c r="I7901" s="128">
        <v>1500</v>
      </c>
      <c r="J7901" s="128">
        <v>7500</v>
      </c>
    </row>
    <row r="7902" spans="1:10" hidden="1" x14ac:dyDescent="0.25">
      <c r="A7902" s="124" t="s">
        <v>10223</v>
      </c>
      <c r="B7902" s="124" t="s">
        <v>11736</v>
      </c>
      <c r="C7902" s="132"/>
      <c r="D7902" s="125">
        <f>COUNTIF(A3474:A7901,A7902)</f>
        <v>0</v>
      </c>
      <c r="E7902" s="124" t="s">
        <v>8367</v>
      </c>
      <c r="F7902" s="126">
        <v>10</v>
      </c>
      <c r="G7902" s="128">
        <v>12000</v>
      </c>
      <c r="H7902" s="124" t="s">
        <v>8368</v>
      </c>
      <c r="I7902" s="128">
        <v>7313.4</v>
      </c>
      <c r="J7902" s="128">
        <v>36567</v>
      </c>
    </row>
    <row r="7903" spans="1:10" hidden="1" x14ac:dyDescent="0.25">
      <c r="A7903" s="124" t="s">
        <v>10224</v>
      </c>
      <c r="B7903" s="124" t="s">
        <v>11736</v>
      </c>
      <c r="C7903" s="132"/>
      <c r="D7903" s="125">
        <f>COUNTIF(A3475:A7902,A7903)</f>
        <v>0</v>
      </c>
      <c r="E7903" s="124" t="s">
        <v>8367</v>
      </c>
      <c r="F7903" s="126">
        <v>6</v>
      </c>
      <c r="G7903" s="128">
        <v>14484</v>
      </c>
      <c r="H7903" s="124" t="s">
        <v>8368</v>
      </c>
      <c r="I7903" s="128">
        <v>1452409.12</v>
      </c>
      <c r="J7903" s="128">
        <v>7262045.5800000001</v>
      </c>
    </row>
    <row r="7904" spans="1:10" hidden="1" x14ac:dyDescent="0.25">
      <c r="A7904" s="124" t="s">
        <v>10225</v>
      </c>
      <c r="B7904" s="124" t="s">
        <v>11736</v>
      </c>
      <c r="C7904" s="132"/>
      <c r="D7904" s="125">
        <f>COUNTIF(A3477:A7903,A7904)</f>
        <v>0</v>
      </c>
      <c r="E7904" s="124" t="s">
        <v>8367</v>
      </c>
      <c r="F7904" s="126">
        <v>20</v>
      </c>
      <c r="G7904" s="128">
        <v>9000</v>
      </c>
      <c r="H7904" s="124" t="s">
        <v>8368</v>
      </c>
      <c r="I7904" s="127">
        <v>270</v>
      </c>
      <c r="J7904" s="128">
        <v>1350</v>
      </c>
    </row>
    <row r="7905" spans="1:10" hidden="1" x14ac:dyDescent="0.25">
      <c r="A7905" s="124" t="s">
        <v>10226</v>
      </c>
      <c r="B7905" s="124" t="s">
        <v>11736</v>
      </c>
      <c r="C7905" s="132"/>
      <c r="D7905" s="125">
        <f>COUNTIF(A3479:A7904,A7905)</f>
        <v>0</v>
      </c>
      <c r="E7905" s="124" t="s">
        <v>8367</v>
      </c>
      <c r="F7905" s="126">
        <v>1</v>
      </c>
      <c r="G7905" s="128">
        <v>43880.4</v>
      </c>
      <c r="H7905" s="124" t="s">
        <v>8368</v>
      </c>
      <c r="I7905" s="127">
        <v>51.8</v>
      </c>
      <c r="J7905" s="127">
        <v>259</v>
      </c>
    </row>
    <row r="7906" spans="1:10" hidden="1" x14ac:dyDescent="0.25">
      <c r="A7906" s="124" t="s">
        <v>10227</v>
      </c>
      <c r="B7906" s="124" t="s">
        <v>11736</v>
      </c>
      <c r="C7906" s="132"/>
      <c r="D7906" s="125">
        <f>COUNTIF(A3480:A7905,A7906)</f>
        <v>0</v>
      </c>
      <c r="E7906" s="124" t="s">
        <v>8367</v>
      </c>
      <c r="F7906" s="126">
        <v>8</v>
      </c>
      <c r="G7906" s="128">
        <v>8714454.6999999993</v>
      </c>
      <c r="H7906" s="124" t="s">
        <v>8368</v>
      </c>
      <c r="I7906" s="128">
        <v>1268.54</v>
      </c>
      <c r="J7906" s="128">
        <v>6342.7</v>
      </c>
    </row>
    <row r="7907" spans="1:10" hidden="1" x14ac:dyDescent="0.25">
      <c r="A7907" s="124" t="s">
        <v>10228</v>
      </c>
      <c r="B7907" s="124" t="s">
        <v>11736</v>
      </c>
      <c r="C7907" s="132"/>
      <c r="D7907" s="125">
        <f>COUNTIF(A3481:A7906,A7907)</f>
        <v>0</v>
      </c>
      <c r="E7907" s="124" t="s">
        <v>8367</v>
      </c>
      <c r="F7907" s="126">
        <v>3</v>
      </c>
      <c r="G7907" s="128">
        <v>1620</v>
      </c>
      <c r="H7907" s="124" t="s">
        <v>8368</v>
      </c>
      <c r="I7907" s="128">
        <v>1479</v>
      </c>
      <c r="J7907" s="128">
        <v>7395</v>
      </c>
    </row>
    <row r="7908" spans="1:10" hidden="1" x14ac:dyDescent="0.25">
      <c r="A7908" s="124" t="s">
        <v>10229</v>
      </c>
      <c r="B7908" s="124" t="s">
        <v>11736</v>
      </c>
      <c r="C7908" s="132"/>
      <c r="D7908" s="125">
        <f t="shared" ref="D7908:D7914" si="119">COUNTIF(A3483:A7907,A7908)</f>
        <v>0</v>
      </c>
      <c r="E7908" s="124" t="s">
        <v>8367</v>
      </c>
      <c r="F7908" s="126">
        <v>1</v>
      </c>
      <c r="G7908" s="127">
        <v>310.8</v>
      </c>
      <c r="H7908" s="124" t="s">
        <v>8368</v>
      </c>
      <c r="I7908" s="127">
        <v>383.4</v>
      </c>
      <c r="J7908" s="128">
        <v>1917</v>
      </c>
    </row>
    <row r="7909" spans="1:10" hidden="1" x14ac:dyDescent="0.25">
      <c r="A7909" s="124" t="s">
        <v>3532</v>
      </c>
      <c r="B7909" s="124" t="s">
        <v>11736</v>
      </c>
      <c r="C7909" s="132"/>
      <c r="D7909" s="125">
        <f t="shared" si="119"/>
        <v>0</v>
      </c>
      <c r="E7909" s="124" t="s">
        <v>8367</v>
      </c>
      <c r="F7909" s="126">
        <v>7</v>
      </c>
      <c r="G7909" s="128">
        <v>7611.24</v>
      </c>
      <c r="H7909" s="124" t="s">
        <v>8368</v>
      </c>
      <c r="I7909" s="128">
        <v>4247.6000000000004</v>
      </c>
      <c r="J7909" s="128">
        <v>21238</v>
      </c>
    </row>
    <row r="7910" spans="1:10" hidden="1" x14ac:dyDescent="0.25">
      <c r="A7910" s="124" t="s">
        <v>10230</v>
      </c>
      <c r="B7910" s="124" t="s">
        <v>11736</v>
      </c>
      <c r="C7910" s="132"/>
      <c r="D7910" s="125">
        <f t="shared" si="119"/>
        <v>0</v>
      </c>
      <c r="E7910" s="124" t="s">
        <v>8367</v>
      </c>
      <c r="F7910" s="126">
        <v>5</v>
      </c>
      <c r="G7910" s="128">
        <v>8874</v>
      </c>
      <c r="H7910" s="124" t="s">
        <v>8368</v>
      </c>
      <c r="I7910" s="127">
        <v>299.8</v>
      </c>
      <c r="J7910" s="128">
        <v>1499</v>
      </c>
    </row>
    <row r="7911" spans="1:10" hidden="1" x14ac:dyDescent="0.25">
      <c r="A7911" s="124" t="s">
        <v>10231</v>
      </c>
      <c r="B7911" s="124" t="s">
        <v>11736</v>
      </c>
      <c r="C7911" s="132"/>
      <c r="D7911" s="125">
        <f t="shared" si="119"/>
        <v>0</v>
      </c>
      <c r="E7911" s="124" t="s">
        <v>8367</v>
      </c>
      <c r="F7911" s="126">
        <v>2</v>
      </c>
      <c r="G7911" s="128">
        <v>2300.4</v>
      </c>
      <c r="H7911" s="124" t="s">
        <v>8368</v>
      </c>
      <c r="I7911" s="128">
        <v>35046.35</v>
      </c>
      <c r="J7911" s="128">
        <v>175231.75</v>
      </c>
    </row>
    <row r="7912" spans="1:10" hidden="1" x14ac:dyDescent="0.25">
      <c r="A7912" s="124" t="s">
        <v>3613</v>
      </c>
      <c r="B7912" s="124" t="s">
        <v>11736</v>
      </c>
      <c r="C7912" s="132"/>
      <c r="D7912" s="125">
        <f t="shared" si="119"/>
        <v>0</v>
      </c>
      <c r="E7912" s="124" t="s">
        <v>8367</v>
      </c>
      <c r="F7912" s="126">
        <v>15</v>
      </c>
      <c r="G7912" s="128">
        <v>25485.599999999999</v>
      </c>
      <c r="H7912" s="124" t="s">
        <v>8368</v>
      </c>
      <c r="I7912" s="127">
        <v>316.60000000000002</v>
      </c>
      <c r="J7912" s="128">
        <v>1583</v>
      </c>
    </row>
    <row r="7913" spans="1:10" hidden="1" x14ac:dyDescent="0.25">
      <c r="A7913" s="124" t="s">
        <v>10232</v>
      </c>
      <c r="B7913" s="124" t="s">
        <v>11736</v>
      </c>
      <c r="C7913" s="132"/>
      <c r="D7913" s="125">
        <f t="shared" si="119"/>
        <v>0</v>
      </c>
      <c r="E7913" s="124" t="s">
        <v>8367</v>
      </c>
      <c r="F7913" s="126">
        <v>1</v>
      </c>
      <c r="G7913" s="128">
        <v>1798.8</v>
      </c>
      <c r="H7913" s="124" t="s">
        <v>8368</v>
      </c>
      <c r="I7913" s="128">
        <v>1878</v>
      </c>
      <c r="J7913" s="128">
        <v>9390</v>
      </c>
    </row>
    <row r="7914" spans="1:10" hidden="1" x14ac:dyDescent="0.25">
      <c r="A7914" s="124" t="s">
        <v>10233</v>
      </c>
      <c r="B7914" s="124" t="s">
        <v>11736</v>
      </c>
      <c r="C7914" s="132"/>
      <c r="D7914" s="125">
        <f t="shared" si="119"/>
        <v>0</v>
      </c>
      <c r="E7914" s="124" t="s">
        <v>8367</v>
      </c>
      <c r="F7914" s="126">
        <v>15</v>
      </c>
      <c r="G7914" s="128">
        <v>210278.1</v>
      </c>
      <c r="H7914" s="124" t="s">
        <v>8368</v>
      </c>
      <c r="I7914" s="127">
        <v>632.6</v>
      </c>
      <c r="J7914" s="128">
        <v>3163</v>
      </c>
    </row>
    <row r="7915" spans="1:10" hidden="1" x14ac:dyDescent="0.25">
      <c r="A7915" s="124" t="s">
        <v>10234</v>
      </c>
      <c r="B7915" s="124" t="s">
        <v>11736</v>
      </c>
      <c r="C7915" s="132"/>
      <c r="D7915" s="125">
        <f>COUNTIF(A3491:A7914,A7915)</f>
        <v>0</v>
      </c>
      <c r="E7915" s="124" t="s">
        <v>8367</v>
      </c>
      <c r="F7915" s="126">
        <v>2</v>
      </c>
      <c r="G7915" s="128">
        <v>1899.6</v>
      </c>
      <c r="H7915" s="124" t="s">
        <v>8368</v>
      </c>
      <c r="I7915" s="127">
        <v>378.6</v>
      </c>
      <c r="J7915" s="128">
        <v>1893</v>
      </c>
    </row>
    <row r="7916" spans="1:10" hidden="1" x14ac:dyDescent="0.25">
      <c r="A7916" s="124" t="s">
        <v>10235</v>
      </c>
      <c r="B7916" s="124" t="s">
        <v>11736</v>
      </c>
      <c r="C7916" s="132"/>
      <c r="D7916" s="125">
        <f>COUNTIF(A3492:A7915,A7916)</f>
        <v>0</v>
      </c>
      <c r="E7916" s="124" t="s">
        <v>9270</v>
      </c>
      <c r="F7916" s="126">
        <v>1</v>
      </c>
      <c r="G7916" s="128">
        <v>11268</v>
      </c>
      <c r="H7916" s="124" t="s">
        <v>8368</v>
      </c>
      <c r="I7916" s="127">
        <v>794.2</v>
      </c>
      <c r="J7916" s="128">
        <v>3971</v>
      </c>
    </row>
    <row r="7917" spans="1:10" hidden="1" x14ac:dyDescent="0.25">
      <c r="A7917" s="124" t="s">
        <v>10236</v>
      </c>
      <c r="B7917" s="124" t="s">
        <v>11736</v>
      </c>
      <c r="C7917" s="132"/>
      <c r="D7917" s="125">
        <f>COUNTIF(A3493:A7916,A7917)</f>
        <v>0</v>
      </c>
      <c r="E7917" s="124" t="s">
        <v>8367</v>
      </c>
      <c r="F7917" s="126">
        <v>5</v>
      </c>
      <c r="G7917" s="128">
        <v>3795.6</v>
      </c>
      <c r="H7917" s="124" t="s">
        <v>8368</v>
      </c>
      <c r="I7917" s="127">
        <v>245.8</v>
      </c>
      <c r="J7917" s="128">
        <v>1229</v>
      </c>
    </row>
    <row r="7918" spans="1:10" hidden="1" x14ac:dyDescent="0.25">
      <c r="A7918" s="124" t="s">
        <v>10237</v>
      </c>
      <c r="B7918" s="124" t="s">
        <v>11736</v>
      </c>
      <c r="C7918" s="132"/>
      <c r="D7918" s="125">
        <f>COUNTIF(A3496:A7917,A7918)</f>
        <v>0</v>
      </c>
      <c r="E7918" s="124" t="s">
        <v>8367</v>
      </c>
      <c r="F7918" s="126">
        <v>8</v>
      </c>
      <c r="G7918" s="128">
        <v>2271.6</v>
      </c>
      <c r="H7918" s="124" t="s">
        <v>8368</v>
      </c>
      <c r="I7918" s="127">
        <v>371.6</v>
      </c>
      <c r="J7918" s="128">
        <v>1858</v>
      </c>
    </row>
    <row r="7919" spans="1:10" hidden="1" x14ac:dyDescent="0.25">
      <c r="A7919" s="124" t="s">
        <v>10238</v>
      </c>
      <c r="B7919" s="124" t="s">
        <v>11736</v>
      </c>
      <c r="C7919" s="132"/>
      <c r="D7919" s="125">
        <f>COUNTIF(A3497:A7918,A7919)</f>
        <v>0</v>
      </c>
      <c r="E7919" s="124" t="s">
        <v>8367</v>
      </c>
      <c r="F7919" s="126">
        <v>5</v>
      </c>
      <c r="G7919" s="128">
        <v>4765.2</v>
      </c>
      <c r="H7919" s="124" t="s">
        <v>8368</v>
      </c>
      <c r="I7919" s="127">
        <v>314</v>
      </c>
      <c r="J7919" s="128">
        <v>1570</v>
      </c>
    </row>
    <row r="7920" spans="1:10" hidden="1" x14ac:dyDescent="0.25">
      <c r="A7920" s="124" t="s">
        <v>10239</v>
      </c>
      <c r="B7920" s="124" t="s">
        <v>11736</v>
      </c>
      <c r="C7920" s="132"/>
      <c r="D7920" s="125">
        <f>COUNTIF(A3498:A7919,A7920)</f>
        <v>0</v>
      </c>
      <c r="E7920" s="124" t="s">
        <v>8367</v>
      </c>
      <c r="F7920" s="126">
        <v>5</v>
      </c>
      <c r="G7920" s="128">
        <v>1474.8</v>
      </c>
      <c r="H7920" s="124" t="s">
        <v>8368</v>
      </c>
      <c r="I7920" s="127">
        <v>261.60000000000002</v>
      </c>
      <c r="J7920" s="128">
        <v>1308</v>
      </c>
    </row>
    <row r="7921" spans="1:10" hidden="1" x14ac:dyDescent="0.25">
      <c r="A7921" s="124" t="s">
        <v>10240</v>
      </c>
      <c r="B7921" s="124" t="s">
        <v>11736</v>
      </c>
      <c r="C7921" s="132"/>
      <c r="D7921" s="125">
        <f>COUNTIF(A3499:A7920,A7921)</f>
        <v>0</v>
      </c>
      <c r="E7921" s="124" t="s">
        <v>8367</v>
      </c>
      <c r="F7921" s="126">
        <v>5</v>
      </c>
      <c r="G7921" s="128">
        <v>2229.6</v>
      </c>
      <c r="H7921" s="124" t="s">
        <v>8368</v>
      </c>
      <c r="I7921" s="127">
        <v>259.2</v>
      </c>
      <c r="J7921" s="128">
        <v>1296</v>
      </c>
    </row>
    <row r="7922" spans="1:10" hidden="1" x14ac:dyDescent="0.25">
      <c r="A7922" s="124" t="s">
        <v>10241</v>
      </c>
      <c r="B7922" s="124" t="s">
        <v>11736</v>
      </c>
      <c r="C7922" s="132"/>
      <c r="D7922" s="125">
        <f>COUNTIF(A3500:A7921,A7922)</f>
        <v>0</v>
      </c>
      <c r="E7922" s="124" t="s">
        <v>8367</v>
      </c>
      <c r="F7922" s="126">
        <v>5</v>
      </c>
      <c r="G7922" s="128">
        <v>1884</v>
      </c>
      <c r="H7922" s="124" t="s">
        <v>8368</v>
      </c>
      <c r="I7922" s="127">
        <v>448.4</v>
      </c>
      <c r="J7922" s="128">
        <v>2242</v>
      </c>
    </row>
    <row r="7923" spans="1:10" hidden="1" x14ac:dyDescent="0.25">
      <c r="A7923" s="124" t="s">
        <v>10242</v>
      </c>
      <c r="B7923" s="124" t="s">
        <v>11736</v>
      </c>
      <c r="C7923" s="132"/>
      <c r="D7923" s="125">
        <f>COUNTIF(A3502:A7922,A7923)</f>
        <v>0</v>
      </c>
      <c r="E7923" s="124" t="s">
        <v>8367</v>
      </c>
      <c r="F7923" s="126">
        <v>5</v>
      </c>
      <c r="G7923" s="128">
        <v>1569.6</v>
      </c>
      <c r="H7923" s="124" t="s">
        <v>8368</v>
      </c>
      <c r="I7923" s="127">
        <v>470</v>
      </c>
      <c r="J7923" s="128">
        <v>2350</v>
      </c>
    </row>
    <row r="7924" spans="1:10" hidden="1" x14ac:dyDescent="0.25">
      <c r="A7924" s="124" t="s">
        <v>10243</v>
      </c>
      <c r="B7924" s="124" t="s">
        <v>11736</v>
      </c>
      <c r="C7924" s="132"/>
      <c r="D7924" s="125">
        <f>COUNTIF(A3503:A7923,A7924)</f>
        <v>0</v>
      </c>
      <c r="E7924" s="124" t="s">
        <v>8367</v>
      </c>
      <c r="F7924" s="126">
        <v>5</v>
      </c>
      <c r="G7924" s="128">
        <v>1555.2</v>
      </c>
      <c r="H7924" s="124" t="s">
        <v>8368</v>
      </c>
      <c r="I7924" s="127">
        <v>425</v>
      </c>
      <c r="J7924" s="128">
        <v>2125</v>
      </c>
    </row>
    <row r="7925" spans="1:10" hidden="1" x14ac:dyDescent="0.25">
      <c r="A7925" s="124" t="s">
        <v>10244</v>
      </c>
      <c r="B7925" s="124" t="s">
        <v>11736</v>
      </c>
      <c r="C7925" s="132"/>
      <c r="D7925" s="125">
        <f>COUNTIF(A3504:A7924,A7925)</f>
        <v>0</v>
      </c>
      <c r="E7925" s="124" t="s">
        <v>8367</v>
      </c>
      <c r="F7925" s="126">
        <v>10</v>
      </c>
      <c r="G7925" s="128">
        <v>2690.4</v>
      </c>
      <c r="H7925" s="124" t="s">
        <v>8368</v>
      </c>
      <c r="I7925" s="127">
        <v>329.2</v>
      </c>
      <c r="J7925" s="128">
        <v>1646</v>
      </c>
    </row>
    <row r="7926" spans="1:10" hidden="1" x14ac:dyDescent="0.25">
      <c r="A7926" s="124" t="s">
        <v>10245</v>
      </c>
      <c r="B7926" s="124" t="s">
        <v>11736</v>
      </c>
      <c r="C7926" s="132"/>
      <c r="D7926" s="125">
        <f t="shared" ref="D7926:D7940" si="120">COUNTIF(A3506:A7925,A7926)</f>
        <v>0</v>
      </c>
      <c r="E7926" s="124" t="s">
        <v>8367</v>
      </c>
      <c r="F7926" s="126">
        <v>6</v>
      </c>
      <c r="G7926" s="128">
        <v>2820</v>
      </c>
      <c r="H7926" s="124" t="s">
        <v>8368</v>
      </c>
      <c r="I7926" s="128">
        <v>11090</v>
      </c>
      <c r="J7926" s="128">
        <v>55450</v>
      </c>
    </row>
    <row r="7927" spans="1:10" hidden="1" x14ac:dyDescent="0.25">
      <c r="A7927" s="124" t="s">
        <v>10246</v>
      </c>
      <c r="B7927" s="124" t="s">
        <v>11736</v>
      </c>
      <c r="C7927" s="132"/>
      <c r="D7927" s="125">
        <f t="shared" si="120"/>
        <v>0</v>
      </c>
      <c r="E7927" s="124" t="s">
        <v>8367</v>
      </c>
      <c r="F7927" s="126">
        <v>10</v>
      </c>
      <c r="G7927" s="128">
        <v>2550</v>
      </c>
      <c r="H7927" s="124" t="s">
        <v>8368</v>
      </c>
      <c r="I7927" s="127">
        <v>262.60000000000002</v>
      </c>
      <c r="J7927" s="128">
        <v>1313</v>
      </c>
    </row>
    <row r="7928" spans="1:10" hidden="1" x14ac:dyDescent="0.25">
      <c r="A7928" s="124" t="s">
        <v>10247</v>
      </c>
      <c r="B7928" s="124" t="s">
        <v>11736</v>
      </c>
      <c r="C7928" s="132"/>
      <c r="D7928" s="125">
        <f t="shared" si="120"/>
        <v>0</v>
      </c>
      <c r="E7928" s="124" t="s">
        <v>8367</v>
      </c>
      <c r="F7928" s="126">
        <v>25</v>
      </c>
      <c r="G7928" s="128">
        <v>1975.2</v>
      </c>
      <c r="H7928" s="124" t="s">
        <v>8368</v>
      </c>
      <c r="I7928" s="127">
        <v>186.6</v>
      </c>
      <c r="J7928" s="127">
        <v>933</v>
      </c>
    </row>
    <row r="7929" spans="1:10" hidden="1" x14ac:dyDescent="0.25">
      <c r="A7929" s="124" t="s">
        <v>10248</v>
      </c>
      <c r="B7929" s="124" t="s">
        <v>11736</v>
      </c>
      <c r="C7929" s="132"/>
      <c r="D7929" s="125">
        <f t="shared" si="120"/>
        <v>0</v>
      </c>
      <c r="E7929" s="124" t="s">
        <v>8367</v>
      </c>
      <c r="F7929" s="126">
        <v>5</v>
      </c>
      <c r="G7929" s="128">
        <v>66540</v>
      </c>
      <c r="H7929" s="124" t="s">
        <v>8368</v>
      </c>
      <c r="I7929" s="128">
        <v>1317.6</v>
      </c>
      <c r="J7929" s="128">
        <v>6588</v>
      </c>
    </row>
    <row r="7930" spans="1:10" hidden="1" x14ac:dyDescent="0.25">
      <c r="A7930" s="124" t="s">
        <v>10249</v>
      </c>
      <c r="B7930" s="124" t="s">
        <v>11736</v>
      </c>
      <c r="C7930" s="132"/>
      <c r="D7930" s="125">
        <f t="shared" si="120"/>
        <v>0</v>
      </c>
      <c r="E7930" s="124" t="s">
        <v>8367</v>
      </c>
      <c r="F7930" s="126">
        <v>4</v>
      </c>
      <c r="G7930" s="128">
        <v>1575.6</v>
      </c>
      <c r="H7930" s="124" t="s">
        <v>8368</v>
      </c>
      <c r="I7930" s="127">
        <v>375</v>
      </c>
      <c r="J7930" s="128">
        <v>1875</v>
      </c>
    </row>
    <row r="7931" spans="1:10" hidden="1" x14ac:dyDescent="0.25">
      <c r="A7931" s="124" t="s">
        <v>10250</v>
      </c>
      <c r="B7931" s="124" t="s">
        <v>11736</v>
      </c>
      <c r="C7931" s="132"/>
      <c r="D7931" s="125">
        <f t="shared" si="120"/>
        <v>0</v>
      </c>
      <c r="E7931" s="124" t="s">
        <v>8367</v>
      </c>
      <c r="F7931" s="126">
        <v>3</v>
      </c>
      <c r="G7931" s="128">
        <v>1119.5999999999999</v>
      </c>
      <c r="H7931" s="124" t="s">
        <v>8368</v>
      </c>
      <c r="I7931" s="127">
        <v>980</v>
      </c>
      <c r="J7931" s="128">
        <v>4900</v>
      </c>
    </row>
    <row r="7932" spans="1:10" hidden="1" x14ac:dyDescent="0.25">
      <c r="A7932" s="124" t="s">
        <v>10251</v>
      </c>
      <c r="B7932" s="124" t="s">
        <v>11736</v>
      </c>
      <c r="C7932" s="132"/>
      <c r="D7932" s="125">
        <f t="shared" si="120"/>
        <v>0</v>
      </c>
      <c r="E7932" s="124" t="s">
        <v>8367</v>
      </c>
      <c r="F7932" s="126">
        <v>2</v>
      </c>
      <c r="G7932" s="128">
        <v>7905.6</v>
      </c>
      <c r="H7932" s="124" t="s">
        <v>8368</v>
      </c>
      <c r="I7932" s="128">
        <v>1115</v>
      </c>
      <c r="J7932" s="128">
        <v>5575</v>
      </c>
    </row>
    <row r="7933" spans="1:10" hidden="1" x14ac:dyDescent="0.25">
      <c r="A7933" s="124" t="s">
        <v>10252</v>
      </c>
      <c r="B7933" s="124" t="s">
        <v>11736</v>
      </c>
      <c r="C7933" s="132"/>
      <c r="D7933" s="125">
        <f t="shared" si="120"/>
        <v>0</v>
      </c>
      <c r="E7933" s="124" t="s">
        <v>8367</v>
      </c>
      <c r="F7933" s="126">
        <v>25</v>
      </c>
      <c r="G7933" s="128">
        <v>2250</v>
      </c>
      <c r="H7933" s="124" t="s">
        <v>8368</v>
      </c>
      <c r="I7933" s="127">
        <v>463.4</v>
      </c>
      <c r="J7933" s="128">
        <v>2317</v>
      </c>
    </row>
    <row r="7934" spans="1:10" hidden="1" x14ac:dyDescent="0.25">
      <c r="A7934" s="124" t="s">
        <v>1434</v>
      </c>
      <c r="B7934" s="124" t="s">
        <v>11736</v>
      </c>
      <c r="C7934" s="132"/>
      <c r="D7934" s="125">
        <f t="shared" si="120"/>
        <v>0</v>
      </c>
      <c r="E7934" s="124" t="s">
        <v>8367</v>
      </c>
      <c r="F7934" s="126">
        <v>30</v>
      </c>
      <c r="G7934" s="128">
        <v>5880</v>
      </c>
      <c r="H7934" s="124" t="s">
        <v>8368</v>
      </c>
      <c r="I7934" s="127">
        <v>74</v>
      </c>
      <c r="J7934" s="127">
        <v>370</v>
      </c>
    </row>
    <row r="7935" spans="1:10" hidden="1" x14ac:dyDescent="0.25">
      <c r="A7935" s="124" t="s">
        <v>10253</v>
      </c>
      <c r="B7935" s="124" t="s">
        <v>11736</v>
      </c>
      <c r="C7935" s="132"/>
      <c r="D7935" s="125">
        <f t="shared" si="120"/>
        <v>0</v>
      </c>
      <c r="E7935" s="124" t="s">
        <v>8367</v>
      </c>
      <c r="F7935" s="126">
        <v>10</v>
      </c>
      <c r="G7935" s="128">
        <v>6690</v>
      </c>
      <c r="H7935" s="124" t="s">
        <v>8368</v>
      </c>
      <c r="I7935" s="127">
        <v>631.6</v>
      </c>
      <c r="J7935" s="128">
        <v>3158</v>
      </c>
    </row>
    <row r="7936" spans="1:10" hidden="1" x14ac:dyDescent="0.25">
      <c r="A7936" s="124" t="s">
        <v>10254</v>
      </c>
      <c r="B7936" s="124" t="s">
        <v>11736</v>
      </c>
      <c r="C7936" s="132"/>
      <c r="D7936" s="125">
        <f t="shared" si="120"/>
        <v>0</v>
      </c>
      <c r="E7936" s="124" t="s">
        <v>8367</v>
      </c>
      <c r="F7936" s="126">
        <v>10</v>
      </c>
      <c r="G7936" s="128">
        <v>2780.4</v>
      </c>
      <c r="H7936" s="124" t="s">
        <v>8368</v>
      </c>
      <c r="I7936" s="127">
        <v>519.20000000000005</v>
      </c>
      <c r="J7936" s="128">
        <v>2596</v>
      </c>
    </row>
    <row r="7937" spans="1:10" hidden="1" x14ac:dyDescent="0.25">
      <c r="A7937" s="124" t="s">
        <v>10255</v>
      </c>
      <c r="B7937" s="124" t="s">
        <v>11736</v>
      </c>
      <c r="C7937" s="132"/>
      <c r="D7937" s="125">
        <f t="shared" si="120"/>
        <v>0</v>
      </c>
      <c r="E7937" s="124" t="s">
        <v>8367</v>
      </c>
      <c r="F7937" s="126">
        <v>1</v>
      </c>
      <c r="G7937" s="127">
        <v>444</v>
      </c>
      <c r="H7937" s="124" t="s">
        <v>8368</v>
      </c>
      <c r="I7937" s="127">
        <v>99.83</v>
      </c>
      <c r="J7937" s="127">
        <v>499.12</v>
      </c>
    </row>
    <row r="7938" spans="1:10" hidden="1" x14ac:dyDescent="0.25">
      <c r="A7938" s="124" t="s">
        <v>10256</v>
      </c>
      <c r="B7938" s="124" t="s">
        <v>11736</v>
      </c>
      <c r="C7938" s="132"/>
      <c r="D7938" s="125">
        <f t="shared" si="120"/>
        <v>0</v>
      </c>
      <c r="E7938" s="124" t="s">
        <v>8367</v>
      </c>
      <c r="F7938" s="126">
        <v>2</v>
      </c>
      <c r="G7938" s="128">
        <v>3789.6</v>
      </c>
      <c r="H7938" s="124" t="s">
        <v>8368</v>
      </c>
      <c r="I7938" s="127">
        <v>211</v>
      </c>
      <c r="J7938" s="128">
        <v>1055</v>
      </c>
    </row>
    <row r="7939" spans="1:10" hidden="1" x14ac:dyDescent="0.25">
      <c r="A7939" s="124" t="s">
        <v>1266</v>
      </c>
      <c r="B7939" s="124" t="s">
        <v>11736</v>
      </c>
      <c r="C7939" s="132"/>
      <c r="D7939" s="125">
        <f t="shared" si="120"/>
        <v>0</v>
      </c>
      <c r="E7939" s="124" t="s">
        <v>8367</v>
      </c>
      <c r="F7939" s="126">
        <v>5</v>
      </c>
      <c r="G7939" s="128">
        <v>3115.2</v>
      </c>
      <c r="H7939" s="124" t="s">
        <v>8368</v>
      </c>
      <c r="I7939" s="128">
        <v>2395.25</v>
      </c>
      <c r="J7939" s="128">
        <v>11976.25</v>
      </c>
    </row>
    <row r="7940" spans="1:10" hidden="1" x14ac:dyDescent="0.25">
      <c r="A7940" s="124" t="s">
        <v>10257</v>
      </c>
      <c r="B7940" s="124" t="s">
        <v>11736</v>
      </c>
      <c r="C7940" s="132"/>
      <c r="D7940" s="125">
        <f t="shared" si="120"/>
        <v>0</v>
      </c>
      <c r="E7940" s="124" t="s">
        <v>8367</v>
      </c>
      <c r="F7940" s="126">
        <v>1</v>
      </c>
      <c r="G7940" s="127">
        <v>598.95000000000005</v>
      </c>
      <c r="H7940" s="124" t="s">
        <v>8368</v>
      </c>
      <c r="I7940" s="127">
        <v>693.4</v>
      </c>
      <c r="J7940" s="128">
        <v>3467</v>
      </c>
    </row>
    <row r="7941" spans="1:10" hidden="1" x14ac:dyDescent="0.25">
      <c r="A7941" s="124" t="s">
        <v>10258</v>
      </c>
      <c r="B7941" s="124" t="s">
        <v>11736</v>
      </c>
      <c r="C7941" s="132"/>
      <c r="D7941" s="125">
        <f>COUNTIF(A3522:A7940,A7941)</f>
        <v>0</v>
      </c>
      <c r="E7941" s="124" t="s">
        <v>8367</v>
      </c>
      <c r="F7941" s="126">
        <v>2</v>
      </c>
      <c r="G7941" s="128">
        <v>1266</v>
      </c>
      <c r="H7941" s="124" t="s">
        <v>8368</v>
      </c>
      <c r="I7941" s="127">
        <v>821.2</v>
      </c>
      <c r="J7941" s="128">
        <v>4106</v>
      </c>
    </row>
    <row r="7942" spans="1:10" hidden="1" x14ac:dyDescent="0.25">
      <c r="A7942" s="124" t="s">
        <v>4491</v>
      </c>
      <c r="B7942" s="124" t="s">
        <v>11736</v>
      </c>
      <c r="C7942" s="132"/>
      <c r="D7942" s="125">
        <f>COUNTIF(A3523:A7941,A7942)</f>
        <v>0</v>
      </c>
      <c r="E7942" s="124" t="s">
        <v>8367</v>
      </c>
      <c r="F7942" s="126">
        <v>5</v>
      </c>
      <c r="G7942" s="128">
        <v>14371.5</v>
      </c>
      <c r="H7942" s="124" t="s">
        <v>8368</v>
      </c>
      <c r="I7942" s="127">
        <v>115.4</v>
      </c>
      <c r="J7942" s="127">
        <v>577</v>
      </c>
    </row>
    <row r="7943" spans="1:10" hidden="1" x14ac:dyDescent="0.25">
      <c r="A7943" s="124" t="s">
        <v>1364</v>
      </c>
      <c r="B7943" s="124" t="s">
        <v>11736</v>
      </c>
      <c r="C7943" s="132"/>
      <c r="D7943" s="125">
        <f>COUNTIF(A3525:A7942,A7943)</f>
        <v>0</v>
      </c>
      <c r="E7943" s="124" t="s">
        <v>8367</v>
      </c>
      <c r="F7943" s="126">
        <v>8</v>
      </c>
      <c r="G7943" s="128">
        <v>4160.3999999999996</v>
      </c>
      <c r="H7943" s="124" t="s">
        <v>8368</v>
      </c>
      <c r="I7943" s="127">
        <v>229.2</v>
      </c>
      <c r="J7943" s="128">
        <v>1146</v>
      </c>
    </row>
    <row r="7944" spans="1:10" hidden="1" x14ac:dyDescent="0.25">
      <c r="A7944" s="124" t="s">
        <v>10259</v>
      </c>
      <c r="B7944" s="124" t="s">
        <v>11736</v>
      </c>
      <c r="C7944" s="132"/>
      <c r="D7944" s="125">
        <f>COUNTIF(A3526:A7943,A7944)</f>
        <v>0</v>
      </c>
      <c r="E7944" s="124" t="s">
        <v>8367</v>
      </c>
      <c r="F7944" s="126">
        <v>4</v>
      </c>
      <c r="G7944" s="128">
        <v>4927.2</v>
      </c>
      <c r="H7944" s="124" t="s">
        <v>8368</v>
      </c>
      <c r="I7944" s="127">
        <v>119.3</v>
      </c>
      <c r="J7944" s="127">
        <v>596.5</v>
      </c>
    </row>
    <row r="7945" spans="1:10" hidden="1" x14ac:dyDescent="0.25">
      <c r="A7945" s="124" t="s">
        <v>10260</v>
      </c>
      <c r="B7945" s="124" t="s">
        <v>11736</v>
      </c>
      <c r="C7945" s="132"/>
      <c r="D7945" s="125">
        <f>COUNTIF(A3527:A7944,A7945)</f>
        <v>0</v>
      </c>
      <c r="E7945" s="124" t="s">
        <v>8367</v>
      </c>
      <c r="F7945" s="126">
        <v>2</v>
      </c>
      <c r="G7945" s="127">
        <v>692.4</v>
      </c>
      <c r="H7945" s="124" t="s">
        <v>8368</v>
      </c>
      <c r="I7945" s="127">
        <v>791</v>
      </c>
      <c r="J7945" s="128">
        <v>3955</v>
      </c>
    </row>
    <row r="7946" spans="1:10" hidden="1" x14ac:dyDescent="0.25">
      <c r="A7946" s="124" t="s">
        <v>10261</v>
      </c>
      <c r="B7946" s="124" t="s">
        <v>11736</v>
      </c>
      <c r="C7946" s="132"/>
      <c r="D7946" s="125">
        <f>COUNTIF(A3528:A7945,A7946)</f>
        <v>0</v>
      </c>
      <c r="E7946" s="124" t="s">
        <v>8367</v>
      </c>
      <c r="F7946" s="126">
        <v>1</v>
      </c>
      <c r="G7946" s="128">
        <v>1375.2</v>
      </c>
      <c r="H7946" s="124" t="s">
        <v>8368</v>
      </c>
      <c r="I7946" s="127">
        <v>324.39999999999998</v>
      </c>
      <c r="J7946" s="128">
        <v>1622</v>
      </c>
    </row>
    <row r="7947" spans="1:10" hidden="1" x14ac:dyDescent="0.25">
      <c r="A7947" s="124" t="s">
        <v>10262</v>
      </c>
      <c r="B7947" s="124" t="s">
        <v>11736</v>
      </c>
      <c r="C7947" s="132"/>
      <c r="D7947" s="125">
        <f>COUNTIF(A3529:A7946,A7947)</f>
        <v>0</v>
      </c>
      <c r="E7947" s="124" t="s">
        <v>8367</v>
      </c>
      <c r="F7947" s="126">
        <v>4</v>
      </c>
      <c r="G7947" s="127">
        <v>715.8</v>
      </c>
      <c r="H7947" s="124" t="s">
        <v>8368</v>
      </c>
      <c r="I7947" s="127">
        <v>264.3</v>
      </c>
      <c r="J7947" s="128">
        <v>1321.5</v>
      </c>
    </row>
    <row r="7948" spans="1:10" hidden="1" x14ac:dyDescent="0.25">
      <c r="A7948" s="124" t="s">
        <v>1249</v>
      </c>
      <c r="B7948" s="124" t="s">
        <v>11736</v>
      </c>
      <c r="C7948" s="132"/>
      <c r="D7948" s="125">
        <f>COUNTIF(A3531:A7947,A7948)</f>
        <v>0</v>
      </c>
      <c r="E7948" s="124" t="s">
        <v>8367</v>
      </c>
      <c r="F7948" s="126">
        <v>6</v>
      </c>
      <c r="G7948" s="128">
        <v>4746</v>
      </c>
      <c r="H7948" s="124" t="s">
        <v>8368</v>
      </c>
      <c r="I7948" s="127">
        <v>309.39999999999998</v>
      </c>
      <c r="J7948" s="128">
        <v>1547</v>
      </c>
    </row>
    <row r="7949" spans="1:10" hidden="1" x14ac:dyDescent="0.25">
      <c r="A7949" s="124" t="s">
        <v>386</v>
      </c>
      <c r="B7949" s="124" t="s">
        <v>11736</v>
      </c>
      <c r="C7949" s="132"/>
      <c r="D7949" s="125">
        <f>COUNTIF(A3532:A7948,A7949)</f>
        <v>0</v>
      </c>
      <c r="E7949" s="124" t="s">
        <v>8367</v>
      </c>
      <c r="F7949" s="126">
        <v>1</v>
      </c>
      <c r="G7949" s="128">
        <v>1946.4</v>
      </c>
      <c r="H7949" s="124" t="s">
        <v>8368</v>
      </c>
      <c r="I7949" s="128">
        <v>46444</v>
      </c>
      <c r="J7949" s="128">
        <v>232220</v>
      </c>
    </row>
    <row r="7950" spans="1:10" hidden="1" x14ac:dyDescent="0.25">
      <c r="A7950" s="124" t="s">
        <v>10263</v>
      </c>
      <c r="B7950" s="124" t="s">
        <v>11736</v>
      </c>
      <c r="C7950" s="132"/>
      <c r="D7950" s="125">
        <f>COUNTIF(A3533:A7949,A7950)</f>
        <v>0</v>
      </c>
      <c r="E7950" s="124" t="s">
        <v>8367</v>
      </c>
      <c r="F7950" s="126">
        <v>2</v>
      </c>
      <c r="G7950" s="128">
        <v>1585.8</v>
      </c>
      <c r="H7950" s="124" t="s">
        <v>8368</v>
      </c>
      <c r="I7950" s="127">
        <v>731.7</v>
      </c>
      <c r="J7950" s="128">
        <v>3658.5</v>
      </c>
    </row>
    <row r="7951" spans="1:10" hidden="1" x14ac:dyDescent="0.25">
      <c r="A7951" s="124" t="s">
        <v>879</v>
      </c>
      <c r="B7951" s="124" t="s">
        <v>11736</v>
      </c>
      <c r="C7951" s="132"/>
      <c r="D7951" s="125">
        <f>COUNTIF(A3534:A7950,A7951)</f>
        <v>0</v>
      </c>
      <c r="E7951" s="124" t="s">
        <v>8367</v>
      </c>
      <c r="F7951" s="126">
        <v>8</v>
      </c>
      <c r="G7951" s="128">
        <v>1856.4</v>
      </c>
      <c r="H7951" s="124" t="s">
        <v>8368</v>
      </c>
      <c r="I7951" s="128">
        <v>1244.4000000000001</v>
      </c>
      <c r="J7951" s="128">
        <v>6222</v>
      </c>
    </row>
    <row r="7952" spans="1:10" hidden="1" x14ac:dyDescent="0.25">
      <c r="A7952" s="124" t="s">
        <v>10264</v>
      </c>
      <c r="B7952" s="124" t="s">
        <v>11736</v>
      </c>
      <c r="C7952" s="132"/>
      <c r="D7952" s="125">
        <f>COUNTIF(A3535:A7951,A7952)</f>
        <v>0</v>
      </c>
      <c r="E7952" s="124" t="s">
        <v>8367</v>
      </c>
      <c r="F7952" s="126">
        <v>6</v>
      </c>
      <c r="G7952" s="128">
        <v>278664</v>
      </c>
      <c r="H7952" s="124" t="s">
        <v>8368</v>
      </c>
      <c r="I7952" s="128">
        <v>4376</v>
      </c>
      <c r="J7952" s="128">
        <v>21880</v>
      </c>
    </row>
    <row r="7953" spans="1:10" hidden="1" x14ac:dyDescent="0.25">
      <c r="A7953" s="124" t="s">
        <v>10265</v>
      </c>
      <c r="B7953" s="124" t="s">
        <v>11736</v>
      </c>
      <c r="C7953" s="132"/>
      <c r="D7953" s="125">
        <f t="shared" ref="D7953:D7998" si="121">COUNTIF(A3538:A7952,A7953)</f>
        <v>0</v>
      </c>
      <c r="E7953" s="124" t="s">
        <v>8367</v>
      </c>
      <c r="F7953" s="126">
        <v>1</v>
      </c>
      <c r="G7953" s="128">
        <v>4390.2</v>
      </c>
      <c r="H7953" s="124" t="s">
        <v>8368</v>
      </c>
      <c r="I7953" s="127">
        <v>592</v>
      </c>
      <c r="J7953" s="128">
        <v>2960</v>
      </c>
    </row>
    <row r="7954" spans="1:10" hidden="1" x14ac:dyDescent="0.25">
      <c r="A7954" s="124" t="s">
        <v>10266</v>
      </c>
      <c r="B7954" s="124" t="s">
        <v>11736</v>
      </c>
      <c r="C7954" s="132"/>
      <c r="D7954" s="125">
        <f t="shared" si="121"/>
        <v>0</v>
      </c>
      <c r="E7954" s="124" t="s">
        <v>8367</v>
      </c>
      <c r="F7954" s="126">
        <v>1</v>
      </c>
      <c r="G7954" s="128">
        <v>7466.4</v>
      </c>
      <c r="H7954" s="124" t="s">
        <v>8368</v>
      </c>
      <c r="I7954" s="127">
        <v>261.2</v>
      </c>
      <c r="J7954" s="128">
        <v>1306</v>
      </c>
    </row>
    <row r="7955" spans="1:10" hidden="1" x14ac:dyDescent="0.25">
      <c r="A7955" s="124" t="s">
        <v>10267</v>
      </c>
      <c r="B7955" s="124" t="s">
        <v>11736</v>
      </c>
      <c r="C7955" s="132"/>
      <c r="D7955" s="125">
        <f t="shared" si="121"/>
        <v>0</v>
      </c>
      <c r="E7955" s="124" t="s">
        <v>8367</v>
      </c>
      <c r="F7955" s="126">
        <v>1</v>
      </c>
      <c r="G7955" s="128">
        <v>26256</v>
      </c>
      <c r="H7955" s="124" t="s">
        <v>8368</v>
      </c>
      <c r="I7955" s="127">
        <v>200.2</v>
      </c>
      <c r="J7955" s="128">
        <v>1001</v>
      </c>
    </row>
    <row r="7956" spans="1:10" hidden="1" x14ac:dyDescent="0.25">
      <c r="A7956" s="124" t="s">
        <v>10268</v>
      </c>
      <c r="B7956" s="124" t="s">
        <v>11736</v>
      </c>
      <c r="C7956" s="132"/>
      <c r="D7956" s="125">
        <f t="shared" si="121"/>
        <v>0</v>
      </c>
      <c r="E7956" s="124" t="s">
        <v>8367</v>
      </c>
      <c r="F7956" s="126">
        <v>1</v>
      </c>
      <c r="G7956" s="128">
        <v>3552</v>
      </c>
      <c r="H7956" s="124" t="s">
        <v>8368</v>
      </c>
      <c r="I7956" s="127">
        <v>94.4</v>
      </c>
      <c r="J7956" s="127">
        <v>472</v>
      </c>
    </row>
    <row r="7957" spans="1:10" hidden="1" x14ac:dyDescent="0.25">
      <c r="A7957" s="124" t="s">
        <v>10269</v>
      </c>
      <c r="B7957" s="124" t="s">
        <v>11736</v>
      </c>
      <c r="C7957" s="132"/>
      <c r="D7957" s="125">
        <f t="shared" si="121"/>
        <v>0</v>
      </c>
      <c r="E7957" s="124" t="s">
        <v>8367</v>
      </c>
      <c r="F7957" s="126">
        <v>1</v>
      </c>
      <c r="G7957" s="128">
        <v>1567.2</v>
      </c>
      <c r="H7957" s="124" t="s">
        <v>8368</v>
      </c>
      <c r="I7957" s="128">
        <v>1759</v>
      </c>
      <c r="J7957" s="128">
        <v>8795</v>
      </c>
    </row>
    <row r="7958" spans="1:10" hidden="1" x14ac:dyDescent="0.25">
      <c r="A7958" s="124" t="s">
        <v>10270</v>
      </c>
      <c r="B7958" s="124" t="s">
        <v>11736</v>
      </c>
      <c r="C7958" s="132"/>
      <c r="D7958" s="125">
        <f t="shared" si="121"/>
        <v>0</v>
      </c>
      <c r="E7958" s="124" t="s">
        <v>8367</v>
      </c>
      <c r="F7958" s="126">
        <v>1</v>
      </c>
      <c r="G7958" s="128">
        <v>1201.2</v>
      </c>
      <c r="H7958" s="124" t="s">
        <v>8368</v>
      </c>
      <c r="I7958" s="127">
        <v>23.6</v>
      </c>
      <c r="J7958" s="127">
        <v>118</v>
      </c>
    </row>
    <row r="7959" spans="1:10" hidden="1" x14ac:dyDescent="0.25">
      <c r="A7959" s="124" t="s">
        <v>10271</v>
      </c>
      <c r="B7959" s="124" t="s">
        <v>11736</v>
      </c>
      <c r="C7959" s="132"/>
      <c r="D7959" s="125">
        <f t="shared" si="121"/>
        <v>0</v>
      </c>
      <c r="E7959" s="124" t="s">
        <v>8367</v>
      </c>
      <c r="F7959" s="126">
        <v>1</v>
      </c>
      <c r="G7959" s="127">
        <v>566.4</v>
      </c>
      <c r="H7959" s="124" t="s">
        <v>8368</v>
      </c>
      <c r="I7959" s="127">
        <v>10.8</v>
      </c>
      <c r="J7959" s="127">
        <v>54</v>
      </c>
    </row>
    <row r="7960" spans="1:10" hidden="1" x14ac:dyDescent="0.25">
      <c r="A7960" s="124" t="s">
        <v>10272</v>
      </c>
      <c r="B7960" s="124" t="s">
        <v>11736</v>
      </c>
      <c r="C7960" s="132"/>
      <c r="D7960" s="125">
        <f t="shared" si="121"/>
        <v>0</v>
      </c>
      <c r="E7960" s="124" t="s">
        <v>8367</v>
      </c>
      <c r="F7960" s="126">
        <v>1</v>
      </c>
      <c r="G7960" s="128">
        <v>10554</v>
      </c>
      <c r="H7960" s="124" t="s">
        <v>8368</v>
      </c>
      <c r="I7960" s="127">
        <v>365.2</v>
      </c>
      <c r="J7960" s="128">
        <v>1826</v>
      </c>
    </row>
    <row r="7961" spans="1:10" hidden="1" x14ac:dyDescent="0.25">
      <c r="A7961" s="124" t="s">
        <v>10273</v>
      </c>
      <c r="B7961" s="124" t="s">
        <v>11736</v>
      </c>
      <c r="C7961" s="132"/>
      <c r="D7961" s="125">
        <f t="shared" si="121"/>
        <v>0</v>
      </c>
      <c r="E7961" s="124" t="s">
        <v>8367</v>
      </c>
      <c r="F7961" s="126">
        <v>1</v>
      </c>
      <c r="G7961" s="127">
        <v>141.6</v>
      </c>
      <c r="H7961" s="124" t="s">
        <v>8368</v>
      </c>
      <c r="I7961" s="128">
        <v>5340</v>
      </c>
      <c r="J7961" s="128">
        <v>26700</v>
      </c>
    </row>
    <row r="7962" spans="1:10" hidden="1" x14ac:dyDescent="0.25">
      <c r="A7962" s="124" t="s">
        <v>10274</v>
      </c>
      <c r="B7962" s="124" t="s">
        <v>11736</v>
      </c>
      <c r="C7962" s="132"/>
      <c r="D7962" s="125">
        <f t="shared" si="121"/>
        <v>0</v>
      </c>
      <c r="E7962" s="124" t="s">
        <v>8367</v>
      </c>
      <c r="F7962" s="126">
        <v>1</v>
      </c>
      <c r="G7962" s="127">
        <v>64.8</v>
      </c>
      <c r="H7962" s="124" t="s">
        <v>8368</v>
      </c>
      <c r="I7962" s="128">
        <v>1912</v>
      </c>
      <c r="J7962" s="128">
        <v>9560</v>
      </c>
    </row>
    <row r="7963" spans="1:10" hidden="1" x14ac:dyDescent="0.25">
      <c r="A7963" s="124" t="s">
        <v>10275</v>
      </c>
      <c r="B7963" s="124" t="s">
        <v>11736</v>
      </c>
      <c r="C7963" s="132"/>
      <c r="D7963" s="125">
        <f t="shared" si="121"/>
        <v>0</v>
      </c>
      <c r="E7963" s="124" t="s">
        <v>8367</v>
      </c>
      <c r="F7963" s="126">
        <v>1</v>
      </c>
      <c r="G7963" s="128">
        <v>2191.1999999999998</v>
      </c>
      <c r="H7963" s="124" t="s">
        <v>8368</v>
      </c>
      <c r="I7963" s="127">
        <v>62</v>
      </c>
      <c r="J7963" s="127">
        <v>310</v>
      </c>
    </row>
    <row r="7964" spans="1:10" hidden="1" x14ac:dyDescent="0.25">
      <c r="A7964" s="124" t="s">
        <v>10276</v>
      </c>
      <c r="B7964" s="124" t="s">
        <v>11736</v>
      </c>
      <c r="C7964" s="132"/>
      <c r="D7964" s="125">
        <f t="shared" si="121"/>
        <v>0</v>
      </c>
      <c r="E7964" s="124" t="s">
        <v>1</v>
      </c>
      <c r="F7964" s="126">
        <v>11.25</v>
      </c>
      <c r="G7964" s="128">
        <v>32040</v>
      </c>
      <c r="H7964" s="124" t="s">
        <v>8368</v>
      </c>
      <c r="I7964" s="127">
        <v>787.5</v>
      </c>
      <c r="J7964" s="128">
        <v>3937.5</v>
      </c>
    </row>
    <row r="7965" spans="1:10" hidden="1" x14ac:dyDescent="0.25">
      <c r="A7965" s="124" t="s">
        <v>10277</v>
      </c>
      <c r="B7965" s="124" t="s">
        <v>11736</v>
      </c>
      <c r="C7965" s="132"/>
      <c r="D7965" s="125">
        <f t="shared" si="121"/>
        <v>0</v>
      </c>
      <c r="E7965" s="124" t="s">
        <v>1</v>
      </c>
      <c r="F7965" s="126">
        <v>3</v>
      </c>
      <c r="G7965" s="128">
        <v>11472</v>
      </c>
      <c r="H7965" s="124" t="s">
        <v>8368</v>
      </c>
      <c r="I7965" s="127">
        <v>180.6</v>
      </c>
      <c r="J7965" s="127">
        <v>903</v>
      </c>
    </row>
    <row r="7966" spans="1:10" hidden="1" x14ac:dyDescent="0.25">
      <c r="A7966" s="124" t="s">
        <v>10278</v>
      </c>
      <c r="B7966" s="124" t="s">
        <v>11736</v>
      </c>
      <c r="C7966" s="132"/>
      <c r="D7966" s="125">
        <f t="shared" si="121"/>
        <v>0</v>
      </c>
      <c r="E7966" s="124" t="s">
        <v>8367</v>
      </c>
      <c r="F7966" s="126">
        <v>1</v>
      </c>
      <c r="G7966" s="127">
        <v>372</v>
      </c>
      <c r="H7966" s="124" t="s">
        <v>8368</v>
      </c>
      <c r="I7966" s="127">
        <v>165.4</v>
      </c>
      <c r="J7966" s="127">
        <v>827</v>
      </c>
    </row>
    <row r="7967" spans="1:10" hidden="1" x14ac:dyDescent="0.25">
      <c r="A7967" s="124" t="s">
        <v>10279</v>
      </c>
      <c r="B7967" s="124" t="s">
        <v>11736</v>
      </c>
      <c r="C7967" s="132"/>
      <c r="D7967" s="125">
        <f t="shared" si="121"/>
        <v>0</v>
      </c>
      <c r="E7967" s="124" t="s">
        <v>1</v>
      </c>
      <c r="F7967" s="126">
        <v>2.25</v>
      </c>
      <c r="G7967" s="128">
        <v>4725</v>
      </c>
      <c r="H7967" s="124" t="s">
        <v>8368</v>
      </c>
      <c r="I7967" s="127">
        <v>79.599999999999994</v>
      </c>
      <c r="J7967" s="127">
        <v>398</v>
      </c>
    </row>
    <row r="7968" spans="1:10" hidden="1" x14ac:dyDescent="0.25">
      <c r="A7968" s="124" t="s">
        <v>10280</v>
      </c>
      <c r="B7968" s="124" t="s">
        <v>11736</v>
      </c>
      <c r="C7968" s="132"/>
      <c r="D7968" s="125">
        <f t="shared" si="121"/>
        <v>0</v>
      </c>
      <c r="E7968" s="124" t="s">
        <v>8367</v>
      </c>
      <c r="F7968" s="126">
        <v>1</v>
      </c>
      <c r="G7968" s="128">
        <v>1083.5999999999999</v>
      </c>
      <c r="H7968" s="124" t="s">
        <v>8368</v>
      </c>
      <c r="I7968" s="127">
        <v>148</v>
      </c>
      <c r="J7968" s="127">
        <v>740</v>
      </c>
    </row>
    <row r="7969" spans="1:10" hidden="1" x14ac:dyDescent="0.25">
      <c r="A7969" s="124" t="s">
        <v>10281</v>
      </c>
      <c r="B7969" s="124" t="s">
        <v>11736</v>
      </c>
      <c r="C7969" s="132"/>
      <c r="D7969" s="125">
        <f t="shared" si="121"/>
        <v>0</v>
      </c>
      <c r="E7969" s="124" t="s">
        <v>8367</v>
      </c>
      <c r="F7969" s="126">
        <v>2</v>
      </c>
      <c r="G7969" s="127">
        <v>992.4</v>
      </c>
      <c r="H7969" s="124" t="s">
        <v>8368</v>
      </c>
      <c r="I7969" s="128">
        <v>9668.6</v>
      </c>
      <c r="J7969" s="128">
        <v>48343</v>
      </c>
    </row>
    <row r="7970" spans="1:10" hidden="1" x14ac:dyDescent="0.25">
      <c r="A7970" s="124" t="s">
        <v>10282</v>
      </c>
      <c r="B7970" s="124" t="s">
        <v>11736</v>
      </c>
      <c r="C7970" s="132"/>
      <c r="D7970" s="125">
        <f t="shared" si="121"/>
        <v>0</v>
      </c>
      <c r="E7970" s="124" t="s">
        <v>8367</v>
      </c>
      <c r="F7970" s="126">
        <v>1</v>
      </c>
      <c r="G7970" s="127">
        <v>477.6</v>
      </c>
      <c r="H7970" s="124" t="s">
        <v>8368</v>
      </c>
      <c r="I7970" s="128">
        <v>9559.0400000000009</v>
      </c>
      <c r="J7970" s="128">
        <v>47795.22</v>
      </c>
    </row>
    <row r="7971" spans="1:10" hidden="1" x14ac:dyDescent="0.25">
      <c r="A7971" s="124" t="s">
        <v>10283</v>
      </c>
      <c r="B7971" s="124" t="s">
        <v>11736</v>
      </c>
      <c r="C7971" s="132"/>
      <c r="D7971" s="125">
        <f t="shared" si="121"/>
        <v>0</v>
      </c>
      <c r="E7971" s="124" t="s">
        <v>8367</v>
      </c>
      <c r="F7971" s="126">
        <v>1</v>
      </c>
      <c r="G7971" s="127">
        <v>888</v>
      </c>
      <c r="H7971" s="124" t="s">
        <v>8368</v>
      </c>
      <c r="I7971" s="128">
        <v>6333.33</v>
      </c>
      <c r="J7971" s="128">
        <v>31666.67</v>
      </c>
    </row>
    <row r="7972" spans="1:10" hidden="1" x14ac:dyDescent="0.25">
      <c r="A7972" s="124" t="s">
        <v>10284</v>
      </c>
      <c r="B7972" s="124" t="s">
        <v>11736</v>
      </c>
      <c r="C7972" s="132"/>
      <c r="D7972" s="125">
        <f t="shared" si="121"/>
        <v>0</v>
      </c>
      <c r="E7972" s="124" t="s">
        <v>1</v>
      </c>
      <c r="F7972" s="126">
        <v>1.667</v>
      </c>
      <c r="G7972" s="128">
        <v>58011.6</v>
      </c>
      <c r="H7972" s="124" t="s">
        <v>8368</v>
      </c>
      <c r="I7972" s="128">
        <v>7515</v>
      </c>
      <c r="J7972" s="128">
        <v>37575</v>
      </c>
    </row>
    <row r="7973" spans="1:10" hidden="1" x14ac:dyDescent="0.25">
      <c r="A7973" s="124" t="s">
        <v>10285</v>
      </c>
      <c r="B7973" s="124" t="s">
        <v>11736</v>
      </c>
      <c r="C7973" s="132"/>
      <c r="D7973" s="125">
        <f t="shared" si="121"/>
        <v>0</v>
      </c>
      <c r="E7973" s="124" t="s">
        <v>1</v>
      </c>
      <c r="F7973" s="126">
        <v>3.3330000000000002</v>
      </c>
      <c r="G7973" s="128">
        <v>57354.26</v>
      </c>
      <c r="H7973" s="124" t="s">
        <v>8368</v>
      </c>
      <c r="I7973" s="128">
        <v>1815</v>
      </c>
      <c r="J7973" s="128">
        <v>9075</v>
      </c>
    </row>
    <row r="7974" spans="1:10" hidden="1" x14ac:dyDescent="0.25">
      <c r="A7974" s="124" t="s">
        <v>10286</v>
      </c>
      <c r="B7974" s="124" t="s">
        <v>11736</v>
      </c>
      <c r="C7974" s="132"/>
      <c r="D7974" s="125">
        <f t="shared" si="121"/>
        <v>0</v>
      </c>
      <c r="E7974" s="124" t="s">
        <v>8367</v>
      </c>
      <c r="F7974" s="126">
        <v>1</v>
      </c>
      <c r="G7974" s="128">
        <v>38000</v>
      </c>
      <c r="H7974" s="124" t="s">
        <v>8368</v>
      </c>
      <c r="I7974" s="127">
        <v>149</v>
      </c>
      <c r="J7974" s="127">
        <v>745</v>
      </c>
    </row>
    <row r="7975" spans="1:10" hidden="1" x14ac:dyDescent="0.25">
      <c r="A7975" s="124" t="s">
        <v>10287</v>
      </c>
      <c r="B7975" s="124" t="s">
        <v>11736</v>
      </c>
      <c r="C7975" s="132"/>
      <c r="D7975" s="125">
        <f t="shared" si="121"/>
        <v>0</v>
      </c>
      <c r="E7975" s="124" t="s">
        <v>8367</v>
      </c>
      <c r="F7975" s="126">
        <v>1</v>
      </c>
      <c r="G7975" s="128">
        <v>45090</v>
      </c>
      <c r="H7975" s="124" t="s">
        <v>8368</v>
      </c>
      <c r="I7975" s="127">
        <v>222</v>
      </c>
      <c r="J7975" s="128">
        <v>1110</v>
      </c>
    </row>
    <row r="7976" spans="1:10" hidden="1" x14ac:dyDescent="0.25">
      <c r="A7976" s="124" t="s">
        <v>10288</v>
      </c>
      <c r="B7976" s="124" t="s">
        <v>11736</v>
      </c>
      <c r="C7976" s="132"/>
      <c r="D7976" s="125">
        <f t="shared" si="121"/>
        <v>0</v>
      </c>
      <c r="E7976" s="124" t="s">
        <v>8367</v>
      </c>
      <c r="F7976" s="126">
        <v>1</v>
      </c>
      <c r="G7976" s="128">
        <v>10890</v>
      </c>
      <c r="H7976" s="124" t="s">
        <v>8368</v>
      </c>
      <c r="I7976" s="127">
        <v>280</v>
      </c>
      <c r="J7976" s="128">
        <v>1400</v>
      </c>
    </row>
    <row r="7977" spans="1:10" hidden="1" x14ac:dyDescent="0.25">
      <c r="A7977" s="124" t="s">
        <v>10289</v>
      </c>
      <c r="B7977" s="124" t="s">
        <v>11736</v>
      </c>
      <c r="C7977" s="132"/>
      <c r="D7977" s="125">
        <f t="shared" si="121"/>
        <v>0</v>
      </c>
      <c r="E7977" s="124" t="s">
        <v>8367</v>
      </c>
      <c r="F7977" s="126">
        <v>1</v>
      </c>
      <c r="G7977" s="127">
        <v>894</v>
      </c>
      <c r="H7977" s="124" t="s">
        <v>8368</v>
      </c>
      <c r="I7977" s="127">
        <v>324</v>
      </c>
      <c r="J7977" s="128">
        <v>1620</v>
      </c>
    </row>
    <row r="7978" spans="1:10" hidden="1" x14ac:dyDescent="0.25">
      <c r="A7978" s="124" t="s">
        <v>10290</v>
      </c>
      <c r="B7978" s="124" t="s">
        <v>11736</v>
      </c>
      <c r="C7978" s="132"/>
      <c r="D7978" s="125">
        <f t="shared" si="121"/>
        <v>0</v>
      </c>
      <c r="E7978" s="124" t="s">
        <v>8367</v>
      </c>
      <c r="F7978" s="126">
        <v>1</v>
      </c>
      <c r="G7978" s="128">
        <v>1332</v>
      </c>
      <c r="H7978" s="124" t="s">
        <v>8368</v>
      </c>
      <c r="I7978" s="127">
        <v>596</v>
      </c>
      <c r="J7978" s="128">
        <v>2980</v>
      </c>
    </row>
    <row r="7979" spans="1:10" hidden="1" x14ac:dyDescent="0.25">
      <c r="A7979" s="124" t="s">
        <v>10291</v>
      </c>
      <c r="B7979" s="124" t="s">
        <v>11736</v>
      </c>
      <c r="C7979" s="132"/>
      <c r="D7979" s="125">
        <f t="shared" si="121"/>
        <v>0</v>
      </c>
      <c r="E7979" s="124" t="s">
        <v>8367</v>
      </c>
      <c r="F7979" s="126">
        <v>1</v>
      </c>
      <c r="G7979" s="128">
        <v>1680</v>
      </c>
      <c r="H7979" s="124" t="s">
        <v>8368</v>
      </c>
      <c r="I7979" s="127">
        <v>297</v>
      </c>
      <c r="J7979" s="128">
        <v>1485</v>
      </c>
    </row>
    <row r="7980" spans="1:10" hidden="1" x14ac:dyDescent="0.25">
      <c r="A7980" s="124" t="s">
        <v>10292</v>
      </c>
      <c r="B7980" s="124" t="s">
        <v>11736</v>
      </c>
      <c r="C7980" s="132"/>
      <c r="D7980" s="125">
        <f t="shared" si="121"/>
        <v>0</v>
      </c>
      <c r="E7980" s="124" t="s">
        <v>8367</v>
      </c>
      <c r="F7980" s="126">
        <v>1</v>
      </c>
      <c r="G7980" s="128">
        <v>1944</v>
      </c>
      <c r="H7980" s="124" t="s">
        <v>8368</v>
      </c>
      <c r="I7980" s="127">
        <v>339</v>
      </c>
      <c r="J7980" s="128">
        <v>1695</v>
      </c>
    </row>
    <row r="7981" spans="1:10" hidden="1" x14ac:dyDescent="0.25">
      <c r="A7981" s="124" t="s">
        <v>10293</v>
      </c>
      <c r="B7981" s="124" t="s">
        <v>11736</v>
      </c>
      <c r="C7981" s="132"/>
      <c r="D7981" s="125">
        <f t="shared" si="121"/>
        <v>0</v>
      </c>
      <c r="E7981" s="124" t="s">
        <v>8367</v>
      </c>
      <c r="F7981" s="126">
        <v>1</v>
      </c>
      <c r="G7981" s="128">
        <v>3576</v>
      </c>
      <c r="H7981" s="124" t="s">
        <v>8368</v>
      </c>
      <c r="I7981" s="127">
        <v>266.39999999999998</v>
      </c>
      <c r="J7981" s="128">
        <v>1332</v>
      </c>
    </row>
    <row r="7982" spans="1:10" hidden="1" x14ac:dyDescent="0.25">
      <c r="A7982" s="124" t="s">
        <v>10294</v>
      </c>
      <c r="B7982" s="124" t="s">
        <v>11736</v>
      </c>
      <c r="C7982" s="132"/>
      <c r="D7982" s="125">
        <f t="shared" si="121"/>
        <v>0</v>
      </c>
      <c r="E7982" s="124" t="s">
        <v>8367</v>
      </c>
      <c r="F7982" s="126">
        <v>1</v>
      </c>
      <c r="G7982" s="128">
        <v>1782</v>
      </c>
      <c r="H7982" s="124" t="s">
        <v>8368</v>
      </c>
      <c r="I7982" s="127">
        <v>210</v>
      </c>
      <c r="J7982" s="128">
        <v>1050</v>
      </c>
    </row>
    <row r="7983" spans="1:10" hidden="1" x14ac:dyDescent="0.25">
      <c r="A7983" s="124" t="s">
        <v>10295</v>
      </c>
      <c r="B7983" s="124" t="s">
        <v>11736</v>
      </c>
      <c r="C7983" s="132"/>
      <c r="D7983" s="125">
        <f t="shared" si="121"/>
        <v>0</v>
      </c>
      <c r="E7983" s="124" t="s">
        <v>8367</v>
      </c>
      <c r="F7983" s="126">
        <v>1</v>
      </c>
      <c r="G7983" s="128">
        <v>2034</v>
      </c>
      <c r="H7983" s="124" t="s">
        <v>8368</v>
      </c>
      <c r="I7983" s="127">
        <v>256</v>
      </c>
      <c r="J7983" s="128">
        <v>1280</v>
      </c>
    </row>
    <row r="7984" spans="1:10" hidden="1" x14ac:dyDescent="0.25">
      <c r="A7984" s="124" t="s">
        <v>10296</v>
      </c>
      <c r="B7984" s="124" t="s">
        <v>11736</v>
      </c>
      <c r="C7984" s="132"/>
      <c r="D7984" s="125">
        <f t="shared" si="121"/>
        <v>0</v>
      </c>
      <c r="E7984" s="124" t="s">
        <v>8367</v>
      </c>
      <c r="F7984" s="126">
        <v>1</v>
      </c>
      <c r="G7984" s="128">
        <v>1598.4</v>
      </c>
      <c r="H7984" s="124" t="s">
        <v>8368</v>
      </c>
      <c r="I7984" s="127">
        <v>168</v>
      </c>
      <c r="J7984" s="127">
        <v>840</v>
      </c>
    </row>
    <row r="7985" spans="1:10" hidden="1" x14ac:dyDescent="0.25">
      <c r="A7985" s="124" t="s">
        <v>10297</v>
      </c>
      <c r="B7985" s="124" t="s">
        <v>11736</v>
      </c>
      <c r="C7985" s="132"/>
      <c r="D7985" s="125">
        <f t="shared" si="121"/>
        <v>0</v>
      </c>
      <c r="E7985" s="124" t="s">
        <v>8367</v>
      </c>
      <c r="F7985" s="126">
        <v>1</v>
      </c>
      <c r="G7985" s="128">
        <v>1260</v>
      </c>
      <c r="H7985" s="124" t="s">
        <v>8368</v>
      </c>
      <c r="I7985" s="128">
        <v>1393</v>
      </c>
      <c r="J7985" s="128">
        <v>6965</v>
      </c>
    </row>
    <row r="7986" spans="1:10" hidden="1" x14ac:dyDescent="0.25">
      <c r="A7986" s="124" t="s">
        <v>10298</v>
      </c>
      <c r="B7986" s="124" t="s">
        <v>11736</v>
      </c>
      <c r="C7986" s="132"/>
      <c r="D7986" s="125">
        <f t="shared" si="121"/>
        <v>0</v>
      </c>
      <c r="E7986" s="124" t="s">
        <v>8367</v>
      </c>
      <c r="F7986" s="126">
        <v>1</v>
      </c>
      <c r="G7986" s="128">
        <v>1536</v>
      </c>
      <c r="H7986" s="124" t="s">
        <v>8368</v>
      </c>
      <c r="I7986" s="128">
        <v>1167.5999999999999</v>
      </c>
      <c r="J7986" s="128">
        <v>5838</v>
      </c>
    </row>
    <row r="7987" spans="1:10" hidden="1" x14ac:dyDescent="0.25">
      <c r="A7987" s="124" t="s">
        <v>10299</v>
      </c>
      <c r="B7987" s="124" t="s">
        <v>11736</v>
      </c>
      <c r="C7987" s="132"/>
      <c r="D7987" s="125">
        <f t="shared" si="121"/>
        <v>0</v>
      </c>
      <c r="E7987" s="124" t="s">
        <v>8367</v>
      </c>
      <c r="F7987" s="126">
        <v>1</v>
      </c>
      <c r="G7987" s="128">
        <v>1008</v>
      </c>
      <c r="H7987" s="124" t="s">
        <v>8368</v>
      </c>
      <c r="I7987" s="128">
        <v>2363583.2000000002</v>
      </c>
      <c r="J7987" s="128">
        <v>11817916</v>
      </c>
    </row>
    <row r="7988" spans="1:10" hidden="1" x14ac:dyDescent="0.25">
      <c r="A7988" s="124" t="s">
        <v>10300</v>
      </c>
      <c r="B7988" s="124" t="s">
        <v>11736</v>
      </c>
      <c r="C7988" s="132"/>
      <c r="D7988" s="125">
        <f t="shared" si="121"/>
        <v>0</v>
      </c>
      <c r="E7988" s="124" t="s">
        <v>8367</v>
      </c>
      <c r="F7988" s="126">
        <v>1</v>
      </c>
      <c r="G7988" s="128">
        <v>8358</v>
      </c>
      <c r="H7988" s="124" t="s">
        <v>8368</v>
      </c>
      <c r="I7988" s="128">
        <v>131976.6</v>
      </c>
      <c r="J7988" s="128">
        <v>659883</v>
      </c>
    </row>
    <row r="7989" spans="1:10" hidden="1" x14ac:dyDescent="0.25">
      <c r="A7989" s="124" t="s">
        <v>10301</v>
      </c>
      <c r="B7989" s="124" t="s">
        <v>11736</v>
      </c>
      <c r="C7989" s="132"/>
      <c r="D7989" s="125">
        <f t="shared" si="121"/>
        <v>0</v>
      </c>
      <c r="E7989" s="124" t="s">
        <v>8367</v>
      </c>
      <c r="F7989" s="126">
        <v>1</v>
      </c>
      <c r="G7989" s="128">
        <v>7005.6</v>
      </c>
      <c r="H7989" s="124" t="s">
        <v>8368</v>
      </c>
      <c r="I7989" s="128">
        <v>235383.8</v>
      </c>
      <c r="J7989" s="128">
        <v>1176919</v>
      </c>
    </row>
    <row r="7990" spans="1:10" hidden="1" x14ac:dyDescent="0.25">
      <c r="A7990" s="124" t="s">
        <v>10302</v>
      </c>
      <c r="B7990" s="124" t="s">
        <v>11736</v>
      </c>
      <c r="C7990" s="132"/>
      <c r="D7990" s="125">
        <f t="shared" si="121"/>
        <v>0</v>
      </c>
      <c r="E7990" s="124" t="s">
        <v>8367</v>
      </c>
      <c r="F7990" s="126">
        <v>63</v>
      </c>
      <c r="G7990" s="128">
        <v>14181499.199999999</v>
      </c>
      <c r="H7990" s="124" t="s">
        <v>8368</v>
      </c>
      <c r="I7990" s="128">
        <v>41659.599999999999</v>
      </c>
      <c r="J7990" s="128">
        <v>208298</v>
      </c>
    </row>
    <row r="7991" spans="1:10" hidden="1" x14ac:dyDescent="0.25">
      <c r="A7991" s="124" t="s">
        <v>10303</v>
      </c>
      <c r="B7991" s="124" t="s">
        <v>11736</v>
      </c>
      <c r="C7991" s="132"/>
      <c r="D7991" s="125">
        <f t="shared" si="121"/>
        <v>0</v>
      </c>
      <c r="E7991" s="124" t="s">
        <v>8367</v>
      </c>
      <c r="F7991" s="126">
        <v>10</v>
      </c>
      <c r="G7991" s="128">
        <v>791859.6</v>
      </c>
      <c r="H7991" s="124" t="s">
        <v>8368</v>
      </c>
      <c r="I7991" s="128">
        <v>2466.62</v>
      </c>
      <c r="J7991" s="128">
        <v>12333.09</v>
      </c>
    </row>
    <row r="7992" spans="1:10" hidden="1" x14ac:dyDescent="0.25">
      <c r="A7992" s="124" t="s">
        <v>10304</v>
      </c>
      <c r="B7992" s="124" t="s">
        <v>11736</v>
      </c>
      <c r="C7992" s="132"/>
      <c r="D7992" s="125">
        <f t="shared" si="121"/>
        <v>0</v>
      </c>
      <c r="E7992" s="124" t="s">
        <v>8367</v>
      </c>
      <c r="F7992" s="126">
        <v>10</v>
      </c>
      <c r="G7992" s="128">
        <v>1412302.8</v>
      </c>
      <c r="H7992" s="124" t="s">
        <v>8368</v>
      </c>
      <c r="I7992" s="127">
        <v>331.6</v>
      </c>
      <c r="J7992" s="128">
        <v>1658</v>
      </c>
    </row>
    <row r="7993" spans="1:10" hidden="1" x14ac:dyDescent="0.25">
      <c r="A7993" s="124" t="s">
        <v>10305</v>
      </c>
      <c r="B7993" s="124" t="s">
        <v>11736</v>
      </c>
      <c r="C7993" s="132"/>
      <c r="D7993" s="125">
        <f t="shared" si="121"/>
        <v>0</v>
      </c>
      <c r="E7993" s="124" t="s">
        <v>8367</v>
      </c>
      <c r="F7993" s="126">
        <v>5</v>
      </c>
      <c r="G7993" s="128">
        <v>249957.6</v>
      </c>
      <c r="H7993" s="124" t="s">
        <v>8368</v>
      </c>
      <c r="I7993" s="127">
        <v>401.55</v>
      </c>
      <c r="J7993" s="128">
        <v>2007.72</v>
      </c>
    </row>
    <row r="7994" spans="1:10" hidden="1" x14ac:dyDescent="0.25">
      <c r="A7994" s="124" t="s">
        <v>2593</v>
      </c>
      <c r="B7994" s="124" t="s">
        <v>11736</v>
      </c>
      <c r="C7994" s="132"/>
      <c r="D7994" s="125">
        <f t="shared" si="121"/>
        <v>0</v>
      </c>
      <c r="E7994" s="124" t="s">
        <v>8367</v>
      </c>
      <c r="F7994" s="126">
        <v>80</v>
      </c>
      <c r="G7994" s="128">
        <v>14799.71</v>
      </c>
      <c r="H7994" s="124" t="s">
        <v>8368</v>
      </c>
      <c r="I7994" s="128">
        <v>89964.96</v>
      </c>
      <c r="J7994" s="128">
        <v>449824.79</v>
      </c>
    </row>
    <row r="7995" spans="1:10" hidden="1" x14ac:dyDescent="0.25">
      <c r="A7995" s="124" t="s">
        <v>10306</v>
      </c>
      <c r="B7995" s="124" t="s">
        <v>11736</v>
      </c>
      <c r="C7995" s="132"/>
      <c r="D7995" s="125">
        <f t="shared" si="121"/>
        <v>0</v>
      </c>
      <c r="E7995" s="124" t="s">
        <v>8367</v>
      </c>
      <c r="F7995" s="126">
        <v>1</v>
      </c>
      <c r="G7995" s="128">
        <v>1989.6</v>
      </c>
      <c r="H7995" s="124" t="s">
        <v>8368</v>
      </c>
      <c r="I7995" s="128">
        <v>15950</v>
      </c>
      <c r="J7995" s="128">
        <v>79750</v>
      </c>
    </row>
    <row r="7996" spans="1:10" hidden="1" x14ac:dyDescent="0.25">
      <c r="A7996" s="124" t="s">
        <v>10307</v>
      </c>
      <c r="B7996" s="124" t="s">
        <v>11736</v>
      </c>
      <c r="C7996" s="132"/>
      <c r="D7996" s="125">
        <f t="shared" si="121"/>
        <v>0</v>
      </c>
      <c r="E7996" s="124" t="s">
        <v>8367</v>
      </c>
      <c r="F7996" s="126">
        <v>5</v>
      </c>
      <c r="G7996" s="128">
        <v>2409.27</v>
      </c>
      <c r="H7996" s="124" t="s">
        <v>8368</v>
      </c>
      <c r="I7996" s="128">
        <v>27120</v>
      </c>
      <c r="J7996" s="128">
        <v>135600</v>
      </c>
    </row>
    <row r="7997" spans="1:10" hidden="1" x14ac:dyDescent="0.25">
      <c r="A7997" s="124" t="s">
        <v>10308</v>
      </c>
      <c r="B7997" s="124" t="s">
        <v>11736</v>
      </c>
      <c r="C7997" s="132"/>
      <c r="D7997" s="125">
        <f t="shared" si="121"/>
        <v>0</v>
      </c>
      <c r="E7997" s="124" t="s">
        <v>8367</v>
      </c>
      <c r="F7997" s="126">
        <v>1</v>
      </c>
      <c r="G7997" s="128">
        <v>539789.75</v>
      </c>
      <c r="H7997" s="124" t="s">
        <v>8368</v>
      </c>
      <c r="I7997" s="128">
        <v>23966.080000000002</v>
      </c>
      <c r="J7997" s="128">
        <v>119830.39999999999</v>
      </c>
    </row>
    <row r="7998" spans="1:10" hidden="1" x14ac:dyDescent="0.25">
      <c r="A7998" s="124" t="s">
        <v>10309</v>
      </c>
      <c r="B7998" s="124" t="s">
        <v>11736</v>
      </c>
      <c r="C7998" s="132"/>
      <c r="D7998" s="125">
        <f t="shared" si="121"/>
        <v>0</v>
      </c>
      <c r="E7998" s="124" t="s">
        <v>8367</v>
      </c>
      <c r="F7998" s="126">
        <v>5</v>
      </c>
      <c r="G7998" s="128">
        <v>95700</v>
      </c>
      <c r="H7998" s="124" t="s">
        <v>8368</v>
      </c>
      <c r="I7998" s="128">
        <v>4350.6400000000003</v>
      </c>
      <c r="J7998" s="128">
        <v>21753.200000000001</v>
      </c>
    </row>
    <row r="7999" spans="1:10" hidden="1" x14ac:dyDescent="0.25">
      <c r="A7999" s="124" t="s">
        <v>10310</v>
      </c>
      <c r="B7999" s="124" t="s">
        <v>11736</v>
      </c>
      <c r="C7999" s="132"/>
      <c r="D7999" s="125">
        <f t="shared" ref="D7999:D8004" si="122">COUNTIF(A3585:A7998,A7999)</f>
        <v>0</v>
      </c>
      <c r="E7999" s="124" t="s">
        <v>8367</v>
      </c>
      <c r="F7999" s="126">
        <v>4</v>
      </c>
      <c r="G7999" s="128">
        <v>162720</v>
      </c>
      <c r="H7999" s="124" t="s">
        <v>8368</v>
      </c>
      <c r="I7999" s="128">
        <v>15750</v>
      </c>
      <c r="J7999" s="128">
        <v>78750</v>
      </c>
    </row>
    <row r="8000" spans="1:10" hidden="1" x14ac:dyDescent="0.25">
      <c r="A8000" s="124" t="s">
        <v>10311</v>
      </c>
      <c r="B8000" s="124" t="s">
        <v>11736</v>
      </c>
      <c r="C8000" s="132"/>
      <c r="D8000" s="125">
        <f t="shared" si="122"/>
        <v>0</v>
      </c>
      <c r="E8000" s="124" t="s">
        <v>8367</v>
      </c>
      <c r="F8000" s="126">
        <v>12</v>
      </c>
      <c r="G8000" s="128">
        <v>143796.48000000001</v>
      </c>
      <c r="H8000" s="124" t="s">
        <v>8368</v>
      </c>
      <c r="I8000" s="128">
        <v>1322.4</v>
      </c>
      <c r="J8000" s="128">
        <v>6612</v>
      </c>
    </row>
    <row r="8001" spans="1:10" hidden="1" x14ac:dyDescent="0.25">
      <c r="A8001" s="124" t="s">
        <v>10312</v>
      </c>
      <c r="B8001" s="124" t="s">
        <v>11736</v>
      </c>
      <c r="C8001" s="132"/>
      <c r="D8001" s="125">
        <f t="shared" si="122"/>
        <v>0</v>
      </c>
      <c r="E8001" s="124" t="s">
        <v>8367</v>
      </c>
      <c r="F8001" s="126">
        <v>4.25</v>
      </c>
      <c r="G8001" s="128">
        <v>26103.84</v>
      </c>
      <c r="H8001" s="124" t="s">
        <v>8368</v>
      </c>
      <c r="I8001" s="128">
        <v>11828.47</v>
      </c>
      <c r="J8001" s="128">
        <v>59142.33</v>
      </c>
    </row>
    <row r="8002" spans="1:10" hidden="1" x14ac:dyDescent="0.25">
      <c r="A8002" s="124" t="s">
        <v>10313</v>
      </c>
      <c r="B8002" s="124" t="s">
        <v>11736</v>
      </c>
      <c r="C8002" s="132"/>
      <c r="D8002" s="125">
        <f t="shared" si="122"/>
        <v>0</v>
      </c>
      <c r="E8002" s="124" t="s">
        <v>8367</v>
      </c>
      <c r="F8002" s="126">
        <v>120</v>
      </c>
      <c r="G8002" s="128">
        <v>94500</v>
      </c>
      <c r="H8002" s="124" t="s">
        <v>8368</v>
      </c>
      <c r="I8002" s="127">
        <v>171.6</v>
      </c>
      <c r="J8002" s="127">
        <v>858</v>
      </c>
    </row>
    <row r="8003" spans="1:10" hidden="1" x14ac:dyDescent="0.25">
      <c r="A8003" s="124" t="s">
        <v>10314</v>
      </c>
      <c r="B8003" s="124" t="s">
        <v>11736</v>
      </c>
      <c r="C8003" s="132"/>
      <c r="D8003" s="125">
        <f t="shared" si="122"/>
        <v>0</v>
      </c>
      <c r="E8003" s="124" t="s">
        <v>8367</v>
      </c>
      <c r="F8003" s="126">
        <v>3</v>
      </c>
      <c r="G8003" s="128">
        <v>7934.4</v>
      </c>
      <c r="H8003" s="124" t="s">
        <v>8368</v>
      </c>
      <c r="I8003" s="127">
        <v>31</v>
      </c>
      <c r="J8003" s="127">
        <v>155</v>
      </c>
    </row>
    <row r="8004" spans="1:10" hidden="1" x14ac:dyDescent="0.25">
      <c r="A8004" s="124" t="s">
        <v>10315</v>
      </c>
      <c r="B8004" s="124" t="s">
        <v>11736</v>
      </c>
      <c r="C8004" s="132"/>
      <c r="D8004" s="125">
        <f t="shared" si="122"/>
        <v>0</v>
      </c>
      <c r="E8004" s="124" t="s">
        <v>8451</v>
      </c>
      <c r="F8004" s="126">
        <v>30</v>
      </c>
      <c r="G8004" s="128">
        <v>70970.8</v>
      </c>
      <c r="H8004" s="124" t="s">
        <v>8368</v>
      </c>
      <c r="I8004" s="127">
        <v>214.44</v>
      </c>
      <c r="J8004" s="128">
        <v>1072.2</v>
      </c>
    </row>
    <row r="8005" spans="1:10" hidden="1" x14ac:dyDescent="0.25">
      <c r="A8005" s="124" t="s">
        <v>10316</v>
      </c>
      <c r="B8005" s="124" t="s">
        <v>11736</v>
      </c>
      <c r="C8005" s="132"/>
      <c r="D8005" s="125">
        <f>COUNTIF(A3592:A8004,A8005)</f>
        <v>0</v>
      </c>
      <c r="E8005" s="124" t="s">
        <v>8451</v>
      </c>
      <c r="F8005" s="126">
        <v>2</v>
      </c>
      <c r="G8005" s="128">
        <v>1029.5999999999999</v>
      </c>
      <c r="H8005" s="124" t="s">
        <v>8368</v>
      </c>
      <c r="I8005" s="127">
        <v>250</v>
      </c>
      <c r="J8005" s="128">
        <v>1250</v>
      </c>
    </row>
    <row r="8006" spans="1:10" hidden="1" x14ac:dyDescent="0.25">
      <c r="A8006" s="124" t="s">
        <v>10317</v>
      </c>
      <c r="B8006" s="124" t="s">
        <v>11736</v>
      </c>
      <c r="C8006" s="132"/>
      <c r="D8006" s="125">
        <f>COUNTIF(A3593:A8005,A8006)</f>
        <v>0</v>
      </c>
      <c r="E8006" s="124" t="s">
        <v>8367</v>
      </c>
      <c r="F8006" s="126">
        <v>2</v>
      </c>
      <c r="G8006" s="127">
        <v>186</v>
      </c>
      <c r="H8006" s="124" t="s">
        <v>8368</v>
      </c>
      <c r="I8006" s="128">
        <v>3067.77</v>
      </c>
      <c r="J8006" s="128">
        <v>15338.86</v>
      </c>
    </row>
    <row r="8007" spans="1:10" hidden="1" x14ac:dyDescent="0.25">
      <c r="A8007" s="124" t="s">
        <v>10318</v>
      </c>
      <c r="B8007" s="124" t="s">
        <v>11736</v>
      </c>
      <c r="C8007" s="132"/>
      <c r="D8007" s="125">
        <f>COUNTIF(A3594:A8006,A8007)</f>
        <v>0</v>
      </c>
      <c r="E8007" s="124" t="s">
        <v>8367</v>
      </c>
      <c r="F8007" s="126">
        <v>9</v>
      </c>
      <c r="G8007" s="128">
        <v>1286.6400000000001</v>
      </c>
      <c r="H8007" s="124" t="s">
        <v>8368</v>
      </c>
      <c r="I8007" s="128">
        <v>1092.67</v>
      </c>
      <c r="J8007" s="128">
        <v>5463.33</v>
      </c>
    </row>
    <row r="8008" spans="1:10" hidden="1" x14ac:dyDescent="0.25">
      <c r="A8008" s="124" t="s">
        <v>10319</v>
      </c>
      <c r="B8008" s="124" t="s">
        <v>11736</v>
      </c>
      <c r="C8008" s="132"/>
      <c r="D8008" s="125">
        <f>COUNTIF(A3596:A8007,A8008)</f>
        <v>0</v>
      </c>
      <c r="E8008" s="124" t="s">
        <v>8451</v>
      </c>
      <c r="F8008" s="126">
        <v>3</v>
      </c>
      <c r="G8008" s="128">
        <v>1500</v>
      </c>
      <c r="H8008" s="124" t="s">
        <v>8368</v>
      </c>
      <c r="I8008" s="128">
        <v>1575.67</v>
      </c>
      <c r="J8008" s="128">
        <v>7878.36</v>
      </c>
    </row>
    <row r="8009" spans="1:10" hidden="1" x14ac:dyDescent="0.25">
      <c r="A8009" s="124" t="s">
        <v>10320</v>
      </c>
      <c r="B8009" s="124" t="s">
        <v>11736</v>
      </c>
      <c r="C8009" s="132"/>
      <c r="D8009" s="125">
        <f>COUNTIF(A3597:A8008,A8009)</f>
        <v>0</v>
      </c>
      <c r="E8009" s="124" t="s">
        <v>8451</v>
      </c>
      <c r="F8009" s="126">
        <v>4</v>
      </c>
      <c r="G8009" s="128">
        <v>18406.63</v>
      </c>
      <c r="H8009" s="124" t="s">
        <v>8368</v>
      </c>
      <c r="I8009" s="127">
        <v>675.67</v>
      </c>
      <c r="J8009" s="128">
        <v>3378.35</v>
      </c>
    </row>
    <row r="8010" spans="1:10" hidden="1" x14ac:dyDescent="0.25">
      <c r="A8010" s="124" t="s">
        <v>10321</v>
      </c>
      <c r="B8010" s="124" t="s">
        <v>11736</v>
      </c>
      <c r="C8010" s="132"/>
      <c r="D8010" s="125">
        <f>COUNTIF(A3598:A8009,A8010)</f>
        <v>0</v>
      </c>
      <c r="E8010" s="124" t="s">
        <v>8451</v>
      </c>
      <c r="F8010" s="126">
        <v>4</v>
      </c>
      <c r="G8010" s="128">
        <v>6556</v>
      </c>
      <c r="H8010" s="124" t="s">
        <v>8368</v>
      </c>
      <c r="I8010" s="128">
        <v>2563.6</v>
      </c>
      <c r="J8010" s="128">
        <v>12818</v>
      </c>
    </row>
    <row r="8011" spans="1:10" hidden="1" x14ac:dyDescent="0.25">
      <c r="A8011" s="124" t="s">
        <v>3951</v>
      </c>
      <c r="B8011" s="124" t="s">
        <v>11736</v>
      </c>
      <c r="C8011" s="132"/>
      <c r="D8011" s="125">
        <f t="shared" ref="D8011:D8022" si="123">COUNTIF(A3600:A8010,A8011)</f>
        <v>0</v>
      </c>
      <c r="E8011" s="124" t="s">
        <v>8367</v>
      </c>
      <c r="F8011" s="126">
        <v>50</v>
      </c>
      <c r="G8011" s="128">
        <v>9454.0300000000007</v>
      </c>
      <c r="H8011" s="124" t="s">
        <v>8368</v>
      </c>
      <c r="I8011" s="127">
        <v>385.6</v>
      </c>
      <c r="J8011" s="128">
        <v>1928</v>
      </c>
    </row>
    <row r="8012" spans="1:10" hidden="1" x14ac:dyDescent="0.25">
      <c r="A8012" s="124" t="s">
        <v>10322</v>
      </c>
      <c r="B8012" s="124" t="s">
        <v>11736</v>
      </c>
      <c r="C8012" s="132"/>
      <c r="D8012" s="125">
        <f t="shared" si="123"/>
        <v>0</v>
      </c>
      <c r="E8012" s="124" t="s">
        <v>9270</v>
      </c>
      <c r="F8012" s="126">
        <v>12</v>
      </c>
      <c r="G8012" s="128">
        <v>4054.02</v>
      </c>
      <c r="H8012" s="124" t="s">
        <v>8368</v>
      </c>
      <c r="I8012" s="127">
        <v>375.6</v>
      </c>
      <c r="J8012" s="128">
        <v>1878</v>
      </c>
    </row>
    <row r="8013" spans="1:10" hidden="1" x14ac:dyDescent="0.25">
      <c r="A8013" s="124" t="s">
        <v>10323</v>
      </c>
      <c r="B8013" s="124" t="s">
        <v>11736</v>
      </c>
      <c r="C8013" s="132"/>
      <c r="D8013" s="125">
        <f t="shared" si="123"/>
        <v>0</v>
      </c>
      <c r="E8013" s="124" t="s">
        <v>8367</v>
      </c>
      <c r="F8013" s="126">
        <v>1</v>
      </c>
      <c r="G8013" s="128">
        <v>15381.6</v>
      </c>
      <c r="H8013" s="124" t="s">
        <v>8368</v>
      </c>
      <c r="I8013" s="127">
        <v>295</v>
      </c>
      <c r="J8013" s="128">
        <v>1475</v>
      </c>
    </row>
    <row r="8014" spans="1:10" hidden="1" x14ac:dyDescent="0.25">
      <c r="A8014" s="124" t="s">
        <v>10324</v>
      </c>
      <c r="B8014" s="124" t="s">
        <v>11736</v>
      </c>
      <c r="C8014" s="132"/>
      <c r="D8014" s="125">
        <f t="shared" si="123"/>
        <v>0</v>
      </c>
      <c r="E8014" s="124" t="s">
        <v>8367</v>
      </c>
      <c r="F8014" s="126">
        <v>3</v>
      </c>
      <c r="G8014" s="128">
        <v>2313.6</v>
      </c>
      <c r="H8014" s="124" t="s">
        <v>8368</v>
      </c>
      <c r="I8014" s="127">
        <v>411.2</v>
      </c>
      <c r="J8014" s="128">
        <v>2056</v>
      </c>
    </row>
    <row r="8015" spans="1:10" hidden="1" x14ac:dyDescent="0.25">
      <c r="A8015" s="124" t="s">
        <v>10325</v>
      </c>
      <c r="B8015" s="124" t="s">
        <v>11736</v>
      </c>
      <c r="C8015" s="132"/>
      <c r="D8015" s="125">
        <f t="shared" si="123"/>
        <v>0</v>
      </c>
      <c r="E8015" s="124" t="s">
        <v>8367</v>
      </c>
      <c r="F8015" s="126">
        <v>3</v>
      </c>
      <c r="G8015" s="128">
        <v>2253.6</v>
      </c>
      <c r="H8015" s="124" t="s">
        <v>8368</v>
      </c>
      <c r="I8015" s="128">
        <v>5250</v>
      </c>
      <c r="J8015" s="128">
        <v>26250</v>
      </c>
    </row>
    <row r="8016" spans="1:10" hidden="1" x14ac:dyDescent="0.25">
      <c r="A8016" s="124" t="s">
        <v>10326</v>
      </c>
      <c r="B8016" s="124" t="s">
        <v>11736</v>
      </c>
      <c r="C8016" s="132"/>
      <c r="D8016" s="125">
        <f t="shared" si="123"/>
        <v>0</v>
      </c>
      <c r="E8016" s="124" t="s">
        <v>8367</v>
      </c>
      <c r="F8016" s="126">
        <v>5</v>
      </c>
      <c r="G8016" s="128">
        <v>1770</v>
      </c>
      <c r="H8016" s="124" t="s">
        <v>8368</v>
      </c>
      <c r="I8016" s="127">
        <v>84</v>
      </c>
      <c r="J8016" s="127">
        <v>420</v>
      </c>
    </row>
    <row r="8017" spans="1:10" hidden="1" x14ac:dyDescent="0.25">
      <c r="A8017" s="124" t="s">
        <v>10327</v>
      </c>
      <c r="B8017" s="124" t="s">
        <v>11736</v>
      </c>
      <c r="C8017" s="132"/>
      <c r="D8017" s="125">
        <f t="shared" si="123"/>
        <v>0</v>
      </c>
      <c r="E8017" s="124" t="s">
        <v>8367</v>
      </c>
      <c r="F8017" s="126">
        <v>1</v>
      </c>
      <c r="G8017" s="128">
        <v>2467.1999999999998</v>
      </c>
      <c r="H8017" s="124" t="s">
        <v>8368</v>
      </c>
      <c r="I8017" s="128">
        <v>3000</v>
      </c>
      <c r="J8017" s="128">
        <v>15000</v>
      </c>
    </row>
    <row r="8018" spans="1:10" hidden="1" x14ac:dyDescent="0.25">
      <c r="A8018" s="124" t="s">
        <v>10328</v>
      </c>
      <c r="B8018" s="124" t="s">
        <v>11736</v>
      </c>
      <c r="C8018" s="132"/>
      <c r="D8018" s="125">
        <f t="shared" si="123"/>
        <v>0</v>
      </c>
      <c r="E8018" s="124" t="s">
        <v>8367</v>
      </c>
      <c r="F8018" s="126">
        <v>1</v>
      </c>
      <c r="G8018" s="128">
        <v>31500</v>
      </c>
      <c r="H8018" s="124" t="s">
        <v>8368</v>
      </c>
      <c r="I8018" s="127">
        <v>20</v>
      </c>
      <c r="J8018" s="127">
        <v>100</v>
      </c>
    </row>
    <row r="8019" spans="1:10" hidden="1" x14ac:dyDescent="0.25">
      <c r="A8019" s="124" t="s">
        <v>10329</v>
      </c>
      <c r="B8019" s="124" t="s">
        <v>11736</v>
      </c>
      <c r="C8019" s="132"/>
      <c r="D8019" s="125">
        <f t="shared" si="123"/>
        <v>0</v>
      </c>
      <c r="E8019" s="124" t="s">
        <v>8367</v>
      </c>
      <c r="F8019" s="126">
        <v>3</v>
      </c>
      <c r="G8019" s="127">
        <v>504</v>
      </c>
      <c r="H8019" s="124" t="s">
        <v>8368</v>
      </c>
      <c r="I8019" s="128">
        <v>72675</v>
      </c>
      <c r="J8019" s="128">
        <v>363375</v>
      </c>
    </row>
    <row r="8020" spans="1:10" hidden="1" x14ac:dyDescent="0.25">
      <c r="A8020" s="124" t="s">
        <v>10330</v>
      </c>
      <c r="B8020" s="124" t="s">
        <v>11736</v>
      </c>
      <c r="C8020" s="132"/>
      <c r="D8020" s="125">
        <f t="shared" si="123"/>
        <v>0</v>
      </c>
      <c r="E8020" s="124" t="s">
        <v>8367</v>
      </c>
      <c r="F8020" s="126">
        <v>2</v>
      </c>
      <c r="G8020" s="128">
        <v>18000</v>
      </c>
      <c r="H8020" s="124" t="s">
        <v>8368</v>
      </c>
      <c r="I8020" s="127">
        <v>87.7</v>
      </c>
      <c r="J8020" s="127">
        <v>438.5</v>
      </c>
    </row>
    <row r="8021" spans="1:10" hidden="1" x14ac:dyDescent="0.25">
      <c r="A8021" s="124" t="s">
        <v>10331</v>
      </c>
      <c r="B8021" s="124" t="s">
        <v>11736</v>
      </c>
      <c r="C8021" s="132"/>
      <c r="D8021" s="125">
        <f t="shared" si="123"/>
        <v>0</v>
      </c>
      <c r="E8021" s="124" t="s">
        <v>8367</v>
      </c>
      <c r="F8021" s="126">
        <v>1</v>
      </c>
      <c r="G8021" s="127">
        <v>120</v>
      </c>
      <c r="H8021" s="124" t="s">
        <v>8368</v>
      </c>
      <c r="I8021" s="127">
        <v>63</v>
      </c>
      <c r="J8021" s="127">
        <v>315</v>
      </c>
    </row>
    <row r="8022" spans="1:10" hidden="1" x14ac:dyDescent="0.25">
      <c r="A8022" s="124" t="s">
        <v>10332</v>
      </c>
      <c r="B8022" s="124" t="s">
        <v>11736</v>
      </c>
      <c r="C8022" s="132"/>
      <c r="D8022" s="125">
        <f t="shared" si="123"/>
        <v>0</v>
      </c>
      <c r="E8022" s="124" t="s">
        <v>8367</v>
      </c>
      <c r="F8022" s="126">
        <v>765</v>
      </c>
      <c r="G8022" s="128">
        <v>436050</v>
      </c>
      <c r="H8022" s="124" t="s">
        <v>8368</v>
      </c>
      <c r="I8022" s="127">
        <v>7.8</v>
      </c>
      <c r="J8022" s="127">
        <v>39</v>
      </c>
    </row>
    <row r="8023" spans="1:10" hidden="1" x14ac:dyDescent="0.25">
      <c r="A8023" s="124" t="s">
        <v>10333</v>
      </c>
      <c r="B8023" s="124" t="s">
        <v>11736</v>
      </c>
      <c r="C8023" s="132"/>
      <c r="D8023" s="125">
        <f>COUNTIF(A3613:A8022,A8023)</f>
        <v>0</v>
      </c>
      <c r="E8023" s="124" t="s">
        <v>8367</v>
      </c>
      <c r="F8023" s="126">
        <v>2</v>
      </c>
      <c r="G8023" s="127">
        <v>526.20000000000005</v>
      </c>
      <c r="H8023" s="124" t="s">
        <v>8368</v>
      </c>
      <c r="I8023" s="128">
        <v>65978.399999999994</v>
      </c>
      <c r="J8023" s="128">
        <v>329892</v>
      </c>
    </row>
    <row r="8024" spans="1:10" hidden="1" x14ac:dyDescent="0.25">
      <c r="A8024" s="124" t="s">
        <v>1520</v>
      </c>
      <c r="B8024" s="124" t="s">
        <v>11736</v>
      </c>
      <c r="C8024" s="132"/>
      <c r="D8024" s="125">
        <f>COUNTIF(A3614:A8023,A8024)</f>
        <v>0</v>
      </c>
      <c r="E8024" s="124" t="s">
        <v>8367</v>
      </c>
      <c r="F8024" s="126">
        <v>1</v>
      </c>
      <c r="G8024" s="127">
        <v>378</v>
      </c>
      <c r="H8024" s="124" t="s">
        <v>8368</v>
      </c>
      <c r="I8024" s="127">
        <v>429.55</v>
      </c>
      <c r="J8024" s="128">
        <v>2147.73</v>
      </c>
    </row>
    <row r="8025" spans="1:10" hidden="1" x14ac:dyDescent="0.25">
      <c r="A8025" s="124" t="s">
        <v>3329</v>
      </c>
      <c r="B8025" s="124" t="s">
        <v>11736</v>
      </c>
      <c r="C8025" s="132"/>
      <c r="D8025" s="125">
        <f>COUNTIF(A3615:A8024,A8025)</f>
        <v>0</v>
      </c>
      <c r="E8025" s="124" t="s">
        <v>8367</v>
      </c>
      <c r="F8025" s="126">
        <v>1</v>
      </c>
      <c r="G8025" s="127">
        <v>46.8</v>
      </c>
      <c r="H8025" s="124" t="s">
        <v>8368</v>
      </c>
      <c r="I8025" s="127">
        <v>625</v>
      </c>
      <c r="J8025" s="128">
        <v>3125</v>
      </c>
    </row>
    <row r="8026" spans="1:10" hidden="1" x14ac:dyDescent="0.25">
      <c r="A8026" s="124" t="s">
        <v>10334</v>
      </c>
      <c r="B8026" s="124" t="s">
        <v>11736</v>
      </c>
      <c r="C8026" s="132"/>
      <c r="D8026" s="125">
        <f>COUNTIF(A3616:A8025,A8026)</f>
        <v>0</v>
      </c>
      <c r="E8026" s="124" t="s">
        <v>8</v>
      </c>
      <c r="F8026" s="126">
        <v>99.5</v>
      </c>
      <c r="G8026" s="128">
        <v>395870.4</v>
      </c>
      <c r="H8026" s="124" t="s">
        <v>8368</v>
      </c>
      <c r="I8026" s="127">
        <v>455</v>
      </c>
      <c r="J8026" s="128">
        <v>2275</v>
      </c>
    </row>
    <row r="8027" spans="1:10" hidden="1" x14ac:dyDescent="0.25">
      <c r="A8027" s="124" t="s">
        <v>2647</v>
      </c>
      <c r="B8027" s="124" t="s">
        <v>11736</v>
      </c>
      <c r="C8027" s="132"/>
      <c r="D8027" s="125">
        <f>COUNTIF(A3617:A8026,A8027)</f>
        <v>0</v>
      </c>
      <c r="E8027" s="124" t="s">
        <v>8367</v>
      </c>
      <c r="F8027" s="126">
        <v>25</v>
      </c>
      <c r="G8027" s="128">
        <v>2577.2800000000002</v>
      </c>
      <c r="H8027" s="124" t="s">
        <v>8368</v>
      </c>
      <c r="I8027" s="128">
        <v>1333.4</v>
      </c>
      <c r="J8027" s="128">
        <v>6667</v>
      </c>
    </row>
    <row r="8028" spans="1:10" hidden="1" x14ac:dyDescent="0.25">
      <c r="A8028" s="124" t="s">
        <v>2648</v>
      </c>
      <c r="B8028" s="124" t="s">
        <v>11736</v>
      </c>
      <c r="C8028" s="132"/>
      <c r="D8028" s="125">
        <f t="shared" ref="D8028:D8035" si="124">COUNTIF(A3619:A8027,A8028)</f>
        <v>0</v>
      </c>
      <c r="E8028" s="124" t="s">
        <v>8367</v>
      </c>
      <c r="F8028" s="126">
        <v>25</v>
      </c>
      <c r="G8028" s="128">
        <v>3750</v>
      </c>
      <c r="H8028" s="124" t="s">
        <v>8368</v>
      </c>
      <c r="I8028" s="128">
        <v>8000</v>
      </c>
      <c r="J8028" s="128">
        <v>40000</v>
      </c>
    </row>
    <row r="8029" spans="1:10" hidden="1" x14ac:dyDescent="0.25">
      <c r="A8029" s="124" t="s">
        <v>10335</v>
      </c>
      <c r="B8029" s="124" t="s">
        <v>11736</v>
      </c>
      <c r="C8029" s="132"/>
      <c r="D8029" s="125">
        <f t="shared" si="124"/>
        <v>0</v>
      </c>
      <c r="E8029" s="124" t="s">
        <v>8367</v>
      </c>
      <c r="F8029" s="126">
        <v>15</v>
      </c>
      <c r="G8029" s="128">
        <v>2730</v>
      </c>
      <c r="H8029" s="124" t="s">
        <v>8368</v>
      </c>
      <c r="I8029" s="127">
        <v>258</v>
      </c>
      <c r="J8029" s="128">
        <v>1290</v>
      </c>
    </row>
    <row r="8030" spans="1:10" hidden="1" x14ac:dyDescent="0.25">
      <c r="A8030" s="124" t="s">
        <v>10336</v>
      </c>
      <c r="B8030" s="124" t="s">
        <v>11736</v>
      </c>
      <c r="C8030" s="132"/>
      <c r="D8030" s="125">
        <f t="shared" si="124"/>
        <v>0</v>
      </c>
      <c r="E8030" s="124" t="s">
        <v>8367</v>
      </c>
      <c r="F8030" s="126">
        <v>20</v>
      </c>
      <c r="G8030" s="128">
        <v>8000.4</v>
      </c>
      <c r="H8030" s="124" t="s">
        <v>8368</v>
      </c>
      <c r="I8030" s="128">
        <v>10325.200000000001</v>
      </c>
      <c r="J8030" s="128">
        <v>51626</v>
      </c>
    </row>
    <row r="8031" spans="1:10" hidden="1" x14ac:dyDescent="0.25">
      <c r="A8031" s="124" t="s">
        <v>10337</v>
      </c>
      <c r="B8031" s="124" t="s">
        <v>11736</v>
      </c>
      <c r="C8031" s="132"/>
      <c r="D8031" s="125">
        <f t="shared" si="124"/>
        <v>0</v>
      </c>
      <c r="E8031" s="124" t="s">
        <v>8367</v>
      </c>
      <c r="F8031" s="126">
        <v>30</v>
      </c>
      <c r="G8031" s="128">
        <v>48000</v>
      </c>
      <c r="H8031" s="124" t="s">
        <v>8368</v>
      </c>
      <c r="I8031" s="128">
        <v>15824.85</v>
      </c>
      <c r="J8031" s="128">
        <v>79124.259999999995</v>
      </c>
    </row>
    <row r="8032" spans="1:10" hidden="1" x14ac:dyDescent="0.25">
      <c r="A8032" s="124" t="s">
        <v>10338</v>
      </c>
      <c r="B8032" s="124" t="s">
        <v>11736</v>
      </c>
      <c r="C8032" s="132"/>
      <c r="D8032" s="125">
        <f t="shared" si="124"/>
        <v>0</v>
      </c>
      <c r="E8032" s="124" t="s">
        <v>8367</v>
      </c>
      <c r="F8032" s="126">
        <v>1</v>
      </c>
      <c r="G8032" s="128">
        <v>1548</v>
      </c>
      <c r="H8032" s="124" t="s">
        <v>8368</v>
      </c>
      <c r="I8032" s="127">
        <v>320</v>
      </c>
      <c r="J8032" s="128">
        <v>1600</v>
      </c>
    </row>
    <row r="8033" spans="1:10" hidden="1" x14ac:dyDescent="0.25">
      <c r="A8033" s="124" t="s">
        <v>10339</v>
      </c>
      <c r="B8033" s="124" t="s">
        <v>11736</v>
      </c>
      <c r="C8033" s="132"/>
      <c r="D8033" s="125">
        <f t="shared" si="124"/>
        <v>0</v>
      </c>
      <c r="E8033" s="124" t="s">
        <v>1</v>
      </c>
      <c r="F8033" s="126">
        <v>25</v>
      </c>
      <c r="G8033" s="128">
        <v>61951.199999999997</v>
      </c>
      <c r="H8033" s="124" t="s">
        <v>8368</v>
      </c>
      <c r="I8033" s="128">
        <v>8500</v>
      </c>
      <c r="J8033" s="128">
        <v>42500</v>
      </c>
    </row>
    <row r="8034" spans="1:10" hidden="1" x14ac:dyDescent="0.25">
      <c r="A8034" s="124" t="s">
        <v>887</v>
      </c>
      <c r="B8034" s="124" t="s">
        <v>11736</v>
      </c>
      <c r="C8034" s="132"/>
      <c r="D8034" s="125">
        <f t="shared" si="124"/>
        <v>0</v>
      </c>
      <c r="E8034" s="124" t="s">
        <v>8591</v>
      </c>
      <c r="F8034" s="126">
        <v>30</v>
      </c>
      <c r="G8034" s="128">
        <v>94949.11</v>
      </c>
      <c r="H8034" s="124" t="s">
        <v>8368</v>
      </c>
      <c r="I8034" s="127">
        <v>420</v>
      </c>
      <c r="J8034" s="128">
        <v>2100</v>
      </c>
    </row>
    <row r="8035" spans="1:10" hidden="1" x14ac:dyDescent="0.25">
      <c r="A8035" s="124" t="s">
        <v>3141</v>
      </c>
      <c r="B8035" s="124" t="s">
        <v>11736</v>
      </c>
      <c r="C8035" s="132"/>
      <c r="D8035" s="125">
        <f t="shared" si="124"/>
        <v>0</v>
      </c>
      <c r="E8035" s="124" t="s">
        <v>8367</v>
      </c>
      <c r="F8035" s="129">
        <v>1600</v>
      </c>
      <c r="G8035" s="128">
        <v>1920</v>
      </c>
      <c r="H8035" s="124" t="s">
        <v>8368</v>
      </c>
      <c r="I8035" s="128">
        <v>150000</v>
      </c>
      <c r="J8035" s="128">
        <v>750000</v>
      </c>
    </row>
    <row r="8036" spans="1:10" hidden="1" x14ac:dyDescent="0.25">
      <c r="A8036" s="124" t="s">
        <v>10340</v>
      </c>
      <c r="B8036" s="124" t="s">
        <v>11736</v>
      </c>
      <c r="C8036" s="132"/>
      <c r="D8036" s="125">
        <f>COUNTIF(A3628:A8035,A8036)</f>
        <v>0</v>
      </c>
      <c r="E8036" s="124" t="s">
        <v>8579</v>
      </c>
      <c r="F8036" s="129">
        <v>1500</v>
      </c>
      <c r="G8036" s="128">
        <v>51000</v>
      </c>
      <c r="H8036" s="124" t="s">
        <v>8368</v>
      </c>
      <c r="I8036" s="128">
        <v>1205.83</v>
      </c>
      <c r="J8036" s="128">
        <v>6029.12</v>
      </c>
    </row>
    <row r="8037" spans="1:10" hidden="1" x14ac:dyDescent="0.25">
      <c r="A8037" s="124" t="s">
        <v>10341</v>
      </c>
      <c r="B8037" s="124" t="s">
        <v>11736</v>
      </c>
      <c r="C8037" s="132"/>
      <c r="D8037" s="125">
        <f>COUNTIF(A3629:A8036,A8037)</f>
        <v>0</v>
      </c>
      <c r="E8037" s="124" t="s">
        <v>9134</v>
      </c>
      <c r="F8037" s="126">
        <v>3</v>
      </c>
      <c r="G8037" s="128">
        <v>2520</v>
      </c>
      <c r="H8037" s="124" t="s">
        <v>8368</v>
      </c>
      <c r="I8037" s="128">
        <v>2665</v>
      </c>
      <c r="J8037" s="128">
        <v>13325</v>
      </c>
    </row>
    <row r="8038" spans="1:10" hidden="1" x14ac:dyDescent="0.25">
      <c r="A8038" s="124" t="s">
        <v>10342</v>
      </c>
      <c r="B8038" s="124" t="s">
        <v>11736</v>
      </c>
      <c r="C8038" s="132"/>
      <c r="D8038" s="125">
        <f>COUNTIF(A3630:A8037,A8038)</f>
        <v>0</v>
      </c>
      <c r="E8038" s="124" t="s">
        <v>8367</v>
      </c>
      <c r="F8038" s="126">
        <v>1</v>
      </c>
      <c r="G8038" s="128">
        <v>900000</v>
      </c>
      <c r="H8038" s="124" t="s">
        <v>8368</v>
      </c>
      <c r="I8038" s="128">
        <v>135149.4</v>
      </c>
      <c r="J8038" s="128">
        <v>675747</v>
      </c>
    </row>
    <row r="8039" spans="1:10" hidden="1" x14ac:dyDescent="0.25">
      <c r="A8039" s="124" t="s">
        <v>4051</v>
      </c>
      <c r="B8039" s="124" t="s">
        <v>11736</v>
      </c>
      <c r="C8039" s="132"/>
      <c r="D8039" s="125">
        <f t="shared" ref="D8039:D8053" si="125">COUNTIF(A3633:A8038,A8039)</f>
        <v>0</v>
      </c>
      <c r="E8039" s="124" t="s">
        <v>8367</v>
      </c>
      <c r="F8039" s="126">
        <v>15</v>
      </c>
      <c r="G8039" s="128">
        <v>7234.95</v>
      </c>
      <c r="H8039" s="124" t="s">
        <v>8368</v>
      </c>
      <c r="I8039" s="127">
        <v>228.6</v>
      </c>
      <c r="J8039" s="128">
        <v>1143</v>
      </c>
    </row>
    <row r="8040" spans="1:10" hidden="1" x14ac:dyDescent="0.25">
      <c r="A8040" s="124" t="s">
        <v>2983</v>
      </c>
      <c r="B8040" s="124" t="s">
        <v>11736</v>
      </c>
      <c r="C8040" s="132"/>
      <c r="D8040" s="125">
        <f t="shared" si="125"/>
        <v>0</v>
      </c>
      <c r="E8040" s="124" t="s">
        <v>8367</v>
      </c>
      <c r="F8040" s="126">
        <v>10</v>
      </c>
      <c r="G8040" s="128">
        <v>15990</v>
      </c>
      <c r="H8040" s="124" t="s">
        <v>8368</v>
      </c>
      <c r="I8040" s="127">
        <v>361.6</v>
      </c>
      <c r="J8040" s="128">
        <v>1808</v>
      </c>
    </row>
    <row r="8041" spans="1:10" hidden="1" x14ac:dyDescent="0.25">
      <c r="A8041" s="124" t="s">
        <v>10343</v>
      </c>
      <c r="B8041" s="124" t="s">
        <v>11736</v>
      </c>
      <c r="C8041" s="132"/>
      <c r="D8041" s="125">
        <f t="shared" si="125"/>
        <v>0</v>
      </c>
      <c r="E8041" s="124" t="s">
        <v>8367</v>
      </c>
      <c r="F8041" s="126">
        <v>90</v>
      </c>
      <c r="G8041" s="128">
        <v>810896.4</v>
      </c>
      <c r="H8041" s="124" t="s">
        <v>8368</v>
      </c>
      <c r="I8041" s="127">
        <v>383.4</v>
      </c>
      <c r="J8041" s="128">
        <v>1917</v>
      </c>
    </row>
    <row r="8042" spans="1:10" hidden="1" x14ac:dyDescent="0.25">
      <c r="A8042" s="124" t="s">
        <v>3085</v>
      </c>
      <c r="B8042" s="124" t="s">
        <v>11736</v>
      </c>
      <c r="C8042" s="132"/>
      <c r="D8042" s="125">
        <f t="shared" si="125"/>
        <v>0</v>
      </c>
      <c r="E8042" s="124" t="s">
        <v>8367</v>
      </c>
      <c r="F8042" s="126">
        <v>2</v>
      </c>
      <c r="G8042" s="128">
        <v>1371.6</v>
      </c>
      <c r="H8042" s="124" t="s">
        <v>8368</v>
      </c>
      <c r="I8042" s="127">
        <v>270</v>
      </c>
      <c r="J8042" s="128">
        <v>1350</v>
      </c>
    </row>
    <row r="8043" spans="1:10" hidden="1" x14ac:dyDescent="0.25">
      <c r="A8043" s="124" t="s">
        <v>3104</v>
      </c>
      <c r="B8043" s="124" t="s">
        <v>11736</v>
      </c>
      <c r="C8043" s="132"/>
      <c r="D8043" s="125">
        <f t="shared" si="125"/>
        <v>0</v>
      </c>
      <c r="E8043" s="124" t="s">
        <v>8367</v>
      </c>
      <c r="F8043" s="126">
        <v>10</v>
      </c>
      <c r="G8043" s="128">
        <v>2169.6</v>
      </c>
      <c r="H8043" s="124" t="s">
        <v>8368</v>
      </c>
      <c r="I8043" s="127">
        <v>24.72</v>
      </c>
      <c r="J8043" s="127">
        <v>123.62</v>
      </c>
    </row>
    <row r="8044" spans="1:10" hidden="1" x14ac:dyDescent="0.25">
      <c r="A8044" s="124" t="s">
        <v>10344</v>
      </c>
      <c r="B8044" s="124" t="s">
        <v>11736</v>
      </c>
      <c r="C8044" s="132"/>
      <c r="D8044" s="125">
        <f t="shared" si="125"/>
        <v>0</v>
      </c>
      <c r="E8044" s="124" t="s">
        <v>8451</v>
      </c>
      <c r="F8044" s="126">
        <v>1</v>
      </c>
      <c r="G8044" s="128">
        <v>2300.4</v>
      </c>
      <c r="H8044" s="124" t="s">
        <v>8368</v>
      </c>
      <c r="I8044" s="127">
        <v>19.600000000000001</v>
      </c>
      <c r="J8044" s="127">
        <v>98</v>
      </c>
    </row>
    <row r="8045" spans="1:10" hidden="1" x14ac:dyDescent="0.25">
      <c r="A8045" s="124" t="s">
        <v>4339</v>
      </c>
      <c r="B8045" s="124" t="s">
        <v>11736</v>
      </c>
      <c r="C8045" s="132"/>
      <c r="D8045" s="125">
        <f t="shared" si="125"/>
        <v>0</v>
      </c>
      <c r="E8045" s="124" t="s">
        <v>8367</v>
      </c>
      <c r="F8045" s="126">
        <v>6</v>
      </c>
      <c r="G8045" s="128">
        <v>1620</v>
      </c>
      <c r="H8045" s="124" t="s">
        <v>8368</v>
      </c>
      <c r="I8045" s="127">
        <v>936.67</v>
      </c>
      <c r="J8045" s="128">
        <v>4683.3500000000004</v>
      </c>
    </row>
    <row r="8046" spans="1:10" hidden="1" x14ac:dyDescent="0.25">
      <c r="A8046" s="124" t="s">
        <v>4948</v>
      </c>
      <c r="B8046" s="124" t="s">
        <v>11736</v>
      </c>
      <c r="C8046" s="132"/>
      <c r="D8046" s="125">
        <f t="shared" si="125"/>
        <v>0</v>
      </c>
      <c r="E8046" s="124" t="s">
        <v>8367</v>
      </c>
      <c r="F8046" s="126">
        <v>2</v>
      </c>
      <c r="G8046" s="127">
        <v>148.34</v>
      </c>
      <c r="H8046" s="124" t="s">
        <v>8368</v>
      </c>
      <c r="I8046" s="127">
        <v>17.399999999999999</v>
      </c>
      <c r="J8046" s="127">
        <v>87</v>
      </c>
    </row>
    <row r="8047" spans="1:10" hidden="1" x14ac:dyDescent="0.25">
      <c r="A8047" s="124" t="s">
        <v>10345</v>
      </c>
      <c r="B8047" s="124" t="s">
        <v>11736</v>
      </c>
      <c r="C8047" s="132"/>
      <c r="D8047" s="125">
        <f t="shared" si="125"/>
        <v>0</v>
      </c>
      <c r="E8047" s="124" t="s">
        <v>8367</v>
      </c>
      <c r="F8047" s="126">
        <v>2</v>
      </c>
      <c r="G8047" s="127">
        <v>117.6</v>
      </c>
      <c r="H8047" s="124" t="s">
        <v>8368</v>
      </c>
      <c r="I8047" s="127">
        <v>112.6</v>
      </c>
      <c r="J8047" s="127">
        <v>563</v>
      </c>
    </row>
    <row r="8048" spans="1:10" hidden="1" x14ac:dyDescent="0.25">
      <c r="A8048" s="124" t="s">
        <v>10346</v>
      </c>
      <c r="B8048" s="124" t="s">
        <v>11736</v>
      </c>
      <c r="C8048" s="132"/>
      <c r="D8048" s="125">
        <f t="shared" si="125"/>
        <v>0</v>
      </c>
      <c r="E8048" s="124" t="s">
        <v>8451</v>
      </c>
      <c r="F8048" s="126">
        <v>2</v>
      </c>
      <c r="G8048" s="128">
        <v>5620.02</v>
      </c>
      <c r="H8048" s="124" t="s">
        <v>8368</v>
      </c>
      <c r="I8048" s="127">
        <v>319.8</v>
      </c>
      <c r="J8048" s="128">
        <v>1599</v>
      </c>
    </row>
    <row r="8049" spans="1:10" hidden="1" x14ac:dyDescent="0.25">
      <c r="A8049" s="124" t="s">
        <v>10347</v>
      </c>
      <c r="B8049" s="124" t="s">
        <v>11736</v>
      </c>
      <c r="C8049" s="132"/>
      <c r="D8049" s="125">
        <f t="shared" si="125"/>
        <v>0</v>
      </c>
      <c r="E8049" s="124" t="s">
        <v>8451</v>
      </c>
      <c r="F8049" s="126">
        <v>2</v>
      </c>
      <c r="G8049" s="127">
        <v>104.4</v>
      </c>
      <c r="H8049" s="124" t="s">
        <v>8368</v>
      </c>
      <c r="I8049" s="127">
        <v>408.4</v>
      </c>
      <c r="J8049" s="128">
        <v>2042</v>
      </c>
    </row>
    <row r="8050" spans="1:10" hidden="1" x14ac:dyDescent="0.25">
      <c r="A8050" s="124" t="s">
        <v>10348</v>
      </c>
      <c r="B8050" s="124" t="s">
        <v>11736</v>
      </c>
      <c r="C8050" s="132"/>
      <c r="D8050" s="125">
        <f t="shared" si="125"/>
        <v>0</v>
      </c>
      <c r="E8050" s="124" t="s">
        <v>8451</v>
      </c>
      <c r="F8050" s="126">
        <v>2</v>
      </c>
      <c r="G8050" s="127">
        <v>675.6</v>
      </c>
      <c r="H8050" s="124" t="s">
        <v>8368</v>
      </c>
      <c r="I8050" s="127">
        <v>111.2</v>
      </c>
      <c r="J8050" s="127">
        <v>556</v>
      </c>
    </row>
    <row r="8051" spans="1:10" hidden="1" x14ac:dyDescent="0.25">
      <c r="A8051" s="124" t="s">
        <v>10349</v>
      </c>
      <c r="B8051" s="124" t="s">
        <v>11736</v>
      </c>
      <c r="C8051" s="132"/>
      <c r="D8051" s="125">
        <f t="shared" si="125"/>
        <v>0</v>
      </c>
      <c r="E8051" s="124" t="s">
        <v>8451</v>
      </c>
      <c r="F8051" s="126">
        <v>1</v>
      </c>
      <c r="G8051" s="128">
        <v>1918.8</v>
      </c>
      <c r="H8051" s="124" t="s">
        <v>8368</v>
      </c>
      <c r="I8051" s="127">
        <v>63</v>
      </c>
      <c r="J8051" s="127">
        <v>315</v>
      </c>
    </row>
    <row r="8052" spans="1:10" hidden="1" x14ac:dyDescent="0.25">
      <c r="A8052" s="124" t="s">
        <v>10350</v>
      </c>
      <c r="B8052" s="124" t="s">
        <v>11736</v>
      </c>
      <c r="C8052" s="132"/>
      <c r="D8052" s="125">
        <f t="shared" si="125"/>
        <v>0</v>
      </c>
      <c r="E8052" s="124" t="s">
        <v>8451</v>
      </c>
      <c r="F8052" s="126">
        <v>1</v>
      </c>
      <c r="G8052" s="128">
        <v>2450.4</v>
      </c>
      <c r="H8052" s="124" t="s">
        <v>8368</v>
      </c>
      <c r="I8052" s="127">
        <v>64.28</v>
      </c>
      <c r="J8052" s="127">
        <v>321.42</v>
      </c>
    </row>
    <row r="8053" spans="1:10" hidden="1" x14ac:dyDescent="0.25">
      <c r="A8053" s="124" t="s">
        <v>10351</v>
      </c>
      <c r="B8053" s="124" t="s">
        <v>11736</v>
      </c>
      <c r="C8053" s="132"/>
      <c r="D8053" s="125">
        <f t="shared" si="125"/>
        <v>0</v>
      </c>
      <c r="E8053" s="124" t="s">
        <v>8451</v>
      </c>
      <c r="F8053" s="126">
        <v>4</v>
      </c>
      <c r="G8053" s="127">
        <v>667.2</v>
      </c>
      <c r="H8053" s="124" t="s">
        <v>8368</v>
      </c>
      <c r="I8053" s="127">
        <v>22.8</v>
      </c>
      <c r="J8053" s="127">
        <v>114</v>
      </c>
    </row>
    <row r="8054" spans="1:10" hidden="1" x14ac:dyDescent="0.25">
      <c r="A8054" s="124" t="s">
        <v>10352</v>
      </c>
      <c r="B8054" s="124" t="s">
        <v>11736</v>
      </c>
      <c r="C8054" s="132"/>
      <c r="D8054" s="125">
        <f>COUNTIF(A3649:A8053,A8054)</f>
        <v>0</v>
      </c>
      <c r="E8054" s="124" t="s">
        <v>8451</v>
      </c>
      <c r="F8054" s="126">
        <v>2</v>
      </c>
      <c r="G8054" s="127">
        <v>378</v>
      </c>
      <c r="H8054" s="124" t="s">
        <v>8368</v>
      </c>
      <c r="I8054" s="127">
        <v>39.200000000000003</v>
      </c>
      <c r="J8054" s="127">
        <v>196</v>
      </c>
    </row>
    <row r="8055" spans="1:10" hidden="1" x14ac:dyDescent="0.25">
      <c r="A8055" s="124" t="s">
        <v>10353</v>
      </c>
      <c r="B8055" s="124" t="s">
        <v>11736</v>
      </c>
      <c r="C8055" s="132"/>
      <c r="D8055" s="125">
        <f>COUNTIF(A3650:A8054,A8055)</f>
        <v>0</v>
      </c>
      <c r="E8055" s="124" t="s">
        <v>8367</v>
      </c>
      <c r="F8055" s="126">
        <v>15</v>
      </c>
      <c r="G8055" s="127">
        <v>385.7</v>
      </c>
      <c r="H8055" s="124" t="s">
        <v>8368</v>
      </c>
      <c r="I8055" s="127">
        <v>16</v>
      </c>
      <c r="J8055" s="127">
        <v>80</v>
      </c>
    </row>
    <row r="8056" spans="1:10" hidden="1" x14ac:dyDescent="0.25">
      <c r="A8056" s="124" t="s">
        <v>10354</v>
      </c>
      <c r="B8056" s="124" t="s">
        <v>11736</v>
      </c>
      <c r="C8056" s="132"/>
      <c r="D8056" s="125">
        <f>COUNTIF(A3651:A8055,A8056)</f>
        <v>0</v>
      </c>
      <c r="E8056" s="124" t="s">
        <v>8367</v>
      </c>
      <c r="F8056" s="126">
        <v>1</v>
      </c>
      <c r="G8056" s="127">
        <v>136.80000000000001</v>
      </c>
      <c r="H8056" s="124" t="s">
        <v>8368</v>
      </c>
      <c r="I8056" s="127">
        <v>68.2</v>
      </c>
      <c r="J8056" s="127">
        <v>341</v>
      </c>
    </row>
    <row r="8057" spans="1:10" hidden="1" x14ac:dyDescent="0.25">
      <c r="A8057" s="124" t="s">
        <v>10355</v>
      </c>
      <c r="B8057" s="124" t="s">
        <v>11736</v>
      </c>
      <c r="C8057" s="132"/>
      <c r="D8057" s="125">
        <f>COUNTIF(A3652:A8056,A8057)</f>
        <v>0</v>
      </c>
      <c r="E8057" s="124" t="s">
        <v>8367</v>
      </c>
      <c r="F8057" s="126">
        <v>3</v>
      </c>
      <c r="G8057" s="127">
        <v>235.2</v>
      </c>
      <c r="H8057" s="124" t="s">
        <v>8368</v>
      </c>
      <c r="I8057" s="127">
        <v>73</v>
      </c>
      <c r="J8057" s="127">
        <v>365</v>
      </c>
    </row>
    <row r="8058" spans="1:10" hidden="1" x14ac:dyDescent="0.25">
      <c r="A8058" s="124" t="s">
        <v>10356</v>
      </c>
      <c r="B8058" s="124" t="s">
        <v>11736</v>
      </c>
      <c r="C8058" s="132"/>
      <c r="D8058" s="125">
        <f>COUNTIF(A3653:A8057,A8058)</f>
        <v>0</v>
      </c>
      <c r="E8058" s="124" t="s">
        <v>8367</v>
      </c>
      <c r="F8058" s="126">
        <v>1</v>
      </c>
      <c r="G8058" s="127">
        <v>96</v>
      </c>
      <c r="H8058" s="124" t="s">
        <v>8368</v>
      </c>
      <c r="I8058" s="127">
        <v>30.6</v>
      </c>
      <c r="J8058" s="127">
        <v>153</v>
      </c>
    </row>
    <row r="8059" spans="1:10" hidden="1" x14ac:dyDescent="0.25">
      <c r="A8059" s="124" t="s">
        <v>4227</v>
      </c>
      <c r="B8059" s="124" t="s">
        <v>11736</v>
      </c>
      <c r="C8059" s="132"/>
      <c r="D8059" s="125">
        <f>COUNTIF(A3655:A8058,A8059)</f>
        <v>0</v>
      </c>
      <c r="E8059" s="124" t="s">
        <v>8367</v>
      </c>
      <c r="F8059" s="126">
        <v>6</v>
      </c>
      <c r="G8059" s="127">
        <v>409.2</v>
      </c>
      <c r="H8059" s="124" t="s">
        <v>8368</v>
      </c>
      <c r="I8059" s="127">
        <v>28</v>
      </c>
      <c r="J8059" s="127">
        <v>140</v>
      </c>
    </row>
    <row r="8060" spans="1:10" hidden="1" x14ac:dyDescent="0.25">
      <c r="A8060" s="124" t="s">
        <v>10357</v>
      </c>
      <c r="B8060" s="124" t="s">
        <v>11736</v>
      </c>
      <c r="C8060" s="132"/>
      <c r="D8060" s="125">
        <f t="shared" ref="D8060:D8082" si="126">COUNTIF(A3657:A8059,A8060)</f>
        <v>0</v>
      </c>
      <c r="E8060" s="124" t="s">
        <v>8451</v>
      </c>
      <c r="F8060" s="126">
        <v>2</v>
      </c>
      <c r="G8060" s="127">
        <v>438</v>
      </c>
      <c r="H8060" s="124" t="s">
        <v>8368</v>
      </c>
      <c r="I8060" s="127">
        <v>198</v>
      </c>
      <c r="J8060" s="127">
        <v>990</v>
      </c>
    </row>
    <row r="8061" spans="1:10" hidden="1" x14ac:dyDescent="0.25">
      <c r="A8061" s="124" t="s">
        <v>10358</v>
      </c>
      <c r="B8061" s="124" t="s">
        <v>11736</v>
      </c>
      <c r="C8061" s="132"/>
      <c r="D8061" s="125">
        <f t="shared" si="126"/>
        <v>0</v>
      </c>
      <c r="E8061" s="124" t="s">
        <v>8367</v>
      </c>
      <c r="F8061" s="126">
        <v>8</v>
      </c>
      <c r="G8061" s="127">
        <v>183.6</v>
      </c>
      <c r="H8061" s="124" t="s">
        <v>8368</v>
      </c>
      <c r="I8061" s="127">
        <v>27.86</v>
      </c>
      <c r="J8061" s="127">
        <v>139.30000000000001</v>
      </c>
    </row>
    <row r="8062" spans="1:10" hidden="1" x14ac:dyDescent="0.25">
      <c r="A8062" s="124" t="s">
        <v>4163</v>
      </c>
      <c r="B8062" s="124" t="s">
        <v>11736</v>
      </c>
      <c r="C8062" s="132"/>
      <c r="D8062" s="125">
        <f t="shared" si="126"/>
        <v>0</v>
      </c>
      <c r="E8062" s="124" t="s">
        <v>8367</v>
      </c>
      <c r="F8062" s="126">
        <v>5</v>
      </c>
      <c r="G8062" s="127">
        <v>168</v>
      </c>
      <c r="H8062" s="124" t="s">
        <v>8368</v>
      </c>
      <c r="I8062" s="127">
        <v>52.4</v>
      </c>
      <c r="J8062" s="127">
        <v>262</v>
      </c>
    </row>
    <row r="8063" spans="1:10" hidden="1" x14ac:dyDescent="0.25">
      <c r="A8063" s="124" t="s">
        <v>2159</v>
      </c>
      <c r="B8063" s="124" t="s">
        <v>11736</v>
      </c>
      <c r="C8063" s="132"/>
      <c r="D8063" s="125">
        <f t="shared" si="126"/>
        <v>0</v>
      </c>
      <c r="E8063" s="124" t="s">
        <v>8367</v>
      </c>
      <c r="F8063" s="126">
        <v>12</v>
      </c>
      <c r="G8063" s="128">
        <v>1188</v>
      </c>
      <c r="H8063" s="124" t="s">
        <v>8368</v>
      </c>
      <c r="I8063" s="127">
        <v>33.200000000000003</v>
      </c>
      <c r="J8063" s="127">
        <v>166</v>
      </c>
    </row>
    <row r="8064" spans="1:10" hidden="1" x14ac:dyDescent="0.25">
      <c r="A8064" s="124" t="s">
        <v>3974</v>
      </c>
      <c r="B8064" s="124" t="s">
        <v>11736</v>
      </c>
      <c r="C8064" s="132"/>
      <c r="D8064" s="125">
        <f t="shared" si="126"/>
        <v>0</v>
      </c>
      <c r="E8064" s="124" t="s">
        <v>8367</v>
      </c>
      <c r="F8064" s="126">
        <v>2</v>
      </c>
      <c r="G8064" s="127">
        <v>167.16</v>
      </c>
      <c r="H8064" s="124" t="s">
        <v>8368</v>
      </c>
      <c r="I8064" s="127">
        <v>324.39</v>
      </c>
      <c r="J8064" s="128">
        <v>1621.94</v>
      </c>
    </row>
    <row r="8065" spans="1:10" hidden="1" x14ac:dyDescent="0.25">
      <c r="A8065" s="124" t="s">
        <v>10359</v>
      </c>
      <c r="B8065" s="124" t="s">
        <v>11736</v>
      </c>
      <c r="C8065" s="132"/>
      <c r="D8065" s="125">
        <f t="shared" si="126"/>
        <v>0</v>
      </c>
      <c r="E8065" s="124" t="s">
        <v>8367</v>
      </c>
      <c r="F8065" s="126">
        <v>1</v>
      </c>
      <c r="G8065" s="127">
        <v>314.39999999999998</v>
      </c>
      <c r="H8065" s="124" t="s">
        <v>8368</v>
      </c>
      <c r="I8065" s="127">
        <v>179.07</v>
      </c>
      <c r="J8065" s="127">
        <v>895.37</v>
      </c>
    </row>
    <row r="8066" spans="1:10" hidden="1" x14ac:dyDescent="0.25">
      <c r="A8066" s="124" t="s">
        <v>10360</v>
      </c>
      <c r="B8066" s="124" t="s">
        <v>11736</v>
      </c>
      <c r="C8066" s="132"/>
      <c r="D8066" s="125">
        <f t="shared" si="126"/>
        <v>0</v>
      </c>
      <c r="E8066" s="124" t="s">
        <v>8451</v>
      </c>
      <c r="F8066" s="126">
        <v>3</v>
      </c>
      <c r="G8066" s="127">
        <v>199.2</v>
      </c>
      <c r="H8066" s="124" t="s">
        <v>8368</v>
      </c>
      <c r="I8066" s="127">
        <v>360.6</v>
      </c>
      <c r="J8066" s="128">
        <v>1803</v>
      </c>
    </row>
    <row r="8067" spans="1:10" hidden="1" x14ac:dyDescent="0.25">
      <c r="A8067" s="124" t="s">
        <v>3036</v>
      </c>
      <c r="B8067" s="124" t="s">
        <v>11736</v>
      </c>
      <c r="C8067" s="132"/>
      <c r="D8067" s="125">
        <f t="shared" si="126"/>
        <v>0</v>
      </c>
      <c r="E8067" s="124" t="s">
        <v>8367</v>
      </c>
      <c r="F8067" s="126">
        <v>10</v>
      </c>
      <c r="G8067" s="128">
        <v>1946.33</v>
      </c>
      <c r="H8067" s="124" t="s">
        <v>8368</v>
      </c>
      <c r="I8067" s="127">
        <v>111.4</v>
      </c>
      <c r="J8067" s="127">
        <v>557</v>
      </c>
    </row>
    <row r="8068" spans="1:10" hidden="1" x14ac:dyDescent="0.25">
      <c r="A8068" s="124" t="s">
        <v>10361</v>
      </c>
      <c r="B8068" s="124" t="s">
        <v>11736</v>
      </c>
      <c r="C8068" s="132"/>
      <c r="D8068" s="125">
        <f t="shared" si="126"/>
        <v>0</v>
      </c>
      <c r="E8068" s="124" t="s">
        <v>8367</v>
      </c>
      <c r="F8068" s="126">
        <v>3</v>
      </c>
      <c r="G8068" s="128">
        <v>1074.44</v>
      </c>
      <c r="H8068" s="124" t="s">
        <v>8368</v>
      </c>
      <c r="I8068" s="127">
        <v>104.8</v>
      </c>
      <c r="J8068" s="127">
        <v>524</v>
      </c>
    </row>
    <row r="8069" spans="1:10" hidden="1" x14ac:dyDescent="0.25">
      <c r="A8069" s="124" t="s">
        <v>10362</v>
      </c>
      <c r="B8069" s="124" t="s">
        <v>11736</v>
      </c>
      <c r="C8069" s="132"/>
      <c r="D8069" s="125">
        <f t="shared" si="126"/>
        <v>0</v>
      </c>
      <c r="E8069" s="124" t="s">
        <v>8367</v>
      </c>
      <c r="F8069" s="126">
        <v>7</v>
      </c>
      <c r="G8069" s="128">
        <v>2163.6</v>
      </c>
      <c r="H8069" s="124" t="s">
        <v>8368</v>
      </c>
      <c r="I8069" s="127">
        <v>137.19999999999999</v>
      </c>
      <c r="J8069" s="127">
        <v>686</v>
      </c>
    </row>
    <row r="8070" spans="1:10" hidden="1" x14ac:dyDescent="0.25">
      <c r="A8070" s="124" t="s">
        <v>10363</v>
      </c>
      <c r="B8070" s="124" t="s">
        <v>11736</v>
      </c>
      <c r="C8070" s="132"/>
      <c r="D8070" s="125">
        <f t="shared" si="126"/>
        <v>0</v>
      </c>
      <c r="E8070" s="124" t="s">
        <v>8367</v>
      </c>
      <c r="F8070" s="126">
        <v>3</v>
      </c>
      <c r="G8070" s="127">
        <v>668.4</v>
      </c>
      <c r="H8070" s="124" t="s">
        <v>8368</v>
      </c>
      <c r="I8070" s="127">
        <v>35.950000000000003</v>
      </c>
      <c r="J8070" s="127">
        <v>179.75</v>
      </c>
    </row>
    <row r="8071" spans="1:10" hidden="1" x14ac:dyDescent="0.25">
      <c r="A8071" s="124" t="s">
        <v>10364</v>
      </c>
      <c r="B8071" s="124" t="s">
        <v>11736</v>
      </c>
      <c r="C8071" s="132"/>
      <c r="D8071" s="125">
        <f t="shared" si="126"/>
        <v>0</v>
      </c>
      <c r="E8071" s="124" t="s">
        <v>8367</v>
      </c>
      <c r="F8071" s="126">
        <v>1</v>
      </c>
      <c r="G8071" s="127">
        <v>628.79999999999995</v>
      </c>
      <c r="H8071" s="124" t="s">
        <v>8368</v>
      </c>
      <c r="I8071" s="127">
        <v>113.6</v>
      </c>
      <c r="J8071" s="127">
        <v>568</v>
      </c>
    </row>
    <row r="8072" spans="1:10" hidden="1" x14ac:dyDescent="0.25">
      <c r="A8072" s="124" t="s">
        <v>10365</v>
      </c>
      <c r="B8072" s="124" t="s">
        <v>11736</v>
      </c>
      <c r="C8072" s="132"/>
      <c r="D8072" s="125">
        <f t="shared" si="126"/>
        <v>0</v>
      </c>
      <c r="E8072" s="124" t="s">
        <v>8367</v>
      </c>
      <c r="F8072" s="126">
        <v>1</v>
      </c>
      <c r="G8072" s="127">
        <v>823.2</v>
      </c>
      <c r="H8072" s="124" t="s">
        <v>8368</v>
      </c>
      <c r="I8072" s="127">
        <v>50.2</v>
      </c>
      <c r="J8072" s="127">
        <v>251</v>
      </c>
    </row>
    <row r="8073" spans="1:10" hidden="1" x14ac:dyDescent="0.25">
      <c r="A8073" s="124" t="s">
        <v>10366</v>
      </c>
      <c r="B8073" s="124" t="s">
        <v>11736</v>
      </c>
      <c r="C8073" s="132"/>
      <c r="D8073" s="125">
        <f t="shared" si="126"/>
        <v>0</v>
      </c>
      <c r="E8073" s="124" t="s">
        <v>8367</v>
      </c>
      <c r="F8073" s="126">
        <v>1</v>
      </c>
      <c r="G8073" s="127">
        <v>215.7</v>
      </c>
      <c r="H8073" s="124" t="s">
        <v>8368</v>
      </c>
      <c r="I8073" s="127">
        <v>43.6</v>
      </c>
      <c r="J8073" s="127">
        <v>218</v>
      </c>
    </row>
    <row r="8074" spans="1:10" hidden="1" x14ac:dyDescent="0.25">
      <c r="A8074" s="124" t="s">
        <v>10367</v>
      </c>
      <c r="B8074" s="124" t="s">
        <v>11736</v>
      </c>
      <c r="C8074" s="132"/>
      <c r="D8074" s="125">
        <f t="shared" si="126"/>
        <v>0</v>
      </c>
      <c r="E8074" s="124" t="s">
        <v>8367</v>
      </c>
      <c r="F8074" s="126">
        <v>1</v>
      </c>
      <c r="G8074" s="127">
        <v>681.6</v>
      </c>
      <c r="H8074" s="124" t="s">
        <v>8368</v>
      </c>
      <c r="I8074" s="127">
        <v>33.6</v>
      </c>
      <c r="J8074" s="127">
        <v>168</v>
      </c>
    </row>
    <row r="8075" spans="1:10" hidden="1" x14ac:dyDescent="0.25">
      <c r="A8075" s="124" t="s">
        <v>10368</v>
      </c>
      <c r="B8075" s="124" t="s">
        <v>11736</v>
      </c>
      <c r="C8075" s="132"/>
      <c r="D8075" s="125">
        <f t="shared" si="126"/>
        <v>0</v>
      </c>
      <c r="E8075" s="124" t="s">
        <v>8367</v>
      </c>
      <c r="F8075" s="126">
        <v>1</v>
      </c>
      <c r="G8075" s="127">
        <v>301.2</v>
      </c>
      <c r="H8075" s="124" t="s">
        <v>8368</v>
      </c>
      <c r="I8075" s="127">
        <v>152.19999999999999</v>
      </c>
      <c r="J8075" s="127">
        <v>761</v>
      </c>
    </row>
    <row r="8076" spans="1:10" hidden="1" x14ac:dyDescent="0.25">
      <c r="A8076" s="124" t="s">
        <v>10369</v>
      </c>
      <c r="B8076" s="124" t="s">
        <v>11736</v>
      </c>
      <c r="C8076" s="132"/>
      <c r="D8076" s="125">
        <f t="shared" si="126"/>
        <v>0</v>
      </c>
      <c r="E8076" s="124" t="s">
        <v>8367</v>
      </c>
      <c r="F8076" s="126">
        <v>2</v>
      </c>
      <c r="G8076" s="127">
        <v>261.60000000000002</v>
      </c>
      <c r="H8076" s="124" t="s">
        <v>8368</v>
      </c>
      <c r="I8076" s="127">
        <v>88</v>
      </c>
      <c r="J8076" s="127">
        <v>440</v>
      </c>
    </row>
    <row r="8077" spans="1:10" hidden="1" x14ac:dyDescent="0.25">
      <c r="A8077" s="124" t="s">
        <v>10370</v>
      </c>
      <c r="B8077" s="124" t="s">
        <v>11736</v>
      </c>
      <c r="C8077" s="132"/>
      <c r="D8077" s="125">
        <f t="shared" si="126"/>
        <v>0</v>
      </c>
      <c r="E8077" s="124" t="s">
        <v>8451</v>
      </c>
      <c r="F8077" s="126">
        <v>1</v>
      </c>
      <c r="G8077" s="127">
        <v>201.6</v>
      </c>
      <c r="H8077" s="124" t="s">
        <v>8368</v>
      </c>
      <c r="I8077" s="127">
        <v>107.6</v>
      </c>
      <c r="J8077" s="127">
        <v>538</v>
      </c>
    </row>
    <row r="8078" spans="1:10" hidden="1" x14ac:dyDescent="0.25">
      <c r="A8078" s="124" t="s">
        <v>3880</v>
      </c>
      <c r="B8078" s="124" t="s">
        <v>11736</v>
      </c>
      <c r="C8078" s="132"/>
      <c r="D8078" s="125">
        <f t="shared" si="126"/>
        <v>0</v>
      </c>
      <c r="E8078" s="124" t="s">
        <v>8451</v>
      </c>
      <c r="F8078" s="126">
        <v>2</v>
      </c>
      <c r="G8078" s="127">
        <v>913.2</v>
      </c>
      <c r="H8078" s="124" t="s">
        <v>8368</v>
      </c>
      <c r="I8078" s="127">
        <v>209.6</v>
      </c>
      <c r="J8078" s="128">
        <v>1048</v>
      </c>
    </row>
    <row r="8079" spans="1:10" hidden="1" x14ac:dyDescent="0.25">
      <c r="A8079" s="124" t="s">
        <v>10371</v>
      </c>
      <c r="B8079" s="124" t="s">
        <v>11736</v>
      </c>
      <c r="C8079" s="132"/>
      <c r="D8079" s="125">
        <f t="shared" si="126"/>
        <v>0</v>
      </c>
      <c r="E8079" s="124" t="s">
        <v>8367</v>
      </c>
      <c r="F8079" s="126">
        <v>1</v>
      </c>
      <c r="G8079" s="127">
        <v>528</v>
      </c>
      <c r="H8079" s="124" t="s">
        <v>8368</v>
      </c>
      <c r="I8079" s="127">
        <v>139.6</v>
      </c>
      <c r="J8079" s="127">
        <v>698</v>
      </c>
    </row>
    <row r="8080" spans="1:10" hidden="1" x14ac:dyDescent="0.25">
      <c r="A8080" s="124" t="s">
        <v>10372</v>
      </c>
      <c r="B8080" s="124" t="s">
        <v>11736</v>
      </c>
      <c r="C8080" s="132"/>
      <c r="D8080" s="125">
        <f t="shared" si="126"/>
        <v>0</v>
      </c>
      <c r="E8080" s="124" t="s">
        <v>8367</v>
      </c>
      <c r="F8080" s="126">
        <v>12</v>
      </c>
      <c r="G8080" s="127">
        <v>645.6</v>
      </c>
      <c r="H8080" s="124" t="s">
        <v>8368</v>
      </c>
      <c r="I8080" s="128">
        <v>5263.2</v>
      </c>
      <c r="J8080" s="128">
        <v>26316</v>
      </c>
    </row>
    <row r="8081" spans="1:10" hidden="1" x14ac:dyDescent="0.25">
      <c r="A8081" s="124" t="s">
        <v>10373</v>
      </c>
      <c r="B8081" s="124" t="s">
        <v>11736</v>
      </c>
      <c r="C8081" s="132"/>
      <c r="D8081" s="125">
        <f t="shared" si="126"/>
        <v>0</v>
      </c>
      <c r="E8081" s="124" t="s">
        <v>8367</v>
      </c>
      <c r="F8081" s="126">
        <v>2</v>
      </c>
      <c r="G8081" s="128">
        <v>1257.5999999999999</v>
      </c>
      <c r="H8081" s="124" t="s">
        <v>8368</v>
      </c>
      <c r="I8081" s="127">
        <v>138.19999999999999</v>
      </c>
      <c r="J8081" s="127">
        <v>691</v>
      </c>
    </row>
    <row r="8082" spans="1:10" hidden="1" x14ac:dyDescent="0.25">
      <c r="A8082" s="124" t="s">
        <v>10374</v>
      </c>
      <c r="B8082" s="124" t="s">
        <v>11736</v>
      </c>
      <c r="C8082" s="132"/>
      <c r="D8082" s="125">
        <f t="shared" si="126"/>
        <v>0</v>
      </c>
      <c r="E8082" s="124" t="s">
        <v>8451</v>
      </c>
      <c r="F8082" s="126">
        <v>2</v>
      </c>
      <c r="G8082" s="127">
        <v>837.6</v>
      </c>
      <c r="H8082" s="124" t="s">
        <v>8368</v>
      </c>
      <c r="I8082" s="127">
        <v>294.2</v>
      </c>
      <c r="J8082" s="128">
        <v>1471</v>
      </c>
    </row>
    <row r="8083" spans="1:10" hidden="1" x14ac:dyDescent="0.25">
      <c r="A8083" s="124" t="s">
        <v>10375</v>
      </c>
      <c r="B8083" s="124" t="s">
        <v>11736</v>
      </c>
      <c r="C8083" s="132"/>
      <c r="D8083" s="125">
        <f t="shared" ref="D8083:D8095" si="127">COUNTIF(A3681:A8082,A8083)</f>
        <v>0</v>
      </c>
      <c r="E8083" s="124" t="s">
        <v>8367</v>
      </c>
      <c r="F8083" s="126">
        <v>1</v>
      </c>
      <c r="G8083" s="128">
        <v>31579.200000000001</v>
      </c>
      <c r="H8083" s="124" t="s">
        <v>8368</v>
      </c>
      <c r="I8083" s="127">
        <v>926.6</v>
      </c>
      <c r="J8083" s="128">
        <v>4633</v>
      </c>
    </row>
    <row r="8084" spans="1:10" hidden="1" x14ac:dyDescent="0.25">
      <c r="A8084" s="124" t="s">
        <v>10376</v>
      </c>
      <c r="B8084" s="124" t="s">
        <v>11736</v>
      </c>
      <c r="C8084" s="132"/>
      <c r="D8084" s="125">
        <f t="shared" si="127"/>
        <v>0</v>
      </c>
      <c r="E8084" s="124" t="s">
        <v>8367</v>
      </c>
      <c r="F8084" s="126">
        <v>1</v>
      </c>
      <c r="G8084" s="127">
        <v>829.2</v>
      </c>
      <c r="H8084" s="124" t="s">
        <v>8368</v>
      </c>
      <c r="I8084" s="127">
        <v>256.39999999999998</v>
      </c>
      <c r="J8084" s="128">
        <v>1282</v>
      </c>
    </row>
    <row r="8085" spans="1:10" hidden="1" x14ac:dyDescent="0.25">
      <c r="A8085" s="124" t="s">
        <v>284</v>
      </c>
      <c r="B8085" s="124" t="s">
        <v>11736</v>
      </c>
      <c r="C8085" s="132"/>
      <c r="D8085" s="125">
        <f t="shared" si="127"/>
        <v>0</v>
      </c>
      <c r="E8085" s="124" t="s">
        <v>8367</v>
      </c>
      <c r="F8085" s="126">
        <v>5</v>
      </c>
      <c r="G8085" s="128">
        <v>1765.2</v>
      </c>
      <c r="H8085" s="124" t="s">
        <v>8368</v>
      </c>
      <c r="I8085" s="128">
        <v>12000</v>
      </c>
      <c r="J8085" s="128">
        <v>60000</v>
      </c>
    </row>
    <row r="8086" spans="1:10" hidden="1" x14ac:dyDescent="0.25">
      <c r="A8086" s="124" t="s">
        <v>10377</v>
      </c>
      <c r="B8086" s="124" t="s">
        <v>11736</v>
      </c>
      <c r="C8086" s="132"/>
      <c r="D8086" s="125">
        <f t="shared" si="127"/>
        <v>0</v>
      </c>
      <c r="E8086" s="124" t="s">
        <v>8367</v>
      </c>
      <c r="F8086" s="126">
        <v>2</v>
      </c>
      <c r="G8086" s="128">
        <v>5559.6</v>
      </c>
      <c r="H8086" s="124" t="s">
        <v>8368</v>
      </c>
      <c r="I8086" s="128">
        <v>36000</v>
      </c>
      <c r="J8086" s="128">
        <v>180000</v>
      </c>
    </row>
    <row r="8087" spans="1:10" hidden="1" x14ac:dyDescent="0.25">
      <c r="A8087" s="124" t="s">
        <v>10378</v>
      </c>
      <c r="B8087" s="124" t="s">
        <v>11736</v>
      </c>
      <c r="C8087" s="132"/>
      <c r="D8087" s="125">
        <f t="shared" si="127"/>
        <v>0</v>
      </c>
      <c r="E8087" s="124" t="s">
        <v>8367</v>
      </c>
      <c r="F8087" s="126">
        <v>2</v>
      </c>
      <c r="G8087" s="128">
        <v>1538.4</v>
      </c>
      <c r="H8087" s="124" t="s">
        <v>8368</v>
      </c>
      <c r="I8087" s="128">
        <v>14500</v>
      </c>
      <c r="J8087" s="128">
        <v>72500</v>
      </c>
    </row>
    <row r="8088" spans="1:10" hidden="1" x14ac:dyDescent="0.25">
      <c r="A8088" s="124" t="s">
        <v>10379</v>
      </c>
      <c r="B8088" s="124" t="s">
        <v>11736</v>
      </c>
      <c r="C8088" s="132"/>
      <c r="D8088" s="125">
        <f t="shared" si="127"/>
        <v>0</v>
      </c>
      <c r="E8088" s="124" t="s">
        <v>8451</v>
      </c>
      <c r="F8088" s="126">
        <v>60</v>
      </c>
      <c r="G8088" s="128">
        <v>72000</v>
      </c>
      <c r="H8088" s="124" t="s">
        <v>8368</v>
      </c>
      <c r="I8088" s="128">
        <v>14850</v>
      </c>
      <c r="J8088" s="128">
        <v>74250</v>
      </c>
    </row>
    <row r="8089" spans="1:10" hidden="1" x14ac:dyDescent="0.25">
      <c r="A8089" s="124" t="s">
        <v>10380</v>
      </c>
      <c r="B8089" s="124" t="s">
        <v>11736</v>
      </c>
      <c r="C8089" s="132"/>
      <c r="D8089" s="125">
        <f t="shared" si="127"/>
        <v>0</v>
      </c>
      <c r="E8089" s="124" t="s">
        <v>8367</v>
      </c>
      <c r="F8089" s="126">
        <v>3</v>
      </c>
      <c r="G8089" s="128">
        <v>216000</v>
      </c>
      <c r="H8089" s="124" t="s">
        <v>8368</v>
      </c>
      <c r="I8089" s="128">
        <v>16100</v>
      </c>
      <c r="J8089" s="128">
        <v>80500</v>
      </c>
    </row>
    <row r="8090" spans="1:10" hidden="1" x14ac:dyDescent="0.25">
      <c r="A8090" s="124" t="s">
        <v>10381</v>
      </c>
      <c r="B8090" s="124" t="s">
        <v>11736</v>
      </c>
      <c r="C8090" s="132"/>
      <c r="D8090" s="125">
        <f t="shared" si="127"/>
        <v>0</v>
      </c>
      <c r="E8090" s="124" t="s">
        <v>8367</v>
      </c>
      <c r="F8090" s="126">
        <v>6</v>
      </c>
      <c r="G8090" s="128">
        <v>87000</v>
      </c>
      <c r="H8090" s="124" t="s">
        <v>8368</v>
      </c>
      <c r="I8090" s="127">
        <v>983.4</v>
      </c>
      <c r="J8090" s="128">
        <v>4917</v>
      </c>
    </row>
    <row r="8091" spans="1:10" hidden="1" x14ac:dyDescent="0.25">
      <c r="A8091" s="124" t="s">
        <v>10382</v>
      </c>
      <c r="B8091" s="124" t="s">
        <v>11736</v>
      </c>
      <c r="C8091" s="132"/>
      <c r="D8091" s="125">
        <f t="shared" si="127"/>
        <v>0</v>
      </c>
      <c r="E8091" s="124" t="s">
        <v>8367</v>
      </c>
      <c r="F8091" s="126">
        <v>6</v>
      </c>
      <c r="G8091" s="128">
        <v>89100</v>
      </c>
      <c r="H8091" s="124" t="s">
        <v>8368</v>
      </c>
      <c r="I8091" s="128">
        <v>16200</v>
      </c>
      <c r="J8091" s="128">
        <v>81000</v>
      </c>
    </row>
    <row r="8092" spans="1:10" hidden="1" x14ac:dyDescent="0.25">
      <c r="A8092" s="124" t="s">
        <v>10383</v>
      </c>
      <c r="B8092" s="124" t="s">
        <v>11736</v>
      </c>
      <c r="C8092" s="132"/>
      <c r="D8092" s="125">
        <f t="shared" si="127"/>
        <v>0</v>
      </c>
      <c r="E8092" s="124" t="s">
        <v>8367</v>
      </c>
      <c r="F8092" s="126">
        <v>6</v>
      </c>
      <c r="G8092" s="128">
        <v>96600</v>
      </c>
      <c r="H8092" s="124" t="s">
        <v>8368</v>
      </c>
      <c r="I8092" s="128">
        <v>40659.629999999997</v>
      </c>
      <c r="J8092" s="128">
        <v>203298.13</v>
      </c>
    </row>
    <row r="8093" spans="1:10" hidden="1" x14ac:dyDescent="0.25">
      <c r="A8093" s="124" t="s">
        <v>10384</v>
      </c>
      <c r="B8093" s="124" t="s">
        <v>11736</v>
      </c>
      <c r="C8093" s="132"/>
      <c r="D8093" s="125">
        <f t="shared" si="127"/>
        <v>0</v>
      </c>
      <c r="E8093" s="124" t="s">
        <v>8367</v>
      </c>
      <c r="F8093" s="126">
        <v>2</v>
      </c>
      <c r="G8093" s="128">
        <v>5900.4</v>
      </c>
      <c r="H8093" s="124" t="s">
        <v>8368</v>
      </c>
      <c r="I8093" s="128">
        <v>19670</v>
      </c>
      <c r="J8093" s="128">
        <v>98350</v>
      </c>
    </row>
    <row r="8094" spans="1:10" hidden="1" x14ac:dyDescent="0.25">
      <c r="A8094" s="124" t="s">
        <v>10385</v>
      </c>
      <c r="B8094" s="124" t="s">
        <v>11736</v>
      </c>
      <c r="C8094" s="132"/>
      <c r="D8094" s="125">
        <f t="shared" si="127"/>
        <v>0</v>
      </c>
      <c r="E8094" s="124" t="s">
        <v>8367</v>
      </c>
      <c r="F8094" s="126">
        <v>6</v>
      </c>
      <c r="G8094" s="128">
        <v>97200</v>
      </c>
      <c r="H8094" s="124" t="s">
        <v>8368</v>
      </c>
      <c r="I8094" s="127">
        <v>611.4</v>
      </c>
      <c r="J8094" s="128">
        <v>3057</v>
      </c>
    </row>
    <row r="8095" spans="1:10" hidden="1" x14ac:dyDescent="0.25">
      <c r="A8095" s="124" t="s">
        <v>10386</v>
      </c>
      <c r="B8095" s="124" t="s">
        <v>11736</v>
      </c>
      <c r="C8095" s="132"/>
      <c r="D8095" s="125">
        <f t="shared" si="127"/>
        <v>0</v>
      </c>
      <c r="E8095" s="124" t="s">
        <v>8367</v>
      </c>
      <c r="F8095" s="126">
        <v>128</v>
      </c>
      <c r="G8095" s="128">
        <v>243957.76000000001</v>
      </c>
      <c r="H8095" s="124" t="s">
        <v>8368</v>
      </c>
      <c r="I8095" s="128">
        <v>2075</v>
      </c>
      <c r="J8095" s="128">
        <v>10375</v>
      </c>
    </row>
    <row r="8096" spans="1:10" hidden="1" x14ac:dyDescent="0.25">
      <c r="A8096" s="124" t="s">
        <v>2548</v>
      </c>
      <c r="B8096" s="124" t="s">
        <v>11736</v>
      </c>
      <c r="C8096" s="132"/>
      <c r="D8096" s="125">
        <f>COUNTIF(A3696:A8095,A8096)</f>
        <v>0</v>
      </c>
      <c r="E8096" s="124" t="s">
        <v>8367</v>
      </c>
      <c r="F8096" s="129">
        <v>28100</v>
      </c>
      <c r="G8096" s="128">
        <v>118020</v>
      </c>
      <c r="H8096" s="124" t="s">
        <v>8368</v>
      </c>
      <c r="I8096" s="128">
        <v>1368.4</v>
      </c>
      <c r="J8096" s="128">
        <v>6841.98</v>
      </c>
    </row>
    <row r="8097" spans="1:10" hidden="1" x14ac:dyDescent="0.25">
      <c r="A8097" s="124" t="s">
        <v>10388</v>
      </c>
      <c r="B8097" s="124" t="s">
        <v>11736</v>
      </c>
      <c r="C8097" s="132"/>
      <c r="D8097" s="125">
        <f>COUNTIF(A3698:A8096,A8097)</f>
        <v>0</v>
      </c>
      <c r="E8097" s="124" t="s">
        <v>8367</v>
      </c>
      <c r="F8097" s="126">
        <v>28</v>
      </c>
      <c r="G8097" s="128">
        <v>3668.4</v>
      </c>
      <c r="H8097" s="124" t="s">
        <v>8368</v>
      </c>
      <c r="I8097" s="127">
        <v>869</v>
      </c>
      <c r="J8097" s="128">
        <v>4345</v>
      </c>
    </row>
    <row r="8098" spans="1:10" hidden="1" x14ac:dyDescent="0.25">
      <c r="A8098" s="124" t="s">
        <v>740</v>
      </c>
      <c r="B8098" s="124" t="s">
        <v>11736</v>
      </c>
      <c r="C8098" s="132"/>
      <c r="D8098" s="125">
        <f>COUNTIF(A3699:A8097,A8098)</f>
        <v>0</v>
      </c>
      <c r="E8098" s="124" t="s">
        <v>8367</v>
      </c>
      <c r="F8098" s="126">
        <v>150</v>
      </c>
      <c r="G8098" s="128">
        <v>12450</v>
      </c>
      <c r="H8098" s="124" t="s">
        <v>8368</v>
      </c>
      <c r="I8098" s="127">
        <v>846.86</v>
      </c>
      <c r="J8098" s="128">
        <v>4234.28</v>
      </c>
    </row>
    <row r="8099" spans="1:10" hidden="1" x14ac:dyDescent="0.25">
      <c r="A8099" s="124" t="s">
        <v>4371</v>
      </c>
      <c r="B8099" s="124" t="s">
        <v>11736</v>
      </c>
      <c r="C8099" s="132"/>
      <c r="D8099" s="125">
        <f>COUNTIF(A3700:A8098,A8099)</f>
        <v>0</v>
      </c>
      <c r="E8099" s="124" t="s">
        <v>8367</v>
      </c>
      <c r="F8099" s="126">
        <v>59</v>
      </c>
      <c r="G8099" s="128">
        <v>8210.3799999999992</v>
      </c>
      <c r="H8099" s="124" t="s">
        <v>8368</v>
      </c>
      <c r="I8099" s="127">
        <v>136.6</v>
      </c>
      <c r="J8099" s="127">
        <v>683</v>
      </c>
    </row>
    <row r="8100" spans="1:10" hidden="1" x14ac:dyDescent="0.25">
      <c r="A8100" s="124" t="s">
        <v>10389</v>
      </c>
      <c r="B8100" s="124" t="s">
        <v>11736</v>
      </c>
      <c r="C8100" s="132"/>
      <c r="D8100" s="125">
        <f t="shared" ref="D8100:D8106" si="128">COUNTIF(A3703:A8099,A8100)</f>
        <v>0</v>
      </c>
      <c r="E8100" s="124" t="s">
        <v>8367</v>
      </c>
      <c r="F8100" s="126">
        <v>3</v>
      </c>
      <c r="G8100" s="128">
        <v>5214</v>
      </c>
      <c r="H8100" s="124" t="s">
        <v>8368</v>
      </c>
      <c r="I8100" s="127">
        <v>22.6</v>
      </c>
      <c r="J8100" s="127">
        <v>113</v>
      </c>
    </row>
    <row r="8101" spans="1:10" hidden="1" x14ac:dyDescent="0.25">
      <c r="A8101" s="124" t="s">
        <v>10390</v>
      </c>
      <c r="B8101" s="124" t="s">
        <v>11736</v>
      </c>
      <c r="C8101" s="132"/>
      <c r="D8101" s="125">
        <f t="shared" si="128"/>
        <v>0</v>
      </c>
      <c r="E8101" s="124" t="s">
        <v>8367</v>
      </c>
      <c r="F8101" s="126">
        <v>1</v>
      </c>
      <c r="G8101" s="128">
        <v>5081.1400000000003</v>
      </c>
      <c r="H8101" s="124" t="s">
        <v>8368</v>
      </c>
      <c r="I8101" s="127">
        <v>309.2</v>
      </c>
      <c r="J8101" s="128">
        <v>1546</v>
      </c>
    </row>
    <row r="8102" spans="1:10" hidden="1" x14ac:dyDescent="0.25">
      <c r="A8102" s="124" t="s">
        <v>10391</v>
      </c>
      <c r="B8102" s="124" t="s">
        <v>11736</v>
      </c>
      <c r="C8102" s="132"/>
      <c r="D8102" s="125">
        <f t="shared" si="128"/>
        <v>0</v>
      </c>
      <c r="E8102" s="124" t="s">
        <v>8367</v>
      </c>
      <c r="F8102" s="126">
        <v>20</v>
      </c>
      <c r="G8102" s="127">
        <v>819.6</v>
      </c>
      <c r="H8102" s="124" t="s">
        <v>8368</v>
      </c>
      <c r="I8102" s="127">
        <v>569.6</v>
      </c>
      <c r="J8102" s="128">
        <v>2848</v>
      </c>
    </row>
    <row r="8103" spans="1:10" hidden="1" x14ac:dyDescent="0.25">
      <c r="A8103" s="124" t="s">
        <v>10392</v>
      </c>
      <c r="B8103" s="124" t="s">
        <v>11736</v>
      </c>
      <c r="C8103" s="132"/>
      <c r="D8103" s="125">
        <f t="shared" si="128"/>
        <v>0</v>
      </c>
      <c r="E8103" s="124" t="s">
        <v>8367</v>
      </c>
      <c r="F8103" s="126">
        <v>2</v>
      </c>
      <c r="G8103" s="127">
        <v>135.6</v>
      </c>
      <c r="H8103" s="124" t="s">
        <v>8368</v>
      </c>
      <c r="I8103" s="128">
        <v>2236.5</v>
      </c>
      <c r="J8103" s="128">
        <v>11182.5</v>
      </c>
    </row>
    <row r="8104" spans="1:10" hidden="1" x14ac:dyDescent="0.25">
      <c r="A8104" s="124" t="s">
        <v>10393</v>
      </c>
      <c r="B8104" s="124" t="s">
        <v>11736</v>
      </c>
      <c r="C8104" s="132"/>
      <c r="D8104" s="125">
        <f t="shared" si="128"/>
        <v>0</v>
      </c>
      <c r="E8104" s="124" t="s">
        <v>8367</v>
      </c>
      <c r="F8104" s="126">
        <v>5</v>
      </c>
      <c r="G8104" s="128">
        <v>1855.2</v>
      </c>
      <c r="H8104" s="124" t="s">
        <v>8368</v>
      </c>
      <c r="I8104" s="127">
        <v>295</v>
      </c>
      <c r="J8104" s="128">
        <v>1475</v>
      </c>
    </row>
    <row r="8105" spans="1:10" hidden="1" x14ac:dyDescent="0.25">
      <c r="A8105" s="124" t="s">
        <v>10394</v>
      </c>
      <c r="B8105" s="124" t="s">
        <v>11736</v>
      </c>
      <c r="C8105" s="132"/>
      <c r="D8105" s="125">
        <f t="shared" si="128"/>
        <v>0</v>
      </c>
      <c r="E8105" s="124" t="s">
        <v>8367</v>
      </c>
      <c r="F8105" s="126">
        <v>2</v>
      </c>
      <c r="G8105" s="128">
        <v>3417.6</v>
      </c>
      <c r="H8105" s="124" t="s">
        <v>8368</v>
      </c>
      <c r="I8105" s="127">
        <v>46</v>
      </c>
      <c r="J8105" s="127">
        <v>230</v>
      </c>
    </row>
    <row r="8106" spans="1:10" hidden="1" x14ac:dyDescent="0.25">
      <c r="A8106" s="124" t="s">
        <v>4183</v>
      </c>
      <c r="B8106" s="124" t="s">
        <v>11736</v>
      </c>
      <c r="C8106" s="132"/>
      <c r="D8106" s="125">
        <f t="shared" si="128"/>
        <v>0</v>
      </c>
      <c r="E8106" s="124" t="s">
        <v>8367</v>
      </c>
      <c r="F8106" s="126">
        <v>12</v>
      </c>
      <c r="G8106" s="128">
        <v>13419</v>
      </c>
      <c r="H8106" s="124" t="s">
        <v>8368</v>
      </c>
      <c r="I8106" s="127">
        <v>43.6</v>
      </c>
      <c r="J8106" s="127">
        <v>218</v>
      </c>
    </row>
    <row r="8107" spans="1:10" hidden="1" x14ac:dyDescent="0.25">
      <c r="A8107" s="124" t="s">
        <v>1023</v>
      </c>
      <c r="B8107" s="124" t="s">
        <v>11736</v>
      </c>
      <c r="C8107" s="132"/>
      <c r="D8107" s="125">
        <f t="shared" ref="D8107:D8121" si="129">COUNTIF(A3711:A8106,A8107)</f>
        <v>0</v>
      </c>
      <c r="E8107" s="124" t="s">
        <v>8367</v>
      </c>
      <c r="F8107" s="126">
        <v>2</v>
      </c>
      <c r="G8107" s="128">
        <v>1770</v>
      </c>
      <c r="H8107" s="124" t="s">
        <v>8368</v>
      </c>
      <c r="I8107" s="127">
        <v>87</v>
      </c>
      <c r="J8107" s="127">
        <v>435</v>
      </c>
    </row>
    <row r="8108" spans="1:10" hidden="1" x14ac:dyDescent="0.25">
      <c r="A8108" s="124" t="s">
        <v>10395</v>
      </c>
      <c r="B8108" s="124" t="s">
        <v>11736</v>
      </c>
      <c r="C8108" s="132"/>
      <c r="D8108" s="125">
        <f t="shared" si="129"/>
        <v>0</v>
      </c>
      <c r="E8108" s="124" t="s">
        <v>8367</v>
      </c>
      <c r="F8108" s="126">
        <v>1</v>
      </c>
      <c r="G8108" s="127">
        <v>276</v>
      </c>
      <c r="H8108" s="124" t="s">
        <v>8368</v>
      </c>
      <c r="I8108" s="127">
        <v>60.8</v>
      </c>
      <c r="J8108" s="127">
        <v>304</v>
      </c>
    </row>
    <row r="8109" spans="1:10" hidden="1" x14ac:dyDescent="0.25">
      <c r="A8109" s="124" t="s">
        <v>10396</v>
      </c>
      <c r="B8109" s="124" t="s">
        <v>11736</v>
      </c>
      <c r="C8109" s="132"/>
      <c r="D8109" s="125">
        <f t="shared" si="129"/>
        <v>0</v>
      </c>
      <c r="E8109" s="124" t="s">
        <v>8367</v>
      </c>
      <c r="F8109" s="126">
        <v>1</v>
      </c>
      <c r="G8109" s="127">
        <v>261.60000000000002</v>
      </c>
      <c r="H8109" s="124" t="s">
        <v>8368</v>
      </c>
      <c r="I8109" s="127">
        <v>246.6</v>
      </c>
      <c r="J8109" s="128">
        <v>1233</v>
      </c>
    </row>
    <row r="8110" spans="1:10" hidden="1" x14ac:dyDescent="0.25">
      <c r="A8110" s="124" t="s">
        <v>10397</v>
      </c>
      <c r="B8110" s="124" t="s">
        <v>11736</v>
      </c>
      <c r="C8110" s="132"/>
      <c r="D8110" s="125">
        <f t="shared" si="129"/>
        <v>0</v>
      </c>
      <c r="E8110" s="124" t="s">
        <v>8367</v>
      </c>
      <c r="F8110" s="126">
        <v>1</v>
      </c>
      <c r="G8110" s="127">
        <v>522</v>
      </c>
      <c r="H8110" s="124" t="s">
        <v>8368</v>
      </c>
      <c r="I8110" s="127">
        <v>92.4</v>
      </c>
      <c r="J8110" s="127">
        <v>462</v>
      </c>
    </row>
    <row r="8111" spans="1:10" hidden="1" x14ac:dyDescent="0.25">
      <c r="A8111" s="124" t="s">
        <v>10398</v>
      </c>
      <c r="B8111" s="124" t="s">
        <v>11736</v>
      </c>
      <c r="C8111" s="132"/>
      <c r="D8111" s="125">
        <f t="shared" si="129"/>
        <v>0</v>
      </c>
      <c r="E8111" s="124" t="s">
        <v>8367</v>
      </c>
      <c r="F8111" s="126">
        <v>1</v>
      </c>
      <c r="G8111" s="127">
        <v>364.8</v>
      </c>
      <c r="H8111" s="124" t="s">
        <v>8368</v>
      </c>
      <c r="I8111" s="127">
        <v>21.8</v>
      </c>
      <c r="J8111" s="127">
        <v>109</v>
      </c>
    </row>
    <row r="8112" spans="1:10" hidden="1" x14ac:dyDescent="0.25">
      <c r="A8112" s="124" t="s">
        <v>10399</v>
      </c>
      <c r="B8112" s="124" t="s">
        <v>11736</v>
      </c>
      <c r="C8112" s="132"/>
      <c r="D8112" s="125">
        <f t="shared" si="129"/>
        <v>0</v>
      </c>
      <c r="E8112" s="124" t="s">
        <v>8367</v>
      </c>
      <c r="F8112" s="126">
        <v>3</v>
      </c>
      <c r="G8112" s="128">
        <v>1479.6</v>
      </c>
      <c r="H8112" s="124" t="s">
        <v>8368</v>
      </c>
      <c r="I8112" s="127">
        <v>24.8</v>
      </c>
      <c r="J8112" s="127">
        <v>124</v>
      </c>
    </row>
    <row r="8113" spans="1:10" hidden="1" x14ac:dyDescent="0.25">
      <c r="A8113" s="124" t="s">
        <v>10400</v>
      </c>
      <c r="B8113" s="124" t="s">
        <v>11736</v>
      </c>
      <c r="C8113" s="132"/>
      <c r="D8113" s="125">
        <f t="shared" si="129"/>
        <v>0</v>
      </c>
      <c r="E8113" s="124" t="s">
        <v>8367</v>
      </c>
      <c r="F8113" s="126">
        <v>2</v>
      </c>
      <c r="G8113" s="127">
        <v>554.4</v>
      </c>
      <c r="H8113" s="124" t="s">
        <v>8368</v>
      </c>
      <c r="I8113" s="128">
        <v>1727</v>
      </c>
      <c r="J8113" s="128">
        <v>8635</v>
      </c>
    </row>
    <row r="8114" spans="1:10" hidden="1" x14ac:dyDescent="0.25">
      <c r="A8114" s="124" t="s">
        <v>10401</v>
      </c>
      <c r="B8114" s="124" t="s">
        <v>11736</v>
      </c>
      <c r="C8114" s="132"/>
      <c r="D8114" s="125">
        <f t="shared" si="129"/>
        <v>0</v>
      </c>
      <c r="E8114" s="124" t="s">
        <v>8451</v>
      </c>
      <c r="F8114" s="126">
        <v>1</v>
      </c>
      <c r="G8114" s="127">
        <v>130.80000000000001</v>
      </c>
      <c r="H8114" s="124" t="s">
        <v>8368</v>
      </c>
      <c r="I8114" s="127">
        <v>281.60000000000002</v>
      </c>
      <c r="J8114" s="128">
        <v>1408</v>
      </c>
    </row>
    <row r="8115" spans="1:10" hidden="1" x14ac:dyDescent="0.25">
      <c r="A8115" s="124" t="s">
        <v>10402</v>
      </c>
      <c r="B8115" s="124" t="s">
        <v>11736</v>
      </c>
      <c r="C8115" s="132"/>
      <c r="D8115" s="125">
        <f t="shared" si="129"/>
        <v>0</v>
      </c>
      <c r="E8115" s="124" t="s">
        <v>8367</v>
      </c>
      <c r="F8115" s="126">
        <v>1</v>
      </c>
      <c r="G8115" s="127">
        <v>148.80000000000001</v>
      </c>
      <c r="H8115" s="124" t="s">
        <v>8368</v>
      </c>
      <c r="I8115" s="127">
        <v>50.8</v>
      </c>
      <c r="J8115" s="127">
        <v>254</v>
      </c>
    </row>
    <row r="8116" spans="1:10" hidden="1" x14ac:dyDescent="0.25">
      <c r="A8116" s="124" t="s">
        <v>10403</v>
      </c>
      <c r="B8116" s="124" t="s">
        <v>11736</v>
      </c>
      <c r="C8116" s="132"/>
      <c r="D8116" s="125">
        <f t="shared" si="129"/>
        <v>0</v>
      </c>
      <c r="E8116" s="124" t="s">
        <v>8367</v>
      </c>
      <c r="F8116" s="126">
        <v>2</v>
      </c>
      <c r="G8116" s="128">
        <v>10362</v>
      </c>
      <c r="H8116" s="124" t="s">
        <v>8368</v>
      </c>
      <c r="I8116" s="127">
        <v>56.4</v>
      </c>
      <c r="J8116" s="127">
        <v>282</v>
      </c>
    </row>
    <row r="8117" spans="1:10" hidden="1" x14ac:dyDescent="0.25">
      <c r="A8117" s="124" t="s">
        <v>10404</v>
      </c>
      <c r="B8117" s="124" t="s">
        <v>11736</v>
      </c>
      <c r="C8117" s="132"/>
      <c r="D8117" s="125">
        <f t="shared" si="129"/>
        <v>0</v>
      </c>
      <c r="E8117" s="124" t="s">
        <v>8367</v>
      </c>
      <c r="F8117" s="126">
        <v>5</v>
      </c>
      <c r="G8117" s="128">
        <v>1689.6</v>
      </c>
      <c r="H8117" s="124" t="s">
        <v>8368</v>
      </c>
      <c r="I8117" s="127">
        <v>50.8</v>
      </c>
      <c r="J8117" s="127">
        <v>254</v>
      </c>
    </row>
    <row r="8118" spans="1:10" hidden="1" x14ac:dyDescent="0.25">
      <c r="A8118" s="124" t="s">
        <v>10405</v>
      </c>
      <c r="B8118" s="124" t="s">
        <v>11736</v>
      </c>
      <c r="C8118" s="132"/>
      <c r="D8118" s="125">
        <f t="shared" si="129"/>
        <v>0</v>
      </c>
      <c r="E8118" s="124" t="s">
        <v>8367</v>
      </c>
      <c r="F8118" s="126">
        <v>1</v>
      </c>
      <c r="G8118" s="127">
        <v>304.8</v>
      </c>
      <c r="H8118" s="124" t="s">
        <v>8368</v>
      </c>
      <c r="I8118" s="127">
        <v>42</v>
      </c>
      <c r="J8118" s="127">
        <v>210</v>
      </c>
    </row>
    <row r="8119" spans="1:10" hidden="1" x14ac:dyDescent="0.25">
      <c r="A8119" s="124" t="s">
        <v>10406</v>
      </c>
      <c r="B8119" s="124" t="s">
        <v>11736</v>
      </c>
      <c r="C8119" s="132"/>
      <c r="D8119" s="125">
        <f t="shared" si="129"/>
        <v>0</v>
      </c>
      <c r="E8119" s="124" t="s">
        <v>8367</v>
      </c>
      <c r="F8119" s="126">
        <v>1</v>
      </c>
      <c r="G8119" s="127">
        <v>338.4</v>
      </c>
      <c r="H8119" s="124" t="s">
        <v>8368</v>
      </c>
      <c r="I8119" s="128">
        <v>1550</v>
      </c>
      <c r="J8119" s="128">
        <v>7750</v>
      </c>
    </row>
    <row r="8120" spans="1:10" hidden="1" x14ac:dyDescent="0.25">
      <c r="A8120" s="124" t="s">
        <v>763</v>
      </c>
      <c r="B8120" s="124" t="s">
        <v>11736</v>
      </c>
      <c r="C8120" s="132"/>
      <c r="D8120" s="125">
        <f t="shared" si="129"/>
        <v>0</v>
      </c>
      <c r="E8120" s="124" t="s">
        <v>8367</v>
      </c>
      <c r="F8120" s="126">
        <v>1</v>
      </c>
      <c r="G8120" s="127">
        <v>304.8</v>
      </c>
      <c r="H8120" s="124" t="s">
        <v>8368</v>
      </c>
      <c r="I8120" s="128">
        <v>1440</v>
      </c>
      <c r="J8120" s="128">
        <v>7200</v>
      </c>
    </row>
    <row r="8121" spans="1:10" hidden="1" x14ac:dyDescent="0.25">
      <c r="A8121" s="124" t="s">
        <v>10407</v>
      </c>
      <c r="B8121" s="124" t="s">
        <v>11736</v>
      </c>
      <c r="C8121" s="132"/>
      <c r="D8121" s="125">
        <f t="shared" si="129"/>
        <v>0</v>
      </c>
      <c r="E8121" s="124" t="s">
        <v>8367</v>
      </c>
      <c r="F8121" s="126">
        <v>1</v>
      </c>
      <c r="G8121" s="127">
        <v>252</v>
      </c>
      <c r="H8121" s="124" t="s">
        <v>8368</v>
      </c>
      <c r="I8121" s="127">
        <v>210</v>
      </c>
      <c r="J8121" s="128">
        <v>1050</v>
      </c>
    </row>
    <row r="8122" spans="1:10" hidden="1" x14ac:dyDescent="0.25">
      <c r="A8122" s="124" t="s">
        <v>10408</v>
      </c>
      <c r="B8122" s="124" t="s">
        <v>11736</v>
      </c>
      <c r="C8122" s="132"/>
      <c r="D8122" s="125">
        <f>COUNTIF(A3728:A8121,A8122)</f>
        <v>0</v>
      </c>
      <c r="E8122" s="124" t="s">
        <v>1</v>
      </c>
      <c r="F8122" s="126">
        <v>10</v>
      </c>
      <c r="G8122" s="128">
        <v>9300</v>
      </c>
      <c r="H8122" s="124" t="s">
        <v>8368</v>
      </c>
      <c r="I8122" s="128">
        <v>28663.200000000001</v>
      </c>
      <c r="J8122" s="128">
        <v>143316</v>
      </c>
    </row>
    <row r="8123" spans="1:10" hidden="1" x14ac:dyDescent="0.25">
      <c r="A8123" s="124" t="s">
        <v>10409</v>
      </c>
      <c r="B8123" s="124" t="s">
        <v>11736</v>
      </c>
      <c r="C8123" s="132"/>
      <c r="D8123" s="125">
        <f>COUNTIF(A3729:A8122,A8123)</f>
        <v>0</v>
      </c>
      <c r="E8123" s="124" t="s">
        <v>1</v>
      </c>
      <c r="F8123" s="126">
        <v>10</v>
      </c>
      <c r="G8123" s="128">
        <v>8640</v>
      </c>
      <c r="H8123" s="124" t="s">
        <v>8368</v>
      </c>
      <c r="I8123" s="127">
        <v>352.35</v>
      </c>
      <c r="J8123" s="128">
        <v>1761.75</v>
      </c>
    </row>
    <row r="8124" spans="1:10" hidden="1" x14ac:dyDescent="0.25">
      <c r="A8124" s="124" t="s">
        <v>10410</v>
      </c>
      <c r="B8124" s="124" t="s">
        <v>11736</v>
      </c>
      <c r="C8124" s="132"/>
      <c r="D8124" s="125">
        <f>COUNTIF(A3730:A8123,A8124)</f>
        <v>0</v>
      </c>
      <c r="E8124" s="124" t="s">
        <v>1</v>
      </c>
      <c r="F8124" s="126">
        <v>1</v>
      </c>
      <c r="G8124" s="128">
        <v>1260</v>
      </c>
      <c r="H8124" s="124" t="s">
        <v>8368</v>
      </c>
      <c r="I8124" s="128">
        <v>2810.2</v>
      </c>
      <c r="J8124" s="128">
        <v>14051</v>
      </c>
    </row>
    <row r="8125" spans="1:10" hidden="1" x14ac:dyDescent="0.25">
      <c r="A8125" s="124" t="s">
        <v>10411</v>
      </c>
      <c r="B8125" s="124" t="s">
        <v>11736</v>
      </c>
      <c r="C8125" s="132"/>
      <c r="D8125" s="125">
        <f t="shared" ref="D8125:D8151" si="130">COUNTIF(A3732:A8124,A8125)</f>
        <v>0</v>
      </c>
      <c r="E8125" s="124" t="s">
        <v>8367</v>
      </c>
      <c r="F8125" s="126">
        <v>14</v>
      </c>
      <c r="G8125" s="128">
        <v>171979.2</v>
      </c>
      <c r="H8125" s="124" t="s">
        <v>8368</v>
      </c>
      <c r="I8125" s="128">
        <v>20866.669999999998</v>
      </c>
      <c r="J8125" s="128">
        <v>104333.33</v>
      </c>
    </row>
    <row r="8126" spans="1:10" hidden="1" x14ac:dyDescent="0.25">
      <c r="A8126" s="124" t="s">
        <v>10412</v>
      </c>
      <c r="B8126" s="124" t="s">
        <v>11736</v>
      </c>
      <c r="C8126" s="132"/>
      <c r="D8126" s="125">
        <f t="shared" si="130"/>
        <v>0</v>
      </c>
      <c r="E8126" s="124" t="s">
        <v>8367</v>
      </c>
      <c r="F8126" s="126">
        <v>2</v>
      </c>
      <c r="G8126" s="128">
        <v>2114.1</v>
      </c>
      <c r="H8126" s="124" t="s">
        <v>8368</v>
      </c>
      <c r="I8126" s="128">
        <v>1070.5999999999999</v>
      </c>
      <c r="J8126" s="128">
        <v>5353</v>
      </c>
    </row>
    <row r="8127" spans="1:10" hidden="1" x14ac:dyDescent="0.25">
      <c r="A8127" s="124" t="s">
        <v>10413</v>
      </c>
      <c r="B8127" s="124" t="s">
        <v>11736</v>
      </c>
      <c r="C8127" s="132"/>
      <c r="D8127" s="125">
        <f t="shared" si="130"/>
        <v>0</v>
      </c>
      <c r="E8127" s="124" t="s">
        <v>8367</v>
      </c>
      <c r="F8127" s="126">
        <v>4</v>
      </c>
      <c r="G8127" s="128">
        <v>16861.2</v>
      </c>
      <c r="H8127" s="124" t="s">
        <v>8368</v>
      </c>
      <c r="I8127" s="127">
        <v>30</v>
      </c>
      <c r="J8127" s="127">
        <v>150</v>
      </c>
    </row>
    <row r="8128" spans="1:10" hidden="1" x14ac:dyDescent="0.25">
      <c r="A8128" s="124" t="s">
        <v>10414</v>
      </c>
      <c r="B8128" s="124" t="s">
        <v>11736</v>
      </c>
      <c r="C8128" s="132"/>
      <c r="D8128" s="125">
        <f t="shared" si="130"/>
        <v>0</v>
      </c>
      <c r="E8128" s="124" t="s">
        <v>8367</v>
      </c>
      <c r="F8128" s="126">
        <v>1</v>
      </c>
      <c r="G8128" s="128">
        <v>125200</v>
      </c>
      <c r="H8128" s="124" t="s">
        <v>8368</v>
      </c>
      <c r="I8128" s="127">
        <v>20</v>
      </c>
      <c r="J8128" s="127">
        <v>100</v>
      </c>
    </row>
    <row r="8129" spans="1:10" hidden="1" x14ac:dyDescent="0.25">
      <c r="A8129" s="124" t="s">
        <v>10415</v>
      </c>
      <c r="B8129" s="124" t="s">
        <v>11736</v>
      </c>
      <c r="C8129" s="132"/>
      <c r="D8129" s="125">
        <f t="shared" si="130"/>
        <v>0</v>
      </c>
      <c r="E8129" s="124" t="s">
        <v>8367</v>
      </c>
      <c r="F8129" s="126">
        <v>5</v>
      </c>
      <c r="G8129" s="128">
        <v>6423.6</v>
      </c>
      <c r="H8129" s="124" t="s">
        <v>8368</v>
      </c>
      <c r="I8129" s="127">
        <v>14.5</v>
      </c>
      <c r="J8129" s="127">
        <v>72.5</v>
      </c>
    </row>
    <row r="8130" spans="1:10" hidden="1" x14ac:dyDescent="0.25">
      <c r="A8130" s="124" t="s">
        <v>10416</v>
      </c>
      <c r="B8130" s="124" t="s">
        <v>11736</v>
      </c>
      <c r="C8130" s="132"/>
      <c r="D8130" s="125">
        <f t="shared" si="130"/>
        <v>0</v>
      </c>
      <c r="E8130" s="124" t="s">
        <v>8367</v>
      </c>
      <c r="F8130" s="126">
        <v>20</v>
      </c>
      <c r="G8130" s="127">
        <v>180</v>
      </c>
      <c r="H8130" s="124" t="s">
        <v>8368</v>
      </c>
      <c r="I8130" s="127">
        <v>1.33</v>
      </c>
      <c r="J8130" s="127">
        <v>6.67</v>
      </c>
    </row>
    <row r="8131" spans="1:10" hidden="1" x14ac:dyDescent="0.25">
      <c r="A8131" s="124" t="s">
        <v>10417</v>
      </c>
      <c r="B8131" s="124" t="s">
        <v>11736</v>
      </c>
      <c r="C8131" s="132"/>
      <c r="D8131" s="125">
        <f t="shared" si="130"/>
        <v>0</v>
      </c>
      <c r="E8131" s="124" t="s">
        <v>8367</v>
      </c>
      <c r="F8131" s="126">
        <v>20</v>
      </c>
      <c r="G8131" s="127">
        <v>120</v>
      </c>
      <c r="H8131" s="124" t="s">
        <v>8368</v>
      </c>
      <c r="I8131" s="127">
        <v>15.83</v>
      </c>
      <c r="J8131" s="127">
        <v>79.17</v>
      </c>
    </row>
    <row r="8132" spans="1:10" hidden="1" x14ac:dyDescent="0.25">
      <c r="A8132" s="124" t="s">
        <v>10418</v>
      </c>
      <c r="B8132" s="124" t="s">
        <v>11736</v>
      </c>
      <c r="C8132" s="132"/>
      <c r="D8132" s="125">
        <f t="shared" si="130"/>
        <v>0</v>
      </c>
      <c r="E8132" s="124" t="s">
        <v>8367</v>
      </c>
      <c r="F8132" s="126">
        <v>5</v>
      </c>
      <c r="G8132" s="127">
        <v>87</v>
      </c>
      <c r="H8132" s="124" t="s">
        <v>8368</v>
      </c>
      <c r="I8132" s="127">
        <v>4.33</v>
      </c>
      <c r="J8132" s="127">
        <v>21.67</v>
      </c>
    </row>
    <row r="8133" spans="1:10" hidden="1" x14ac:dyDescent="0.25">
      <c r="A8133" s="124" t="s">
        <v>10419</v>
      </c>
      <c r="B8133" s="124" t="s">
        <v>11736</v>
      </c>
      <c r="C8133" s="132"/>
      <c r="D8133" s="125">
        <f t="shared" si="130"/>
        <v>0</v>
      </c>
      <c r="E8133" s="124" t="s">
        <v>8367</v>
      </c>
      <c r="F8133" s="126">
        <v>10</v>
      </c>
      <c r="G8133" s="127">
        <v>8</v>
      </c>
      <c r="H8133" s="124" t="s">
        <v>8368</v>
      </c>
      <c r="I8133" s="127">
        <v>55</v>
      </c>
      <c r="J8133" s="127">
        <v>275</v>
      </c>
    </row>
    <row r="8134" spans="1:10" hidden="1" x14ac:dyDescent="0.25">
      <c r="A8134" s="124" t="s">
        <v>10420</v>
      </c>
      <c r="B8134" s="124" t="s">
        <v>11736</v>
      </c>
      <c r="C8134" s="132"/>
      <c r="D8134" s="125">
        <f t="shared" si="130"/>
        <v>0</v>
      </c>
      <c r="E8134" s="124" t="s">
        <v>8367</v>
      </c>
      <c r="F8134" s="126">
        <v>8</v>
      </c>
      <c r="G8134" s="127">
        <v>95</v>
      </c>
      <c r="H8134" s="124" t="s">
        <v>8368</v>
      </c>
      <c r="I8134" s="127">
        <v>1.5</v>
      </c>
      <c r="J8134" s="127">
        <v>7.5</v>
      </c>
    </row>
    <row r="8135" spans="1:10" hidden="1" x14ac:dyDescent="0.25">
      <c r="A8135" s="124" t="s">
        <v>10421</v>
      </c>
      <c r="B8135" s="124" t="s">
        <v>11736</v>
      </c>
      <c r="C8135" s="132"/>
      <c r="D8135" s="125">
        <f t="shared" si="130"/>
        <v>0</v>
      </c>
      <c r="E8135" s="124" t="s">
        <v>8367</v>
      </c>
      <c r="F8135" s="126">
        <v>8</v>
      </c>
      <c r="G8135" s="127">
        <v>26</v>
      </c>
      <c r="H8135" s="124" t="s">
        <v>8368</v>
      </c>
      <c r="I8135" s="127">
        <v>31.67</v>
      </c>
      <c r="J8135" s="127">
        <v>158.33000000000001</v>
      </c>
    </row>
    <row r="8136" spans="1:10" hidden="1" x14ac:dyDescent="0.25">
      <c r="A8136" s="124" t="s">
        <v>10422</v>
      </c>
      <c r="B8136" s="124" t="s">
        <v>11736</v>
      </c>
      <c r="C8136" s="132"/>
      <c r="D8136" s="125">
        <f t="shared" si="130"/>
        <v>0</v>
      </c>
      <c r="E8136" s="124" t="s">
        <v>8367</v>
      </c>
      <c r="F8136" s="126">
        <v>5</v>
      </c>
      <c r="G8136" s="127">
        <v>330</v>
      </c>
      <c r="H8136" s="124" t="s">
        <v>8368</v>
      </c>
      <c r="I8136" s="127">
        <v>40</v>
      </c>
      <c r="J8136" s="127">
        <v>200</v>
      </c>
    </row>
    <row r="8137" spans="1:10" hidden="1" x14ac:dyDescent="0.25">
      <c r="A8137" s="124" t="s">
        <v>10423</v>
      </c>
      <c r="B8137" s="124" t="s">
        <v>11736</v>
      </c>
      <c r="C8137" s="132"/>
      <c r="D8137" s="125">
        <f t="shared" si="130"/>
        <v>0</v>
      </c>
      <c r="E8137" s="124" t="s">
        <v>8367</v>
      </c>
      <c r="F8137" s="126">
        <v>8</v>
      </c>
      <c r="G8137" s="127">
        <v>9</v>
      </c>
      <c r="H8137" s="124" t="s">
        <v>8368</v>
      </c>
      <c r="I8137" s="127">
        <v>40</v>
      </c>
      <c r="J8137" s="127">
        <v>200</v>
      </c>
    </row>
    <row r="8138" spans="1:10" hidden="1" x14ac:dyDescent="0.25">
      <c r="A8138" s="124" t="s">
        <v>10424</v>
      </c>
      <c r="B8138" s="124" t="s">
        <v>11736</v>
      </c>
      <c r="C8138" s="132"/>
      <c r="D8138" s="125">
        <f t="shared" si="130"/>
        <v>0</v>
      </c>
      <c r="E8138" s="124" t="s">
        <v>8367</v>
      </c>
      <c r="F8138" s="126">
        <v>12</v>
      </c>
      <c r="G8138" s="127">
        <v>190</v>
      </c>
      <c r="H8138" s="124" t="s">
        <v>8368</v>
      </c>
      <c r="I8138" s="127">
        <v>9</v>
      </c>
      <c r="J8138" s="127">
        <v>45</v>
      </c>
    </row>
    <row r="8139" spans="1:10" hidden="1" x14ac:dyDescent="0.25">
      <c r="A8139" s="124" t="s">
        <v>10425</v>
      </c>
      <c r="B8139" s="124" t="s">
        <v>11736</v>
      </c>
      <c r="C8139" s="132"/>
      <c r="D8139" s="125">
        <f t="shared" si="130"/>
        <v>0</v>
      </c>
      <c r="E8139" s="124" t="s">
        <v>8367</v>
      </c>
      <c r="F8139" s="126">
        <v>5</v>
      </c>
      <c r="G8139" s="127">
        <v>240</v>
      </c>
      <c r="H8139" s="124" t="s">
        <v>8368</v>
      </c>
      <c r="I8139" s="127">
        <v>255.8</v>
      </c>
      <c r="J8139" s="128">
        <v>1279</v>
      </c>
    </row>
    <row r="8140" spans="1:10" hidden="1" x14ac:dyDescent="0.25">
      <c r="A8140" s="124" t="s">
        <v>10426</v>
      </c>
      <c r="B8140" s="124" t="s">
        <v>11736</v>
      </c>
      <c r="C8140" s="132"/>
      <c r="D8140" s="125">
        <f t="shared" si="130"/>
        <v>0</v>
      </c>
      <c r="E8140" s="124" t="s">
        <v>8367</v>
      </c>
      <c r="F8140" s="126">
        <v>5</v>
      </c>
      <c r="G8140" s="127">
        <v>240</v>
      </c>
      <c r="H8140" s="124" t="s">
        <v>8368</v>
      </c>
      <c r="I8140" s="127">
        <v>22</v>
      </c>
      <c r="J8140" s="127">
        <v>110</v>
      </c>
    </row>
    <row r="8141" spans="1:10" hidden="1" x14ac:dyDescent="0.25">
      <c r="A8141" s="124" t="s">
        <v>10427</v>
      </c>
      <c r="B8141" s="124" t="s">
        <v>11736</v>
      </c>
      <c r="C8141" s="132"/>
      <c r="D8141" s="125">
        <f t="shared" si="130"/>
        <v>0</v>
      </c>
      <c r="E8141" s="124" t="s">
        <v>8367</v>
      </c>
      <c r="F8141" s="126">
        <v>8</v>
      </c>
      <c r="G8141" s="127">
        <v>54</v>
      </c>
      <c r="H8141" s="124" t="s">
        <v>8368</v>
      </c>
      <c r="I8141" s="127">
        <v>214.2</v>
      </c>
      <c r="J8141" s="128">
        <v>1071</v>
      </c>
    </row>
    <row r="8142" spans="1:10" hidden="1" x14ac:dyDescent="0.25">
      <c r="A8142" s="124" t="s">
        <v>10428</v>
      </c>
      <c r="B8142" s="124" t="s">
        <v>11736</v>
      </c>
      <c r="C8142" s="132"/>
      <c r="D8142" s="125">
        <f t="shared" si="130"/>
        <v>0</v>
      </c>
      <c r="E8142" s="124" t="s">
        <v>8367</v>
      </c>
      <c r="F8142" s="126">
        <v>5</v>
      </c>
      <c r="G8142" s="128">
        <v>1534.8</v>
      </c>
      <c r="H8142" s="124" t="s">
        <v>8368</v>
      </c>
      <c r="I8142" s="127">
        <v>378.4</v>
      </c>
      <c r="J8142" s="128">
        <v>1892</v>
      </c>
    </row>
    <row r="8143" spans="1:10" hidden="1" x14ac:dyDescent="0.25">
      <c r="A8143" s="124" t="s">
        <v>10429</v>
      </c>
      <c r="B8143" s="124" t="s">
        <v>11736</v>
      </c>
      <c r="C8143" s="132"/>
      <c r="D8143" s="125">
        <f t="shared" si="130"/>
        <v>0</v>
      </c>
      <c r="E8143" s="124" t="s">
        <v>8367</v>
      </c>
      <c r="F8143" s="126">
        <v>1</v>
      </c>
      <c r="G8143" s="127">
        <v>132</v>
      </c>
      <c r="H8143" s="124" t="s">
        <v>8368</v>
      </c>
      <c r="I8143" s="127">
        <v>85</v>
      </c>
      <c r="J8143" s="127">
        <v>425</v>
      </c>
    </row>
    <row r="8144" spans="1:10" hidden="1" x14ac:dyDescent="0.25">
      <c r="A8144" s="124" t="s">
        <v>10430</v>
      </c>
      <c r="B8144" s="124" t="s">
        <v>11736</v>
      </c>
      <c r="C8144" s="132"/>
      <c r="D8144" s="125">
        <f t="shared" si="130"/>
        <v>0</v>
      </c>
      <c r="E8144" s="124" t="s">
        <v>8367</v>
      </c>
      <c r="F8144" s="126">
        <v>5</v>
      </c>
      <c r="G8144" s="128">
        <v>1285.2</v>
      </c>
      <c r="H8144" s="124" t="s">
        <v>8368</v>
      </c>
      <c r="I8144" s="128">
        <v>1022.6</v>
      </c>
      <c r="J8144" s="128">
        <v>5113</v>
      </c>
    </row>
    <row r="8145" spans="1:10" hidden="1" x14ac:dyDescent="0.25">
      <c r="A8145" s="124" t="s">
        <v>4496</v>
      </c>
      <c r="B8145" s="124" t="s">
        <v>11736</v>
      </c>
      <c r="C8145" s="132"/>
      <c r="D8145" s="125">
        <f t="shared" si="130"/>
        <v>0</v>
      </c>
      <c r="E8145" s="124" t="s">
        <v>8367</v>
      </c>
      <c r="F8145" s="126">
        <v>10</v>
      </c>
      <c r="G8145" s="128">
        <v>2270.4</v>
      </c>
      <c r="H8145" s="124" t="s">
        <v>8368</v>
      </c>
      <c r="I8145" s="127">
        <v>103.33</v>
      </c>
      <c r="J8145" s="127">
        <v>516.66999999999996</v>
      </c>
    </row>
    <row r="8146" spans="1:10" hidden="1" x14ac:dyDescent="0.25">
      <c r="A8146" s="124" t="s">
        <v>10431</v>
      </c>
      <c r="B8146" s="124" t="s">
        <v>11736</v>
      </c>
      <c r="C8146" s="132"/>
      <c r="D8146" s="125">
        <f t="shared" si="130"/>
        <v>0</v>
      </c>
      <c r="E8146" s="124" t="s">
        <v>8367</v>
      </c>
      <c r="F8146" s="126">
        <v>3</v>
      </c>
      <c r="G8146" s="127">
        <v>510</v>
      </c>
      <c r="H8146" s="124" t="s">
        <v>8368</v>
      </c>
      <c r="I8146" s="127">
        <v>249.8</v>
      </c>
      <c r="J8146" s="128">
        <v>1249</v>
      </c>
    </row>
    <row r="8147" spans="1:10" hidden="1" x14ac:dyDescent="0.25">
      <c r="A8147" s="124" t="s">
        <v>10432</v>
      </c>
      <c r="B8147" s="124" t="s">
        <v>11736</v>
      </c>
      <c r="C8147" s="132"/>
      <c r="D8147" s="125">
        <f t="shared" si="130"/>
        <v>0</v>
      </c>
      <c r="E8147" s="124" t="s">
        <v>8367</v>
      </c>
      <c r="F8147" s="126">
        <v>1</v>
      </c>
      <c r="G8147" s="128">
        <v>6135.6</v>
      </c>
      <c r="H8147" s="124" t="s">
        <v>8368</v>
      </c>
      <c r="I8147" s="127">
        <v>163.6</v>
      </c>
      <c r="J8147" s="127">
        <v>818</v>
      </c>
    </row>
    <row r="8148" spans="1:10" hidden="1" x14ac:dyDescent="0.25">
      <c r="A8148" s="124" t="s">
        <v>10433</v>
      </c>
      <c r="B8148" s="124" t="s">
        <v>11736</v>
      </c>
      <c r="C8148" s="132"/>
      <c r="D8148" s="125">
        <f t="shared" si="130"/>
        <v>0</v>
      </c>
      <c r="E8148" s="124" t="s">
        <v>8367</v>
      </c>
      <c r="F8148" s="126">
        <v>1</v>
      </c>
      <c r="G8148" s="127">
        <v>620</v>
      </c>
      <c r="H8148" s="124" t="s">
        <v>8368</v>
      </c>
      <c r="I8148" s="127">
        <v>27.83</v>
      </c>
      <c r="J8148" s="127">
        <v>139.16999999999999</v>
      </c>
    </row>
    <row r="8149" spans="1:10" hidden="1" x14ac:dyDescent="0.25">
      <c r="A8149" s="124" t="s">
        <v>10434</v>
      </c>
      <c r="B8149" s="124" t="s">
        <v>11736</v>
      </c>
      <c r="C8149" s="132"/>
      <c r="D8149" s="125">
        <f t="shared" si="130"/>
        <v>0</v>
      </c>
      <c r="E8149" s="124" t="s">
        <v>8367</v>
      </c>
      <c r="F8149" s="126">
        <v>1</v>
      </c>
      <c r="G8149" s="128">
        <v>1498.8</v>
      </c>
      <c r="H8149" s="124" t="s">
        <v>8368</v>
      </c>
      <c r="I8149" s="127">
        <v>633.92999999999995</v>
      </c>
      <c r="J8149" s="128">
        <v>3169.67</v>
      </c>
    </row>
    <row r="8150" spans="1:10" hidden="1" x14ac:dyDescent="0.25">
      <c r="A8150" s="124" t="s">
        <v>371</v>
      </c>
      <c r="B8150" s="124" t="s">
        <v>11736</v>
      </c>
      <c r="C8150" s="132"/>
      <c r="D8150" s="125">
        <f t="shared" si="130"/>
        <v>0</v>
      </c>
      <c r="E8150" s="124" t="s">
        <v>8367</v>
      </c>
      <c r="F8150" s="126">
        <v>3</v>
      </c>
      <c r="G8150" s="127">
        <v>981.6</v>
      </c>
      <c r="H8150" s="124" t="s">
        <v>8368</v>
      </c>
      <c r="I8150" s="127">
        <v>339</v>
      </c>
      <c r="J8150" s="128">
        <v>1695</v>
      </c>
    </row>
    <row r="8151" spans="1:10" hidden="1" x14ac:dyDescent="0.25">
      <c r="A8151" s="124" t="s">
        <v>10435</v>
      </c>
      <c r="B8151" s="124" t="s">
        <v>11736</v>
      </c>
      <c r="C8151" s="132"/>
      <c r="D8151" s="125">
        <f t="shared" si="130"/>
        <v>0</v>
      </c>
      <c r="E8151" s="124" t="s">
        <v>8367</v>
      </c>
      <c r="F8151" s="126">
        <v>1</v>
      </c>
      <c r="G8151" s="127">
        <v>167</v>
      </c>
      <c r="H8151" s="124" t="s">
        <v>8368</v>
      </c>
      <c r="I8151" s="127">
        <v>230</v>
      </c>
      <c r="J8151" s="128">
        <v>1150</v>
      </c>
    </row>
    <row r="8152" spans="1:10" hidden="1" x14ac:dyDescent="0.25">
      <c r="A8152" s="124" t="s">
        <v>10436</v>
      </c>
      <c r="B8152" s="124" t="s">
        <v>11736</v>
      </c>
      <c r="C8152" s="132"/>
      <c r="D8152" s="125">
        <f>COUNTIF(A3760:A8151,A8152)</f>
        <v>0</v>
      </c>
      <c r="E8152" s="124" t="s">
        <v>8367</v>
      </c>
      <c r="F8152" s="126">
        <v>5</v>
      </c>
      <c r="G8152" s="128">
        <v>3803.6</v>
      </c>
      <c r="H8152" s="124" t="s">
        <v>8368</v>
      </c>
      <c r="I8152" s="127">
        <v>115</v>
      </c>
      <c r="J8152" s="127">
        <v>575</v>
      </c>
    </row>
    <row r="8153" spans="1:10" hidden="1" x14ac:dyDescent="0.25">
      <c r="A8153" s="124" t="s">
        <v>1268</v>
      </c>
      <c r="B8153" s="124" t="s">
        <v>11736</v>
      </c>
      <c r="C8153" s="132"/>
      <c r="D8153" s="125">
        <f t="shared" ref="D8153:D8164" si="131">COUNTIF(A3762:A8152,A8153)</f>
        <v>0</v>
      </c>
      <c r="E8153" s="124" t="s">
        <v>8367</v>
      </c>
      <c r="F8153" s="126">
        <v>2</v>
      </c>
      <c r="G8153" s="128">
        <v>2034</v>
      </c>
      <c r="H8153" s="124" t="s">
        <v>8368</v>
      </c>
      <c r="I8153" s="128">
        <v>1768</v>
      </c>
      <c r="J8153" s="128">
        <v>8840</v>
      </c>
    </row>
    <row r="8154" spans="1:10" hidden="1" x14ac:dyDescent="0.25">
      <c r="A8154" s="124" t="s">
        <v>10437</v>
      </c>
      <c r="B8154" s="124" t="s">
        <v>11736</v>
      </c>
      <c r="C8154" s="132"/>
      <c r="D8154" s="125">
        <f t="shared" si="131"/>
        <v>0</v>
      </c>
      <c r="E8154" s="124" t="s">
        <v>8367</v>
      </c>
      <c r="F8154" s="126">
        <v>1</v>
      </c>
      <c r="G8154" s="128">
        <v>1380</v>
      </c>
      <c r="H8154" s="124" t="s">
        <v>8368</v>
      </c>
      <c r="I8154" s="127">
        <v>458</v>
      </c>
      <c r="J8154" s="128">
        <v>2290</v>
      </c>
    </row>
    <row r="8155" spans="1:10" hidden="1" x14ac:dyDescent="0.25">
      <c r="A8155" s="124" t="s">
        <v>10438</v>
      </c>
      <c r="B8155" s="124" t="s">
        <v>11736</v>
      </c>
      <c r="C8155" s="132"/>
      <c r="D8155" s="125">
        <f t="shared" si="131"/>
        <v>0</v>
      </c>
      <c r="E8155" s="124" t="s">
        <v>8367</v>
      </c>
      <c r="F8155" s="126">
        <v>1</v>
      </c>
      <c r="G8155" s="127">
        <v>690</v>
      </c>
      <c r="H8155" s="124" t="s">
        <v>8368</v>
      </c>
      <c r="I8155" s="127">
        <v>840</v>
      </c>
      <c r="J8155" s="128">
        <v>4200</v>
      </c>
    </row>
    <row r="8156" spans="1:10" hidden="1" x14ac:dyDescent="0.25">
      <c r="A8156" s="124" t="s">
        <v>10439</v>
      </c>
      <c r="B8156" s="124" t="s">
        <v>11736</v>
      </c>
      <c r="C8156" s="132"/>
      <c r="D8156" s="125">
        <f t="shared" si="131"/>
        <v>0</v>
      </c>
      <c r="E8156" s="124" t="s">
        <v>8367</v>
      </c>
      <c r="F8156" s="126">
        <v>12</v>
      </c>
      <c r="G8156" s="128">
        <v>10608</v>
      </c>
      <c r="H8156" s="124" t="s">
        <v>8368</v>
      </c>
      <c r="I8156" s="127">
        <v>900</v>
      </c>
      <c r="J8156" s="128">
        <v>4500</v>
      </c>
    </row>
    <row r="8157" spans="1:10" hidden="1" x14ac:dyDescent="0.25">
      <c r="A8157" s="124" t="s">
        <v>10440</v>
      </c>
      <c r="B8157" s="124" t="s">
        <v>11736</v>
      </c>
      <c r="C8157" s="132"/>
      <c r="D8157" s="125">
        <f t="shared" si="131"/>
        <v>0</v>
      </c>
      <c r="E8157" s="124" t="s">
        <v>8367</v>
      </c>
      <c r="F8157" s="126">
        <v>1</v>
      </c>
      <c r="G8157" s="128">
        <v>2748</v>
      </c>
      <c r="H8157" s="124" t="s">
        <v>8368</v>
      </c>
      <c r="I8157" s="128">
        <v>1440</v>
      </c>
      <c r="J8157" s="128">
        <v>7200</v>
      </c>
    </row>
    <row r="8158" spans="1:10" hidden="1" x14ac:dyDescent="0.25">
      <c r="A8158" s="124" t="s">
        <v>10441</v>
      </c>
      <c r="B8158" s="124" t="s">
        <v>11736</v>
      </c>
      <c r="C8158" s="132"/>
      <c r="D8158" s="125">
        <f t="shared" si="131"/>
        <v>0</v>
      </c>
      <c r="E8158" s="124" t="s">
        <v>8367</v>
      </c>
      <c r="F8158" s="126">
        <v>1</v>
      </c>
      <c r="G8158" s="128">
        <v>5040</v>
      </c>
      <c r="H8158" s="124" t="s">
        <v>8368</v>
      </c>
      <c r="I8158" s="128">
        <v>1328.17</v>
      </c>
      <c r="J8158" s="128">
        <v>6640.83</v>
      </c>
    </row>
    <row r="8159" spans="1:10" hidden="1" x14ac:dyDescent="0.25">
      <c r="A8159" s="124" t="s">
        <v>10442</v>
      </c>
      <c r="B8159" s="124" t="s">
        <v>11736</v>
      </c>
      <c r="C8159" s="132"/>
      <c r="D8159" s="125">
        <f t="shared" si="131"/>
        <v>0</v>
      </c>
      <c r="E8159" s="124" t="s">
        <v>8367</v>
      </c>
      <c r="F8159" s="126">
        <v>1</v>
      </c>
      <c r="G8159" s="128">
        <v>5400</v>
      </c>
      <c r="H8159" s="124" t="s">
        <v>8368</v>
      </c>
      <c r="I8159" s="128">
        <v>1328.17</v>
      </c>
      <c r="J8159" s="128">
        <v>6640.83</v>
      </c>
    </row>
    <row r="8160" spans="1:10" hidden="1" x14ac:dyDescent="0.25">
      <c r="A8160" s="124" t="s">
        <v>10443</v>
      </c>
      <c r="B8160" s="124" t="s">
        <v>11736</v>
      </c>
      <c r="C8160" s="132"/>
      <c r="D8160" s="125">
        <f t="shared" si="131"/>
        <v>0</v>
      </c>
      <c r="E8160" s="124" t="s">
        <v>8367</v>
      </c>
      <c r="F8160" s="126">
        <v>2</v>
      </c>
      <c r="G8160" s="128">
        <v>8640</v>
      </c>
      <c r="H8160" s="124" t="s">
        <v>8368</v>
      </c>
      <c r="I8160" s="128">
        <v>1328.17</v>
      </c>
      <c r="J8160" s="128">
        <v>6640.83</v>
      </c>
    </row>
    <row r="8161" spans="1:10" hidden="1" x14ac:dyDescent="0.25">
      <c r="A8161" s="124" t="s">
        <v>10444</v>
      </c>
      <c r="B8161" s="124" t="s">
        <v>11736</v>
      </c>
      <c r="C8161" s="132"/>
      <c r="D8161" s="125">
        <f t="shared" si="131"/>
        <v>0</v>
      </c>
      <c r="E8161" s="124" t="s">
        <v>8367</v>
      </c>
      <c r="F8161" s="126">
        <v>1</v>
      </c>
      <c r="G8161" s="128">
        <v>7969</v>
      </c>
      <c r="H8161" s="124" t="s">
        <v>8368</v>
      </c>
      <c r="I8161" s="128">
        <v>2101.33</v>
      </c>
      <c r="J8161" s="128">
        <v>10506.67</v>
      </c>
    </row>
    <row r="8162" spans="1:10" hidden="1" x14ac:dyDescent="0.25">
      <c r="A8162" s="124" t="s">
        <v>10445</v>
      </c>
      <c r="B8162" s="124" t="s">
        <v>11736</v>
      </c>
      <c r="C8162" s="132"/>
      <c r="D8162" s="125">
        <f t="shared" si="131"/>
        <v>0</v>
      </c>
      <c r="E8162" s="124" t="s">
        <v>8367</v>
      </c>
      <c r="F8162" s="126">
        <v>1</v>
      </c>
      <c r="G8162" s="128">
        <v>7969</v>
      </c>
      <c r="H8162" s="124" t="s">
        <v>8368</v>
      </c>
      <c r="I8162" s="128">
        <v>2324.6</v>
      </c>
      <c r="J8162" s="128">
        <v>11623</v>
      </c>
    </row>
    <row r="8163" spans="1:10" hidden="1" x14ac:dyDescent="0.25">
      <c r="A8163" s="124" t="s">
        <v>10446</v>
      </c>
      <c r="B8163" s="124" t="s">
        <v>11736</v>
      </c>
      <c r="C8163" s="132"/>
      <c r="D8163" s="125">
        <f t="shared" si="131"/>
        <v>0</v>
      </c>
      <c r="E8163" s="124" t="s">
        <v>8367</v>
      </c>
      <c r="F8163" s="126">
        <v>1</v>
      </c>
      <c r="G8163" s="128">
        <v>7969</v>
      </c>
      <c r="H8163" s="124" t="s">
        <v>8368</v>
      </c>
      <c r="I8163" s="127">
        <v>572</v>
      </c>
      <c r="J8163" s="128">
        <v>2860</v>
      </c>
    </row>
    <row r="8164" spans="1:10" hidden="1" x14ac:dyDescent="0.25">
      <c r="A8164" s="124" t="s">
        <v>10447</v>
      </c>
      <c r="B8164" s="124" t="s">
        <v>11736</v>
      </c>
      <c r="C8164" s="132"/>
      <c r="D8164" s="125">
        <f t="shared" si="131"/>
        <v>0</v>
      </c>
      <c r="E8164" s="124" t="s">
        <v>8367</v>
      </c>
      <c r="F8164" s="126">
        <v>8</v>
      </c>
      <c r="G8164" s="128">
        <v>12608</v>
      </c>
      <c r="H8164" s="124" t="s">
        <v>8368</v>
      </c>
      <c r="I8164" s="127">
        <v>133</v>
      </c>
      <c r="J8164" s="127">
        <v>665</v>
      </c>
    </row>
    <row r="8165" spans="1:10" hidden="1" x14ac:dyDescent="0.25">
      <c r="A8165" s="124" t="s">
        <v>10448</v>
      </c>
      <c r="B8165" s="124" t="s">
        <v>11736</v>
      </c>
      <c r="C8165" s="132"/>
      <c r="D8165" s="125">
        <f t="shared" ref="D8165:D8176" si="132">COUNTIF(A3775:A8164,A8165)</f>
        <v>0</v>
      </c>
      <c r="E8165" s="124" t="s">
        <v>8367</v>
      </c>
      <c r="F8165" s="126">
        <v>3</v>
      </c>
      <c r="G8165" s="128">
        <v>13947.6</v>
      </c>
      <c r="H8165" s="124" t="s">
        <v>8368</v>
      </c>
      <c r="I8165" s="127">
        <v>366</v>
      </c>
      <c r="J8165" s="128">
        <v>1830</v>
      </c>
    </row>
    <row r="8166" spans="1:10" hidden="1" x14ac:dyDescent="0.25">
      <c r="A8166" s="124" t="s">
        <v>10449</v>
      </c>
      <c r="B8166" s="124" t="s">
        <v>11736</v>
      </c>
      <c r="C8166" s="132"/>
      <c r="D8166" s="125">
        <f t="shared" si="132"/>
        <v>0</v>
      </c>
      <c r="E8166" s="124" t="s">
        <v>8367</v>
      </c>
      <c r="F8166" s="126">
        <v>4</v>
      </c>
      <c r="G8166" s="128">
        <v>3432</v>
      </c>
      <c r="H8166" s="124" t="s">
        <v>8368</v>
      </c>
      <c r="I8166" s="128">
        <v>4569.3999999999996</v>
      </c>
      <c r="J8166" s="128">
        <v>22847</v>
      </c>
    </row>
    <row r="8167" spans="1:10" hidden="1" x14ac:dyDescent="0.25">
      <c r="A8167" s="124" t="s">
        <v>10450</v>
      </c>
      <c r="B8167" s="124" t="s">
        <v>11736</v>
      </c>
      <c r="C8167" s="132"/>
      <c r="D8167" s="125">
        <f t="shared" si="132"/>
        <v>0</v>
      </c>
      <c r="E8167" s="124" t="s">
        <v>8367</v>
      </c>
      <c r="F8167" s="126">
        <v>2</v>
      </c>
      <c r="G8167" s="127">
        <v>798</v>
      </c>
      <c r="H8167" s="124" t="s">
        <v>8368</v>
      </c>
      <c r="I8167" s="127">
        <v>487.6</v>
      </c>
      <c r="J8167" s="128">
        <v>2438</v>
      </c>
    </row>
    <row r="8168" spans="1:10" hidden="1" x14ac:dyDescent="0.25">
      <c r="A8168" s="124" t="s">
        <v>10451</v>
      </c>
      <c r="B8168" s="124" t="s">
        <v>11736</v>
      </c>
      <c r="C8168" s="132"/>
      <c r="D8168" s="125">
        <f t="shared" si="132"/>
        <v>0</v>
      </c>
      <c r="E8168" s="124" t="s">
        <v>8367</v>
      </c>
      <c r="F8168" s="126">
        <v>6</v>
      </c>
      <c r="G8168" s="128">
        <v>2196</v>
      </c>
      <c r="H8168" s="124" t="s">
        <v>8368</v>
      </c>
      <c r="I8168" s="127">
        <v>261.60000000000002</v>
      </c>
      <c r="J8168" s="128">
        <v>1308</v>
      </c>
    </row>
    <row r="8169" spans="1:10" hidden="1" x14ac:dyDescent="0.25">
      <c r="A8169" s="124" t="s">
        <v>10452</v>
      </c>
      <c r="B8169" s="124" t="s">
        <v>11736</v>
      </c>
      <c r="C8169" s="132"/>
      <c r="D8169" s="125">
        <f t="shared" si="132"/>
        <v>0</v>
      </c>
      <c r="E8169" s="124" t="s">
        <v>8367</v>
      </c>
      <c r="F8169" s="126">
        <v>4</v>
      </c>
      <c r="G8169" s="128">
        <v>27416.400000000001</v>
      </c>
      <c r="H8169" s="124" t="s">
        <v>8368</v>
      </c>
      <c r="I8169" s="128">
        <v>2001.6</v>
      </c>
      <c r="J8169" s="128">
        <v>10008</v>
      </c>
    </row>
    <row r="8170" spans="1:10" hidden="1" x14ac:dyDescent="0.25">
      <c r="A8170" s="124" t="s">
        <v>10453</v>
      </c>
      <c r="B8170" s="124" t="s">
        <v>11736</v>
      </c>
      <c r="C8170" s="132"/>
      <c r="D8170" s="125">
        <f t="shared" si="132"/>
        <v>0</v>
      </c>
      <c r="E8170" s="124" t="s">
        <v>8367</v>
      </c>
      <c r="F8170" s="126">
        <v>3</v>
      </c>
      <c r="G8170" s="128">
        <v>2925.6</v>
      </c>
      <c r="H8170" s="124" t="s">
        <v>8368</v>
      </c>
      <c r="I8170" s="128">
        <v>1966.6</v>
      </c>
      <c r="J8170" s="128">
        <v>9833</v>
      </c>
    </row>
    <row r="8171" spans="1:10" hidden="1" x14ac:dyDescent="0.25">
      <c r="A8171" s="124" t="s">
        <v>10454</v>
      </c>
      <c r="B8171" s="124" t="s">
        <v>11736</v>
      </c>
      <c r="C8171" s="132"/>
      <c r="D8171" s="125">
        <f t="shared" si="132"/>
        <v>0</v>
      </c>
      <c r="E8171" s="124" t="s">
        <v>8367</v>
      </c>
      <c r="F8171" s="126">
        <v>1</v>
      </c>
      <c r="G8171" s="128">
        <v>1569.6</v>
      </c>
      <c r="H8171" s="124" t="s">
        <v>8368</v>
      </c>
      <c r="I8171" s="128">
        <v>1950</v>
      </c>
      <c r="J8171" s="128">
        <v>9750</v>
      </c>
    </row>
    <row r="8172" spans="1:10" hidden="1" x14ac:dyDescent="0.25">
      <c r="A8172" s="124" t="s">
        <v>10455</v>
      </c>
      <c r="B8172" s="124" t="s">
        <v>11736</v>
      </c>
      <c r="C8172" s="132"/>
      <c r="D8172" s="125">
        <f t="shared" si="132"/>
        <v>0</v>
      </c>
      <c r="E8172" s="124" t="s">
        <v>8367</v>
      </c>
      <c r="F8172" s="126">
        <v>10</v>
      </c>
      <c r="G8172" s="128">
        <v>12009.6</v>
      </c>
      <c r="H8172" s="124" t="s">
        <v>8368</v>
      </c>
      <c r="I8172" s="128">
        <v>2235.4</v>
      </c>
      <c r="J8172" s="128">
        <v>11177</v>
      </c>
    </row>
    <row r="8173" spans="1:10" hidden="1" x14ac:dyDescent="0.25">
      <c r="A8173" s="124" t="s">
        <v>10456</v>
      </c>
      <c r="B8173" s="124" t="s">
        <v>11736</v>
      </c>
      <c r="C8173" s="132"/>
      <c r="D8173" s="125">
        <f t="shared" si="132"/>
        <v>0</v>
      </c>
      <c r="E8173" s="124" t="s">
        <v>8367</v>
      </c>
      <c r="F8173" s="126">
        <v>10</v>
      </c>
      <c r="G8173" s="128">
        <v>11799.6</v>
      </c>
      <c r="H8173" s="124" t="s">
        <v>8368</v>
      </c>
      <c r="I8173" s="127">
        <v>800</v>
      </c>
      <c r="J8173" s="128">
        <v>4000</v>
      </c>
    </row>
    <row r="8174" spans="1:10" hidden="1" x14ac:dyDescent="0.25">
      <c r="A8174" s="124" t="s">
        <v>10457</v>
      </c>
      <c r="B8174" s="124" t="s">
        <v>11736</v>
      </c>
      <c r="C8174" s="132"/>
      <c r="D8174" s="125">
        <f t="shared" si="132"/>
        <v>0</v>
      </c>
      <c r="E8174" s="124" t="s">
        <v>8367</v>
      </c>
      <c r="F8174" s="126">
        <v>10</v>
      </c>
      <c r="G8174" s="128">
        <v>11700</v>
      </c>
      <c r="H8174" s="124" t="s">
        <v>8368</v>
      </c>
      <c r="I8174" s="128">
        <v>1680</v>
      </c>
      <c r="J8174" s="128">
        <v>8400</v>
      </c>
    </row>
    <row r="8175" spans="1:10" hidden="1" x14ac:dyDescent="0.25">
      <c r="A8175" s="124" t="s">
        <v>10458</v>
      </c>
      <c r="B8175" s="124" t="s">
        <v>11736</v>
      </c>
      <c r="C8175" s="132"/>
      <c r="D8175" s="125">
        <f t="shared" si="132"/>
        <v>0</v>
      </c>
      <c r="E8175" s="124" t="s">
        <v>8367</v>
      </c>
      <c r="F8175" s="126">
        <v>7</v>
      </c>
      <c r="G8175" s="128">
        <v>13412.4</v>
      </c>
      <c r="H8175" s="124" t="s">
        <v>8368</v>
      </c>
      <c r="I8175" s="127">
        <v>925.6</v>
      </c>
      <c r="J8175" s="128">
        <v>4628</v>
      </c>
    </row>
    <row r="8176" spans="1:10" hidden="1" x14ac:dyDescent="0.25">
      <c r="A8176" s="124" t="s">
        <v>10459</v>
      </c>
      <c r="B8176" s="124" t="s">
        <v>11736</v>
      </c>
      <c r="C8176" s="132"/>
      <c r="D8176" s="125">
        <f t="shared" si="132"/>
        <v>0</v>
      </c>
      <c r="E8176" s="124" t="s">
        <v>8367</v>
      </c>
      <c r="F8176" s="126">
        <v>2</v>
      </c>
      <c r="G8176" s="128">
        <v>4800</v>
      </c>
      <c r="H8176" s="124" t="s">
        <v>8368</v>
      </c>
      <c r="I8176" s="128">
        <v>271150</v>
      </c>
      <c r="J8176" s="128">
        <v>1355750</v>
      </c>
    </row>
    <row r="8177" spans="1:10" hidden="1" x14ac:dyDescent="0.25">
      <c r="A8177" s="124" t="s">
        <v>5155</v>
      </c>
      <c r="B8177" s="124" t="s">
        <v>11736</v>
      </c>
      <c r="C8177" s="132"/>
      <c r="D8177" s="125">
        <f>COUNTIF(A3788:A8176,A8177)</f>
        <v>0</v>
      </c>
      <c r="E8177" s="124" t="s">
        <v>8367</v>
      </c>
      <c r="F8177" s="126">
        <v>4</v>
      </c>
      <c r="G8177" s="128">
        <v>10080</v>
      </c>
      <c r="H8177" s="124" t="s">
        <v>8368</v>
      </c>
      <c r="I8177" s="127">
        <v>925.6</v>
      </c>
      <c r="J8177" s="128">
        <v>4628</v>
      </c>
    </row>
    <row r="8178" spans="1:10" hidden="1" x14ac:dyDescent="0.25">
      <c r="A8178" s="124" t="s">
        <v>10460</v>
      </c>
      <c r="B8178" s="124" t="s">
        <v>11736</v>
      </c>
      <c r="C8178" s="132"/>
      <c r="D8178" s="125">
        <f t="shared" ref="D8178:D8185" si="133">COUNTIF(A3791:A8177,A8178)</f>
        <v>0</v>
      </c>
      <c r="E8178" s="124" t="s">
        <v>8367</v>
      </c>
      <c r="F8178" s="126">
        <v>1</v>
      </c>
      <c r="G8178" s="128">
        <v>5553.6</v>
      </c>
      <c r="H8178" s="124" t="s">
        <v>8368</v>
      </c>
      <c r="I8178" s="128">
        <v>2390</v>
      </c>
      <c r="J8178" s="128">
        <v>11950</v>
      </c>
    </row>
    <row r="8179" spans="1:10" hidden="1" x14ac:dyDescent="0.25">
      <c r="A8179" s="124" t="s">
        <v>10461</v>
      </c>
      <c r="B8179" s="124" t="s">
        <v>11736</v>
      </c>
      <c r="C8179" s="132"/>
      <c r="D8179" s="125">
        <f t="shared" si="133"/>
        <v>0</v>
      </c>
      <c r="E8179" s="124" t="s">
        <v>8367</v>
      </c>
      <c r="F8179" s="126">
        <v>319</v>
      </c>
      <c r="G8179" s="128">
        <v>1626900</v>
      </c>
      <c r="H8179" s="124" t="s">
        <v>8368</v>
      </c>
      <c r="I8179" s="128">
        <v>1700</v>
      </c>
      <c r="J8179" s="128">
        <v>8500</v>
      </c>
    </row>
    <row r="8180" spans="1:10" hidden="1" x14ac:dyDescent="0.25">
      <c r="A8180" s="124" t="s">
        <v>10462</v>
      </c>
      <c r="B8180" s="124" t="s">
        <v>11736</v>
      </c>
      <c r="C8180" s="132"/>
      <c r="D8180" s="125">
        <f t="shared" si="133"/>
        <v>0</v>
      </c>
      <c r="E8180" s="124" t="s">
        <v>8367</v>
      </c>
      <c r="F8180" s="126">
        <v>1</v>
      </c>
      <c r="G8180" s="128">
        <v>5553.6</v>
      </c>
      <c r="H8180" s="124" t="s">
        <v>8368</v>
      </c>
      <c r="I8180" s="127">
        <v>883.2</v>
      </c>
      <c r="J8180" s="128">
        <v>4416</v>
      </c>
    </row>
    <row r="8181" spans="1:10" hidden="1" x14ac:dyDescent="0.25">
      <c r="A8181" s="124" t="s">
        <v>10463</v>
      </c>
      <c r="B8181" s="124" t="s">
        <v>11736</v>
      </c>
      <c r="C8181" s="132"/>
      <c r="D8181" s="125">
        <f t="shared" si="133"/>
        <v>0</v>
      </c>
      <c r="E8181" s="124" t="s">
        <v>8367</v>
      </c>
      <c r="F8181" s="126">
        <v>4</v>
      </c>
      <c r="G8181" s="128">
        <v>14340</v>
      </c>
      <c r="H8181" s="124" t="s">
        <v>8368</v>
      </c>
      <c r="I8181" s="128">
        <v>17416.8</v>
      </c>
      <c r="J8181" s="128">
        <v>87084</v>
      </c>
    </row>
    <row r="8182" spans="1:10" hidden="1" x14ac:dyDescent="0.25">
      <c r="A8182" s="124" t="s">
        <v>10464</v>
      </c>
      <c r="B8182" s="124" t="s">
        <v>11736</v>
      </c>
      <c r="C8182" s="132"/>
      <c r="D8182" s="125">
        <f t="shared" si="133"/>
        <v>0</v>
      </c>
      <c r="E8182" s="124" t="s">
        <v>8367</v>
      </c>
      <c r="F8182" s="126">
        <v>60</v>
      </c>
      <c r="G8182" s="128">
        <v>10200</v>
      </c>
      <c r="H8182" s="124" t="s">
        <v>8368</v>
      </c>
      <c r="I8182" s="127">
        <v>392.49</v>
      </c>
      <c r="J8182" s="128">
        <v>1962.45</v>
      </c>
    </row>
    <row r="8183" spans="1:10" hidden="1" x14ac:dyDescent="0.25">
      <c r="A8183" s="124" t="s">
        <v>10465</v>
      </c>
      <c r="B8183" s="124" t="s">
        <v>11736</v>
      </c>
      <c r="C8183" s="132"/>
      <c r="D8183" s="125">
        <f t="shared" si="133"/>
        <v>0</v>
      </c>
      <c r="E8183" s="124" t="s">
        <v>8367</v>
      </c>
      <c r="F8183" s="126">
        <v>6</v>
      </c>
      <c r="G8183" s="128">
        <v>5299.2</v>
      </c>
      <c r="H8183" s="124" t="s">
        <v>8368</v>
      </c>
      <c r="I8183" s="127">
        <v>194.66</v>
      </c>
      <c r="J8183" s="127">
        <v>973.32</v>
      </c>
    </row>
    <row r="8184" spans="1:10" hidden="1" x14ac:dyDescent="0.25">
      <c r="A8184" s="124" t="s">
        <v>10466</v>
      </c>
      <c r="B8184" s="124" t="s">
        <v>11736</v>
      </c>
      <c r="C8184" s="132"/>
      <c r="D8184" s="125">
        <f t="shared" si="133"/>
        <v>0</v>
      </c>
      <c r="E8184" s="124" t="s">
        <v>8579</v>
      </c>
      <c r="F8184" s="126">
        <v>540</v>
      </c>
      <c r="G8184" s="128">
        <v>104500.8</v>
      </c>
      <c r="H8184" s="124" t="s">
        <v>8368</v>
      </c>
      <c r="I8184" s="128">
        <v>8411931.9800000004</v>
      </c>
      <c r="J8184" s="128">
        <v>42059659.880000003</v>
      </c>
    </row>
    <row r="8185" spans="1:10" hidden="1" x14ac:dyDescent="0.25">
      <c r="A8185" s="124" t="s">
        <v>10467</v>
      </c>
      <c r="B8185" s="124" t="s">
        <v>11736</v>
      </c>
      <c r="C8185" s="132"/>
      <c r="D8185" s="125">
        <f t="shared" si="133"/>
        <v>0</v>
      </c>
      <c r="E8185" s="124" t="s">
        <v>8367</v>
      </c>
      <c r="F8185" s="126">
        <v>15</v>
      </c>
      <c r="G8185" s="128">
        <v>2354.94</v>
      </c>
      <c r="H8185" s="124" t="s">
        <v>8368</v>
      </c>
      <c r="I8185" s="128">
        <v>7475</v>
      </c>
      <c r="J8185" s="128">
        <v>37375</v>
      </c>
    </row>
    <row r="8186" spans="1:10" hidden="1" x14ac:dyDescent="0.25">
      <c r="A8186" s="124" t="s">
        <v>10468</v>
      </c>
      <c r="B8186" s="124" t="s">
        <v>11736</v>
      </c>
      <c r="C8186" s="132"/>
      <c r="D8186" s="125">
        <f>COUNTIF(A3800:A8185,A8186)</f>
        <v>0</v>
      </c>
      <c r="E8186" s="124" t="s">
        <v>8367</v>
      </c>
      <c r="F8186" s="126">
        <v>4</v>
      </c>
      <c r="G8186" s="128">
        <v>1167.98</v>
      </c>
      <c r="H8186" s="124" t="s">
        <v>8368</v>
      </c>
      <c r="I8186" s="128">
        <v>1937.6</v>
      </c>
      <c r="J8186" s="128">
        <v>9688</v>
      </c>
    </row>
    <row r="8187" spans="1:10" hidden="1" x14ac:dyDescent="0.25">
      <c r="A8187" s="124" t="s">
        <v>10469</v>
      </c>
      <c r="B8187" s="124" t="s">
        <v>11736</v>
      </c>
      <c r="C8187" s="132"/>
      <c r="D8187" s="125">
        <f>COUNTIF(A3803:A8186,A8187)</f>
        <v>0</v>
      </c>
      <c r="E8187" s="124" t="s">
        <v>8367</v>
      </c>
      <c r="F8187" s="126">
        <v>274</v>
      </c>
      <c r="G8187" s="128">
        <v>50471591.859999999</v>
      </c>
      <c r="H8187" s="124" t="s">
        <v>8368</v>
      </c>
      <c r="I8187" s="128">
        <v>1348</v>
      </c>
      <c r="J8187" s="128">
        <v>6740</v>
      </c>
    </row>
    <row r="8188" spans="1:10" hidden="1" x14ac:dyDescent="0.25">
      <c r="A8188" s="124" t="s">
        <v>10470</v>
      </c>
      <c r="B8188" s="124" t="s">
        <v>11736</v>
      </c>
      <c r="C8188" s="132"/>
      <c r="D8188" s="125">
        <f>COUNTIF(A3807:A8187,A8188)</f>
        <v>0</v>
      </c>
      <c r="E8188" s="124" t="s">
        <v>8579</v>
      </c>
      <c r="F8188" s="126">
        <v>138</v>
      </c>
      <c r="G8188" s="128">
        <v>44850</v>
      </c>
      <c r="H8188" s="124" t="s">
        <v>8368</v>
      </c>
      <c r="I8188" s="128">
        <v>1107.2</v>
      </c>
      <c r="J8188" s="128">
        <v>5536</v>
      </c>
    </row>
    <row r="8189" spans="1:10" hidden="1" x14ac:dyDescent="0.25">
      <c r="A8189" s="124" t="s">
        <v>10471</v>
      </c>
      <c r="B8189" s="124" t="s">
        <v>11736</v>
      </c>
      <c r="C8189" s="132"/>
      <c r="D8189" s="125">
        <f t="shared" ref="D8189:D8203" si="134">COUNTIF(A3810:A8188,A8189)</f>
        <v>0</v>
      </c>
      <c r="E8189" s="124" t="s">
        <v>8367</v>
      </c>
      <c r="F8189" s="129">
        <v>4005</v>
      </c>
      <c r="G8189" s="128">
        <v>11625.6</v>
      </c>
      <c r="H8189" s="124" t="s">
        <v>8368</v>
      </c>
      <c r="I8189" s="127">
        <v>408.6</v>
      </c>
      <c r="J8189" s="128">
        <v>2043</v>
      </c>
    </row>
    <row r="8190" spans="1:10" hidden="1" x14ac:dyDescent="0.25">
      <c r="A8190" s="124" t="s">
        <v>10472</v>
      </c>
      <c r="B8190" s="124" t="s">
        <v>11736</v>
      </c>
      <c r="C8190" s="132"/>
      <c r="D8190" s="125">
        <f t="shared" si="134"/>
        <v>0</v>
      </c>
      <c r="E8190" s="124" t="s">
        <v>8367</v>
      </c>
      <c r="F8190" s="129">
        <v>20100</v>
      </c>
      <c r="G8190" s="128">
        <v>8088</v>
      </c>
      <c r="H8190" s="124" t="s">
        <v>8368</v>
      </c>
      <c r="I8190" s="127">
        <v>107.4</v>
      </c>
      <c r="J8190" s="127">
        <v>537</v>
      </c>
    </row>
    <row r="8191" spans="1:10" hidden="1" x14ac:dyDescent="0.25">
      <c r="A8191" s="124" t="s">
        <v>10473</v>
      </c>
      <c r="B8191" s="124" t="s">
        <v>11736</v>
      </c>
      <c r="C8191" s="132"/>
      <c r="D8191" s="125">
        <f t="shared" si="134"/>
        <v>0</v>
      </c>
      <c r="E8191" s="124" t="s">
        <v>8367</v>
      </c>
      <c r="F8191" s="129">
        <v>4100</v>
      </c>
      <c r="G8191" s="128">
        <v>6643.2</v>
      </c>
      <c r="H8191" s="124" t="s">
        <v>8368</v>
      </c>
      <c r="I8191" s="127">
        <v>573.24</v>
      </c>
      <c r="J8191" s="128">
        <v>2866.2</v>
      </c>
    </row>
    <row r="8192" spans="1:10" hidden="1" x14ac:dyDescent="0.25">
      <c r="A8192" s="124" t="s">
        <v>10474</v>
      </c>
      <c r="B8192" s="124" t="s">
        <v>11736</v>
      </c>
      <c r="C8192" s="132"/>
      <c r="D8192" s="125">
        <f t="shared" si="134"/>
        <v>0</v>
      </c>
      <c r="E8192" s="124" t="s">
        <v>8367</v>
      </c>
      <c r="F8192" s="126">
        <v>225</v>
      </c>
      <c r="G8192" s="128">
        <v>2451.6</v>
      </c>
      <c r="H8192" s="124" t="s">
        <v>8368</v>
      </c>
      <c r="I8192" s="127">
        <v>108.8</v>
      </c>
      <c r="J8192" s="127">
        <v>544</v>
      </c>
    </row>
    <row r="8193" spans="1:10" hidden="1" x14ac:dyDescent="0.25">
      <c r="A8193" s="124" t="s">
        <v>10475</v>
      </c>
      <c r="B8193" s="124" t="s">
        <v>11736</v>
      </c>
      <c r="C8193" s="132"/>
      <c r="D8193" s="125">
        <f t="shared" si="134"/>
        <v>0</v>
      </c>
      <c r="E8193" s="124" t="s">
        <v>8367</v>
      </c>
      <c r="F8193" s="126">
        <v>5</v>
      </c>
      <c r="G8193" s="127">
        <v>644.4</v>
      </c>
      <c r="H8193" s="124" t="s">
        <v>8368</v>
      </c>
      <c r="I8193" s="127">
        <v>129.19999999999999</v>
      </c>
      <c r="J8193" s="127">
        <v>646</v>
      </c>
    </row>
    <row r="8194" spans="1:10" hidden="1" x14ac:dyDescent="0.25">
      <c r="A8194" s="124" t="s">
        <v>10476</v>
      </c>
      <c r="B8194" s="124" t="s">
        <v>11736</v>
      </c>
      <c r="C8194" s="132"/>
      <c r="D8194" s="125">
        <f t="shared" si="134"/>
        <v>0</v>
      </c>
      <c r="E8194" s="124" t="s">
        <v>8367</v>
      </c>
      <c r="F8194" s="126">
        <v>29</v>
      </c>
      <c r="G8194" s="128">
        <v>3439.44</v>
      </c>
      <c r="H8194" s="124" t="s">
        <v>8368</v>
      </c>
      <c r="I8194" s="128">
        <v>5000</v>
      </c>
      <c r="J8194" s="128">
        <v>25000</v>
      </c>
    </row>
    <row r="8195" spans="1:10" hidden="1" x14ac:dyDescent="0.25">
      <c r="A8195" s="124" t="s">
        <v>10477</v>
      </c>
      <c r="B8195" s="124" t="s">
        <v>11736</v>
      </c>
      <c r="C8195" s="132"/>
      <c r="D8195" s="125">
        <f t="shared" si="134"/>
        <v>0</v>
      </c>
      <c r="E8195" s="124" t="s">
        <v>8367</v>
      </c>
      <c r="F8195" s="126">
        <v>5</v>
      </c>
      <c r="G8195" s="127">
        <v>652.79999999999995</v>
      </c>
      <c r="H8195" s="124" t="s">
        <v>8368</v>
      </c>
      <c r="I8195" s="128">
        <v>3900</v>
      </c>
      <c r="J8195" s="128">
        <v>19500</v>
      </c>
    </row>
    <row r="8196" spans="1:10" hidden="1" x14ac:dyDescent="0.25">
      <c r="A8196" s="124" t="s">
        <v>10478</v>
      </c>
      <c r="B8196" s="124" t="s">
        <v>11736</v>
      </c>
      <c r="C8196" s="132"/>
      <c r="D8196" s="125">
        <f t="shared" si="134"/>
        <v>0</v>
      </c>
      <c r="E8196" s="124" t="s">
        <v>8367</v>
      </c>
      <c r="F8196" s="126">
        <v>5</v>
      </c>
      <c r="G8196" s="127">
        <v>775.2</v>
      </c>
      <c r="H8196" s="124" t="s">
        <v>8368</v>
      </c>
      <c r="I8196" s="128">
        <v>4560</v>
      </c>
      <c r="J8196" s="128">
        <v>22800</v>
      </c>
    </row>
    <row r="8197" spans="1:10" hidden="1" x14ac:dyDescent="0.25">
      <c r="A8197" s="124" t="s">
        <v>2451</v>
      </c>
      <c r="B8197" s="124" t="s">
        <v>11736</v>
      </c>
      <c r="C8197" s="132"/>
      <c r="D8197" s="125">
        <f t="shared" si="134"/>
        <v>0</v>
      </c>
      <c r="E8197" s="124" t="s">
        <v>8367</v>
      </c>
      <c r="F8197" s="129">
        <v>10000</v>
      </c>
      <c r="G8197" s="128">
        <v>30000</v>
      </c>
      <c r="H8197" s="124" t="s">
        <v>8368</v>
      </c>
      <c r="I8197" s="128">
        <v>1920</v>
      </c>
      <c r="J8197" s="128">
        <v>9600</v>
      </c>
    </row>
    <row r="8198" spans="1:10" hidden="1" x14ac:dyDescent="0.25">
      <c r="A8198" s="124" t="s">
        <v>10479</v>
      </c>
      <c r="B8198" s="124" t="s">
        <v>11736</v>
      </c>
      <c r="C8198" s="132"/>
      <c r="D8198" s="125">
        <f t="shared" si="134"/>
        <v>0</v>
      </c>
      <c r="E8198" s="124" t="s">
        <v>8367</v>
      </c>
      <c r="F8198" s="129">
        <v>6500</v>
      </c>
      <c r="G8198" s="128">
        <v>23400</v>
      </c>
      <c r="H8198" s="124" t="s">
        <v>8368</v>
      </c>
      <c r="I8198" s="127">
        <v>175</v>
      </c>
      <c r="J8198" s="127">
        <v>875</v>
      </c>
    </row>
    <row r="8199" spans="1:10" hidden="1" x14ac:dyDescent="0.25">
      <c r="A8199" s="124" t="s">
        <v>10480</v>
      </c>
      <c r="B8199" s="124" t="s">
        <v>11736</v>
      </c>
      <c r="C8199" s="132"/>
      <c r="D8199" s="125">
        <f t="shared" si="134"/>
        <v>0</v>
      </c>
      <c r="E8199" s="124" t="s">
        <v>8367</v>
      </c>
      <c r="F8199" s="129">
        <v>8000</v>
      </c>
      <c r="G8199" s="128">
        <v>27360</v>
      </c>
      <c r="H8199" s="124" t="s">
        <v>8368</v>
      </c>
      <c r="I8199" s="127">
        <v>231.2</v>
      </c>
      <c r="J8199" s="128">
        <v>1156</v>
      </c>
    </row>
    <row r="8200" spans="1:10" hidden="1" x14ac:dyDescent="0.25">
      <c r="A8200" s="124" t="s">
        <v>10481</v>
      </c>
      <c r="B8200" s="124" t="s">
        <v>11736</v>
      </c>
      <c r="C8200" s="132"/>
      <c r="D8200" s="125">
        <f t="shared" si="134"/>
        <v>0</v>
      </c>
      <c r="E8200" s="124" t="s">
        <v>8367</v>
      </c>
      <c r="F8200" s="129">
        <v>2000</v>
      </c>
      <c r="G8200" s="128">
        <v>11520</v>
      </c>
      <c r="H8200" s="124" t="s">
        <v>8368</v>
      </c>
      <c r="I8200" s="128">
        <v>1490</v>
      </c>
      <c r="J8200" s="128">
        <v>7450</v>
      </c>
    </row>
    <row r="8201" spans="1:10" hidden="1" x14ac:dyDescent="0.25">
      <c r="A8201" s="124" t="s">
        <v>10482</v>
      </c>
      <c r="B8201" s="124" t="s">
        <v>11736</v>
      </c>
      <c r="C8201" s="132"/>
      <c r="D8201" s="125">
        <f t="shared" si="134"/>
        <v>0</v>
      </c>
      <c r="E8201" s="124" t="s">
        <v>8367</v>
      </c>
      <c r="F8201" s="126">
        <v>150</v>
      </c>
      <c r="G8201" s="128">
        <v>1050</v>
      </c>
      <c r="H8201" s="124" t="s">
        <v>8368</v>
      </c>
      <c r="I8201" s="128">
        <v>3564</v>
      </c>
      <c r="J8201" s="128">
        <v>17820</v>
      </c>
    </row>
    <row r="8202" spans="1:10" hidden="1" x14ac:dyDescent="0.25">
      <c r="A8202" s="124" t="s">
        <v>10483</v>
      </c>
      <c r="B8202" s="124" t="s">
        <v>11736</v>
      </c>
      <c r="C8202" s="132"/>
      <c r="D8202" s="125">
        <f t="shared" si="134"/>
        <v>0</v>
      </c>
      <c r="E8202" s="124" t="s">
        <v>8367</v>
      </c>
      <c r="F8202" s="126">
        <v>1</v>
      </c>
      <c r="G8202" s="128">
        <v>1387.2</v>
      </c>
      <c r="H8202" s="124" t="s">
        <v>8368</v>
      </c>
      <c r="I8202" s="128">
        <v>2258</v>
      </c>
      <c r="J8202" s="128">
        <v>11290</v>
      </c>
    </row>
    <row r="8203" spans="1:10" hidden="1" x14ac:dyDescent="0.25">
      <c r="A8203" s="124" t="s">
        <v>10484</v>
      </c>
      <c r="B8203" s="124" t="s">
        <v>11736</v>
      </c>
      <c r="C8203" s="132"/>
      <c r="D8203" s="125">
        <f t="shared" si="134"/>
        <v>0</v>
      </c>
      <c r="E8203" s="124" t="s">
        <v>8367</v>
      </c>
      <c r="F8203" s="126">
        <v>10</v>
      </c>
      <c r="G8203" s="128">
        <v>8940</v>
      </c>
      <c r="H8203" s="124" t="s">
        <v>8368</v>
      </c>
      <c r="I8203" s="128">
        <v>1272</v>
      </c>
      <c r="J8203" s="128">
        <v>6360</v>
      </c>
    </row>
    <row r="8204" spans="1:10" hidden="1" x14ac:dyDescent="0.25">
      <c r="A8204" s="124" t="s">
        <v>10485</v>
      </c>
      <c r="B8204" s="124" t="s">
        <v>11736</v>
      </c>
      <c r="C8204" s="132"/>
      <c r="D8204" s="125">
        <f t="shared" ref="D8204:D8209" si="135">COUNTIF(A3827:A8203,A8204)</f>
        <v>0</v>
      </c>
      <c r="E8204" s="124" t="s">
        <v>8367</v>
      </c>
      <c r="F8204" s="126">
        <v>9</v>
      </c>
      <c r="G8204" s="128">
        <v>21384</v>
      </c>
      <c r="H8204" s="124" t="s">
        <v>8368</v>
      </c>
      <c r="I8204" s="128">
        <v>1272</v>
      </c>
      <c r="J8204" s="128">
        <v>6360</v>
      </c>
    </row>
    <row r="8205" spans="1:10" hidden="1" x14ac:dyDescent="0.25">
      <c r="A8205" s="124" t="s">
        <v>10486</v>
      </c>
      <c r="B8205" s="124" t="s">
        <v>11736</v>
      </c>
      <c r="C8205" s="132"/>
      <c r="D8205" s="125">
        <f t="shared" si="135"/>
        <v>0</v>
      </c>
      <c r="E8205" s="124" t="s">
        <v>8367</v>
      </c>
      <c r="F8205" s="126">
        <v>1</v>
      </c>
      <c r="G8205" s="128">
        <v>13548</v>
      </c>
      <c r="H8205" s="124" t="s">
        <v>8368</v>
      </c>
      <c r="I8205" s="128">
        <v>7952</v>
      </c>
      <c r="J8205" s="128">
        <v>39760</v>
      </c>
    </row>
    <row r="8206" spans="1:10" hidden="1" x14ac:dyDescent="0.25">
      <c r="A8206" s="124" t="s">
        <v>10487</v>
      </c>
      <c r="B8206" s="124" t="s">
        <v>11736</v>
      </c>
      <c r="C8206" s="132"/>
      <c r="D8206" s="125">
        <f t="shared" si="135"/>
        <v>0</v>
      </c>
      <c r="E8206" s="124" t="s">
        <v>8367</v>
      </c>
      <c r="F8206" s="126">
        <v>4</v>
      </c>
      <c r="G8206" s="128">
        <v>7632</v>
      </c>
      <c r="H8206" s="124" t="s">
        <v>8368</v>
      </c>
      <c r="I8206" s="128">
        <v>12248.74</v>
      </c>
      <c r="J8206" s="128">
        <v>61243.69</v>
      </c>
    </row>
    <row r="8207" spans="1:10" hidden="1" x14ac:dyDescent="0.25">
      <c r="A8207" s="124" t="s">
        <v>10488</v>
      </c>
      <c r="B8207" s="124" t="s">
        <v>11736</v>
      </c>
      <c r="C8207" s="132"/>
      <c r="D8207" s="125">
        <f t="shared" si="135"/>
        <v>0</v>
      </c>
      <c r="E8207" s="124" t="s">
        <v>8367</v>
      </c>
      <c r="F8207" s="126">
        <v>4</v>
      </c>
      <c r="G8207" s="128">
        <v>7632</v>
      </c>
      <c r="H8207" s="124" t="s">
        <v>8368</v>
      </c>
      <c r="I8207" s="127">
        <v>26</v>
      </c>
      <c r="J8207" s="127">
        <v>130</v>
      </c>
    </row>
    <row r="8208" spans="1:10" hidden="1" x14ac:dyDescent="0.25">
      <c r="A8208" s="124" t="s">
        <v>10489</v>
      </c>
      <c r="B8208" s="124" t="s">
        <v>11736</v>
      </c>
      <c r="C8208" s="132"/>
      <c r="D8208" s="125">
        <f t="shared" si="135"/>
        <v>0</v>
      </c>
      <c r="E8208" s="124" t="s">
        <v>8367</v>
      </c>
      <c r="F8208" s="126">
        <v>4</v>
      </c>
      <c r="G8208" s="128">
        <v>47712</v>
      </c>
      <c r="H8208" s="124" t="s">
        <v>8368</v>
      </c>
      <c r="I8208" s="127">
        <v>104</v>
      </c>
      <c r="J8208" s="127">
        <v>520</v>
      </c>
    </row>
    <row r="8209" spans="1:10" hidden="1" x14ac:dyDescent="0.25">
      <c r="A8209" s="124" t="s">
        <v>10490</v>
      </c>
      <c r="B8209" s="124" t="s">
        <v>11736</v>
      </c>
      <c r="C8209" s="132"/>
      <c r="D8209" s="125">
        <f t="shared" si="135"/>
        <v>0</v>
      </c>
      <c r="E8209" s="124" t="s">
        <v>8367</v>
      </c>
      <c r="F8209" s="129">
        <v>41000</v>
      </c>
      <c r="G8209" s="128">
        <v>73492.429999999993</v>
      </c>
      <c r="H8209" s="124" t="s">
        <v>8368</v>
      </c>
      <c r="I8209" s="128">
        <v>19772.63</v>
      </c>
      <c r="J8209" s="128">
        <v>98863.13</v>
      </c>
    </row>
    <row r="8210" spans="1:10" hidden="1" x14ac:dyDescent="0.25">
      <c r="A8210" s="124" t="s">
        <v>10491</v>
      </c>
      <c r="B8210" s="124" t="s">
        <v>11736</v>
      </c>
      <c r="C8210" s="132"/>
      <c r="D8210" s="125">
        <f>COUNTIF(A3835:A8209,A8210)</f>
        <v>0</v>
      </c>
      <c r="E8210" s="124" t="s">
        <v>8367</v>
      </c>
      <c r="F8210" s="126">
        <v>1</v>
      </c>
      <c r="G8210" s="127">
        <v>156</v>
      </c>
      <c r="H8210" s="124" t="s">
        <v>8368</v>
      </c>
      <c r="I8210" s="127">
        <v>52</v>
      </c>
      <c r="J8210" s="127">
        <v>260</v>
      </c>
    </row>
    <row r="8211" spans="1:10" hidden="1" x14ac:dyDescent="0.25">
      <c r="A8211" s="124" t="s">
        <v>10492</v>
      </c>
      <c r="B8211" s="124" t="s">
        <v>11736</v>
      </c>
      <c r="C8211" s="132"/>
      <c r="D8211" s="125">
        <f>COUNTIF(A3836:A8210,A8211)</f>
        <v>0</v>
      </c>
      <c r="E8211" s="124" t="s">
        <v>8367</v>
      </c>
      <c r="F8211" s="126">
        <v>1</v>
      </c>
      <c r="G8211" s="127">
        <v>624</v>
      </c>
      <c r="H8211" s="124" t="s">
        <v>8368</v>
      </c>
      <c r="I8211" s="127">
        <v>10</v>
      </c>
      <c r="J8211" s="127">
        <v>50</v>
      </c>
    </row>
    <row r="8212" spans="1:10" hidden="1" x14ac:dyDescent="0.25">
      <c r="A8212" s="124" t="s">
        <v>2423</v>
      </c>
      <c r="B8212" s="124" t="s">
        <v>11736</v>
      </c>
      <c r="C8212" s="132"/>
      <c r="D8212" s="125">
        <f>COUNTIF(A3837:A8211,A8212)</f>
        <v>0</v>
      </c>
      <c r="E8212" s="124" t="s">
        <v>8367</v>
      </c>
      <c r="F8212" s="129">
        <v>44681</v>
      </c>
      <c r="G8212" s="128">
        <v>118635.76</v>
      </c>
      <c r="H8212" s="124" t="s">
        <v>8368</v>
      </c>
      <c r="I8212" s="127">
        <v>276</v>
      </c>
      <c r="J8212" s="128">
        <v>1380</v>
      </c>
    </row>
    <row r="8213" spans="1:10" hidden="1" x14ac:dyDescent="0.25">
      <c r="A8213" s="124" t="s">
        <v>10493</v>
      </c>
      <c r="B8213" s="124" t="s">
        <v>11736</v>
      </c>
      <c r="C8213" s="132"/>
      <c r="D8213" s="125">
        <f>COUNTIF(A3839:A8212,A8213)</f>
        <v>0</v>
      </c>
      <c r="E8213" s="124" t="s">
        <v>8367</v>
      </c>
      <c r="F8213" s="126">
        <v>1</v>
      </c>
      <c r="G8213" s="127">
        <v>312</v>
      </c>
      <c r="H8213" s="124" t="s">
        <v>8368</v>
      </c>
      <c r="I8213" s="128">
        <v>8768</v>
      </c>
      <c r="J8213" s="128">
        <v>43840</v>
      </c>
    </row>
    <row r="8214" spans="1:10" hidden="1" x14ac:dyDescent="0.25">
      <c r="A8214" s="124" t="s">
        <v>10494</v>
      </c>
      <c r="B8214" s="124" t="s">
        <v>11736</v>
      </c>
      <c r="C8214" s="132"/>
      <c r="D8214" s="125">
        <f>COUNTIF(A3840:A8213,A8214)</f>
        <v>0</v>
      </c>
      <c r="E8214" s="124" t="s">
        <v>8367</v>
      </c>
      <c r="F8214" s="126">
        <v>1</v>
      </c>
      <c r="G8214" s="127">
        <v>60</v>
      </c>
      <c r="H8214" s="124" t="s">
        <v>8368</v>
      </c>
      <c r="I8214" s="128">
        <v>7430</v>
      </c>
      <c r="J8214" s="128">
        <v>37150</v>
      </c>
    </row>
    <row r="8215" spans="1:10" hidden="1" x14ac:dyDescent="0.25">
      <c r="A8215" s="124" t="s">
        <v>10495</v>
      </c>
      <c r="B8215" s="124" t="s">
        <v>11736</v>
      </c>
      <c r="C8215" s="132"/>
      <c r="D8215" s="125">
        <f t="shared" ref="D8215:D8221" si="136">COUNTIF(A3842:A8214,A8215)</f>
        <v>0</v>
      </c>
      <c r="E8215" s="124" t="s">
        <v>8367</v>
      </c>
      <c r="F8215" s="126">
        <v>1</v>
      </c>
      <c r="G8215" s="128">
        <v>1656</v>
      </c>
      <c r="H8215" s="124" t="s">
        <v>8368</v>
      </c>
      <c r="I8215" s="128">
        <v>8700</v>
      </c>
      <c r="J8215" s="128">
        <v>43500</v>
      </c>
    </row>
    <row r="8216" spans="1:10" hidden="1" x14ac:dyDescent="0.25">
      <c r="A8216" s="124" t="s">
        <v>10496</v>
      </c>
      <c r="B8216" s="124" t="s">
        <v>11736</v>
      </c>
      <c r="C8216" s="132"/>
      <c r="D8216" s="125">
        <f t="shared" si="136"/>
        <v>0</v>
      </c>
      <c r="E8216" s="124" t="s">
        <v>8367</v>
      </c>
      <c r="F8216" s="126">
        <v>4</v>
      </c>
      <c r="G8216" s="128">
        <v>52608</v>
      </c>
      <c r="H8216" s="124" t="s">
        <v>8368</v>
      </c>
      <c r="I8216" s="128">
        <v>19333.400000000001</v>
      </c>
      <c r="J8216" s="128">
        <v>96667</v>
      </c>
    </row>
    <row r="8217" spans="1:10" hidden="1" x14ac:dyDescent="0.25">
      <c r="A8217" s="124" t="s">
        <v>10497</v>
      </c>
      <c r="B8217" s="124" t="s">
        <v>11736</v>
      </c>
      <c r="C8217" s="132"/>
      <c r="D8217" s="125">
        <f t="shared" si="136"/>
        <v>0</v>
      </c>
      <c r="E8217" s="124" t="s">
        <v>8367</v>
      </c>
      <c r="F8217" s="126">
        <v>3</v>
      </c>
      <c r="G8217" s="128">
        <v>44580</v>
      </c>
      <c r="H8217" s="124" t="s">
        <v>8368</v>
      </c>
      <c r="I8217" s="128">
        <v>1430</v>
      </c>
      <c r="J8217" s="128">
        <v>7150</v>
      </c>
    </row>
    <row r="8218" spans="1:10" hidden="1" x14ac:dyDescent="0.25">
      <c r="A8218" s="124" t="s">
        <v>10498</v>
      </c>
      <c r="B8218" s="124" t="s">
        <v>11736</v>
      </c>
      <c r="C8218" s="132"/>
      <c r="D8218" s="125">
        <f t="shared" si="136"/>
        <v>0</v>
      </c>
      <c r="E8218" s="124" t="s">
        <v>8367</v>
      </c>
      <c r="F8218" s="126">
        <v>290</v>
      </c>
      <c r="G8218" s="128">
        <v>52200</v>
      </c>
      <c r="H8218" s="124" t="s">
        <v>8368</v>
      </c>
      <c r="I8218" s="128">
        <v>180413.89</v>
      </c>
      <c r="J8218" s="128">
        <v>902069.44</v>
      </c>
    </row>
    <row r="8219" spans="1:10" hidden="1" x14ac:dyDescent="0.25">
      <c r="A8219" s="124" t="s">
        <v>10499</v>
      </c>
      <c r="B8219" s="124" t="s">
        <v>11736</v>
      </c>
      <c r="C8219" s="132"/>
      <c r="D8219" s="125">
        <f t="shared" si="136"/>
        <v>0</v>
      </c>
      <c r="E8219" s="124" t="s">
        <v>8367</v>
      </c>
      <c r="F8219" s="126">
        <v>10</v>
      </c>
      <c r="G8219" s="128">
        <v>116000.4</v>
      </c>
      <c r="H8219" s="124" t="s">
        <v>8368</v>
      </c>
      <c r="I8219" s="128">
        <v>45500</v>
      </c>
      <c r="J8219" s="128">
        <v>227500</v>
      </c>
    </row>
    <row r="8220" spans="1:10" hidden="1" x14ac:dyDescent="0.25">
      <c r="A8220" s="124" t="s">
        <v>10500</v>
      </c>
      <c r="B8220" s="124" t="s">
        <v>11736</v>
      </c>
      <c r="C8220" s="132"/>
      <c r="D8220" s="125">
        <f t="shared" si="136"/>
        <v>0</v>
      </c>
      <c r="E8220" s="124" t="s">
        <v>8367</v>
      </c>
      <c r="F8220" s="126">
        <v>30</v>
      </c>
      <c r="G8220" s="128">
        <v>8580</v>
      </c>
      <c r="H8220" s="124" t="s">
        <v>8368</v>
      </c>
      <c r="I8220" s="128">
        <v>49400</v>
      </c>
      <c r="J8220" s="128">
        <v>247000</v>
      </c>
    </row>
    <row r="8221" spans="1:10" hidden="1" x14ac:dyDescent="0.25">
      <c r="A8221" s="124" t="s">
        <v>3943</v>
      </c>
      <c r="B8221" s="124" t="s">
        <v>11736</v>
      </c>
      <c r="C8221" s="132"/>
      <c r="D8221" s="125">
        <f t="shared" si="136"/>
        <v>0</v>
      </c>
      <c r="E8221" s="124" t="s">
        <v>8367</v>
      </c>
      <c r="F8221" s="129">
        <v>1045</v>
      </c>
      <c r="G8221" s="128">
        <v>1082483.33</v>
      </c>
      <c r="H8221" s="124" t="s">
        <v>8368</v>
      </c>
      <c r="I8221" s="128">
        <v>87320</v>
      </c>
      <c r="J8221" s="128">
        <v>436600</v>
      </c>
    </row>
    <row r="8222" spans="1:10" hidden="1" x14ac:dyDescent="0.25">
      <c r="A8222" s="124" t="s">
        <v>10501</v>
      </c>
      <c r="B8222" s="124" t="s">
        <v>11736</v>
      </c>
      <c r="C8222" s="132"/>
      <c r="D8222" s="125">
        <f>COUNTIF(A3850:A8221,A8222)</f>
        <v>0</v>
      </c>
      <c r="E8222" s="124" t="s">
        <v>8579</v>
      </c>
      <c r="F8222" s="129">
        <v>10500</v>
      </c>
      <c r="G8222" s="128">
        <v>273000</v>
      </c>
      <c r="H8222" s="124" t="s">
        <v>8368</v>
      </c>
      <c r="I8222" s="128">
        <v>19346.3</v>
      </c>
      <c r="J8222" s="128">
        <v>96731.48</v>
      </c>
    </row>
    <row r="8223" spans="1:10" hidden="1" x14ac:dyDescent="0.25">
      <c r="A8223" s="124" t="s">
        <v>10502</v>
      </c>
      <c r="B8223" s="124" t="s">
        <v>11736</v>
      </c>
      <c r="C8223" s="132"/>
      <c r="D8223" s="125">
        <f>COUNTIF(A3853:A8222,A8223)</f>
        <v>0</v>
      </c>
      <c r="E8223" s="124" t="s">
        <v>8579</v>
      </c>
      <c r="F8223" s="129">
        <v>11400</v>
      </c>
      <c r="G8223" s="128">
        <v>296400</v>
      </c>
      <c r="H8223" s="124" t="s">
        <v>8368</v>
      </c>
      <c r="I8223" s="127">
        <v>648</v>
      </c>
      <c r="J8223" s="128">
        <v>3240</v>
      </c>
    </row>
    <row r="8224" spans="1:10" hidden="1" x14ac:dyDescent="0.25">
      <c r="A8224" s="124" t="s">
        <v>10503</v>
      </c>
      <c r="B8224" s="124" t="s">
        <v>11736</v>
      </c>
      <c r="C8224" s="132"/>
      <c r="D8224" s="125">
        <f t="shared" ref="D8224:D8261" si="137">COUNTIF(A3856:A8223,A8224)</f>
        <v>0</v>
      </c>
      <c r="E8224" s="124" t="s">
        <v>8367</v>
      </c>
      <c r="F8224" s="126">
        <v>236</v>
      </c>
      <c r="G8224" s="128">
        <v>523920</v>
      </c>
      <c r="H8224" s="124" t="s">
        <v>8368</v>
      </c>
      <c r="I8224" s="128">
        <v>9490</v>
      </c>
      <c r="J8224" s="128">
        <v>47450</v>
      </c>
    </row>
    <row r="8225" spans="1:10" hidden="1" x14ac:dyDescent="0.25">
      <c r="A8225" s="124" t="s">
        <v>10504</v>
      </c>
      <c r="B8225" s="124" t="s">
        <v>11736</v>
      </c>
      <c r="C8225" s="132"/>
      <c r="D8225" s="125">
        <f t="shared" si="137"/>
        <v>0</v>
      </c>
      <c r="E8225" s="124" t="s">
        <v>8367</v>
      </c>
      <c r="F8225" s="126">
        <v>31</v>
      </c>
      <c r="G8225" s="128">
        <v>116077.78</v>
      </c>
      <c r="H8225" s="124" t="s">
        <v>8368</v>
      </c>
      <c r="I8225" s="127">
        <v>669.2</v>
      </c>
      <c r="J8225" s="128">
        <v>3346</v>
      </c>
    </row>
    <row r="8226" spans="1:10" hidden="1" x14ac:dyDescent="0.25">
      <c r="A8226" s="124" t="s">
        <v>10505</v>
      </c>
      <c r="B8226" s="124" t="s">
        <v>11736</v>
      </c>
      <c r="C8226" s="132"/>
      <c r="D8226" s="125">
        <f t="shared" si="137"/>
        <v>0</v>
      </c>
      <c r="E8226" s="124" t="s">
        <v>8367</v>
      </c>
      <c r="F8226" s="126">
        <v>2</v>
      </c>
      <c r="G8226" s="128">
        <v>3888</v>
      </c>
      <c r="H8226" s="124" t="s">
        <v>8368</v>
      </c>
      <c r="I8226" s="128">
        <v>1129.2</v>
      </c>
      <c r="J8226" s="128">
        <v>5646</v>
      </c>
    </row>
    <row r="8227" spans="1:10" hidden="1" x14ac:dyDescent="0.25">
      <c r="A8227" s="124" t="s">
        <v>10506</v>
      </c>
      <c r="B8227" s="124" t="s">
        <v>11736</v>
      </c>
      <c r="C8227" s="132"/>
      <c r="D8227" s="125">
        <f t="shared" si="137"/>
        <v>0</v>
      </c>
      <c r="E8227" s="124" t="s">
        <v>8367</v>
      </c>
      <c r="F8227" s="126">
        <v>13</v>
      </c>
      <c r="G8227" s="128">
        <v>56940</v>
      </c>
      <c r="H8227" s="124" t="s">
        <v>8368</v>
      </c>
      <c r="I8227" s="128">
        <v>1954.33</v>
      </c>
      <c r="J8227" s="128">
        <v>9771.67</v>
      </c>
    </row>
    <row r="8228" spans="1:10" hidden="1" x14ac:dyDescent="0.25">
      <c r="A8228" s="124" t="s">
        <v>10507</v>
      </c>
      <c r="B8228" s="124" t="s">
        <v>11736</v>
      </c>
      <c r="C8228" s="132"/>
      <c r="D8228" s="125">
        <f t="shared" si="137"/>
        <v>0</v>
      </c>
      <c r="E8228" s="124" t="s">
        <v>8367</v>
      </c>
      <c r="F8228" s="126">
        <v>5</v>
      </c>
      <c r="G8228" s="128">
        <v>4015.2</v>
      </c>
      <c r="H8228" s="124" t="s">
        <v>8368</v>
      </c>
      <c r="I8228" s="128">
        <v>1129.2</v>
      </c>
      <c r="J8228" s="128">
        <v>5646</v>
      </c>
    </row>
    <row r="8229" spans="1:10" hidden="1" x14ac:dyDescent="0.25">
      <c r="A8229" s="124" t="s">
        <v>10508</v>
      </c>
      <c r="B8229" s="124" t="s">
        <v>11736</v>
      </c>
      <c r="C8229" s="132"/>
      <c r="D8229" s="125">
        <f t="shared" si="137"/>
        <v>0</v>
      </c>
      <c r="E8229" s="124" t="s">
        <v>8367</v>
      </c>
      <c r="F8229" s="126">
        <v>5</v>
      </c>
      <c r="G8229" s="128">
        <v>6775.2</v>
      </c>
      <c r="H8229" s="124" t="s">
        <v>8368</v>
      </c>
      <c r="I8229" s="128">
        <v>1172.52</v>
      </c>
      <c r="J8229" s="128">
        <v>5862.6</v>
      </c>
    </row>
    <row r="8230" spans="1:10" hidden="1" x14ac:dyDescent="0.25">
      <c r="A8230" s="124" t="s">
        <v>10509</v>
      </c>
      <c r="B8230" s="124" t="s">
        <v>11736</v>
      </c>
      <c r="C8230" s="132"/>
      <c r="D8230" s="125">
        <f t="shared" si="137"/>
        <v>0</v>
      </c>
      <c r="E8230" s="124" t="s">
        <v>8367</v>
      </c>
      <c r="F8230" s="126">
        <v>5</v>
      </c>
      <c r="G8230" s="128">
        <v>11726</v>
      </c>
      <c r="H8230" s="124" t="s">
        <v>8368</v>
      </c>
      <c r="I8230" s="128">
        <v>3985.2</v>
      </c>
      <c r="J8230" s="128">
        <v>19926</v>
      </c>
    </row>
    <row r="8231" spans="1:10" hidden="1" x14ac:dyDescent="0.25">
      <c r="A8231" s="124" t="s">
        <v>10510</v>
      </c>
      <c r="B8231" s="124" t="s">
        <v>11736</v>
      </c>
      <c r="C8231" s="132"/>
      <c r="D8231" s="125">
        <f t="shared" si="137"/>
        <v>0</v>
      </c>
      <c r="E8231" s="124" t="s">
        <v>8367</v>
      </c>
      <c r="F8231" s="126">
        <v>5</v>
      </c>
      <c r="G8231" s="128">
        <v>6775.2</v>
      </c>
      <c r="H8231" s="124" t="s">
        <v>8368</v>
      </c>
      <c r="I8231" s="128">
        <v>1365</v>
      </c>
      <c r="J8231" s="128">
        <v>6825</v>
      </c>
    </row>
    <row r="8232" spans="1:10" hidden="1" x14ac:dyDescent="0.25">
      <c r="A8232" s="124" t="s">
        <v>10511</v>
      </c>
      <c r="B8232" s="124" t="s">
        <v>11736</v>
      </c>
      <c r="C8232" s="132"/>
      <c r="D8232" s="125">
        <f t="shared" si="137"/>
        <v>0</v>
      </c>
      <c r="E8232" s="124" t="s">
        <v>8367</v>
      </c>
      <c r="F8232" s="126">
        <v>3</v>
      </c>
      <c r="G8232" s="128">
        <v>7035.12</v>
      </c>
      <c r="H8232" s="124" t="s">
        <v>8368</v>
      </c>
      <c r="I8232" s="127">
        <v>42</v>
      </c>
      <c r="J8232" s="127">
        <v>210</v>
      </c>
    </row>
    <row r="8233" spans="1:10" hidden="1" x14ac:dyDescent="0.25">
      <c r="A8233" s="124" t="s">
        <v>10512</v>
      </c>
      <c r="B8233" s="124" t="s">
        <v>11736</v>
      </c>
      <c r="C8233" s="132"/>
      <c r="D8233" s="125">
        <f t="shared" si="137"/>
        <v>0</v>
      </c>
      <c r="E8233" s="124" t="s">
        <v>8367</v>
      </c>
      <c r="F8233" s="126">
        <v>60</v>
      </c>
      <c r="G8233" s="128">
        <v>23911.200000000001</v>
      </c>
      <c r="H8233" s="124" t="s">
        <v>8368</v>
      </c>
      <c r="I8233" s="128">
        <v>10333.4</v>
      </c>
      <c r="J8233" s="128">
        <v>51667</v>
      </c>
    </row>
    <row r="8234" spans="1:10" hidden="1" x14ac:dyDescent="0.25">
      <c r="A8234" s="124" t="s">
        <v>10513</v>
      </c>
      <c r="B8234" s="124" t="s">
        <v>11736</v>
      </c>
      <c r="C8234" s="132"/>
      <c r="D8234" s="125">
        <f t="shared" si="137"/>
        <v>0</v>
      </c>
      <c r="E8234" s="124" t="s">
        <v>8367</v>
      </c>
      <c r="F8234" s="126">
        <v>10</v>
      </c>
      <c r="G8234" s="128">
        <v>8190</v>
      </c>
      <c r="H8234" s="124" t="s">
        <v>8368</v>
      </c>
      <c r="I8234" s="127">
        <v>523.4</v>
      </c>
      <c r="J8234" s="128">
        <v>2617</v>
      </c>
    </row>
    <row r="8235" spans="1:10" hidden="1" x14ac:dyDescent="0.25">
      <c r="A8235" s="124" t="s">
        <v>10514</v>
      </c>
      <c r="B8235" s="124" t="s">
        <v>11736</v>
      </c>
      <c r="C8235" s="132"/>
      <c r="D8235" s="125">
        <f t="shared" si="137"/>
        <v>0</v>
      </c>
      <c r="E8235" s="124" t="s">
        <v>8367</v>
      </c>
      <c r="F8235" s="126">
        <v>36</v>
      </c>
      <c r="G8235" s="127">
        <v>252</v>
      </c>
      <c r="H8235" s="124" t="s">
        <v>8368</v>
      </c>
      <c r="I8235" s="128">
        <v>1650</v>
      </c>
      <c r="J8235" s="128">
        <v>8250</v>
      </c>
    </row>
    <row r="8236" spans="1:10" hidden="1" x14ac:dyDescent="0.25">
      <c r="A8236" s="124" t="s">
        <v>10515</v>
      </c>
      <c r="B8236" s="124" t="s">
        <v>11736</v>
      </c>
      <c r="C8236" s="132"/>
      <c r="D8236" s="125">
        <f t="shared" si="137"/>
        <v>0</v>
      </c>
      <c r="E8236" s="124" t="s">
        <v>8367</v>
      </c>
      <c r="F8236" s="126">
        <v>20</v>
      </c>
      <c r="G8236" s="128">
        <v>62000.4</v>
      </c>
      <c r="H8236" s="124" t="s">
        <v>8368</v>
      </c>
      <c r="I8236" s="127">
        <v>304</v>
      </c>
      <c r="J8236" s="128">
        <v>1520</v>
      </c>
    </row>
    <row r="8237" spans="1:10" hidden="1" x14ac:dyDescent="0.25">
      <c r="A8237" s="124" t="s">
        <v>10516</v>
      </c>
      <c r="B8237" s="124" t="s">
        <v>11736</v>
      </c>
      <c r="C8237" s="132"/>
      <c r="D8237" s="125">
        <f t="shared" si="137"/>
        <v>0</v>
      </c>
      <c r="E8237" s="124" t="s">
        <v>8367</v>
      </c>
      <c r="F8237" s="126">
        <v>2</v>
      </c>
      <c r="G8237" s="128">
        <v>3140.4</v>
      </c>
      <c r="H8237" s="124" t="s">
        <v>8368</v>
      </c>
      <c r="I8237" s="127">
        <v>398.4</v>
      </c>
      <c r="J8237" s="128">
        <v>1992</v>
      </c>
    </row>
    <row r="8238" spans="1:10" hidden="1" x14ac:dyDescent="0.25">
      <c r="A8238" s="124" t="s">
        <v>10517</v>
      </c>
      <c r="B8238" s="124" t="s">
        <v>11736</v>
      </c>
      <c r="C8238" s="132"/>
      <c r="D8238" s="125">
        <f t="shared" si="137"/>
        <v>0</v>
      </c>
      <c r="E8238" s="124" t="s">
        <v>8579</v>
      </c>
      <c r="F8238" s="126">
        <v>20</v>
      </c>
      <c r="G8238" s="128">
        <v>9900</v>
      </c>
      <c r="H8238" s="124" t="s">
        <v>8368</v>
      </c>
      <c r="I8238" s="127">
        <v>20.83</v>
      </c>
      <c r="J8238" s="127">
        <v>104.17</v>
      </c>
    </row>
    <row r="8239" spans="1:10" hidden="1" x14ac:dyDescent="0.25">
      <c r="A8239" s="124" t="s">
        <v>10518</v>
      </c>
      <c r="B8239" s="124" t="s">
        <v>11736</v>
      </c>
      <c r="C8239" s="132"/>
      <c r="D8239" s="125">
        <f t="shared" si="137"/>
        <v>0</v>
      </c>
      <c r="E8239" s="124" t="s">
        <v>8367</v>
      </c>
      <c r="F8239" s="126">
        <v>16</v>
      </c>
      <c r="G8239" s="128">
        <v>1824</v>
      </c>
      <c r="H8239" s="124" t="s">
        <v>8368</v>
      </c>
      <c r="I8239" s="127">
        <v>12</v>
      </c>
      <c r="J8239" s="127">
        <v>60</v>
      </c>
    </row>
    <row r="8240" spans="1:10" hidden="1" x14ac:dyDescent="0.25">
      <c r="A8240" s="124" t="s">
        <v>10519</v>
      </c>
      <c r="B8240" s="124" t="s">
        <v>11736</v>
      </c>
      <c r="C8240" s="132"/>
      <c r="D8240" s="125">
        <f t="shared" si="137"/>
        <v>0</v>
      </c>
      <c r="E8240" s="124" t="s">
        <v>8367</v>
      </c>
      <c r="F8240" s="126">
        <v>1</v>
      </c>
      <c r="G8240" s="128">
        <v>2390.4</v>
      </c>
      <c r="H8240" s="124" t="s">
        <v>8368</v>
      </c>
      <c r="I8240" s="127">
        <v>361.67</v>
      </c>
      <c r="J8240" s="128">
        <v>1808.33</v>
      </c>
    </row>
    <row r="8241" spans="1:10" hidden="1" x14ac:dyDescent="0.25">
      <c r="A8241" s="124" t="s">
        <v>10520</v>
      </c>
      <c r="B8241" s="124" t="s">
        <v>11736</v>
      </c>
      <c r="C8241" s="132"/>
      <c r="D8241" s="125">
        <f t="shared" si="137"/>
        <v>0</v>
      </c>
      <c r="E8241" s="124" t="s">
        <v>8367</v>
      </c>
      <c r="F8241" s="126">
        <v>5</v>
      </c>
      <c r="G8241" s="127">
        <v>125</v>
      </c>
      <c r="H8241" s="124" t="s">
        <v>8368</v>
      </c>
      <c r="I8241" s="127">
        <v>65</v>
      </c>
      <c r="J8241" s="127">
        <v>325</v>
      </c>
    </row>
    <row r="8242" spans="1:10" hidden="1" x14ac:dyDescent="0.25">
      <c r="A8242" s="124" t="s">
        <v>10521</v>
      </c>
      <c r="B8242" s="124" t="s">
        <v>11736</v>
      </c>
      <c r="C8242" s="132"/>
      <c r="D8242" s="125">
        <f t="shared" si="137"/>
        <v>0</v>
      </c>
      <c r="E8242" s="124" t="s">
        <v>8367</v>
      </c>
      <c r="F8242" s="126">
        <v>12</v>
      </c>
      <c r="G8242" s="127">
        <v>72</v>
      </c>
      <c r="H8242" s="124" t="s">
        <v>8368</v>
      </c>
      <c r="I8242" s="127">
        <v>106.67</v>
      </c>
      <c r="J8242" s="127">
        <v>533.33000000000004</v>
      </c>
    </row>
    <row r="8243" spans="1:10" hidden="1" x14ac:dyDescent="0.25">
      <c r="A8243" s="124" t="s">
        <v>10522</v>
      </c>
      <c r="B8243" s="124" t="s">
        <v>11736</v>
      </c>
      <c r="C8243" s="132"/>
      <c r="D8243" s="125">
        <f t="shared" si="137"/>
        <v>0</v>
      </c>
      <c r="E8243" s="124" t="s">
        <v>8367</v>
      </c>
      <c r="F8243" s="126">
        <v>7</v>
      </c>
      <c r="G8243" s="128">
        <v>2170</v>
      </c>
      <c r="H8243" s="124" t="s">
        <v>8368</v>
      </c>
      <c r="I8243" s="128">
        <v>1739</v>
      </c>
      <c r="J8243" s="128">
        <v>8695</v>
      </c>
    </row>
    <row r="8244" spans="1:10" hidden="1" x14ac:dyDescent="0.25">
      <c r="A8244" s="124" t="s">
        <v>10523</v>
      </c>
      <c r="B8244" s="124" t="s">
        <v>11736</v>
      </c>
      <c r="C8244" s="132"/>
      <c r="D8244" s="125">
        <f t="shared" si="137"/>
        <v>0</v>
      </c>
      <c r="E8244" s="124" t="s">
        <v>8367</v>
      </c>
      <c r="F8244" s="126">
        <v>1</v>
      </c>
      <c r="G8244" s="127">
        <v>390</v>
      </c>
      <c r="H8244" s="124" t="s">
        <v>8368</v>
      </c>
      <c r="I8244" s="128">
        <v>25008.75</v>
      </c>
      <c r="J8244" s="128">
        <v>125043.75</v>
      </c>
    </row>
    <row r="8245" spans="1:10" hidden="1" x14ac:dyDescent="0.25">
      <c r="A8245" s="124" t="s">
        <v>10524</v>
      </c>
      <c r="B8245" s="124" t="s">
        <v>11736</v>
      </c>
      <c r="C8245" s="132"/>
      <c r="D8245" s="125">
        <f t="shared" si="137"/>
        <v>0</v>
      </c>
      <c r="E8245" s="124" t="s">
        <v>8367</v>
      </c>
      <c r="F8245" s="126">
        <v>1</v>
      </c>
      <c r="G8245" s="127">
        <v>640</v>
      </c>
      <c r="H8245" s="124" t="s">
        <v>8368</v>
      </c>
      <c r="I8245" s="127">
        <v>276</v>
      </c>
      <c r="J8245" s="128">
        <v>1380</v>
      </c>
    </row>
    <row r="8246" spans="1:10" hidden="1" x14ac:dyDescent="0.25">
      <c r="A8246" s="124" t="s">
        <v>10525</v>
      </c>
      <c r="B8246" s="124" t="s">
        <v>11736</v>
      </c>
      <c r="C8246" s="132"/>
      <c r="D8246" s="125">
        <f t="shared" si="137"/>
        <v>0</v>
      </c>
      <c r="E8246" s="124" t="s">
        <v>8367</v>
      </c>
      <c r="F8246" s="126">
        <v>13</v>
      </c>
      <c r="G8246" s="128">
        <v>10434</v>
      </c>
      <c r="H8246" s="124" t="s">
        <v>8368</v>
      </c>
      <c r="I8246" s="128">
        <v>8466.6</v>
      </c>
      <c r="J8246" s="128">
        <v>42333</v>
      </c>
    </row>
    <row r="8247" spans="1:10" hidden="1" x14ac:dyDescent="0.25">
      <c r="A8247" s="124" t="s">
        <v>10526</v>
      </c>
      <c r="B8247" s="124" t="s">
        <v>11736</v>
      </c>
      <c r="C8247" s="132"/>
      <c r="D8247" s="125">
        <f t="shared" si="137"/>
        <v>0</v>
      </c>
      <c r="E8247" s="124" t="s">
        <v>8</v>
      </c>
      <c r="F8247" s="129">
        <v>1755</v>
      </c>
      <c r="G8247" s="128">
        <v>150052.5</v>
      </c>
      <c r="H8247" s="124" t="s">
        <v>8368</v>
      </c>
      <c r="I8247" s="128">
        <v>10800</v>
      </c>
      <c r="J8247" s="128">
        <v>54000</v>
      </c>
    </row>
    <row r="8248" spans="1:10" hidden="1" x14ac:dyDescent="0.25">
      <c r="A8248" s="124" t="s">
        <v>10527</v>
      </c>
      <c r="B8248" s="124" t="s">
        <v>11736</v>
      </c>
      <c r="C8248" s="132"/>
      <c r="D8248" s="125">
        <f t="shared" si="137"/>
        <v>0</v>
      </c>
      <c r="E8248" s="124" t="s">
        <v>8367</v>
      </c>
      <c r="F8248" s="126">
        <v>2</v>
      </c>
      <c r="G8248" s="128">
        <v>1656</v>
      </c>
      <c r="H8248" s="124" t="s">
        <v>8368</v>
      </c>
      <c r="I8248" s="128">
        <v>1933.4</v>
      </c>
      <c r="J8248" s="128">
        <v>9667</v>
      </c>
    </row>
    <row r="8249" spans="1:10" hidden="1" x14ac:dyDescent="0.25">
      <c r="A8249" s="124" t="s">
        <v>10528</v>
      </c>
      <c r="B8249" s="124" t="s">
        <v>11736</v>
      </c>
      <c r="C8249" s="132"/>
      <c r="D8249" s="125">
        <f t="shared" si="137"/>
        <v>0</v>
      </c>
      <c r="E8249" s="124" t="s">
        <v>8367</v>
      </c>
      <c r="F8249" s="126">
        <v>2</v>
      </c>
      <c r="G8249" s="128">
        <v>50799.6</v>
      </c>
      <c r="H8249" s="124" t="s">
        <v>8368</v>
      </c>
      <c r="I8249" s="128">
        <v>1933.4</v>
      </c>
      <c r="J8249" s="128">
        <v>9667</v>
      </c>
    </row>
    <row r="8250" spans="1:10" hidden="1" x14ac:dyDescent="0.25">
      <c r="A8250" s="124" t="s">
        <v>10529</v>
      </c>
      <c r="B8250" s="124" t="s">
        <v>11736</v>
      </c>
      <c r="C8250" s="132"/>
      <c r="D8250" s="125">
        <f t="shared" si="137"/>
        <v>0</v>
      </c>
      <c r="E8250" s="124" t="s">
        <v>8367</v>
      </c>
      <c r="F8250" s="126">
        <v>2</v>
      </c>
      <c r="G8250" s="128">
        <v>64800</v>
      </c>
      <c r="H8250" s="124" t="s">
        <v>8368</v>
      </c>
      <c r="I8250" s="127">
        <v>817</v>
      </c>
      <c r="J8250" s="128">
        <v>4085</v>
      </c>
    </row>
    <row r="8251" spans="1:10" hidden="1" x14ac:dyDescent="0.25">
      <c r="A8251" s="124" t="s">
        <v>10530</v>
      </c>
      <c r="B8251" s="124" t="s">
        <v>11736</v>
      </c>
      <c r="C8251" s="132"/>
      <c r="D8251" s="125">
        <f t="shared" si="137"/>
        <v>0</v>
      </c>
      <c r="E8251" s="124" t="s">
        <v>8367</v>
      </c>
      <c r="F8251" s="126">
        <v>2</v>
      </c>
      <c r="G8251" s="128">
        <v>11600.4</v>
      </c>
      <c r="H8251" s="124" t="s">
        <v>8368</v>
      </c>
      <c r="I8251" s="127">
        <v>58</v>
      </c>
      <c r="J8251" s="127">
        <v>290</v>
      </c>
    </row>
    <row r="8252" spans="1:10" hidden="1" x14ac:dyDescent="0.25">
      <c r="A8252" s="124" t="s">
        <v>10531</v>
      </c>
      <c r="B8252" s="124" t="s">
        <v>11736</v>
      </c>
      <c r="C8252" s="132"/>
      <c r="D8252" s="125">
        <f t="shared" si="137"/>
        <v>0</v>
      </c>
      <c r="E8252" s="124" t="s">
        <v>8367</v>
      </c>
      <c r="F8252" s="126">
        <v>2</v>
      </c>
      <c r="G8252" s="128">
        <v>11600.4</v>
      </c>
      <c r="H8252" s="124" t="s">
        <v>8368</v>
      </c>
      <c r="I8252" s="127">
        <v>113.4</v>
      </c>
      <c r="J8252" s="127">
        <v>567</v>
      </c>
    </row>
    <row r="8253" spans="1:10" hidden="1" x14ac:dyDescent="0.25">
      <c r="A8253" s="124" t="s">
        <v>10532</v>
      </c>
      <c r="B8253" s="124" t="s">
        <v>11736</v>
      </c>
      <c r="C8253" s="132"/>
      <c r="D8253" s="125">
        <f t="shared" si="137"/>
        <v>0</v>
      </c>
      <c r="E8253" s="124" t="s">
        <v>8367</v>
      </c>
      <c r="F8253" s="126">
        <v>2</v>
      </c>
      <c r="G8253" s="128">
        <v>4902</v>
      </c>
      <c r="H8253" s="124" t="s">
        <v>8368</v>
      </c>
      <c r="I8253" s="127">
        <v>325.60000000000002</v>
      </c>
      <c r="J8253" s="128">
        <v>1628</v>
      </c>
    </row>
    <row r="8254" spans="1:10" hidden="1" x14ac:dyDescent="0.25">
      <c r="A8254" s="124" t="s">
        <v>10533</v>
      </c>
      <c r="B8254" s="124" t="s">
        <v>11736</v>
      </c>
      <c r="C8254" s="132"/>
      <c r="D8254" s="125">
        <f t="shared" si="137"/>
        <v>0</v>
      </c>
      <c r="E8254" s="124" t="s">
        <v>8367</v>
      </c>
      <c r="F8254" s="126">
        <v>2</v>
      </c>
      <c r="G8254" s="127">
        <v>348</v>
      </c>
      <c r="H8254" s="124" t="s">
        <v>8368</v>
      </c>
      <c r="I8254" s="127">
        <v>325.60000000000002</v>
      </c>
      <c r="J8254" s="128">
        <v>1628</v>
      </c>
    </row>
    <row r="8255" spans="1:10" hidden="1" x14ac:dyDescent="0.25">
      <c r="A8255" s="124" t="s">
        <v>10534</v>
      </c>
      <c r="B8255" s="124" t="s">
        <v>11736</v>
      </c>
      <c r="C8255" s="132"/>
      <c r="D8255" s="125">
        <f t="shared" si="137"/>
        <v>0</v>
      </c>
      <c r="E8255" s="124" t="s">
        <v>8367</v>
      </c>
      <c r="F8255" s="126">
        <v>10</v>
      </c>
      <c r="G8255" s="127">
        <v>680.4</v>
      </c>
      <c r="H8255" s="124" t="s">
        <v>8368</v>
      </c>
      <c r="I8255" s="127">
        <v>89.6</v>
      </c>
      <c r="J8255" s="127">
        <v>448</v>
      </c>
    </row>
    <row r="8256" spans="1:10" hidden="1" x14ac:dyDescent="0.25">
      <c r="A8256" s="124" t="s">
        <v>10535</v>
      </c>
      <c r="B8256" s="124" t="s">
        <v>11736</v>
      </c>
      <c r="C8256" s="132"/>
      <c r="D8256" s="125">
        <f t="shared" si="137"/>
        <v>0</v>
      </c>
      <c r="E8256" s="124" t="s">
        <v>9270</v>
      </c>
      <c r="F8256" s="126">
        <v>1</v>
      </c>
      <c r="G8256" s="128">
        <v>1953.6</v>
      </c>
      <c r="H8256" s="124" t="s">
        <v>8368</v>
      </c>
      <c r="I8256" s="128">
        <v>8395</v>
      </c>
      <c r="J8256" s="128">
        <v>41975</v>
      </c>
    </row>
    <row r="8257" spans="1:10" hidden="1" x14ac:dyDescent="0.25">
      <c r="A8257" s="124" t="s">
        <v>10536</v>
      </c>
      <c r="B8257" s="124" t="s">
        <v>11736</v>
      </c>
      <c r="C8257" s="132"/>
      <c r="D8257" s="125">
        <f t="shared" si="137"/>
        <v>0</v>
      </c>
      <c r="E8257" s="124" t="s">
        <v>9270</v>
      </c>
      <c r="F8257" s="126">
        <v>1</v>
      </c>
      <c r="G8257" s="128">
        <v>1953.6</v>
      </c>
      <c r="H8257" s="124" t="s">
        <v>8368</v>
      </c>
      <c r="I8257" s="127">
        <v>113.4</v>
      </c>
      <c r="J8257" s="127">
        <v>567</v>
      </c>
    </row>
    <row r="8258" spans="1:10" hidden="1" x14ac:dyDescent="0.25">
      <c r="A8258" s="124" t="s">
        <v>10537</v>
      </c>
      <c r="B8258" s="124" t="s">
        <v>11736</v>
      </c>
      <c r="C8258" s="132"/>
      <c r="D8258" s="125">
        <f t="shared" si="137"/>
        <v>0</v>
      </c>
      <c r="E8258" s="124" t="s">
        <v>8367</v>
      </c>
      <c r="F8258" s="126">
        <v>3</v>
      </c>
      <c r="G8258" s="127">
        <v>537.6</v>
      </c>
      <c r="H8258" s="124" t="s">
        <v>8368</v>
      </c>
      <c r="I8258" s="127">
        <v>651.20000000000005</v>
      </c>
      <c r="J8258" s="128">
        <v>3256</v>
      </c>
    </row>
    <row r="8259" spans="1:10" hidden="1" x14ac:dyDescent="0.25">
      <c r="A8259" s="124" t="s">
        <v>10538</v>
      </c>
      <c r="B8259" s="124" t="s">
        <v>11736</v>
      </c>
      <c r="C8259" s="132"/>
      <c r="D8259" s="125">
        <f t="shared" si="137"/>
        <v>0</v>
      </c>
      <c r="E8259" s="124" t="s">
        <v>8367</v>
      </c>
      <c r="F8259" s="126">
        <v>10</v>
      </c>
      <c r="G8259" s="128">
        <v>50370</v>
      </c>
      <c r="H8259" s="124" t="s">
        <v>8368</v>
      </c>
      <c r="I8259" s="127">
        <v>168.4</v>
      </c>
      <c r="J8259" s="127">
        <v>842</v>
      </c>
    </row>
    <row r="8260" spans="1:10" hidden="1" x14ac:dyDescent="0.25">
      <c r="A8260" s="124" t="s">
        <v>10539</v>
      </c>
      <c r="B8260" s="124" t="s">
        <v>11736</v>
      </c>
      <c r="C8260" s="132"/>
      <c r="D8260" s="125">
        <f t="shared" si="137"/>
        <v>0</v>
      </c>
      <c r="E8260" s="124" t="s">
        <v>8367</v>
      </c>
      <c r="F8260" s="126">
        <v>10</v>
      </c>
      <c r="G8260" s="127">
        <v>680.4</v>
      </c>
      <c r="H8260" s="124" t="s">
        <v>8368</v>
      </c>
      <c r="I8260" s="128">
        <v>8176.53</v>
      </c>
      <c r="J8260" s="128">
        <v>40882.629999999997</v>
      </c>
    </row>
    <row r="8261" spans="1:10" hidden="1" x14ac:dyDescent="0.25">
      <c r="A8261" s="124" t="s">
        <v>10540</v>
      </c>
      <c r="B8261" s="124" t="s">
        <v>11736</v>
      </c>
      <c r="C8261" s="132"/>
      <c r="D8261" s="125">
        <f t="shared" si="137"/>
        <v>0</v>
      </c>
      <c r="E8261" s="124" t="s">
        <v>9270</v>
      </c>
      <c r="F8261" s="126">
        <v>2</v>
      </c>
      <c r="G8261" s="128">
        <v>3907.2</v>
      </c>
      <c r="H8261" s="124" t="s">
        <v>8368</v>
      </c>
      <c r="I8261" s="127">
        <v>345.8</v>
      </c>
      <c r="J8261" s="128">
        <v>1729</v>
      </c>
    </row>
    <row r="8262" spans="1:10" hidden="1" x14ac:dyDescent="0.25">
      <c r="A8262" s="124" t="s">
        <v>10541</v>
      </c>
      <c r="B8262" s="124" t="s">
        <v>11736</v>
      </c>
      <c r="C8262" s="132"/>
      <c r="D8262" s="125">
        <f>COUNTIF(A3895:A8261,A8262)</f>
        <v>0</v>
      </c>
      <c r="E8262" s="124" t="s">
        <v>9270</v>
      </c>
      <c r="F8262" s="126">
        <v>33</v>
      </c>
      <c r="G8262" s="128">
        <v>1010.4</v>
      </c>
      <c r="H8262" s="124" t="s">
        <v>8368</v>
      </c>
      <c r="I8262" s="128">
        <v>1122</v>
      </c>
      <c r="J8262" s="128">
        <v>5610</v>
      </c>
    </row>
    <row r="8263" spans="1:10" hidden="1" x14ac:dyDescent="0.25">
      <c r="A8263" s="124" t="s">
        <v>5379</v>
      </c>
      <c r="B8263" s="124" t="s">
        <v>11736</v>
      </c>
      <c r="C8263" s="132"/>
      <c r="D8263" s="125">
        <f>COUNTIF(A3896:A8262,A8263)</f>
        <v>0</v>
      </c>
      <c r="E8263" s="124" t="s">
        <v>9270</v>
      </c>
      <c r="F8263" s="126">
        <v>583</v>
      </c>
      <c r="G8263" s="128">
        <v>49059.16</v>
      </c>
      <c r="H8263" s="124" t="s">
        <v>8368</v>
      </c>
      <c r="I8263" s="128">
        <v>3954.9</v>
      </c>
      <c r="J8263" s="128">
        <v>19774.5</v>
      </c>
    </row>
    <row r="8264" spans="1:10" hidden="1" x14ac:dyDescent="0.25">
      <c r="A8264" s="124" t="s">
        <v>10542</v>
      </c>
      <c r="B8264" s="124" t="s">
        <v>11736</v>
      </c>
      <c r="C8264" s="132"/>
      <c r="D8264" s="125">
        <f>COUNTIF(A3898:A8263,A8264)</f>
        <v>0</v>
      </c>
      <c r="E8264" s="124" t="s">
        <v>8367</v>
      </c>
      <c r="F8264" s="126">
        <v>5</v>
      </c>
      <c r="G8264" s="128">
        <v>2074.8000000000002</v>
      </c>
      <c r="H8264" s="124" t="s">
        <v>8368</v>
      </c>
      <c r="I8264" s="127">
        <v>420</v>
      </c>
      <c r="J8264" s="128">
        <v>2100</v>
      </c>
    </row>
    <row r="8265" spans="1:10" hidden="1" x14ac:dyDescent="0.25">
      <c r="A8265" s="124" t="s">
        <v>5392</v>
      </c>
      <c r="B8265" s="124" t="s">
        <v>11736</v>
      </c>
      <c r="C8265" s="132"/>
      <c r="D8265" s="125">
        <f>COUNTIF(A3899:A8264,A8265)</f>
        <v>0</v>
      </c>
      <c r="E8265" s="124" t="s">
        <v>9270</v>
      </c>
      <c r="F8265" s="126">
        <v>80</v>
      </c>
      <c r="G8265" s="128">
        <v>6732</v>
      </c>
      <c r="H8265" s="124" t="s">
        <v>8368</v>
      </c>
      <c r="I8265" s="128">
        <v>1249.8</v>
      </c>
      <c r="J8265" s="128">
        <v>6249</v>
      </c>
    </row>
    <row r="8266" spans="1:10" hidden="1" x14ac:dyDescent="0.25">
      <c r="A8266" s="124" t="s">
        <v>5169</v>
      </c>
      <c r="B8266" s="124" t="s">
        <v>11736</v>
      </c>
      <c r="C8266" s="132"/>
      <c r="D8266" s="125">
        <f>COUNTIF(A3900:A8265,A8266)</f>
        <v>0</v>
      </c>
      <c r="E8266" s="124" t="s">
        <v>8367</v>
      </c>
      <c r="F8266" s="126">
        <v>94</v>
      </c>
      <c r="G8266" s="128">
        <v>23729.4</v>
      </c>
      <c r="H8266" s="124" t="s">
        <v>8368</v>
      </c>
      <c r="I8266" s="127">
        <v>704.49</v>
      </c>
      <c r="J8266" s="128">
        <v>3522.45</v>
      </c>
    </row>
    <row r="8267" spans="1:10" hidden="1" x14ac:dyDescent="0.25">
      <c r="A8267" s="124" t="s">
        <v>10543</v>
      </c>
      <c r="B8267" s="124" t="s">
        <v>11736</v>
      </c>
      <c r="C8267" s="132"/>
      <c r="D8267" s="125">
        <f>COUNTIF(A3902:A8266,A8267)</f>
        <v>0</v>
      </c>
      <c r="E8267" s="124" t="s">
        <v>1</v>
      </c>
      <c r="F8267" s="126">
        <v>3.15</v>
      </c>
      <c r="G8267" s="128">
        <v>2520</v>
      </c>
      <c r="H8267" s="124" t="s">
        <v>8368</v>
      </c>
      <c r="I8267" s="127">
        <v>598</v>
      </c>
      <c r="J8267" s="128">
        <v>2990</v>
      </c>
    </row>
    <row r="8268" spans="1:10" hidden="1" x14ac:dyDescent="0.25">
      <c r="A8268" s="124" t="s">
        <v>10544</v>
      </c>
      <c r="B8268" s="124" t="s">
        <v>11736</v>
      </c>
      <c r="C8268" s="132"/>
      <c r="D8268" s="125">
        <f t="shared" ref="D8268:D8285" si="138">COUNTIF(A3904:A8267,A8268)</f>
        <v>0</v>
      </c>
      <c r="E8268" s="124" t="s">
        <v>8367</v>
      </c>
      <c r="F8268" s="126">
        <v>1</v>
      </c>
      <c r="G8268" s="128">
        <v>7498.8</v>
      </c>
      <c r="H8268" s="124" t="s">
        <v>8368</v>
      </c>
      <c r="I8268" s="127">
        <v>732.78</v>
      </c>
      <c r="J8268" s="128">
        <v>3663.9</v>
      </c>
    </row>
    <row r="8269" spans="1:10" hidden="1" x14ac:dyDescent="0.25">
      <c r="A8269" s="124" t="s">
        <v>10545</v>
      </c>
      <c r="B8269" s="124" t="s">
        <v>11736</v>
      </c>
      <c r="C8269" s="132"/>
      <c r="D8269" s="125">
        <f t="shared" si="138"/>
        <v>0</v>
      </c>
      <c r="E8269" s="124" t="s">
        <v>8367</v>
      </c>
      <c r="F8269" s="126">
        <v>3</v>
      </c>
      <c r="G8269" s="128">
        <v>4226.9399999999996</v>
      </c>
      <c r="H8269" s="124" t="s">
        <v>8368</v>
      </c>
      <c r="I8269" s="128">
        <v>1175.76</v>
      </c>
      <c r="J8269" s="128">
        <v>5878.8</v>
      </c>
    </row>
    <row r="8270" spans="1:10" hidden="1" x14ac:dyDescent="0.25">
      <c r="A8270" s="124" t="s">
        <v>10546</v>
      </c>
      <c r="B8270" s="124" t="s">
        <v>11736</v>
      </c>
      <c r="C8270" s="132"/>
      <c r="D8270" s="125">
        <f t="shared" si="138"/>
        <v>0</v>
      </c>
      <c r="E8270" s="124" t="s">
        <v>8367</v>
      </c>
      <c r="F8270" s="126">
        <v>20</v>
      </c>
      <c r="G8270" s="128">
        <v>3588</v>
      </c>
      <c r="H8270" s="124" t="s">
        <v>8368</v>
      </c>
      <c r="I8270" s="127">
        <v>632.5</v>
      </c>
      <c r="J8270" s="128">
        <v>3162.5</v>
      </c>
    </row>
    <row r="8271" spans="1:10" hidden="1" x14ac:dyDescent="0.25">
      <c r="A8271" s="124" t="s">
        <v>10547</v>
      </c>
      <c r="B8271" s="124" t="s">
        <v>11736</v>
      </c>
      <c r="C8271" s="132"/>
      <c r="D8271" s="125">
        <f t="shared" si="138"/>
        <v>0</v>
      </c>
      <c r="E8271" s="124" t="s">
        <v>8367</v>
      </c>
      <c r="F8271" s="126">
        <v>3</v>
      </c>
      <c r="G8271" s="128">
        <v>4396.68</v>
      </c>
      <c r="H8271" s="124" t="s">
        <v>8368</v>
      </c>
      <c r="I8271" s="127">
        <v>172.6</v>
      </c>
      <c r="J8271" s="127">
        <v>863</v>
      </c>
    </row>
    <row r="8272" spans="1:10" hidden="1" x14ac:dyDescent="0.25">
      <c r="A8272" s="124" t="s">
        <v>10548</v>
      </c>
      <c r="B8272" s="124" t="s">
        <v>11736</v>
      </c>
      <c r="C8272" s="132"/>
      <c r="D8272" s="125">
        <f t="shared" si="138"/>
        <v>0</v>
      </c>
      <c r="E8272" s="124" t="s">
        <v>8367</v>
      </c>
      <c r="F8272" s="126">
        <v>2</v>
      </c>
      <c r="G8272" s="128">
        <v>7054.56</v>
      </c>
      <c r="H8272" s="124" t="s">
        <v>8368</v>
      </c>
      <c r="I8272" s="127">
        <v>206</v>
      </c>
      <c r="J8272" s="128">
        <v>1030</v>
      </c>
    </row>
    <row r="8273" spans="1:10" hidden="1" x14ac:dyDescent="0.25">
      <c r="A8273" s="124" t="s">
        <v>10549</v>
      </c>
      <c r="B8273" s="124" t="s">
        <v>11736</v>
      </c>
      <c r="C8273" s="132"/>
      <c r="D8273" s="125">
        <f t="shared" si="138"/>
        <v>0</v>
      </c>
      <c r="E8273" s="124" t="s">
        <v>8367</v>
      </c>
      <c r="F8273" s="126">
        <v>10</v>
      </c>
      <c r="G8273" s="128">
        <v>3795</v>
      </c>
      <c r="H8273" s="124" t="s">
        <v>8368</v>
      </c>
      <c r="I8273" s="127">
        <v>755</v>
      </c>
      <c r="J8273" s="128">
        <v>3775</v>
      </c>
    </row>
    <row r="8274" spans="1:10" hidden="1" x14ac:dyDescent="0.25">
      <c r="A8274" s="124" t="s">
        <v>10550</v>
      </c>
      <c r="B8274" s="124" t="s">
        <v>11736</v>
      </c>
      <c r="C8274" s="132"/>
      <c r="D8274" s="125">
        <f t="shared" si="138"/>
        <v>0</v>
      </c>
      <c r="E8274" s="124" t="s">
        <v>8367</v>
      </c>
      <c r="F8274" s="126">
        <v>5</v>
      </c>
      <c r="G8274" s="128">
        <v>1035.5999999999999</v>
      </c>
      <c r="H8274" s="124" t="s">
        <v>8368</v>
      </c>
      <c r="I8274" s="127">
        <v>269.60000000000002</v>
      </c>
      <c r="J8274" s="128">
        <v>1348</v>
      </c>
    </row>
    <row r="8275" spans="1:10" hidden="1" x14ac:dyDescent="0.25">
      <c r="A8275" s="124" t="s">
        <v>10551</v>
      </c>
      <c r="B8275" s="124" t="s">
        <v>11736</v>
      </c>
      <c r="C8275" s="132"/>
      <c r="D8275" s="125">
        <f t="shared" si="138"/>
        <v>0</v>
      </c>
      <c r="E8275" s="124" t="s">
        <v>8367</v>
      </c>
      <c r="F8275" s="126">
        <v>6</v>
      </c>
      <c r="G8275" s="128">
        <v>1236</v>
      </c>
      <c r="H8275" s="124" t="s">
        <v>8368</v>
      </c>
      <c r="I8275" s="127">
        <v>346</v>
      </c>
      <c r="J8275" s="128">
        <v>1730</v>
      </c>
    </row>
    <row r="8276" spans="1:10" hidden="1" x14ac:dyDescent="0.25">
      <c r="A8276" s="124" t="s">
        <v>10552</v>
      </c>
      <c r="B8276" s="124" t="s">
        <v>11736</v>
      </c>
      <c r="C8276" s="132"/>
      <c r="D8276" s="125">
        <f t="shared" si="138"/>
        <v>0</v>
      </c>
      <c r="E8276" s="124" t="s">
        <v>8367</v>
      </c>
      <c r="F8276" s="126">
        <v>10</v>
      </c>
      <c r="G8276" s="128">
        <v>4530</v>
      </c>
      <c r="H8276" s="124" t="s">
        <v>8368</v>
      </c>
      <c r="I8276" s="127">
        <v>323.39999999999998</v>
      </c>
      <c r="J8276" s="128">
        <v>1617</v>
      </c>
    </row>
    <row r="8277" spans="1:10" hidden="1" x14ac:dyDescent="0.25">
      <c r="A8277" s="124" t="s">
        <v>10553</v>
      </c>
      <c r="B8277" s="124" t="s">
        <v>11736</v>
      </c>
      <c r="C8277" s="132"/>
      <c r="D8277" s="125">
        <f t="shared" si="138"/>
        <v>0</v>
      </c>
      <c r="E8277" s="124" t="s">
        <v>8367</v>
      </c>
      <c r="F8277" s="126">
        <v>12</v>
      </c>
      <c r="G8277" s="128">
        <v>1617.6</v>
      </c>
      <c r="H8277" s="124" t="s">
        <v>8368</v>
      </c>
      <c r="I8277" s="127">
        <v>57.6</v>
      </c>
      <c r="J8277" s="127">
        <v>288</v>
      </c>
    </row>
    <row r="8278" spans="1:10" hidden="1" x14ac:dyDescent="0.25">
      <c r="A8278" s="124" t="s">
        <v>10554</v>
      </c>
      <c r="B8278" s="124" t="s">
        <v>11736</v>
      </c>
      <c r="C8278" s="132"/>
      <c r="D8278" s="125">
        <f t="shared" si="138"/>
        <v>0</v>
      </c>
      <c r="E8278" s="124" t="s">
        <v>8367</v>
      </c>
      <c r="F8278" s="126">
        <v>12</v>
      </c>
      <c r="G8278" s="128">
        <v>2076</v>
      </c>
      <c r="H8278" s="124" t="s">
        <v>8368</v>
      </c>
      <c r="I8278" s="128">
        <v>19333.400000000001</v>
      </c>
      <c r="J8278" s="128">
        <v>96667</v>
      </c>
    </row>
    <row r="8279" spans="1:10" hidden="1" x14ac:dyDescent="0.25">
      <c r="A8279" s="124" t="s">
        <v>10555</v>
      </c>
      <c r="B8279" s="124" t="s">
        <v>11736</v>
      </c>
      <c r="C8279" s="132"/>
      <c r="D8279" s="125">
        <f t="shared" si="138"/>
        <v>0</v>
      </c>
      <c r="E8279" s="124" t="s">
        <v>8367</v>
      </c>
      <c r="F8279" s="126">
        <v>10</v>
      </c>
      <c r="G8279" s="128">
        <v>1940.4</v>
      </c>
      <c r="H8279" s="124" t="s">
        <v>8368</v>
      </c>
      <c r="I8279" s="128">
        <v>1033.4000000000001</v>
      </c>
      <c r="J8279" s="128">
        <v>5167</v>
      </c>
    </row>
    <row r="8280" spans="1:10" hidden="1" x14ac:dyDescent="0.25">
      <c r="A8280" s="124" t="s">
        <v>10556</v>
      </c>
      <c r="B8280" s="124" t="s">
        <v>11736</v>
      </c>
      <c r="C8280" s="132"/>
      <c r="D8280" s="125">
        <f t="shared" si="138"/>
        <v>0</v>
      </c>
      <c r="E8280" s="124" t="s">
        <v>8367</v>
      </c>
      <c r="F8280" s="126">
        <v>3</v>
      </c>
      <c r="G8280" s="127">
        <v>345.6</v>
      </c>
      <c r="H8280" s="124" t="s">
        <v>8368</v>
      </c>
      <c r="I8280" s="127">
        <v>808.4</v>
      </c>
      <c r="J8280" s="128">
        <v>4042</v>
      </c>
    </row>
    <row r="8281" spans="1:10" hidden="1" x14ac:dyDescent="0.25">
      <c r="A8281" s="124" t="s">
        <v>10557</v>
      </c>
      <c r="B8281" s="124" t="s">
        <v>11736</v>
      </c>
      <c r="C8281" s="132"/>
      <c r="D8281" s="125">
        <f t="shared" si="138"/>
        <v>0</v>
      </c>
      <c r="E8281" s="124" t="s">
        <v>8367</v>
      </c>
      <c r="F8281" s="126">
        <v>5</v>
      </c>
      <c r="G8281" s="128">
        <v>116000.4</v>
      </c>
      <c r="H8281" s="124" t="s">
        <v>8368</v>
      </c>
      <c r="I8281" s="128">
        <v>28618.85</v>
      </c>
      <c r="J8281" s="128">
        <v>143094.23000000001</v>
      </c>
    </row>
    <row r="8282" spans="1:10" hidden="1" x14ac:dyDescent="0.25">
      <c r="A8282" s="124" t="s">
        <v>10558</v>
      </c>
      <c r="B8282" s="124" t="s">
        <v>11736</v>
      </c>
      <c r="C8282" s="132"/>
      <c r="D8282" s="125">
        <f t="shared" si="138"/>
        <v>0</v>
      </c>
      <c r="E8282" s="124" t="s">
        <v>8367</v>
      </c>
      <c r="F8282" s="126">
        <v>1</v>
      </c>
      <c r="G8282" s="128">
        <v>6200.4</v>
      </c>
      <c r="H8282" s="124" t="s">
        <v>8368</v>
      </c>
      <c r="I8282" s="128">
        <v>145533.32999999999</v>
      </c>
      <c r="J8282" s="128">
        <v>727666.67</v>
      </c>
    </row>
    <row r="8283" spans="1:10" hidden="1" x14ac:dyDescent="0.25">
      <c r="A8283" s="124" t="s">
        <v>10559</v>
      </c>
      <c r="B8283" s="124" t="s">
        <v>11736</v>
      </c>
      <c r="C8283" s="132"/>
      <c r="D8283" s="125">
        <f t="shared" si="138"/>
        <v>0</v>
      </c>
      <c r="E8283" s="124" t="s">
        <v>8367</v>
      </c>
      <c r="F8283" s="126">
        <v>1</v>
      </c>
      <c r="G8283" s="128">
        <v>4850.3999999999996</v>
      </c>
      <c r="H8283" s="124" t="s">
        <v>8368</v>
      </c>
      <c r="I8283" s="128">
        <v>924617.86</v>
      </c>
      <c r="J8283" s="128">
        <v>4623089.3099999996</v>
      </c>
    </row>
    <row r="8284" spans="1:10" hidden="1" x14ac:dyDescent="0.25">
      <c r="A8284" s="124" t="s">
        <v>7</v>
      </c>
      <c r="B8284" s="124" t="s">
        <v>11736</v>
      </c>
      <c r="C8284" s="132"/>
      <c r="D8284" s="125">
        <f t="shared" si="138"/>
        <v>0</v>
      </c>
      <c r="E8284" s="124" t="s">
        <v>8</v>
      </c>
      <c r="F8284" s="126">
        <v>86.76</v>
      </c>
      <c r="G8284" s="128">
        <v>171713.08</v>
      </c>
      <c r="H8284" s="124" t="s">
        <v>8368</v>
      </c>
      <c r="I8284" s="128">
        <v>1633.33</v>
      </c>
      <c r="J8284" s="128">
        <v>8166.67</v>
      </c>
    </row>
    <row r="8285" spans="1:10" hidden="1" x14ac:dyDescent="0.25">
      <c r="A8285" s="124" t="s">
        <v>10560</v>
      </c>
      <c r="B8285" s="124" t="s">
        <v>11736</v>
      </c>
      <c r="C8285" s="132"/>
      <c r="D8285" s="125">
        <f t="shared" si="138"/>
        <v>0</v>
      </c>
      <c r="E8285" s="124" t="s">
        <v>9270</v>
      </c>
      <c r="F8285" s="126">
        <v>236</v>
      </c>
      <c r="G8285" s="128">
        <v>873200</v>
      </c>
      <c r="H8285" s="124" t="s">
        <v>8368</v>
      </c>
      <c r="I8285" s="127">
        <v>513.33000000000004</v>
      </c>
      <c r="J8285" s="128">
        <v>2566.67</v>
      </c>
    </row>
    <row r="8286" spans="1:10" hidden="1" x14ac:dyDescent="0.25">
      <c r="A8286" s="124" t="s">
        <v>5498</v>
      </c>
      <c r="B8286" s="124" t="s">
        <v>11736</v>
      </c>
      <c r="C8286" s="132"/>
      <c r="D8286" s="125">
        <f>COUNTIF(A3923:A8285,A8286)</f>
        <v>0</v>
      </c>
      <c r="E8286" s="124" t="s">
        <v>8367</v>
      </c>
      <c r="F8286" s="129">
        <v>1913</v>
      </c>
      <c r="G8286" s="128">
        <v>5547707.1699999999</v>
      </c>
      <c r="H8286" s="124" t="s">
        <v>8368</v>
      </c>
      <c r="I8286" s="127">
        <v>427.33</v>
      </c>
      <c r="J8286" s="128">
        <v>2136.67</v>
      </c>
    </row>
    <row r="8287" spans="1:10" hidden="1" x14ac:dyDescent="0.25">
      <c r="A8287" s="124" t="s">
        <v>10561</v>
      </c>
      <c r="B8287" s="124" t="s">
        <v>11736</v>
      </c>
      <c r="C8287" s="132"/>
      <c r="D8287" s="125">
        <f>COUNTIF(A3929:A8286,A8287)</f>
        <v>0</v>
      </c>
      <c r="E8287" s="124" t="s">
        <v>8367</v>
      </c>
      <c r="F8287" s="126">
        <v>29</v>
      </c>
      <c r="G8287" s="128">
        <v>9800</v>
      </c>
      <c r="H8287" s="124" t="s">
        <v>8368</v>
      </c>
      <c r="I8287" s="127">
        <v>182.68</v>
      </c>
      <c r="J8287" s="127">
        <v>913.4</v>
      </c>
    </row>
    <row r="8288" spans="1:10" hidden="1" x14ac:dyDescent="0.25">
      <c r="A8288" s="124" t="s">
        <v>10562</v>
      </c>
      <c r="B8288" s="124" t="s">
        <v>11736</v>
      </c>
      <c r="C8288" s="132"/>
      <c r="D8288" s="125">
        <f>COUNTIF(A3930:A8287,A8288)</f>
        <v>0</v>
      </c>
      <c r="E8288" s="124" t="s">
        <v>8367</v>
      </c>
      <c r="F8288" s="126">
        <v>28</v>
      </c>
      <c r="G8288" s="128">
        <v>3080</v>
      </c>
      <c r="H8288" s="124" t="s">
        <v>8368</v>
      </c>
      <c r="I8288" s="127">
        <v>353.28</v>
      </c>
      <c r="J8288" s="128">
        <v>1766.4</v>
      </c>
    </row>
    <row r="8289" spans="1:10" hidden="1" x14ac:dyDescent="0.25">
      <c r="A8289" s="124" t="s">
        <v>4182</v>
      </c>
      <c r="B8289" s="124" t="s">
        <v>11736</v>
      </c>
      <c r="C8289" s="132"/>
      <c r="D8289" s="125">
        <f>COUNTIF(A3931:A8288,A8289)</f>
        <v>0</v>
      </c>
      <c r="E8289" s="124" t="s">
        <v>8367</v>
      </c>
      <c r="F8289" s="126">
        <v>1</v>
      </c>
      <c r="G8289" s="128">
        <v>2564</v>
      </c>
      <c r="H8289" s="124" t="s">
        <v>8368</v>
      </c>
      <c r="I8289" s="127">
        <v>110</v>
      </c>
      <c r="J8289" s="127">
        <v>550</v>
      </c>
    </row>
    <row r="8290" spans="1:10" hidden="1" x14ac:dyDescent="0.25">
      <c r="A8290" s="124" t="s">
        <v>2696</v>
      </c>
      <c r="B8290" s="124" t="s">
        <v>11736</v>
      </c>
      <c r="C8290" s="132"/>
      <c r="D8290" s="125">
        <f>COUNTIF(A3933:A8289,A8290)</f>
        <v>0</v>
      </c>
      <c r="E8290" s="124" t="s">
        <v>8367</v>
      </c>
      <c r="F8290" s="126">
        <v>2</v>
      </c>
      <c r="G8290" s="128">
        <v>1096.08</v>
      </c>
      <c r="H8290" s="124" t="s">
        <v>8368</v>
      </c>
      <c r="I8290" s="127">
        <v>206</v>
      </c>
      <c r="J8290" s="128">
        <v>1030</v>
      </c>
    </row>
    <row r="8291" spans="1:10" hidden="1" x14ac:dyDescent="0.25">
      <c r="A8291" s="124" t="s">
        <v>10563</v>
      </c>
      <c r="B8291" s="124" t="s">
        <v>11736</v>
      </c>
      <c r="C8291" s="132"/>
      <c r="D8291" s="125">
        <f>COUNTIF(A3935:A8290,A8291)</f>
        <v>0</v>
      </c>
      <c r="E8291" s="124" t="s">
        <v>8367</v>
      </c>
      <c r="F8291" s="126">
        <v>8</v>
      </c>
      <c r="G8291" s="128">
        <v>2119.6799999999998</v>
      </c>
      <c r="H8291" s="124" t="s">
        <v>8368</v>
      </c>
      <c r="I8291" s="127">
        <v>961.6</v>
      </c>
      <c r="J8291" s="128">
        <v>4808</v>
      </c>
    </row>
    <row r="8292" spans="1:10" hidden="1" x14ac:dyDescent="0.25">
      <c r="A8292" s="124" t="s">
        <v>4946</v>
      </c>
      <c r="B8292" s="124" t="s">
        <v>11736</v>
      </c>
      <c r="C8292" s="132"/>
      <c r="D8292" s="125">
        <f>COUNTIF(A3937:A8291,A8292)</f>
        <v>0</v>
      </c>
      <c r="E8292" s="124" t="s">
        <v>8367</v>
      </c>
      <c r="F8292" s="126">
        <v>2</v>
      </c>
      <c r="G8292" s="127">
        <v>660</v>
      </c>
      <c r="H8292" s="124" t="s">
        <v>8368</v>
      </c>
      <c r="I8292" s="127">
        <v>125</v>
      </c>
      <c r="J8292" s="127">
        <v>625</v>
      </c>
    </row>
    <row r="8293" spans="1:10" hidden="1" x14ac:dyDescent="0.25">
      <c r="A8293" s="124" t="s">
        <v>10564</v>
      </c>
      <c r="B8293" s="124" t="s">
        <v>11736</v>
      </c>
      <c r="C8293" s="132"/>
      <c r="D8293" s="125">
        <f>COUNTIF(A3939:A8292,A8293)</f>
        <v>0</v>
      </c>
      <c r="E8293" s="124" t="s">
        <v>8367</v>
      </c>
      <c r="F8293" s="126">
        <v>3</v>
      </c>
      <c r="G8293" s="128">
        <v>1236</v>
      </c>
      <c r="H8293" s="124" t="s">
        <v>8368</v>
      </c>
      <c r="I8293" s="127">
        <v>522.6</v>
      </c>
      <c r="J8293" s="128">
        <v>2613</v>
      </c>
    </row>
    <row r="8294" spans="1:10" hidden="1" x14ac:dyDescent="0.25">
      <c r="A8294" s="124" t="s">
        <v>5539</v>
      </c>
      <c r="B8294" s="124" t="s">
        <v>11736</v>
      </c>
      <c r="C8294" s="132"/>
      <c r="D8294" s="125">
        <f>COUNTIF(A3940:A8293,A8294)</f>
        <v>0</v>
      </c>
      <c r="E8294" s="124" t="s">
        <v>8367</v>
      </c>
      <c r="F8294" s="126">
        <v>2</v>
      </c>
      <c r="G8294" s="128">
        <v>5769.6</v>
      </c>
      <c r="H8294" s="124" t="s">
        <v>8368</v>
      </c>
      <c r="I8294" s="127">
        <v>347.4</v>
      </c>
      <c r="J8294" s="128">
        <v>1737</v>
      </c>
    </row>
    <row r="8295" spans="1:10" hidden="1" x14ac:dyDescent="0.25">
      <c r="A8295" s="124" t="s">
        <v>10565</v>
      </c>
      <c r="B8295" s="124" t="s">
        <v>11736</v>
      </c>
      <c r="C8295" s="132"/>
      <c r="D8295" s="125">
        <f t="shared" ref="D8295:D8326" si="139">COUNTIF(A3942:A8294,A8295)</f>
        <v>0</v>
      </c>
      <c r="E8295" s="124" t="s">
        <v>8367</v>
      </c>
      <c r="F8295" s="126">
        <v>2</v>
      </c>
      <c r="G8295" s="127">
        <v>750</v>
      </c>
      <c r="H8295" s="124" t="s">
        <v>8368</v>
      </c>
      <c r="I8295" s="128">
        <v>1833.4</v>
      </c>
      <c r="J8295" s="128">
        <v>9167</v>
      </c>
    </row>
    <row r="8296" spans="1:10" hidden="1" x14ac:dyDescent="0.25">
      <c r="A8296" s="124" t="s">
        <v>1849</v>
      </c>
      <c r="B8296" s="124" t="s">
        <v>11736</v>
      </c>
      <c r="C8296" s="132"/>
      <c r="D8296" s="125">
        <f t="shared" si="139"/>
        <v>0</v>
      </c>
      <c r="E8296" s="124" t="s">
        <v>8367</v>
      </c>
      <c r="F8296" s="126">
        <v>2</v>
      </c>
      <c r="G8296" s="128">
        <v>3135.6</v>
      </c>
      <c r="H8296" s="124" t="s">
        <v>8368</v>
      </c>
      <c r="I8296" s="128">
        <v>9749.4</v>
      </c>
      <c r="J8296" s="128">
        <v>48747</v>
      </c>
    </row>
    <row r="8297" spans="1:10" hidden="1" x14ac:dyDescent="0.25">
      <c r="A8297" s="124" t="s">
        <v>10566</v>
      </c>
      <c r="B8297" s="124" t="s">
        <v>11736</v>
      </c>
      <c r="C8297" s="132"/>
      <c r="D8297" s="125">
        <f t="shared" si="139"/>
        <v>0</v>
      </c>
      <c r="E8297" s="124" t="s">
        <v>8367</v>
      </c>
      <c r="F8297" s="126">
        <v>4</v>
      </c>
      <c r="G8297" s="128">
        <v>2084.4</v>
      </c>
      <c r="H8297" s="124" t="s">
        <v>8368</v>
      </c>
      <c r="I8297" s="128">
        <v>6982.14</v>
      </c>
      <c r="J8297" s="128">
        <v>34910.699999999997</v>
      </c>
    </row>
    <row r="8298" spans="1:10" hidden="1" x14ac:dyDescent="0.25">
      <c r="A8298" s="124" t="s">
        <v>4546</v>
      </c>
      <c r="B8298" s="124" t="s">
        <v>11736</v>
      </c>
      <c r="C8298" s="132"/>
      <c r="D8298" s="125">
        <f t="shared" si="139"/>
        <v>0</v>
      </c>
      <c r="E8298" s="124" t="s">
        <v>8367</v>
      </c>
      <c r="F8298" s="126">
        <v>10</v>
      </c>
      <c r="G8298" s="128">
        <v>11000.4</v>
      </c>
      <c r="H8298" s="124" t="s">
        <v>8368</v>
      </c>
      <c r="I8298" s="127">
        <v>192.44</v>
      </c>
      <c r="J8298" s="127">
        <v>962.19</v>
      </c>
    </row>
    <row r="8299" spans="1:10" hidden="1" x14ac:dyDescent="0.25">
      <c r="A8299" s="124" t="s">
        <v>10567</v>
      </c>
      <c r="B8299" s="124" t="s">
        <v>11736</v>
      </c>
      <c r="C8299" s="132"/>
      <c r="D8299" s="125">
        <f t="shared" si="139"/>
        <v>0</v>
      </c>
      <c r="E8299" s="124" t="s">
        <v>8367</v>
      </c>
      <c r="F8299" s="126">
        <v>3</v>
      </c>
      <c r="G8299" s="128">
        <v>58496.4</v>
      </c>
      <c r="H8299" s="124" t="s">
        <v>8368</v>
      </c>
      <c r="I8299" s="127">
        <v>192.44</v>
      </c>
      <c r="J8299" s="127">
        <v>962.19</v>
      </c>
    </row>
    <row r="8300" spans="1:10" hidden="1" x14ac:dyDescent="0.25">
      <c r="A8300" s="124" t="s">
        <v>10568</v>
      </c>
      <c r="B8300" s="124" t="s">
        <v>11736</v>
      </c>
      <c r="C8300" s="132"/>
      <c r="D8300" s="125">
        <f t="shared" si="139"/>
        <v>0</v>
      </c>
      <c r="E8300" s="124" t="s">
        <v>8367</v>
      </c>
      <c r="F8300" s="126">
        <v>4</v>
      </c>
      <c r="G8300" s="128">
        <v>41892.839999999997</v>
      </c>
      <c r="H8300" s="124" t="s">
        <v>8368</v>
      </c>
      <c r="I8300" s="127">
        <v>157.33000000000001</v>
      </c>
      <c r="J8300" s="127">
        <v>786.67</v>
      </c>
    </row>
    <row r="8301" spans="1:10" hidden="1" x14ac:dyDescent="0.25">
      <c r="A8301" s="124" t="s">
        <v>10569</v>
      </c>
      <c r="B8301" s="124" t="s">
        <v>11736</v>
      </c>
      <c r="C8301" s="132"/>
      <c r="D8301" s="125">
        <f t="shared" si="139"/>
        <v>0</v>
      </c>
      <c r="E8301" s="124" t="s">
        <v>8367</v>
      </c>
      <c r="F8301" s="126">
        <v>1</v>
      </c>
      <c r="G8301" s="128">
        <v>1154.6300000000001</v>
      </c>
      <c r="H8301" s="124" t="s">
        <v>8368</v>
      </c>
      <c r="I8301" s="127">
        <v>192.44</v>
      </c>
      <c r="J8301" s="127">
        <v>962.19</v>
      </c>
    </row>
    <row r="8302" spans="1:10" hidden="1" x14ac:dyDescent="0.25">
      <c r="A8302" s="124" t="s">
        <v>10570</v>
      </c>
      <c r="B8302" s="124" t="s">
        <v>11736</v>
      </c>
      <c r="C8302" s="132"/>
      <c r="D8302" s="125">
        <f t="shared" si="139"/>
        <v>0</v>
      </c>
      <c r="E8302" s="124" t="s">
        <v>8367</v>
      </c>
      <c r="F8302" s="126">
        <v>1</v>
      </c>
      <c r="G8302" s="128">
        <v>1154.6300000000001</v>
      </c>
      <c r="H8302" s="124" t="s">
        <v>8368</v>
      </c>
      <c r="I8302" s="127">
        <v>472</v>
      </c>
      <c r="J8302" s="128">
        <v>2360.02</v>
      </c>
    </row>
    <row r="8303" spans="1:10" hidden="1" x14ac:dyDescent="0.25">
      <c r="A8303" s="124" t="s">
        <v>10571</v>
      </c>
      <c r="B8303" s="124" t="s">
        <v>11736</v>
      </c>
      <c r="C8303" s="132"/>
      <c r="D8303" s="125">
        <f t="shared" si="139"/>
        <v>0</v>
      </c>
      <c r="E8303" s="124" t="s">
        <v>8367</v>
      </c>
      <c r="F8303" s="126">
        <v>1</v>
      </c>
      <c r="G8303" s="127">
        <v>944</v>
      </c>
      <c r="H8303" s="124" t="s">
        <v>8368</v>
      </c>
      <c r="I8303" s="127">
        <v>157.33000000000001</v>
      </c>
      <c r="J8303" s="127">
        <v>786.67</v>
      </c>
    </row>
    <row r="8304" spans="1:10" hidden="1" x14ac:dyDescent="0.25">
      <c r="A8304" s="124" t="s">
        <v>10572</v>
      </c>
      <c r="B8304" s="124" t="s">
        <v>11736</v>
      </c>
      <c r="C8304" s="132"/>
      <c r="D8304" s="125">
        <f t="shared" si="139"/>
        <v>0</v>
      </c>
      <c r="E8304" s="124" t="s">
        <v>8367</v>
      </c>
      <c r="F8304" s="126">
        <v>1</v>
      </c>
      <c r="G8304" s="128">
        <v>1154.6300000000001</v>
      </c>
      <c r="H8304" s="124" t="s">
        <v>8368</v>
      </c>
      <c r="I8304" s="127">
        <v>157.33000000000001</v>
      </c>
      <c r="J8304" s="127">
        <v>786.67</v>
      </c>
    </row>
    <row r="8305" spans="1:10" hidden="1" x14ac:dyDescent="0.25">
      <c r="A8305" s="124" t="s">
        <v>10573</v>
      </c>
      <c r="B8305" s="124" t="s">
        <v>11736</v>
      </c>
      <c r="C8305" s="132"/>
      <c r="D8305" s="125">
        <f t="shared" si="139"/>
        <v>0</v>
      </c>
      <c r="E8305" s="124" t="s">
        <v>8367</v>
      </c>
      <c r="F8305" s="126">
        <v>3</v>
      </c>
      <c r="G8305" s="128">
        <v>2832.02</v>
      </c>
      <c r="H8305" s="124" t="s">
        <v>8368</v>
      </c>
      <c r="I8305" s="127">
        <v>472</v>
      </c>
      <c r="J8305" s="128">
        <v>2360.02</v>
      </c>
    </row>
    <row r="8306" spans="1:10" hidden="1" x14ac:dyDescent="0.25">
      <c r="A8306" s="124" t="s">
        <v>10574</v>
      </c>
      <c r="B8306" s="124" t="s">
        <v>11736</v>
      </c>
      <c r="C8306" s="132"/>
      <c r="D8306" s="125">
        <f t="shared" si="139"/>
        <v>0</v>
      </c>
      <c r="E8306" s="124" t="s">
        <v>8367</v>
      </c>
      <c r="F8306" s="126">
        <v>1</v>
      </c>
      <c r="G8306" s="127">
        <v>944</v>
      </c>
      <c r="H8306" s="124" t="s">
        <v>8368</v>
      </c>
      <c r="I8306" s="127">
        <v>577.30999999999995</v>
      </c>
      <c r="J8306" s="128">
        <v>2886.57</v>
      </c>
    </row>
    <row r="8307" spans="1:10" hidden="1" x14ac:dyDescent="0.25">
      <c r="A8307" s="124" t="s">
        <v>10575</v>
      </c>
      <c r="B8307" s="124" t="s">
        <v>11736</v>
      </c>
      <c r="C8307" s="132"/>
      <c r="D8307" s="125">
        <f t="shared" si="139"/>
        <v>0</v>
      </c>
      <c r="E8307" s="124" t="s">
        <v>8367</v>
      </c>
      <c r="F8307" s="126">
        <v>1</v>
      </c>
      <c r="G8307" s="127">
        <v>944</v>
      </c>
      <c r="H8307" s="124" t="s">
        <v>8368</v>
      </c>
      <c r="I8307" s="127">
        <v>157.33000000000001</v>
      </c>
      <c r="J8307" s="127">
        <v>786.67</v>
      </c>
    </row>
    <row r="8308" spans="1:10" hidden="1" x14ac:dyDescent="0.25">
      <c r="A8308" s="124" t="s">
        <v>10576</v>
      </c>
      <c r="B8308" s="124" t="s">
        <v>11736</v>
      </c>
      <c r="C8308" s="132"/>
      <c r="D8308" s="125">
        <f t="shared" si="139"/>
        <v>0</v>
      </c>
      <c r="E8308" s="124" t="s">
        <v>8367</v>
      </c>
      <c r="F8308" s="126">
        <v>3</v>
      </c>
      <c r="G8308" s="128">
        <v>2832.02</v>
      </c>
      <c r="H8308" s="124" t="s">
        <v>8368</v>
      </c>
      <c r="I8308" s="127">
        <v>314.67</v>
      </c>
      <c r="J8308" s="128">
        <v>1573.35</v>
      </c>
    </row>
    <row r="8309" spans="1:10" hidden="1" x14ac:dyDescent="0.25">
      <c r="A8309" s="124" t="s">
        <v>10577</v>
      </c>
      <c r="B8309" s="124" t="s">
        <v>11736</v>
      </c>
      <c r="C8309" s="132"/>
      <c r="D8309" s="125">
        <f t="shared" si="139"/>
        <v>0</v>
      </c>
      <c r="E8309" s="124" t="s">
        <v>8367</v>
      </c>
      <c r="F8309" s="126">
        <v>3</v>
      </c>
      <c r="G8309" s="128">
        <v>3463.88</v>
      </c>
      <c r="H8309" s="124" t="s">
        <v>8368</v>
      </c>
      <c r="I8309" s="128">
        <v>2404.96</v>
      </c>
      <c r="J8309" s="128">
        <v>12024.82</v>
      </c>
    </row>
    <row r="8310" spans="1:10" hidden="1" x14ac:dyDescent="0.25">
      <c r="A8310" s="124" t="s">
        <v>10578</v>
      </c>
      <c r="B8310" s="124" t="s">
        <v>11736</v>
      </c>
      <c r="C8310" s="132"/>
      <c r="D8310" s="125">
        <f t="shared" si="139"/>
        <v>0</v>
      </c>
      <c r="E8310" s="124" t="s">
        <v>8367</v>
      </c>
      <c r="F8310" s="126">
        <v>1</v>
      </c>
      <c r="G8310" s="127">
        <v>944</v>
      </c>
      <c r="H8310" s="124" t="s">
        <v>8368</v>
      </c>
      <c r="I8310" s="127">
        <v>424.97</v>
      </c>
      <c r="J8310" s="128">
        <v>2124.86</v>
      </c>
    </row>
    <row r="8311" spans="1:10" hidden="1" x14ac:dyDescent="0.25">
      <c r="A8311" s="124" t="s">
        <v>10579</v>
      </c>
      <c r="B8311" s="124" t="s">
        <v>11736</v>
      </c>
      <c r="C8311" s="132"/>
      <c r="D8311" s="125">
        <f t="shared" si="139"/>
        <v>0</v>
      </c>
      <c r="E8311" s="124" t="s">
        <v>8367</v>
      </c>
      <c r="F8311" s="126">
        <v>2</v>
      </c>
      <c r="G8311" s="128">
        <v>1888.02</v>
      </c>
      <c r="H8311" s="124" t="s">
        <v>8368</v>
      </c>
      <c r="I8311" s="127">
        <v>424.97</v>
      </c>
      <c r="J8311" s="128">
        <v>2124.86</v>
      </c>
    </row>
    <row r="8312" spans="1:10" hidden="1" x14ac:dyDescent="0.25">
      <c r="A8312" s="124" t="s">
        <v>10580</v>
      </c>
      <c r="B8312" s="124" t="s">
        <v>11736</v>
      </c>
      <c r="C8312" s="132"/>
      <c r="D8312" s="125">
        <f t="shared" si="139"/>
        <v>0</v>
      </c>
      <c r="E8312" s="124" t="s">
        <v>8367</v>
      </c>
      <c r="F8312" s="126">
        <v>1</v>
      </c>
      <c r="G8312" s="128">
        <v>14429.78</v>
      </c>
      <c r="H8312" s="124" t="s">
        <v>8368</v>
      </c>
      <c r="I8312" s="127">
        <v>424.97</v>
      </c>
      <c r="J8312" s="128">
        <v>2124.86</v>
      </c>
    </row>
    <row r="8313" spans="1:10" hidden="1" x14ac:dyDescent="0.25">
      <c r="A8313" s="124" t="s">
        <v>10581</v>
      </c>
      <c r="B8313" s="124" t="s">
        <v>11736</v>
      </c>
      <c r="C8313" s="132"/>
      <c r="D8313" s="125">
        <f t="shared" si="139"/>
        <v>0</v>
      </c>
      <c r="E8313" s="124" t="s">
        <v>8367</v>
      </c>
      <c r="F8313" s="126">
        <v>1</v>
      </c>
      <c r="G8313" s="128">
        <v>2549.83</v>
      </c>
      <c r="H8313" s="124" t="s">
        <v>8368</v>
      </c>
      <c r="I8313" s="127">
        <v>424.97</v>
      </c>
      <c r="J8313" s="128">
        <v>2124.86</v>
      </c>
    </row>
    <row r="8314" spans="1:10" hidden="1" x14ac:dyDescent="0.25">
      <c r="A8314" s="124" t="s">
        <v>10582</v>
      </c>
      <c r="B8314" s="124" t="s">
        <v>11736</v>
      </c>
      <c r="C8314" s="132"/>
      <c r="D8314" s="125">
        <f t="shared" si="139"/>
        <v>0</v>
      </c>
      <c r="E8314" s="124" t="s">
        <v>8367</v>
      </c>
      <c r="F8314" s="126">
        <v>1</v>
      </c>
      <c r="G8314" s="128">
        <v>2549.83</v>
      </c>
      <c r="H8314" s="124" t="s">
        <v>8368</v>
      </c>
      <c r="I8314" s="127">
        <v>603.89</v>
      </c>
      <c r="J8314" s="128">
        <v>3019.44</v>
      </c>
    </row>
    <row r="8315" spans="1:10" hidden="1" x14ac:dyDescent="0.25">
      <c r="A8315" s="124" t="s">
        <v>10583</v>
      </c>
      <c r="B8315" s="124" t="s">
        <v>11736</v>
      </c>
      <c r="C8315" s="132"/>
      <c r="D8315" s="125">
        <f t="shared" si="139"/>
        <v>0</v>
      </c>
      <c r="E8315" s="124" t="s">
        <v>8367</v>
      </c>
      <c r="F8315" s="126">
        <v>1</v>
      </c>
      <c r="G8315" s="128">
        <v>2549.83</v>
      </c>
      <c r="H8315" s="124" t="s">
        <v>8368</v>
      </c>
      <c r="I8315" s="127">
        <v>307.27999999999997</v>
      </c>
      <c r="J8315" s="128">
        <v>1536.4</v>
      </c>
    </row>
    <row r="8316" spans="1:10" hidden="1" x14ac:dyDescent="0.25">
      <c r="A8316" s="124" t="s">
        <v>10584</v>
      </c>
      <c r="B8316" s="124" t="s">
        <v>11736</v>
      </c>
      <c r="C8316" s="132"/>
      <c r="D8316" s="125">
        <f t="shared" si="139"/>
        <v>0</v>
      </c>
      <c r="E8316" s="124" t="s">
        <v>8367</v>
      </c>
      <c r="F8316" s="126">
        <v>1</v>
      </c>
      <c r="G8316" s="128">
        <v>2549.83</v>
      </c>
      <c r="H8316" s="124" t="s">
        <v>8368</v>
      </c>
      <c r="I8316" s="127">
        <v>307.27999999999997</v>
      </c>
      <c r="J8316" s="128">
        <v>1536.4</v>
      </c>
    </row>
    <row r="8317" spans="1:10" hidden="1" x14ac:dyDescent="0.25">
      <c r="A8317" s="124" t="s">
        <v>10585</v>
      </c>
      <c r="B8317" s="124" t="s">
        <v>11736</v>
      </c>
      <c r="C8317" s="132"/>
      <c r="D8317" s="125">
        <f t="shared" si="139"/>
        <v>0</v>
      </c>
      <c r="E8317" s="124" t="s">
        <v>8367</v>
      </c>
      <c r="F8317" s="126">
        <v>1</v>
      </c>
      <c r="G8317" s="128">
        <v>3623.33</v>
      </c>
      <c r="H8317" s="124" t="s">
        <v>8368</v>
      </c>
      <c r="I8317" s="128">
        <v>1532.09</v>
      </c>
      <c r="J8317" s="128">
        <v>7660.44</v>
      </c>
    </row>
    <row r="8318" spans="1:10" hidden="1" x14ac:dyDescent="0.25">
      <c r="A8318" s="124" t="s">
        <v>10586</v>
      </c>
      <c r="B8318" s="124" t="s">
        <v>11736</v>
      </c>
      <c r="C8318" s="132"/>
      <c r="D8318" s="125">
        <f t="shared" si="139"/>
        <v>0</v>
      </c>
      <c r="E8318" s="124" t="s">
        <v>8367</v>
      </c>
      <c r="F8318" s="126">
        <v>1</v>
      </c>
      <c r="G8318" s="128">
        <v>1843.68</v>
      </c>
      <c r="H8318" s="124" t="s">
        <v>8368</v>
      </c>
      <c r="I8318" s="128">
        <v>2988.97</v>
      </c>
      <c r="J8318" s="128">
        <v>14944.83</v>
      </c>
    </row>
    <row r="8319" spans="1:10" hidden="1" x14ac:dyDescent="0.25">
      <c r="A8319" s="124" t="s">
        <v>10587</v>
      </c>
      <c r="B8319" s="124" t="s">
        <v>11736</v>
      </c>
      <c r="C8319" s="132"/>
      <c r="D8319" s="125">
        <f t="shared" si="139"/>
        <v>0</v>
      </c>
      <c r="E8319" s="124" t="s">
        <v>8367</v>
      </c>
      <c r="F8319" s="126">
        <v>1</v>
      </c>
      <c r="G8319" s="128">
        <v>1843.68</v>
      </c>
      <c r="H8319" s="124" t="s">
        <v>8368</v>
      </c>
      <c r="I8319" s="127">
        <v>386.76</v>
      </c>
      <c r="J8319" s="128">
        <v>1933.82</v>
      </c>
    </row>
    <row r="8320" spans="1:10" hidden="1" x14ac:dyDescent="0.25">
      <c r="A8320" s="124" t="s">
        <v>10588</v>
      </c>
      <c r="B8320" s="124" t="s">
        <v>11736</v>
      </c>
      <c r="C8320" s="132"/>
      <c r="D8320" s="125">
        <f t="shared" si="139"/>
        <v>0</v>
      </c>
      <c r="E8320" s="124" t="s">
        <v>8367</v>
      </c>
      <c r="F8320" s="126">
        <v>1</v>
      </c>
      <c r="G8320" s="128">
        <v>9192.5300000000007</v>
      </c>
      <c r="H8320" s="124" t="s">
        <v>8368</v>
      </c>
      <c r="I8320" s="127">
        <v>203.22</v>
      </c>
      <c r="J8320" s="128">
        <v>1016.12</v>
      </c>
    </row>
    <row r="8321" spans="1:10" hidden="1" x14ac:dyDescent="0.25">
      <c r="A8321" s="124" t="s">
        <v>10589</v>
      </c>
      <c r="B8321" s="124" t="s">
        <v>11736</v>
      </c>
      <c r="C8321" s="132"/>
      <c r="D8321" s="125">
        <f t="shared" si="139"/>
        <v>0</v>
      </c>
      <c r="E8321" s="124" t="s">
        <v>8367</v>
      </c>
      <c r="F8321" s="126">
        <v>1</v>
      </c>
      <c r="G8321" s="128">
        <v>17933.8</v>
      </c>
      <c r="H8321" s="124" t="s">
        <v>8368</v>
      </c>
      <c r="I8321" s="127">
        <v>455.24</v>
      </c>
      <c r="J8321" s="128">
        <v>2276.1999999999998</v>
      </c>
    </row>
    <row r="8322" spans="1:10" hidden="1" x14ac:dyDescent="0.25">
      <c r="A8322" s="124" t="s">
        <v>10590</v>
      </c>
      <c r="B8322" s="124" t="s">
        <v>11736</v>
      </c>
      <c r="C8322" s="132"/>
      <c r="D8322" s="125">
        <f t="shared" si="139"/>
        <v>0</v>
      </c>
      <c r="E8322" s="124" t="s">
        <v>8367</v>
      </c>
      <c r="F8322" s="126">
        <v>1</v>
      </c>
      <c r="G8322" s="128">
        <v>2320.58</v>
      </c>
      <c r="H8322" s="124" t="s">
        <v>8368</v>
      </c>
      <c r="I8322" s="127">
        <v>602.34</v>
      </c>
      <c r="J8322" s="128">
        <v>3011.7</v>
      </c>
    </row>
    <row r="8323" spans="1:10" hidden="1" x14ac:dyDescent="0.25">
      <c r="A8323" s="124" t="s">
        <v>10591</v>
      </c>
      <c r="B8323" s="124" t="s">
        <v>11736</v>
      </c>
      <c r="C8323" s="132"/>
      <c r="D8323" s="125">
        <f t="shared" si="139"/>
        <v>0</v>
      </c>
      <c r="E8323" s="124" t="s">
        <v>8367</v>
      </c>
      <c r="F8323" s="126">
        <v>1</v>
      </c>
      <c r="G8323" s="128">
        <v>1219.3399999999999</v>
      </c>
      <c r="H8323" s="124" t="s">
        <v>8368</v>
      </c>
      <c r="I8323" s="127">
        <v>664.97</v>
      </c>
      <c r="J8323" s="128">
        <v>3324.83</v>
      </c>
    </row>
    <row r="8324" spans="1:10" hidden="1" x14ac:dyDescent="0.25">
      <c r="A8324" s="124" t="s">
        <v>10592</v>
      </c>
      <c r="B8324" s="124" t="s">
        <v>11736</v>
      </c>
      <c r="C8324" s="132"/>
      <c r="D8324" s="125">
        <f t="shared" si="139"/>
        <v>0</v>
      </c>
      <c r="E8324" s="124" t="s">
        <v>8367</v>
      </c>
      <c r="F8324" s="126">
        <v>1</v>
      </c>
      <c r="G8324" s="128">
        <v>2731.44</v>
      </c>
      <c r="H8324" s="124" t="s">
        <v>8368</v>
      </c>
      <c r="I8324" s="127">
        <v>750.66</v>
      </c>
      <c r="J8324" s="128">
        <v>3753.32</v>
      </c>
    </row>
    <row r="8325" spans="1:10" hidden="1" x14ac:dyDescent="0.25">
      <c r="A8325" s="124" t="s">
        <v>10593</v>
      </c>
      <c r="B8325" s="124" t="s">
        <v>11736</v>
      </c>
      <c r="C8325" s="132"/>
      <c r="D8325" s="125">
        <f t="shared" si="139"/>
        <v>0</v>
      </c>
      <c r="E8325" s="124" t="s">
        <v>8367</v>
      </c>
      <c r="F8325" s="126">
        <v>1</v>
      </c>
      <c r="G8325" s="128">
        <v>3614.04</v>
      </c>
      <c r="H8325" s="124" t="s">
        <v>8368</v>
      </c>
      <c r="I8325" s="128">
        <v>1586.11</v>
      </c>
      <c r="J8325" s="128">
        <v>7930.56</v>
      </c>
    </row>
    <row r="8326" spans="1:10" hidden="1" x14ac:dyDescent="0.25">
      <c r="A8326" s="124" t="s">
        <v>10594</v>
      </c>
      <c r="B8326" s="124" t="s">
        <v>11736</v>
      </c>
      <c r="C8326" s="132"/>
      <c r="D8326" s="125">
        <f t="shared" si="139"/>
        <v>0</v>
      </c>
      <c r="E8326" s="124" t="s">
        <v>8367</v>
      </c>
      <c r="F8326" s="126">
        <v>1</v>
      </c>
      <c r="G8326" s="128">
        <v>3989.8</v>
      </c>
      <c r="H8326" s="124" t="s">
        <v>8368</v>
      </c>
      <c r="I8326" s="128">
        <v>4927.29</v>
      </c>
      <c r="J8326" s="128">
        <v>24636.43</v>
      </c>
    </row>
    <row r="8327" spans="1:10" hidden="1" x14ac:dyDescent="0.25">
      <c r="A8327" s="124" t="s">
        <v>10595</v>
      </c>
      <c r="B8327" s="124" t="s">
        <v>11736</v>
      </c>
      <c r="C8327" s="132"/>
      <c r="D8327" s="125">
        <f t="shared" ref="D8327:D8354" si="140">COUNTIF(A3974:A8326,A8327)</f>
        <v>0</v>
      </c>
      <c r="E8327" s="124" t="s">
        <v>8367</v>
      </c>
      <c r="F8327" s="126">
        <v>1</v>
      </c>
      <c r="G8327" s="128">
        <v>4503.9799999999996</v>
      </c>
      <c r="H8327" s="124" t="s">
        <v>8368</v>
      </c>
      <c r="I8327" s="128">
        <v>1012.19</v>
      </c>
      <c r="J8327" s="128">
        <v>5060.93</v>
      </c>
    </row>
    <row r="8328" spans="1:10" hidden="1" x14ac:dyDescent="0.25">
      <c r="A8328" s="124" t="s">
        <v>10596</v>
      </c>
      <c r="B8328" s="124" t="s">
        <v>11736</v>
      </c>
      <c r="C8328" s="132"/>
      <c r="D8328" s="125">
        <f t="shared" si="140"/>
        <v>0</v>
      </c>
      <c r="E8328" s="124" t="s">
        <v>8367</v>
      </c>
      <c r="F8328" s="126">
        <v>1</v>
      </c>
      <c r="G8328" s="128">
        <v>9516.67</v>
      </c>
      <c r="H8328" s="124" t="s">
        <v>8368</v>
      </c>
      <c r="I8328" s="128">
        <v>2516.5500000000002</v>
      </c>
      <c r="J8328" s="128">
        <v>12582.74</v>
      </c>
    </row>
    <row r="8329" spans="1:10" hidden="1" x14ac:dyDescent="0.25">
      <c r="A8329" s="124" t="s">
        <v>10597</v>
      </c>
      <c r="B8329" s="124" t="s">
        <v>11736</v>
      </c>
      <c r="C8329" s="132"/>
      <c r="D8329" s="125">
        <f t="shared" si="140"/>
        <v>0</v>
      </c>
      <c r="E8329" s="124" t="s">
        <v>8367</v>
      </c>
      <c r="F8329" s="126">
        <v>1</v>
      </c>
      <c r="G8329" s="128">
        <v>29563.72</v>
      </c>
      <c r="H8329" s="124" t="s">
        <v>8368</v>
      </c>
      <c r="I8329" s="128">
        <v>11180.95</v>
      </c>
      <c r="J8329" s="128">
        <v>55904.74</v>
      </c>
    </row>
    <row r="8330" spans="1:10" hidden="1" x14ac:dyDescent="0.25">
      <c r="A8330" s="124" t="s">
        <v>10598</v>
      </c>
      <c r="B8330" s="124" t="s">
        <v>11736</v>
      </c>
      <c r="C8330" s="132"/>
      <c r="D8330" s="125">
        <f t="shared" si="140"/>
        <v>0</v>
      </c>
      <c r="E8330" s="124" t="s">
        <v>8367</v>
      </c>
      <c r="F8330" s="126">
        <v>1</v>
      </c>
      <c r="G8330" s="128">
        <v>6073.12</v>
      </c>
      <c r="H8330" s="124" t="s">
        <v>8368</v>
      </c>
      <c r="I8330" s="128">
        <v>25968.400000000001</v>
      </c>
      <c r="J8330" s="128">
        <v>129842</v>
      </c>
    </row>
    <row r="8331" spans="1:10" hidden="1" x14ac:dyDescent="0.25">
      <c r="A8331" s="124" t="s">
        <v>10599</v>
      </c>
      <c r="B8331" s="124" t="s">
        <v>11736</v>
      </c>
      <c r="C8331" s="132"/>
      <c r="D8331" s="125">
        <f t="shared" si="140"/>
        <v>0</v>
      </c>
      <c r="E8331" s="124" t="s">
        <v>8367</v>
      </c>
      <c r="F8331" s="126">
        <v>1</v>
      </c>
      <c r="G8331" s="128">
        <v>15099.29</v>
      </c>
      <c r="H8331" s="124" t="s">
        <v>8368</v>
      </c>
      <c r="I8331" s="127">
        <v>200.66</v>
      </c>
      <c r="J8331" s="128">
        <v>1003.32</v>
      </c>
    </row>
    <row r="8332" spans="1:10" hidden="1" x14ac:dyDescent="0.25">
      <c r="A8332" s="124" t="s">
        <v>10600</v>
      </c>
      <c r="B8332" s="124" t="s">
        <v>11736</v>
      </c>
      <c r="C8332" s="132"/>
      <c r="D8332" s="125">
        <f t="shared" si="140"/>
        <v>0</v>
      </c>
      <c r="E8332" s="124" t="s">
        <v>8367</v>
      </c>
      <c r="F8332" s="126">
        <v>5</v>
      </c>
      <c r="G8332" s="128">
        <v>67085.69</v>
      </c>
      <c r="H8332" s="124" t="s">
        <v>8368</v>
      </c>
      <c r="I8332" s="128">
        <v>8243.61</v>
      </c>
      <c r="J8332" s="128">
        <v>41218.04</v>
      </c>
    </row>
    <row r="8333" spans="1:10" hidden="1" x14ac:dyDescent="0.25">
      <c r="A8333" s="124" t="s">
        <v>10601</v>
      </c>
      <c r="B8333" s="124" t="s">
        <v>11736</v>
      </c>
      <c r="C8333" s="132"/>
      <c r="D8333" s="125">
        <f t="shared" si="140"/>
        <v>0</v>
      </c>
      <c r="E8333" s="124" t="s">
        <v>8367</v>
      </c>
      <c r="F8333" s="126">
        <v>40</v>
      </c>
      <c r="G8333" s="128">
        <v>155810.4</v>
      </c>
      <c r="H8333" s="124" t="s">
        <v>8368</v>
      </c>
      <c r="I8333" s="127">
        <v>26.15</v>
      </c>
      <c r="J8333" s="127">
        <v>130.75</v>
      </c>
    </row>
    <row r="8334" spans="1:10" hidden="1" x14ac:dyDescent="0.25">
      <c r="A8334" s="124" t="s">
        <v>10602</v>
      </c>
      <c r="B8334" s="124" t="s">
        <v>11736</v>
      </c>
      <c r="C8334" s="132"/>
      <c r="D8334" s="125">
        <f t="shared" si="140"/>
        <v>0</v>
      </c>
      <c r="E8334" s="124" t="s">
        <v>8367</v>
      </c>
      <c r="F8334" s="126">
        <v>54</v>
      </c>
      <c r="G8334" s="128">
        <v>1203.98</v>
      </c>
      <c r="H8334" s="124" t="s">
        <v>8368</v>
      </c>
      <c r="I8334" s="127">
        <v>73.599999999999994</v>
      </c>
      <c r="J8334" s="127">
        <v>368</v>
      </c>
    </row>
    <row r="8335" spans="1:10" hidden="1" x14ac:dyDescent="0.25">
      <c r="A8335" s="124" t="s">
        <v>260</v>
      </c>
      <c r="B8335" s="124" t="s">
        <v>11736</v>
      </c>
      <c r="C8335" s="132"/>
      <c r="D8335" s="125">
        <f t="shared" si="140"/>
        <v>0</v>
      </c>
      <c r="E8335" s="124" t="s">
        <v>8367</v>
      </c>
      <c r="F8335" s="129">
        <v>6071</v>
      </c>
      <c r="G8335" s="128">
        <v>49461.65</v>
      </c>
      <c r="H8335" s="124" t="s">
        <v>8368</v>
      </c>
      <c r="I8335" s="127">
        <v>81.05</v>
      </c>
      <c r="J8335" s="127">
        <v>405.22</v>
      </c>
    </row>
    <row r="8336" spans="1:10" hidden="1" x14ac:dyDescent="0.25">
      <c r="A8336" s="124" t="s">
        <v>425</v>
      </c>
      <c r="B8336" s="124" t="s">
        <v>11736</v>
      </c>
      <c r="C8336" s="132"/>
      <c r="D8336" s="125">
        <f t="shared" si="140"/>
        <v>0</v>
      </c>
      <c r="E8336" s="124" t="s">
        <v>8367</v>
      </c>
      <c r="F8336" s="126">
        <v>5</v>
      </c>
      <c r="G8336" s="127">
        <v>156.9</v>
      </c>
      <c r="H8336" s="124" t="s">
        <v>8368</v>
      </c>
      <c r="I8336" s="127">
        <v>45.4</v>
      </c>
      <c r="J8336" s="127">
        <v>227</v>
      </c>
    </row>
    <row r="8337" spans="1:10" hidden="1" x14ac:dyDescent="0.25">
      <c r="A8337" s="124" t="s">
        <v>10603</v>
      </c>
      <c r="B8337" s="124" t="s">
        <v>11736</v>
      </c>
      <c r="C8337" s="132"/>
      <c r="D8337" s="125">
        <f t="shared" si="140"/>
        <v>0</v>
      </c>
      <c r="E8337" s="124" t="s">
        <v>8367</v>
      </c>
      <c r="F8337" s="126">
        <v>20</v>
      </c>
      <c r="G8337" s="127">
        <v>441.6</v>
      </c>
      <c r="H8337" s="124" t="s">
        <v>8368</v>
      </c>
      <c r="I8337" s="127">
        <v>45.2</v>
      </c>
      <c r="J8337" s="127">
        <v>226</v>
      </c>
    </row>
    <row r="8338" spans="1:10" hidden="1" x14ac:dyDescent="0.25">
      <c r="A8338" s="124" t="s">
        <v>1336</v>
      </c>
      <c r="B8338" s="124" t="s">
        <v>11736</v>
      </c>
      <c r="C8338" s="132"/>
      <c r="D8338" s="125">
        <f t="shared" si="140"/>
        <v>0</v>
      </c>
      <c r="E8338" s="124" t="s">
        <v>8367</v>
      </c>
      <c r="F8338" s="129">
        <v>5110</v>
      </c>
      <c r="G8338" s="127">
        <v>486.27</v>
      </c>
      <c r="H8338" s="124" t="s">
        <v>8368</v>
      </c>
      <c r="I8338" s="127">
        <v>391.07</v>
      </c>
      <c r="J8338" s="128">
        <v>1955.34</v>
      </c>
    </row>
    <row r="8339" spans="1:10" hidden="1" x14ac:dyDescent="0.25">
      <c r="A8339" s="124" t="s">
        <v>1344</v>
      </c>
      <c r="B8339" s="124" t="s">
        <v>11736</v>
      </c>
      <c r="C8339" s="132"/>
      <c r="D8339" s="125">
        <f t="shared" si="140"/>
        <v>0</v>
      </c>
      <c r="E8339" s="124" t="s">
        <v>8367</v>
      </c>
      <c r="F8339" s="126">
        <v>100</v>
      </c>
      <c r="G8339" s="127">
        <v>272.39999999999998</v>
      </c>
      <c r="H8339" s="124" t="s">
        <v>8368</v>
      </c>
      <c r="I8339" s="127">
        <v>145.6</v>
      </c>
      <c r="J8339" s="127">
        <v>728</v>
      </c>
    </row>
    <row r="8340" spans="1:10" hidden="1" x14ac:dyDescent="0.25">
      <c r="A8340" s="124" t="s">
        <v>10604</v>
      </c>
      <c r="B8340" s="124" t="s">
        <v>11736</v>
      </c>
      <c r="C8340" s="132"/>
      <c r="D8340" s="125">
        <f t="shared" si="140"/>
        <v>0</v>
      </c>
      <c r="E8340" s="124" t="s">
        <v>8367</v>
      </c>
      <c r="F8340" s="126">
        <v>100</v>
      </c>
      <c r="G8340" s="127">
        <v>271.2</v>
      </c>
      <c r="H8340" s="124" t="s">
        <v>8368</v>
      </c>
      <c r="I8340" s="127">
        <v>400</v>
      </c>
      <c r="J8340" s="128">
        <v>2000</v>
      </c>
    </row>
    <row r="8341" spans="1:10" hidden="1" x14ac:dyDescent="0.25">
      <c r="A8341" s="124" t="s">
        <v>1352</v>
      </c>
      <c r="B8341" s="124" t="s">
        <v>11736</v>
      </c>
      <c r="C8341" s="132"/>
      <c r="D8341" s="125">
        <f t="shared" si="140"/>
        <v>0</v>
      </c>
      <c r="E8341" s="124" t="s">
        <v>8367</v>
      </c>
      <c r="F8341" s="129">
        <v>5100</v>
      </c>
      <c r="G8341" s="128">
        <v>2346.41</v>
      </c>
      <c r="H8341" s="124" t="s">
        <v>8368</v>
      </c>
      <c r="I8341" s="128">
        <v>2186.6</v>
      </c>
      <c r="J8341" s="128">
        <v>10933</v>
      </c>
    </row>
    <row r="8342" spans="1:10" hidden="1" x14ac:dyDescent="0.25">
      <c r="A8342" s="124" t="s">
        <v>10605</v>
      </c>
      <c r="B8342" s="124" t="s">
        <v>11736</v>
      </c>
      <c r="C8342" s="132"/>
      <c r="D8342" s="125">
        <f t="shared" si="140"/>
        <v>0</v>
      </c>
      <c r="E8342" s="124" t="s">
        <v>8367</v>
      </c>
      <c r="F8342" s="126">
        <v>3</v>
      </c>
      <c r="G8342" s="127">
        <v>873.6</v>
      </c>
      <c r="H8342" s="124" t="s">
        <v>8368</v>
      </c>
      <c r="I8342" s="127">
        <v>564.20000000000005</v>
      </c>
      <c r="J8342" s="128">
        <v>2821</v>
      </c>
    </row>
    <row r="8343" spans="1:10" hidden="1" x14ac:dyDescent="0.25">
      <c r="A8343" s="124" t="s">
        <v>10606</v>
      </c>
      <c r="B8343" s="124" t="s">
        <v>11736</v>
      </c>
      <c r="C8343" s="132"/>
      <c r="D8343" s="125">
        <f t="shared" si="140"/>
        <v>0</v>
      </c>
      <c r="E8343" s="124" t="s">
        <v>8367</v>
      </c>
      <c r="F8343" s="126">
        <v>10</v>
      </c>
      <c r="G8343" s="128">
        <v>2400</v>
      </c>
      <c r="H8343" s="124" t="s">
        <v>8368</v>
      </c>
      <c r="I8343" s="128">
        <v>2107.6</v>
      </c>
      <c r="J8343" s="128">
        <v>10538</v>
      </c>
    </row>
    <row r="8344" spans="1:10" hidden="1" x14ac:dyDescent="0.25">
      <c r="A8344" s="124" t="s">
        <v>10607</v>
      </c>
      <c r="B8344" s="124" t="s">
        <v>11736</v>
      </c>
      <c r="C8344" s="132"/>
      <c r="D8344" s="125">
        <f t="shared" si="140"/>
        <v>0</v>
      </c>
      <c r="E8344" s="124" t="s">
        <v>8531</v>
      </c>
      <c r="F8344" s="126">
        <v>1</v>
      </c>
      <c r="G8344" s="128">
        <v>13119.6</v>
      </c>
      <c r="H8344" s="124" t="s">
        <v>8368</v>
      </c>
      <c r="I8344" s="127">
        <v>483.4</v>
      </c>
      <c r="J8344" s="128">
        <v>2417</v>
      </c>
    </row>
    <row r="8345" spans="1:10" hidden="1" x14ac:dyDescent="0.25">
      <c r="A8345" s="124" t="s">
        <v>10608</v>
      </c>
      <c r="B8345" s="124" t="s">
        <v>11736</v>
      </c>
      <c r="C8345" s="132"/>
      <c r="D8345" s="125">
        <f t="shared" si="140"/>
        <v>0</v>
      </c>
      <c r="E8345" s="124" t="s">
        <v>8367</v>
      </c>
      <c r="F8345" s="126">
        <v>2</v>
      </c>
      <c r="G8345" s="128">
        <v>3385.2</v>
      </c>
      <c r="H8345" s="124" t="s">
        <v>8368</v>
      </c>
      <c r="I8345" s="127">
        <v>196.6</v>
      </c>
      <c r="J8345" s="127">
        <v>983</v>
      </c>
    </row>
    <row r="8346" spans="1:10" hidden="1" x14ac:dyDescent="0.25">
      <c r="A8346" s="124" t="s">
        <v>10609</v>
      </c>
      <c r="B8346" s="124" t="s">
        <v>11736</v>
      </c>
      <c r="C8346" s="132"/>
      <c r="D8346" s="125">
        <f t="shared" si="140"/>
        <v>0</v>
      </c>
      <c r="E8346" s="124" t="s">
        <v>8367</v>
      </c>
      <c r="F8346" s="126">
        <v>6</v>
      </c>
      <c r="G8346" s="128">
        <v>12645.6</v>
      </c>
      <c r="H8346" s="124" t="s">
        <v>8368</v>
      </c>
      <c r="I8346" s="127">
        <v>433.4</v>
      </c>
      <c r="J8346" s="128">
        <v>2167</v>
      </c>
    </row>
    <row r="8347" spans="1:10" hidden="1" x14ac:dyDescent="0.25">
      <c r="A8347" s="124" t="s">
        <v>10610</v>
      </c>
      <c r="B8347" s="124" t="s">
        <v>11736</v>
      </c>
      <c r="C8347" s="132"/>
      <c r="D8347" s="125">
        <f t="shared" si="140"/>
        <v>0</v>
      </c>
      <c r="E8347" s="124" t="s">
        <v>8367</v>
      </c>
      <c r="F8347" s="126">
        <v>10</v>
      </c>
      <c r="G8347" s="128">
        <v>2900.4</v>
      </c>
      <c r="H8347" s="124" t="s">
        <v>8368</v>
      </c>
      <c r="I8347" s="128">
        <v>1341.2</v>
      </c>
      <c r="J8347" s="128">
        <v>6706</v>
      </c>
    </row>
    <row r="8348" spans="1:10" hidden="1" x14ac:dyDescent="0.25">
      <c r="A8348" s="124" t="s">
        <v>10611</v>
      </c>
      <c r="B8348" s="124" t="s">
        <v>11736</v>
      </c>
      <c r="C8348" s="132"/>
      <c r="D8348" s="125">
        <f t="shared" si="140"/>
        <v>0</v>
      </c>
      <c r="E8348" s="124" t="s">
        <v>8367</v>
      </c>
      <c r="F8348" s="126">
        <v>2</v>
      </c>
      <c r="G8348" s="128">
        <v>1179.5999999999999</v>
      </c>
      <c r="H8348" s="124" t="s">
        <v>8368</v>
      </c>
      <c r="I8348" s="127">
        <v>546.20000000000005</v>
      </c>
      <c r="J8348" s="128">
        <v>2731</v>
      </c>
    </row>
    <row r="8349" spans="1:10" hidden="1" x14ac:dyDescent="0.25">
      <c r="A8349" s="124" t="s">
        <v>10612</v>
      </c>
      <c r="B8349" s="124" t="s">
        <v>11736</v>
      </c>
      <c r="C8349" s="132"/>
      <c r="D8349" s="125">
        <f t="shared" si="140"/>
        <v>0</v>
      </c>
      <c r="E8349" s="124" t="s">
        <v>8367</v>
      </c>
      <c r="F8349" s="126">
        <v>4</v>
      </c>
      <c r="G8349" s="128">
        <v>2600.4</v>
      </c>
      <c r="H8349" s="124" t="s">
        <v>8368</v>
      </c>
      <c r="I8349" s="128">
        <v>10096.67</v>
      </c>
      <c r="J8349" s="128">
        <v>50483.33</v>
      </c>
    </row>
    <row r="8350" spans="1:10" hidden="1" x14ac:dyDescent="0.25">
      <c r="A8350" s="124" t="s">
        <v>10613</v>
      </c>
      <c r="B8350" s="124" t="s">
        <v>11736</v>
      </c>
      <c r="C8350" s="132"/>
      <c r="D8350" s="125">
        <f t="shared" si="140"/>
        <v>0</v>
      </c>
      <c r="E8350" s="124" t="s">
        <v>8367</v>
      </c>
      <c r="F8350" s="126">
        <v>22</v>
      </c>
      <c r="G8350" s="128">
        <v>8047.2</v>
      </c>
      <c r="H8350" s="124" t="s">
        <v>8368</v>
      </c>
      <c r="I8350" s="128">
        <v>1366.67</v>
      </c>
      <c r="J8350" s="128">
        <v>6833.33</v>
      </c>
    </row>
    <row r="8351" spans="1:10" hidden="1" x14ac:dyDescent="0.25">
      <c r="A8351" s="124" t="s">
        <v>3773</v>
      </c>
      <c r="B8351" s="124" t="s">
        <v>11736</v>
      </c>
      <c r="C8351" s="132"/>
      <c r="D8351" s="125">
        <f t="shared" si="140"/>
        <v>0</v>
      </c>
      <c r="E8351" s="124" t="s">
        <v>8367</v>
      </c>
      <c r="F8351" s="126">
        <v>3</v>
      </c>
      <c r="G8351" s="128">
        <v>3277.2</v>
      </c>
      <c r="H8351" s="124" t="s">
        <v>8368</v>
      </c>
      <c r="I8351" s="128">
        <v>10140</v>
      </c>
      <c r="J8351" s="128">
        <v>50700</v>
      </c>
    </row>
    <row r="8352" spans="1:10" hidden="1" x14ac:dyDescent="0.25">
      <c r="A8352" s="124" t="s">
        <v>10614</v>
      </c>
      <c r="B8352" s="124" t="s">
        <v>11736</v>
      </c>
      <c r="C8352" s="132"/>
      <c r="D8352" s="125">
        <f t="shared" si="140"/>
        <v>0</v>
      </c>
      <c r="E8352" s="124" t="s">
        <v>8367</v>
      </c>
      <c r="F8352" s="126">
        <v>2</v>
      </c>
      <c r="G8352" s="128">
        <v>60580</v>
      </c>
      <c r="H8352" s="124" t="s">
        <v>8368</v>
      </c>
      <c r="I8352" s="128">
        <v>1420</v>
      </c>
      <c r="J8352" s="128">
        <v>7100.01</v>
      </c>
    </row>
    <row r="8353" spans="1:10" hidden="1" x14ac:dyDescent="0.25">
      <c r="A8353" s="124" t="s">
        <v>10615</v>
      </c>
      <c r="B8353" s="124" t="s">
        <v>11736</v>
      </c>
      <c r="C8353" s="132"/>
      <c r="D8353" s="125">
        <f t="shared" si="140"/>
        <v>0</v>
      </c>
      <c r="E8353" s="124" t="s">
        <v>8367</v>
      </c>
      <c r="F8353" s="126">
        <v>2</v>
      </c>
      <c r="G8353" s="128">
        <v>8200</v>
      </c>
      <c r="H8353" s="124" t="s">
        <v>8368</v>
      </c>
      <c r="I8353" s="127">
        <v>533.33000000000004</v>
      </c>
      <c r="J8353" s="128">
        <v>2666.67</v>
      </c>
    </row>
    <row r="8354" spans="1:10" hidden="1" x14ac:dyDescent="0.25">
      <c r="A8354" s="124" t="s">
        <v>10616</v>
      </c>
      <c r="B8354" s="124" t="s">
        <v>11736</v>
      </c>
      <c r="C8354" s="132"/>
      <c r="D8354" s="125">
        <f t="shared" si="140"/>
        <v>0</v>
      </c>
      <c r="E8354" s="124" t="s">
        <v>8367</v>
      </c>
      <c r="F8354" s="126">
        <v>1</v>
      </c>
      <c r="G8354" s="128">
        <v>60840</v>
      </c>
      <c r="H8354" s="124" t="s">
        <v>8368</v>
      </c>
      <c r="I8354" s="127">
        <v>608.33000000000004</v>
      </c>
      <c r="J8354" s="128">
        <v>3041.67</v>
      </c>
    </row>
    <row r="8355" spans="1:10" hidden="1" x14ac:dyDescent="0.25">
      <c r="A8355" s="124" t="s">
        <v>4566</v>
      </c>
      <c r="B8355" s="124" t="s">
        <v>11736</v>
      </c>
      <c r="C8355" s="132"/>
      <c r="D8355" s="125">
        <f>COUNTIF(A4005:A8354,A8355)</f>
        <v>0</v>
      </c>
      <c r="E8355" s="124" t="s">
        <v>8367</v>
      </c>
      <c r="F8355" s="126">
        <v>3</v>
      </c>
      <c r="G8355" s="128">
        <v>8520.01</v>
      </c>
      <c r="H8355" s="124" t="s">
        <v>8368</v>
      </c>
      <c r="I8355" s="128">
        <v>4980</v>
      </c>
      <c r="J8355" s="128">
        <v>24900</v>
      </c>
    </row>
    <row r="8356" spans="1:10" hidden="1" x14ac:dyDescent="0.25">
      <c r="A8356" s="124" t="s">
        <v>10617</v>
      </c>
      <c r="B8356" s="124" t="s">
        <v>11736</v>
      </c>
      <c r="C8356" s="132"/>
      <c r="D8356" s="125">
        <f>COUNTIF(A4006:A8355,A8356)</f>
        <v>0</v>
      </c>
      <c r="E8356" s="124" t="s">
        <v>8367</v>
      </c>
      <c r="F8356" s="126">
        <v>1</v>
      </c>
      <c r="G8356" s="128">
        <v>3200</v>
      </c>
      <c r="H8356" s="124" t="s">
        <v>8368</v>
      </c>
      <c r="I8356" s="127">
        <v>20</v>
      </c>
      <c r="J8356" s="127">
        <v>100</v>
      </c>
    </row>
    <row r="8357" spans="1:10" hidden="1" x14ac:dyDescent="0.25">
      <c r="A8357" s="124" t="s">
        <v>10618</v>
      </c>
      <c r="B8357" s="124" t="s">
        <v>11736</v>
      </c>
      <c r="C8357" s="132"/>
      <c r="D8357" s="125">
        <f>COUNTIF(A4007:A8356,A8357)</f>
        <v>0</v>
      </c>
      <c r="E8357" s="124" t="s">
        <v>8367</v>
      </c>
      <c r="F8357" s="126">
        <v>1</v>
      </c>
      <c r="G8357" s="128">
        <v>3650</v>
      </c>
      <c r="H8357" s="124" t="s">
        <v>8368</v>
      </c>
      <c r="I8357" s="128">
        <v>2190</v>
      </c>
      <c r="J8357" s="128">
        <v>10950</v>
      </c>
    </row>
    <row r="8358" spans="1:10" hidden="1" x14ac:dyDescent="0.25">
      <c r="A8358" s="124" t="s">
        <v>10619</v>
      </c>
      <c r="B8358" s="124" t="s">
        <v>11736</v>
      </c>
      <c r="C8358" s="132"/>
      <c r="D8358" s="125">
        <f>COUNTIF(A4008:A8357,A8358)</f>
        <v>0</v>
      </c>
      <c r="E8358" s="124" t="s">
        <v>8367</v>
      </c>
      <c r="F8358" s="126">
        <v>40</v>
      </c>
      <c r="G8358" s="128">
        <v>29880</v>
      </c>
      <c r="H8358" s="124" t="s">
        <v>8368</v>
      </c>
      <c r="I8358" s="128">
        <v>5254</v>
      </c>
      <c r="J8358" s="128">
        <v>26270</v>
      </c>
    </row>
    <row r="8359" spans="1:10" hidden="1" x14ac:dyDescent="0.25">
      <c r="A8359" s="124" t="s">
        <v>10620</v>
      </c>
      <c r="B8359" s="124" t="s">
        <v>11736</v>
      </c>
      <c r="C8359" s="132"/>
      <c r="D8359" s="125">
        <f>COUNTIF(A4009:A8358,A8359)</f>
        <v>0</v>
      </c>
      <c r="E8359" s="124" t="s">
        <v>8367</v>
      </c>
      <c r="F8359" s="126">
        <v>1</v>
      </c>
      <c r="G8359" s="127">
        <v>120</v>
      </c>
      <c r="H8359" s="124" t="s">
        <v>8368</v>
      </c>
      <c r="I8359" s="127">
        <v>178</v>
      </c>
      <c r="J8359" s="127">
        <v>890</v>
      </c>
    </row>
    <row r="8360" spans="1:10" hidden="1" x14ac:dyDescent="0.25">
      <c r="A8360" s="124" t="s">
        <v>10621</v>
      </c>
      <c r="B8360" s="124" t="s">
        <v>11736</v>
      </c>
      <c r="C8360" s="132"/>
      <c r="D8360" s="125">
        <f t="shared" ref="D8360:D8370" si="141">COUNTIF(A4011:A8359,A8360)</f>
        <v>0</v>
      </c>
      <c r="E8360" s="124" t="s">
        <v>8367</v>
      </c>
      <c r="F8360" s="126">
        <v>20</v>
      </c>
      <c r="G8360" s="128">
        <v>13140</v>
      </c>
      <c r="H8360" s="124" t="s">
        <v>8368</v>
      </c>
      <c r="I8360" s="127">
        <v>763.2</v>
      </c>
      <c r="J8360" s="128">
        <v>3816</v>
      </c>
    </row>
    <row r="8361" spans="1:10" hidden="1" x14ac:dyDescent="0.25">
      <c r="A8361" s="124" t="s">
        <v>10622</v>
      </c>
      <c r="B8361" s="124" t="s">
        <v>11736</v>
      </c>
      <c r="C8361" s="132"/>
      <c r="D8361" s="125">
        <f t="shared" si="141"/>
        <v>0</v>
      </c>
      <c r="E8361" s="124" t="s">
        <v>8367</v>
      </c>
      <c r="F8361" s="126">
        <v>20</v>
      </c>
      <c r="G8361" s="128">
        <v>31524</v>
      </c>
      <c r="H8361" s="124" t="s">
        <v>8368</v>
      </c>
      <c r="I8361" s="128">
        <v>2647</v>
      </c>
      <c r="J8361" s="128">
        <v>13235</v>
      </c>
    </row>
    <row r="8362" spans="1:10" hidden="1" x14ac:dyDescent="0.25">
      <c r="A8362" s="124" t="s">
        <v>10623</v>
      </c>
      <c r="B8362" s="124" t="s">
        <v>11736</v>
      </c>
      <c r="C8362" s="132"/>
      <c r="D8362" s="125">
        <f t="shared" si="141"/>
        <v>0</v>
      </c>
      <c r="E8362" s="124" t="s">
        <v>8367</v>
      </c>
      <c r="F8362" s="126">
        <v>1</v>
      </c>
      <c r="G8362" s="128">
        <v>1068</v>
      </c>
      <c r="H8362" s="124" t="s">
        <v>8368</v>
      </c>
      <c r="I8362" s="128">
        <v>1229.5999999999999</v>
      </c>
      <c r="J8362" s="128">
        <v>6148</v>
      </c>
    </row>
    <row r="8363" spans="1:10" hidden="1" x14ac:dyDescent="0.25">
      <c r="A8363" s="124" t="s">
        <v>10624</v>
      </c>
      <c r="B8363" s="124" t="s">
        <v>11736</v>
      </c>
      <c r="C8363" s="132"/>
      <c r="D8363" s="125">
        <f t="shared" si="141"/>
        <v>0</v>
      </c>
      <c r="E8363" s="124" t="s">
        <v>8367</v>
      </c>
      <c r="F8363" s="126">
        <v>10</v>
      </c>
      <c r="G8363" s="128">
        <v>4579.2</v>
      </c>
      <c r="H8363" s="124" t="s">
        <v>8368</v>
      </c>
      <c r="I8363" s="128">
        <v>22800</v>
      </c>
      <c r="J8363" s="128">
        <v>114000</v>
      </c>
    </row>
    <row r="8364" spans="1:10" hidden="1" x14ac:dyDescent="0.25">
      <c r="A8364" s="124" t="s">
        <v>3356</v>
      </c>
      <c r="B8364" s="124" t="s">
        <v>11736</v>
      </c>
      <c r="C8364" s="132"/>
      <c r="D8364" s="125">
        <f t="shared" si="141"/>
        <v>0</v>
      </c>
      <c r="E8364" s="124" t="s">
        <v>8367</v>
      </c>
      <c r="F8364" s="126">
        <v>25</v>
      </c>
      <c r="G8364" s="128">
        <v>15882</v>
      </c>
      <c r="H8364" s="124" t="s">
        <v>8368</v>
      </c>
      <c r="I8364" s="128">
        <v>8731.4</v>
      </c>
      <c r="J8364" s="128">
        <v>43657</v>
      </c>
    </row>
    <row r="8365" spans="1:10" hidden="1" x14ac:dyDescent="0.25">
      <c r="A8365" s="124" t="s">
        <v>10625</v>
      </c>
      <c r="B8365" s="124" t="s">
        <v>11736</v>
      </c>
      <c r="C8365" s="132"/>
      <c r="D8365" s="125">
        <f t="shared" si="141"/>
        <v>0</v>
      </c>
      <c r="E8365" s="124" t="s">
        <v>8367</v>
      </c>
      <c r="F8365" s="126">
        <v>5</v>
      </c>
      <c r="G8365" s="128">
        <v>7377.6</v>
      </c>
      <c r="H8365" s="124" t="s">
        <v>8368</v>
      </c>
      <c r="I8365" s="128">
        <v>4640</v>
      </c>
      <c r="J8365" s="128">
        <v>23200</v>
      </c>
    </row>
    <row r="8366" spans="1:10" hidden="1" x14ac:dyDescent="0.25">
      <c r="A8366" s="124" t="s">
        <v>10626</v>
      </c>
      <c r="B8366" s="124" t="s">
        <v>11736</v>
      </c>
      <c r="C8366" s="132"/>
      <c r="D8366" s="125">
        <f t="shared" si="141"/>
        <v>0</v>
      </c>
      <c r="E8366" s="124" t="s">
        <v>8367</v>
      </c>
      <c r="F8366" s="126">
        <v>150</v>
      </c>
      <c r="G8366" s="128">
        <v>136800</v>
      </c>
      <c r="H8366" s="124" t="s">
        <v>8368</v>
      </c>
      <c r="I8366" s="128">
        <v>4044.6</v>
      </c>
      <c r="J8366" s="128">
        <v>20223</v>
      </c>
    </row>
    <row r="8367" spans="1:10" hidden="1" x14ac:dyDescent="0.25">
      <c r="A8367" s="124" t="s">
        <v>10627</v>
      </c>
      <c r="B8367" s="124" t="s">
        <v>11736</v>
      </c>
      <c r="C8367" s="132"/>
      <c r="D8367" s="125">
        <f t="shared" si="141"/>
        <v>0</v>
      </c>
      <c r="E8367" s="124" t="s">
        <v>8367</v>
      </c>
      <c r="F8367" s="126">
        <v>1</v>
      </c>
      <c r="G8367" s="128">
        <v>52388.4</v>
      </c>
      <c r="H8367" s="124" t="s">
        <v>8368</v>
      </c>
      <c r="I8367" s="127">
        <v>88.91</v>
      </c>
      <c r="J8367" s="127">
        <v>444.55</v>
      </c>
    </row>
    <row r="8368" spans="1:10" hidden="1" x14ac:dyDescent="0.25">
      <c r="A8368" s="124" t="s">
        <v>10628</v>
      </c>
      <c r="B8368" s="124" t="s">
        <v>11736</v>
      </c>
      <c r="C8368" s="132"/>
      <c r="D8368" s="125">
        <f t="shared" si="141"/>
        <v>0</v>
      </c>
      <c r="E8368" s="124" t="s">
        <v>8367</v>
      </c>
      <c r="F8368" s="126">
        <v>10</v>
      </c>
      <c r="G8368" s="128">
        <v>27840</v>
      </c>
      <c r="H8368" s="124" t="s">
        <v>8368</v>
      </c>
      <c r="I8368" s="128">
        <v>17083.400000000001</v>
      </c>
      <c r="J8368" s="128">
        <v>85417</v>
      </c>
    </row>
    <row r="8369" spans="1:10" hidden="1" x14ac:dyDescent="0.25">
      <c r="A8369" s="124" t="s">
        <v>10629</v>
      </c>
      <c r="B8369" s="124" t="s">
        <v>11736</v>
      </c>
      <c r="C8369" s="132"/>
      <c r="D8369" s="125">
        <f t="shared" si="141"/>
        <v>0</v>
      </c>
      <c r="E8369" s="124" t="s">
        <v>1</v>
      </c>
      <c r="F8369" s="126">
        <v>37</v>
      </c>
      <c r="G8369" s="128">
        <v>24267.599999999999</v>
      </c>
      <c r="H8369" s="124" t="s">
        <v>8368</v>
      </c>
      <c r="I8369" s="128">
        <v>8800</v>
      </c>
      <c r="J8369" s="128">
        <v>44000</v>
      </c>
    </row>
    <row r="8370" spans="1:10" hidden="1" x14ac:dyDescent="0.25">
      <c r="A8370" s="124" t="s">
        <v>10630</v>
      </c>
      <c r="B8370" s="124" t="s">
        <v>11736</v>
      </c>
      <c r="C8370" s="132"/>
      <c r="D8370" s="125">
        <f t="shared" si="141"/>
        <v>0</v>
      </c>
      <c r="E8370" s="124" t="s">
        <v>1</v>
      </c>
      <c r="F8370" s="126">
        <v>0.8</v>
      </c>
      <c r="G8370" s="127">
        <v>533.46</v>
      </c>
      <c r="H8370" s="124" t="s">
        <v>8368</v>
      </c>
      <c r="I8370" s="128">
        <v>1400</v>
      </c>
      <c r="J8370" s="128">
        <v>7000</v>
      </c>
    </row>
    <row r="8371" spans="1:10" hidden="1" x14ac:dyDescent="0.25">
      <c r="A8371" s="124" t="s">
        <v>10631</v>
      </c>
      <c r="B8371" s="124" t="s">
        <v>11736</v>
      </c>
      <c r="C8371" s="132"/>
      <c r="D8371" s="125">
        <f t="shared" ref="D8371:D8389" si="142">COUNTIF(A4023:A8370,A8371)</f>
        <v>0</v>
      </c>
      <c r="E8371" s="124" t="s">
        <v>8367</v>
      </c>
      <c r="F8371" s="126">
        <v>10</v>
      </c>
      <c r="G8371" s="128">
        <v>102500.4</v>
      </c>
      <c r="H8371" s="124" t="s">
        <v>8368</v>
      </c>
      <c r="I8371" s="128">
        <v>4750</v>
      </c>
      <c r="J8371" s="128">
        <v>23750</v>
      </c>
    </row>
    <row r="8372" spans="1:10" hidden="1" x14ac:dyDescent="0.25">
      <c r="A8372" s="124" t="s">
        <v>10632</v>
      </c>
      <c r="B8372" s="124" t="s">
        <v>11736</v>
      </c>
      <c r="C8372" s="132"/>
      <c r="D8372" s="125">
        <f t="shared" si="142"/>
        <v>0</v>
      </c>
      <c r="E8372" s="124" t="s">
        <v>8367</v>
      </c>
      <c r="F8372" s="126">
        <v>1</v>
      </c>
      <c r="G8372" s="128">
        <v>52800</v>
      </c>
      <c r="H8372" s="124" t="s">
        <v>8368</v>
      </c>
      <c r="I8372" s="128">
        <v>7150</v>
      </c>
      <c r="J8372" s="128">
        <v>35750</v>
      </c>
    </row>
    <row r="8373" spans="1:10" hidden="1" x14ac:dyDescent="0.25">
      <c r="A8373" s="124" t="s">
        <v>10633</v>
      </c>
      <c r="B8373" s="124" t="s">
        <v>11736</v>
      </c>
      <c r="C8373" s="132"/>
      <c r="D8373" s="125">
        <f t="shared" si="142"/>
        <v>0</v>
      </c>
      <c r="E8373" s="124" t="s">
        <v>8367</v>
      </c>
      <c r="F8373" s="126">
        <v>1</v>
      </c>
      <c r="G8373" s="128">
        <v>8400</v>
      </c>
      <c r="H8373" s="124" t="s">
        <v>8368</v>
      </c>
      <c r="I8373" s="128">
        <v>6666.6</v>
      </c>
      <c r="J8373" s="128">
        <v>33333</v>
      </c>
    </row>
    <row r="8374" spans="1:10" hidden="1" x14ac:dyDescent="0.25">
      <c r="A8374" s="124" t="s">
        <v>10634</v>
      </c>
      <c r="B8374" s="124" t="s">
        <v>11736</v>
      </c>
      <c r="C8374" s="132"/>
      <c r="D8374" s="125">
        <f t="shared" si="142"/>
        <v>0</v>
      </c>
      <c r="E8374" s="124" t="s">
        <v>8367</v>
      </c>
      <c r="F8374" s="126">
        <v>1</v>
      </c>
      <c r="G8374" s="128">
        <v>28500</v>
      </c>
      <c r="H8374" s="124" t="s">
        <v>8368</v>
      </c>
      <c r="I8374" s="128">
        <v>5327.4</v>
      </c>
      <c r="J8374" s="128">
        <v>26637</v>
      </c>
    </row>
    <row r="8375" spans="1:10" hidden="1" x14ac:dyDescent="0.25">
      <c r="A8375" s="124" t="s">
        <v>10635</v>
      </c>
      <c r="B8375" s="124" t="s">
        <v>11736</v>
      </c>
      <c r="C8375" s="132"/>
      <c r="D8375" s="125">
        <f t="shared" si="142"/>
        <v>0</v>
      </c>
      <c r="E8375" s="124" t="s">
        <v>8367</v>
      </c>
      <c r="F8375" s="126">
        <v>1</v>
      </c>
      <c r="G8375" s="128">
        <v>42900</v>
      </c>
      <c r="H8375" s="124" t="s">
        <v>8368</v>
      </c>
      <c r="I8375" s="127">
        <v>856</v>
      </c>
      <c r="J8375" s="128">
        <v>4280</v>
      </c>
    </row>
    <row r="8376" spans="1:10" hidden="1" x14ac:dyDescent="0.25">
      <c r="A8376" s="124" t="s">
        <v>10636</v>
      </c>
      <c r="B8376" s="124" t="s">
        <v>11736</v>
      </c>
      <c r="C8376" s="132"/>
      <c r="D8376" s="125">
        <f t="shared" si="142"/>
        <v>0</v>
      </c>
      <c r="E8376" s="124" t="s">
        <v>8367</v>
      </c>
      <c r="F8376" s="129">
        <v>20000</v>
      </c>
      <c r="G8376" s="128">
        <v>39999.599999999999</v>
      </c>
      <c r="H8376" s="124" t="s">
        <v>8368</v>
      </c>
      <c r="I8376" s="127">
        <v>77.400000000000006</v>
      </c>
      <c r="J8376" s="127">
        <v>387</v>
      </c>
    </row>
    <row r="8377" spans="1:10" hidden="1" x14ac:dyDescent="0.25">
      <c r="A8377" s="124" t="s">
        <v>10637</v>
      </c>
      <c r="B8377" s="124" t="s">
        <v>11736</v>
      </c>
      <c r="C8377" s="132"/>
      <c r="D8377" s="125">
        <f t="shared" si="142"/>
        <v>0</v>
      </c>
      <c r="E8377" s="124" t="s">
        <v>8367</v>
      </c>
      <c r="F8377" s="129">
        <v>2440</v>
      </c>
      <c r="G8377" s="128">
        <v>31964.400000000001</v>
      </c>
      <c r="H8377" s="124" t="s">
        <v>8368</v>
      </c>
      <c r="I8377" s="127">
        <v>80</v>
      </c>
      <c r="J8377" s="127">
        <v>400</v>
      </c>
    </row>
    <row r="8378" spans="1:10" hidden="1" x14ac:dyDescent="0.25">
      <c r="A8378" s="124" t="s">
        <v>10638</v>
      </c>
      <c r="B8378" s="124" t="s">
        <v>11736</v>
      </c>
      <c r="C8378" s="132"/>
      <c r="D8378" s="125">
        <f t="shared" si="142"/>
        <v>0</v>
      </c>
      <c r="E8378" s="124" t="s">
        <v>8367</v>
      </c>
      <c r="F8378" s="126">
        <v>1</v>
      </c>
      <c r="G8378" s="128">
        <v>5136</v>
      </c>
      <c r="H8378" s="124" t="s">
        <v>8368</v>
      </c>
      <c r="I8378" s="128">
        <v>2833.4</v>
      </c>
      <c r="J8378" s="128">
        <v>14167</v>
      </c>
    </row>
    <row r="8379" spans="1:10" hidden="1" x14ac:dyDescent="0.25">
      <c r="A8379" s="124" t="s">
        <v>10639</v>
      </c>
      <c r="B8379" s="124" t="s">
        <v>11736</v>
      </c>
      <c r="C8379" s="132"/>
      <c r="D8379" s="125">
        <f t="shared" si="142"/>
        <v>0</v>
      </c>
      <c r="E8379" s="124" t="s">
        <v>8367</v>
      </c>
      <c r="F8379" s="126">
        <v>4</v>
      </c>
      <c r="G8379" s="127">
        <v>464.4</v>
      </c>
      <c r="H8379" s="124" t="s">
        <v>8368</v>
      </c>
      <c r="I8379" s="128">
        <v>1964.3</v>
      </c>
      <c r="J8379" s="128">
        <v>9821.5</v>
      </c>
    </row>
    <row r="8380" spans="1:10" hidden="1" x14ac:dyDescent="0.25">
      <c r="A8380" s="124" t="s">
        <v>10640</v>
      </c>
      <c r="B8380" s="124" t="s">
        <v>11736</v>
      </c>
      <c r="C8380" s="132"/>
      <c r="D8380" s="125">
        <f t="shared" si="142"/>
        <v>0</v>
      </c>
      <c r="E8380" s="124" t="s">
        <v>8367</v>
      </c>
      <c r="F8380" s="126">
        <v>4</v>
      </c>
      <c r="G8380" s="127">
        <v>480</v>
      </c>
      <c r="H8380" s="124" t="s">
        <v>8368</v>
      </c>
      <c r="I8380" s="128">
        <v>3299.8</v>
      </c>
      <c r="J8380" s="128">
        <v>16499</v>
      </c>
    </row>
    <row r="8381" spans="1:10" hidden="1" x14ac:dyDescent="0.25">
      <c r="A8381" s="124" t="s">
        <v>10641</v>
      </c>
      <c r="B8381" s="124" t="s">
        <v>11736</v>
      </c>
      <c r="C8381" s="132"/>
      <c r="D8381" s="125">
        <f t="shared" si="142"/>
        <v>0</v>
      </c>
      <c r="E8381" s="124" t="s">
        <v>8367</v>
      </c>
      <c r="F8381" s="126">
        <v>20</v>
      </c>
      <c r="G8381" s="128">
        <v>17000.400000000001</v>
      </c>
      <c r="H8381" s="124" t="s">
        <v>8368</v>
      </c>
      <c r="I8381" s="128">
        <v>3610.6</v>
      </c>
      <c r="J8381" s="128">
        <v>18053</v>
      </c>
    </row>
    <row r="8382" spans="1:10" hidden="1" x14ac:dyDescent="0.25">
      <c r="A8382" s="124" t="s">
        <v>10642</v>
      </c>
      <c r="B8382" s="124" t="s">
        <v>11736</v>
      </c>
      <c r="C8382" s="132"/>
      <c r="D8382" s="125">
        <f t="shared" si="142"/>
        <v>0</v>
      </c>
      <c r="E8382" s="124" t="s">
        <v>8367</v>
      </c>
      <c r="F8382" s="126">
        <v>1</v>
      </c>
      <c r="G8382" s="128">
        <v>11785.8</v>
      </c>
      <c r="H8382" s="124" t="s">
        <v>8368</v>
      </c>
      <c r="I8382" s="127">
        <v>194.7</v>
      </c>
      <c r="J8382" s="127">
        <v>973.5</v>
      </c>
    </row>
    <row r="8383" spans="1:10" hidden="1" x14ac:dyDescent="0.25">
      <c r="A8383" s="124" t="s">
        <v>10643</v>
      </c>
      <c r="B8383" s="124" t="s">
        <v>11736</v>
      </c>
      <c r="C8383" s="132"/>
      <c r="D8383" s="125">
        <f t="shared" si="142"/>
        <v>0</v>
      </c>
      <c r="E8383" s="124" t="s">
        <v>8367</v>
      </c>
      <c r="F8383" s="126">
        <v>15</v>
      </c>
      <c r="G8383" s="128">
        <v>19798.8</v>
      </c>
      <c r="H8383" s="124" t="s">
        <v>8368</v>
      </c>
      <c r="I8383" s="127">
        <v>381</v>
      </c>
      <c r="J8383" s="128">
        <v>1905</v>
      </c>
    </row>
    <row r="8384" spans="1:10" hidden="1" x14ac:dyDescent="0.25">
      <c r="A8384" s="124" t="s">
        <v>4752</v>
      </c>
      <c r="B8384" s="124" t="s">
        <v>11736</v>
      </c>
      <c r="C8384" s="132"/>
      <c r="D8384" s="125">
        <f t="shared" si="142"/>
        <v>0</v>
      </c>
      <c r="E8384" s="124" t="s">
        <v>8367</v>
      </c>
      <c r="F8384" s="126">
        <v>35</v>
      </c>
      <c r="G8384" s="128">
        <v>21663.599999999999</v>
      </c>
      <c r="H8384" s="124" t="s">
        <v>8368</v>
      </c>
      <c r="I8384" s="127">
        <v>406</v>
      </c>
      <c r="J8384" s="128">
        <v>2030</v>
      </c>
    </row>
    <row r="8385" spans="1:10" hidden="1" x14ac:dyDescent="0.25">
      <c r="A8385" s="124" t="s">
        <v>10644</v>
      </c>
      <c r="B8385" s="124" t="s">
        <v>11736</v>
      </c>
      <c r="C8385" s="132"/>
      <c r="D8385" s="125">
        <f t="shared" si="142"/>
        <v>0</v>
      </c>
      <c r="E8385" s="124" t="s">
        <v>8367</v>
      </c>
      <c r="F8385" s="126">
        <v>5</v>
      </c>
      <c r="G8385" s="128">
        <v>1168.2</v>
      </c>
      <c r="H8385" s="124" t="s">
        <v>8368</v>
      </c>
      <c r="I8385" s="127">
        <v>476.8</v>
      </c>
      <c r="J8385" s="128">
        <v>2384</v>
      </c>
    </row>
    <row r="8386" spans="1:10" hidden="1" x14ac:dyDescent="0.25">
      <c r="A8386" s="124" t="s">
        <v>10645</v>
      </c>
      <c r="B8386" s="124" t="s">
        <v>11736</v>
      </c>
      <c r="C8386" s="132"/>
      <c r="D8386" s="125">
        <f t="shared" si="142"/>
        <v>0</v>
      </c>
      <c r="E8386" s="124" t="s">
        <v>8367</v>
      </c>
      <c r="F8386" s="126">
        <v>5</v>
      </c>
      <c r="G8386" s="128">
        <v>2286</v>
      </c>
      <c r="H8386" s="124" t="s">
        <v>8368</v>
      </c>
      <c r="I8386" s="128">
        <v>13433.35</v>
      </c>
      <c r="J8386" s="128">
        <v>67166.720000000001</v>
      </c>
    </row>
    <row r="8387" spans="1:10" hidden="1" x14ac:dyDescent="0.25">
      <c r="A8387" s="124" t="s">
        <v>10646</v>
      </c>
      <c r="B8387" s="124" t="s">
        <v>11736</v>
      </c>
      <c r="C8387" s="132"/>
      <c r="D8387" s="125">
        <f t="shared" si="142"/>
        <v>0</v>
      </c>
      <c r="E8387" s="124" t="s">
        <v>8367</v>
      </c>
      <c r="F8387" s="126">
        <v>3</v>
      </c>
      <c r="G8387" s="128">
        <v>2436</v>
      </c>
      <c r="H8387" s="124" t="s">
        <v>8368</v>
      </c>
      <c r="I8387" s="128">
        <v>600000</v>
      </c>
      <c r="J8387" s="128">
        <v>3000000</v>
      </c>
    </row>
    <row r="8388" spans="1:10" hidden="1" x14ac:dyDescent="0.25">
      <c r="A8388" s="124" t="s">
        <v>10647</v>
      </c>
      <c r="B8388" s="124" t="s">
        <v>11736</v>
      </c>
      <c r="C8388" s="132"/>
      <c r="D8388" s="125">
        <f t="shared" si="142"/>
        <v>0</v>
      </c>
      <c r="E8388" s="124" t="s">
        <v>8367</v>
      </c>
      <c r="F8388" s="126">
        <v>4</v>
      </c>
      <c r="G8388" s="128">
        <v>2860.8</v>
      </c>
      <c r="H8388" s="124" t="s">
        <v>8368</v>
      </c>
      <c r="I8388" s="128">
        <v>1401.14</v>
      </c>
      <c r="J8388" s="128">
        <v>7005.7</v>
      </c>
    </row>
    <row r="8389" spans="1:10" hidden="1" x14ac:dyDescent="0.25">
      <c r="A8389" s="124" t="s">
        <v>10648</v>
      </c>
      <c r="B8389" s="124" t="s">
        <v>11736</v>
      </c>
      <c r="C8389" s="132"/>
      <c r="D8389" s="125">
        <f t="shared" si="142"/>
        <v>0</v>
      </c>
      <c r="E8389" s="124" t="s">
        <v>8367</v>
      </c>
      <c r="F8389" s="126">
        <v>13</v>
      </c>
      <c r="G8389" s="128">
        <v>80600.070000000007</v>
      </c>
      <c r="H8389" s="124" t="s">
        <v>8368</v>
      </c>
      <c r="I8389" s="127">
        <v>544</v>
      </c>
      <c r="J8389" s="128">
        <v>2720</v>
      </c>
    </row>
    <row r="8390" spans="1:10" hidden="1" x14ac:dyDescent="0.25">
      <c r="A8390" s="124" t="s">
        <v>10649</v>
      </c>
      <c r="B8390" s="124" t="s">
        <v>11736</v>
      </c>
      <c r="C8390" s="132"/>
      <c r="D8390" s="125">
        <f>COUNTIF(A4045:A8389,A8390)</f>
        <v>0</v>
      </c>
      <c r="E8390" s="124" t="s">
        <v>8367</v>
      </c>
      <c r="F8390" s="126">
        <v>400</v>
      </c>
      <c r="G8390" s="128">
        <v>3600000</v>
      </c>
      <c r="H8390" s="124" t="s">
        <v>8368</v>
      </c>
      <c r="I8390" s="128">
        <v>8331.2000000000007</v>
      </c>
      <c r="J8390" s="128">
        <v>41656</v>
      </c>
    </row>
    <row r="8391" spans="1:10" hidden="1" x14ac:dyDescent="0.25">
      <c r="A8391" s="124" t="s">
        <v>10650</v>
      </c>
      <c r="B8391" s="124" t="s">
        <v>11736</v>
      </c>
      <c r="C8391" s="132"/>
      <c r="D8391" s="125">
        <f>COUNTIF(A4046:A8390,A8391)</f>
        <v>0</v>
      </c>
      <c r="E8391" s="124" t="s">
        <v>8367</v>
      </c>
      <c r="F8391" s="126">
        <v>8.5</v>
      </c>
      <c r="G8391" s="128">
        <v>8406.84</v>
      </c>
      <c r="H8391" s="124" t="s">
        <v>8368</v>
      </c>
      <c r="I8391" s="128">
        <v>7771.6</v>
      </c>
      <c r="J8391" s="128">
        <v>38858</v>
      </c>
    </row>
    <row r="8392" spans="1:10" hidden="1" x14ac:dyDescent="0.25">
      <c r="A8392" s="124" t="s">
        <v>10651</v>
      </c>
      <c r="B8392" s="124" t="s">
        <v>11736</v>
      </c>
      <c r="C8392" s="132"/>
      <c r="D8392" s="125">
        <f>COUNTIF(A4047:A8391,A8392)</f>
        <v>0</v>
      </c>
      <c r="E8392" s="124" t="s">
        <v>8367</v>
      </c>
      <c r="F8392" s="126">
        <v>12</v>
      </c>
      <c r="G8392" s="128">
        <v>3264</v>
      </c>
      <c r="H8392" s="124" t="s">
        <v>8368</v>
      </c>
      <c r="I8392" s="127">
        <v>808</v>
      </c>
      <c r="J8392" s="128">
        <v>4040</v>
      </c>
    </row>
    <row r="8393" spans="1:10" hidden="1" x14ac:dyDescent="0.25">
      <c r="A8393" s="124" t="s">
        <v>10652</v>
      </c>
      <c r="B8393" s="124" t="s">
        <v>11736</v>
      </c>
      <c r="C8393" s="132"/>
      <c r="D8393" s="125">
        <f t="shared" ref="D8393:D8400" si="143">COUNTIF(A4054:A8392,A8393)</f>
        <v>0</v>
      </c>
      <c r="E8393" s="124" t="s">
        <v>8367</v>
      </c>
      <c r="F8393" s="126">
        <v>2</v>
      </c>
      <c r="G8393" s="128">
        <v>49987.199999999997</v>
      </c>
      <c r="H8393" s="124" t="s">
        <v>8368</v>
      </c>
      <c r="I8393" s="128">
        <v>5649.43</v>
      </c>
      <c r="J8393" s="128">
        <v>28247.14</v>
      </c>
    </row>
    <row r="8394" spans="1:10" hidden="1" x14ac:dyDescent="0.25">
      <c r="A8394" s="124" t="s">
        <v>10653</v>
      </c>
      <c r="B8394" s="124" t="s">
        <v>11736</v>
      </c>
      <c r="C8394" s="132"/>
      <c r="D8394" s="125">
        <f t="shared" si="143"/>
        <v>0</v>
      </c>
      <c r="E8394" s="124" t="s">
        <v>8367</v>
      </c>
      <c r="F8394" s="126">
        <v>2</v>
      </c>
      <c r="G8394" s="128">
        <v>46629.599999999999</v>
      </c>
      <c r="H8394" s="124" t="s">
        <v>8368</v>
      </c>
      <c r="I8394" s="128">
        <v>9232.6</v>
      </c>
      <c r="J8394" s="128">
        <v>46163</v>
      </c>
    </row>
    <row r="8395" spans="1:10" hidden="1" x14ac:dyDescent="0.25">
      <c r="A8395" s="124" t="s">
        <v>10654</v>
      </c>
      <c r="B8395" s="124" t="s">
        <v>11736</v>
      </c>
      <c r="C8395" s="132"/>
      <c r="D8395" s="125">
        <f t="shared" si="143"/>
        <v>0</v>
      </c>
      <c r="E8395" s="124" t="s">
        <v>8367</v>
      </c>
      <c r="F8395" s="126">
        <v>3</v>
      </c>
      <c r="G8395" s="128">
        <v>4848</v>
      </c>
      <c r="H8395" s="124" t="s">
        <v>8368</v>
      </c>
      <c r="I8395" s="128">
        <v>2700</v>
      </c>
      <c r="J8395" s="128">
        <v>13500</v>
      </c>
    </row>
    <row r="8396" spans="1:10" hidden="1" x14ac:dyDescent="0.25">
      <c r="A8396" s="124" t="s">
        <v>10655</v>
      </c>
      <c r="B8396" s="124" t="s">
        <v>11736</v>
      </c>
      <c r="C8396" s="132"/>
      <c r="D8396" s="125">
        <f t="shared" si="143"/>
        <v>0</v>
      </c>
      <c r="E8396" s="124" t="s">
        <v>8367</v>
      </c>
      <c r="F8396" s="126">
        <v>9</v>
      </c>
      <c r="G8396" s="128">
        <v>33896.57</v>
      </c>
      <c r="H8396" s="124" t="s">
        <v>8368</v>
      </c>
      <c r="I8396" s="128">
        <v>3663.4</v>
      </c>
      <c r="J8396" s="128">
        <v>18317</v>
      </c>
    </row>
    <row r="8397" spans="1:10" hidden="1" x14ac:dyDescent="0.25">
      <c r="A8397" s="124" t="s">
        <v>10656</v>
      </c>
      <c r="B8397" s="124" t="s">
        <v>11736</v>
      </c>
      <c r="C8397" s="132"/>
      <c r="D8397" s="125">
        <f t="shared" si="143"/>
        <v>0</v>
      </c>
      <c r="E8397" s="124" t="s">
        <v>8367</v>
      </c>
      <c r="F8397" s="126">
        <v>5</v>
      </c>
      <c r="G8397" s="128">
        <v>55395.6</v>
      </c>
      <c r="H8397" s="124" t="s">
        <v>8368</v>
      </c>
      <c r="I8397" s="128">
        <v>3833.4</v>
      </c>
      <c r="J8397" s="128">
        <v>19167</v>
      </c>
    </row>
    <row r="8398" spans="1:10" hidden="1" x14ac:dyDescent="0.25">
      <c r="A8398" s="124" t="s">
        <v>10657</v>
      </c>
      <c r="B8398" s="124" t="s">
        <v>11736</v>
      </c>
      <c r="C8398" s="132"/>
      <c r="D8398" s="125">
        <f t="shared" si="143"/>
        <v>0</v>
      </c>
      <c r="E8398" s="124" t="s">
        <v>8367</v>
      </c>
      <c r="F8398" s="126">
        <v>2</v>
      </c>
      <c r="G8398" s="128">
        <v>16200</v>
      </c>
      <c r="H8398" s="124" t="s">
        <v>8368</v>
      </c>
      <c r="I8398" s="127">
        <v>145</v>
      </c>
      <c r="J8398" s="127">
        <v>725</v>
      </c>
    </row>
    <row r="8399" spans="1:10" hidden="1" x14ac:dyDescent="0.25">
      <c r="A8399" s="124" t="s">
        <v>10658</v>
      </c>
      <c r="B8399" s="124" t="s">
        <v>11736</v>
      </c>
      <c r="C8399" s="132"/>
      <c r="D8399" s="125">
        <f t="shared" si="143"/>
        <v>0</v>
      </c>
      <c r="E8399" s="124" t="s">
        <v>8367</v>
      </c>
      <c r="F8399" s="126">
        <v>2</v>
      </c>
      <c r="G8399" s="128">
        <v>21980.400000000001</v>
      </c>
      <c r="H8399" s="124" t="s">
        <v>8368</v>
      </c>
      <c r="I8399" s="128">
        <v>1516.65</v>
      </c>
      <c r="J8399" s="128">
        <v>7583.22</v>
      </c>
    </row>
    <row r="8400" spans="1:10" hidden="1" x14ac:dyDescent="0.25">
      <c r="A8400" s="124" t="s">
        <v>10659</v>
      </c>
      <c r="B8400" s="124" t="s">
        <v>11736</v>
      </c>
      <c r="C8400" s="132"/>
      <c r="D8400" s="125">
        <f t="shared" si="143"/>
        <v>0</v>
      </c>
      <c r="E8400" s="124" t="s">
        <v>8367</v>
      </c>
      <c r="F8400" s="126">
        <v>2</v>
      </c>
      <c r="G8400" s="128">
        <v>23000.400000000001</v>
      </c>
      <c r="H8400" s="124" t="s">
        <v>8368</v>
      </c>
      <c r="I8400" s="128">
        <v>1400</v>
      </c>
      <c r="J8400" s="128">
        <v>7000</v>
      </c>
    </row>
    <row r="8401" spans="1:10" hidden="1" x14ac:dyDescent="0.25">
      <c r="A8401" s="124" t="s">
        <v>10660</v>
      </c>
      <c r="B8401" s="124" t="s">
        <v>11736</v>
      </c>
      <c r="C8401" s="132"/>
      <c r="D8401" s="125">
        <f>COUNTIF(A4063:A8400,A8401)</f>
        <v>0</v>
      </c>
      <c r="E8401" s="124" t="s">
        <v>1</v>
      </c>
      <c r="F8401" s="126">
        <v>2</v>
      </c>
      <c r="G8401" s="127">
        <v>870</v>
      </c>
      <c r="H8401" s="124" t="s">
        <v>8368</v>
      </c>
      <c r="I8401" s="127">
        <v>616.6</v>
      </c>
      <c r="J8401" s="128">
        <v>3083</v>
      </c>
    </row>
    <row r="8402" spans="1:10" hidden="1" x14ac:dyDescent="0.25">
      <c r="A8402" s="124" t="s">
        <v>2020</v>
      </c>
      <c r="B8402" s="124" t="s">
        <v>11736</v>
      </c>
      <c r="C8402" s="132"/>
      <c r="D8402" s="125">
        <f>COUNTIF(A4065:A8401,A8402)</f>
        <v>0</v>
      </c>
      <c r="E8402" s="124" t="s">
        <v>8367</v>
      </c>
      <c r="F8402" s="126">
        <v>26</v>
      </c>
      <c r="G8402" s="128">
        <v>9099.8700000000008</v>
      </c>
      <c r="H8402" s="124" t="s">
        <v>8368</v>
      </c>
      <c r="I8402" s="128">
        <v>1678333.33</v>
      </c>
      <c r="J8402" s="128">
        <v>8391666.6699999999</v>
      </c>
    </row>
    <row r="8403" spans="1:10" hidden="1" x14ac:dyDescent="0.25">
      <c r="A8403" s="124" t="s">
        <v>10661</v>
      </c>
      <c r="B8403" s="124" t="s">
        <v>11736</v>
      </c>
      <c r="C8403" s="132"/>
      <c r="D8403" s="125">
        <f>COUNTIF(A4067:A8402,A8403)</f>
        <v>0</v>
      </c>
      <c r="E8403" s="124" t="s">
        <v>8367</v>
      </c>
      <c r="F8403" s="126">
        <v>2</v>
      </c>
      <c r="G8403" s="128">
        <v>8400</v>
      </c>
      <c r="H8403" s="124" t="s">
        <v>8368</v>
      </c>
      <c r="I8403" s="128">
        <v>61440</v>
      </c>
      <c r="J8403" s="128">
        <v>307200</v>
      </c>
    </row>
    <row r="8404" spans="1:10" hidden="1" x14ac:dyDescent="0.25">
      <c r="A8404" s="124" t="s">
        <v>4237</v>
      </c>
      <c r="B8404" s="124" t="s">
        <v>11736</v>
      </c>
      <c r="C8404" s="132"/>
      <c r="D8404" s="125">
        <f>COUNTIF(A4069:A8403,A8404)</f>
        <v>0</v>
      </c>
      <c r="E8404" s="124" t="s">
        <v>8367</v>
      </c>
      <c r="F8404" s="126">
        <v>2</v>
      </c>
      <c r="G8404" s="128">
        <v>3699.6</v>
      </c>
      <c r="H8404" s="124" t="s">
        <v>8368</v>
      </c>
      <c r="I8404" s="128">
        <v>2704</v>
      </c>
      <c r="J8404" s="128">
        <v>13520</v>
      </c>
    </row>
    <row r="8405" spans="1:10" hidden="1" x14ac:dyDescent="0.25">
      <c r="A8405" s="124" t="s">
        <v>10662</v>
      </c>
      <c r="B8405" s="124" t="s">
        <v>11736</v>
      </c>
      <c r="C8405" s="132"/>
      <c r="D8405" s="125">
        <f>COUNTIF(A4070:A8404,A8405)</f>
        <v>0</v>
      </c>
      <c r="E8405" s="124" t="s">
        <v>8367</v>
      </c>
      <c r="F8405" s="126">
        <v>106</v>
      </c>
      <c r="G8405" s="128">
        <v>10070000</v>
      </c>
      <c r="H8405" s="124" t="s">
        <v>8368</v>
      </c>
      <c r="I8405" s="127">
        <v>301.60000000000002</v>
      </c>
      <c r="J8405" s="128">
        <v>1508</v>
      </c>
    </row>
    <row r="8406" spans="1:10" hidden="1" x14ac:dyDescent="0.25">
      <c r="A8406" s="124" t="s">
        <v>10663</v>
      </c>
      <c r="B8406" s="124" t="s">
        <v>11736</v>
      </c>
      <c r="C8406" s="132"/>
      <c r="D8406" s="125">
        <f>COUNTIF(A4072:A8405,A8406)</f>
        <v>0</v>
      </c>
      <c r="E8406" s="124" t="s">
        <v>8367</v>
      </c>
      <c r="F8406" s="126">
        <v>16</v>
      </c>
      <c r="G8406" s="128">
        <v>368640</v>
      </c>
      <c r="H8406" s="124" t="s">
        <v>8368</v>
      </c>
      <c r="I8406" s="127">
        <v>740</v>
      </c>
      <c r="J8406" s="128">
        <v>3700</v>
      </c>
    </row>
    <row r="8407" spans="1:10" hidden="1" x14ac:dyDescent="0.25">
      <c r="A8407" s="124" t="s">
        <v>10664</v>
      </c>
      <c r="B8407" s="124" t="s">
        <v>11736</v>
      </c>
      <c r="C8407" s="132"/>
      <c r="D8407" s="125">
        <f>COUNTIF(A4073:A8406,A8407)</f>
        <v>0</v>
      </c>
      <c r="E8407" s="124" t="s">
        <v>8367</v>
      </c>
      <c r="F8407" s="126">
        <v>10</v>
      </c>
      <c r="G8407" s="128">
        <v>16224</v>
      </c>
      <c r="H8407" s="124" t="s">
        <v>8368</v>
      </c>
      <c r="I8407" s="127">
        <v>375</v>
      </c>
      <c r="J8407" s="128">
        <v>1875</v>
      </c>
    </row>
    <row r="8408" spans="1:10" hidden="1" x14ac:dyDescent="0.25">
      <c r="A8408" s="124" t="s">
        <v>10665</v>
      </c>
      <c r="B8408" s="124" t="s">
        <v>11736</v>
      </c>
      <c r="C8408" s="132"/>
      <c r="D8408" s="125">
        <f>COUNTIF(A4074:A8407,A8408)</f>
        <v>0</v>
      </c>
      <c r="E8408" s="124" t="s">
        <v>8367</v>
      </c>
      <c r="F8408" s="126">
        <v>1</v>
      </c>
      <c r="G8408" s="128">
        <v>1809.6</v>
      </c>
      <c r="H8408" s="124" t="s">
        <v>8368</v>
      </c>
      <c r="I8408" s="127">
        <v>250</v>
      </c>
      <c r="J8408" s="128">
        <v>1250</v>
      </c>
    </row>
    <row r="8409" spans="1:10" hidden="1" x14ac:dyDescent="0.25">
      <c r="A8409" s="124" t="s">
        <v>10666</v>
      </c>
      <c r="B8409" s="124" t="s">
        <v>11736</v>
      </c>
      <c r="C8409" s="132"/>
      <c r="D8409" s="125">
        <f>COUNTIF(A4076:A8408,A8409)</f>
        <v>0</v>
      </c>
      <c r="E8409" s="124" t="s">
        <v>8367</v>
      </c>
      <c r="F8409" s="126">
        <v>15</v>
      </c>
      <c r="G8409" s="128">
        <v>4440</v>
      </c>
      <c r="H8409" s="124" t="s">
        <v>8368</v>
      </c>
      <c r="I8409" s="128">
        <v>3300</v>
      </c>
      <c r="J8409" s="128">
        <v>16500</v>
      </c>
    </row>
    <row r="8410" spans="1:10" hidden="1" x14ac:dyDescent="0.25">
      <c r="A8410" s="124" t="s">
        <v>10667</v>
      </c>
      <c r="B8410" s="124" t="s">
        <v>11736</v>
      </c>
      <c r="C8410" s="132"/>
      <c r="D8410" s="125">
        <f>COUNTIF(A4077:A8409,A8410)</f>
        <v>0</v>
      </c>
      <c r="E8410" s="124" t="s">
        <v>8367</v>
      </c>
      <c r="F8410" s="126">
        <v>30</v>
      </c>
      <c r="G8410" s="128">
        <v>2250</v>
      </c>
      <c r="H8410" s="124" t="s">
        <v>8368</v>
      </c>
      <c r="I8410" s="128">
        <v>18331.599999999999</v>
      </c>
      <c r="J8410" s="128">
        <v>91658</v>
      </c>
    </row>
    <row r="8411" spans="1:10" hidden="1" x14ac:dyDescent="0.25">
      <c r="A8411" s="124" t="s">
        <v>10668</v>
      </c>
      <c r="B8411" s="124" t="s">
        <v>11736</v>
      </c>
      <c r="C8411" s="132"/>
      <c r="D8411" s="125">
        <f>COUNTIF(A4078:A8410,A8411)</f>
        <v>0</v>
      </c>
      <c r="E8411" s="124" t="s">
        <v>8367</v>
      </c>
      <c r="F8411" s="129">
        <v>1000</v>
      </c>
      <c r="G8411" s="128">
        <v>1500</v>
      </c>
      <c r="H8411" s="124" t="s">
        <v>8368</v>
      </c>
      <c r="I8411" s="128">
        <v>4166.6000000000004</v>
      </c>
      <c r="J8411" s="128">
        <v>20833</v>
      </c>
    </row>
    <row r="8412" spans="1:10" hidden="1" x14ac:dyDescent="0.25">
      <c r="A8412" s="124" t="s">
        <v>10669</v>
      </c>
      <c r="B8412" s="124" t="s">
        <v>11736</v>
      </c>
      <c r="C8412" s="132"/>
      <c r="D8412" s="125">
        <f>COUNTIF(A4082:A8411,A8412)</f>
        <v>0</v>
      </c>
      <c r="E8412" s="124" t="s">
        <v>8367</v>
      </c>
      <c r="F8412" s="129">
        <v>33000</v>
      </c>
      <c r="G8412" s="128">
        <v>19800</v>
      </c>
      <c r="H8412" s="124" t="s">
        <v>8368</v>
      </c>
      <c r="I8412" s="128">
        <v>39988.199999999997</v>
      </c>
      <c r="J8412" s="128">
        <v>199941</v>
      </c>
    </row>
    <row r="8413" spans="1:10" hidden="1" x14ac:dyDescent="0.25">
      <c r="A8413" s="124" t="s">
        <v>10670</v>
      </c>
      <c r="B8413" s="124" t="s">
        <v>11736</v>
      </c>
      <c r="C8413" s="132"/>
      <c r="D8413" s="125">
        <f>COUNTIF(A4083:A8412,A8413)</f>
        <v>0</v>
      </c>
      <c r="E8413" s="124" t="s">
        <v>8367</v>
      </c>
      <c r="F8413" s="126">
        <v>1</v>
      </c>
      <c r="G8413" s="128">
        <v>109989.6</v>
      </c>
      <c r="H8413" s="124" t="s">
        <v>8368</v>
      </c>
      <c r="I8413" s="128">
        <v>20729.16</v>
      </c>
      <c r="J8413" s="128">
        <v>103645.82</v>
      </c>
    </row>
    <row r="8414" spans="1:10" hidden="1" x14ac:dyDescent="0.25">
      <c r="A8414" s="124" t="s">
        <v>10671</v>
      </c>
      <c r="B8414" s="124" t="s">
        <v>11736</v>
      </c>
      <c r="C8414" s="132"/>
      <c r="D8414" s="125">
        <f>COUNTIF(A4084:A8413,A8414)</f>
        <v>0</v>
      </c>
      <c r="E8414" s="124" t="s">
        <v>8367</v>
      </c>
      <c r="F8414" s="126">
        <v>1</v>
      </c>
      <c r="G8414" s="128">
        <v>24999.599999999999</v>
      </c>
      <c r="H8414" s="124" t="s">
        <v>8368</v>
      </c>
      <c r="I8414" s="128">
        <v>9016.6</v>
      </c>
      <c r="J8414" s="128">
        <v>45083</v>
      </c>
    </row>
    <row r="8415" spans="1:10" hidden="1" x14ac:dyDescent="0.25">
      <c r="A8415" s="124" t="s">
        <v>10672</v>
      </c>
      <c r="B8415" s="124" t="s">
        <v>11736</v>
      </c>
      <c r="C8415" s="132"/>
      <c r="D8415" s="125">
        <f>COUNTIF(A4086:A8414,A8415)</f>
        <v>0</v>
      </c>
      <c r="E8415" s="124" t="s">
        <v>8367</v>
      </c>
      <c r="F8415" s="126">
        <v>35</v>
      </c>
      <c r="G8415" s="128">
        <v>239929.2</v>
      </c>
      <c r="H8415" s="124" t="s">
        <v>8368</v>
      </c>
      <c r="I8415" s="128">
        <v>8633.4</v>
      </c>
      <c r="J8415" s="128">
        <v>43167</v>
      </c>
    </row>
    <row r="8416" spans="1:10" hidden="1" x14ac:dyDescent="0.25">
      <c r="A8416" s="124" t="s">
        <v>10673</v>
      </c>
      <c r="B8416" s="124" t="s">
        <v>11736</v>
      </c>
      <c r="C8416" s="132"/>
      <c r="D8416" s="125">
        <f>COUNTIF(A4091:A8415,A8416)</f>
        <v>0</v>
      </c>
      <c r="E8416" s="124" t="s">
        <v>8367</v>
      </c>
      <c r="F8416" s="126">
        <v>200</v>
      </c>
      <c r="G8416" s="128">
        <v>124374.98</v>
      </c>
      <c r="H8416" s="124" t="s">
        <v>8368</v>
      </c>
      <c r="I8416" s="128">
        <v>22433.33</v>
      </c>
      <c r="J8416" s="128">
        <v>112166.67</v>
      </c>
    </row>
    <row r="8417" spans="1:10" hidden="1" x14ac:dyDescent="0.25">
      <c r="A8417" s="124" t="s">
        <v>10674</v>
      </c>
      <c r="B8417" s="124" t="s">
        <v>11736</v>
      </c>
      <c r="C8417" s="132"/>
      <c r="D8417" s="125">
        <f t="shared" ref="D8417:D8423" si="144">COUNTIF(A4093:A8416,A8417)</f>
        <v>0</v>
      </c>
      <c r="E8417" s="124" t="s">
        <v>8367</v>
      </c>
      <c r="F8417" s="126">
        <v>1</v>
      </c>
      <c r="G8417" s="128">
        <v>54099.6</v>
      </c>
      <c r="H8417" s="124" t="s">
        <v>8368</v>
      </c>
      <c r="I8417" s="128">
        <v>1700</v>
      </c>
      <c r="J8417" s="128">
        <v>8500</v>
      </c>
    </row>
    <row r="8418" spans="1:10" hidden="1" x14ac:dyDescent="0.25">
      <c r="A8418" s="124" t="s">
        <v>10675</v>
      </c>
      <c r="B8418" s="124" t="s">
        <v>11736</v>
      </c>
      <c r="C8418" s="132"/>
      <c r="D8418" s="125">
        <f t="shared" si="144"/>
        <v>0</v>
      </c>
      <c r="E8418" s="124" t="s">
        <v>8367</v>
      </c>
      <c r="F8418" s="126">
        <v>1</v>
      </c>
      <c r="G8418" s="128">
        <v>51800.4</v>
      </c>
      <c r="H8418" s="124" t="s">
        <v>8368</v>
      </c>
      <c r="I8418" s="128">
        <v>5350</v>
      </c>
      <c r="J8418" s="128">
        <v>26750</v>
      </c>
    </row>
    <row r="8419" spans="1:10" hidden="1" x14ac:dyDescent="0.25">
      <c r="A8419" s="124" t="s">
        <v>10676</v>
      </c>
      <c r="B8419" s="124" t="s">
        <v>11736</v>
      </c>
      <c r="C8419" s="132"/>
      <c r="D8419" s="125">
        <f t="shared" si="144"/>
        <v>0</v>
      </c>
      <c r="E8419" s="124" t="s">
        <v>8367</v>
      </c>
      <c r="F8419" s="126">
        <v>1</v>
      </c>
      <c r="G8419" s="128">
        <v>134600</v>
      </c>
      <c r="H8419" s="124" t="s">
        <v>8368</v>
      </c>
      <c r="I8419" s="127">
        <v>685</v>
      </c>
      <c r="J8419" s="128">
        <v>3425</v>
      </c>
    </row>
    <row r="8420" spans="1:10" hidden="1" x14ac:dyDescent="0.25">
      <c r="A8420" s="124" t="s">
        <v>10677</v>
      </c>
      <c r="B8420" s="124" t="s">
        <v>11736</v>
      </c>
      <c r="C8420" s="132"/>
      <c r="D8420" s="125">
        <f t="shared" si="144"/>
        <v>0</v>
      </c>
      <c r="E8420" s="124" t="s">
        <v>8367</v>
      </c>
      <c r="F8420" s="126">
        <v>1</v>
      </c>
      <c r="G8420" s="128">
        <v>10200</v>
      </c>
      <c r="H8420" s="124" t="s">
        <v>8368</v>
      </c>
      <c r="I8420" s="128">
        <v>217500</v>
      </c>
      <c r="J8420" s="128">
        <v>1087500</v>
      </c>
    </row>
    <row r="8421" spans="1:10" hidden="1" x14ac:dyDescent="0.25">
      <c r="A8421" s="124" t="s">
        <v>10678</v>
      </c>
      <c r="B8421" s="124" t="s">
        <v>11736</v>
      </c>
      <c r="C8421" s="132"/>
      <c r="D8421" s="125">
        <f t="shared" si="144"/>
        <v>0</v>
      </c>
      <c r="E8421" s="124" t="s">
        <v>8367</v>
      </c>
      <c r="F8421" s="126">
        <v>1</v>
      </c>
      <c r="G8421" s="128">
        <v>32100</v>
      </c>
      <c r="H8421" s="124" t="s">
        <v>8368</v>
      </c>
      <c r="I8421" s="128">
        <v>63921.599999999999</v>
      </c>
      <c r="J8421" s="128">
        <v>319608</v>
      </c>
    </row>
    <row r="8422" spans="1:10" hidden="1" x14ac:dyDescent="0.25">
      <c r="A8422" s="124" t="s">
        <v>10679</v>
      </c>
      <c r="B8422" s="124" t="s">
        <v>11736</v>
      </c>
      <c r="C8422" s="132"/>
      <c r="D8422" s="125">
        <f t="shared" si="144"/>
        <v>0</v>
      </c>
      <c r="E8422" s="124" t="s">
        <v>8367</v>
      </c>
      <c r="F8422" s="126">
        <v>1</v>
      </c>
      <c r="G8422" s="128">
        <v>4110</v>
      </c>
      <c r="H8422" s="124" t="s">
        <v>8368</v>
      </c>
      <c r="I8422" s="127">
        <v>129.4</v>
      </c>
      <c r="J8422" s="127">
        <v>647</v>
      </c>
    </row>
    <row r="8423" spans="1:10" hidden="1" x14ac:dyDescent="0.25">
      <c r="A8423" s="124" t="s">
        <v>10680</v>
      </c>
      <c r="B8423" s="124" t="s">
        <v>11736</v>
      </c>
      <c r="C8423" s="132"/>
      <c r="D8423" s="125">
        <f t="shared" si="144"/>
        <v>0</v>
      </c>
      <c r="E8423" s="124" t="s">
        <v>8367</v>
      </c>
      <c r="F8423" s="129">
        <v>2900</v>
      </c>
      <c r="G8423" s="128">
        <v>1305000</v>
      </c>
      <c r="H8423" s="124" t="s">
        <v>8368</v>
      </c>
      <c r="I8423" s="127">
        <v>133.4</v>
      </c>
      <c r="J8423" s="127">
        <v>667</v>
      </c>
    </row>
    <row r="8424" spans="1:10" hidden="1" x14ac:dyDescent="0.25">
      <c r="A8424" s="124" t="s">
        <v>10681</v>
      </c>
      <c r="B8424" s="124" t="s">
        <v>11736</v>
      </c>
      <c r="C8424" s="132"/>
      <c r="D8424" s="125">
        <f t="shared" ref="D8424:D8430" si="145">COUNTIF(A4101:A8423,A8424)</f>
        <v>0</v>
      </c>
      <c r="E8424" s="124" t="s">
        <v>8367</v>
      </c>
      <c r="F8424" s="129">
        <v>1004</v>
      </c>
      <c r="G8424" s="128">
        <v>383529.6</v>
      </c>
      <c r="H8424" s="124" t="s">
        <v>8368</v>
      </c>
      <c r="I8424" s="128">
        <v>3000</v>
      </c>
      <c r="J8424" s="128">
        <v>15000</v>
      </c>
    </row>
    <row r="8425" spans="1:10" hidden="1" x14ac:dyDescent="0.25">
      <c r="A8425" s="124" t="s">
        <v>10682</v>
      </c>
      <c r="B8425" s="124" t="s">
        <v>11736</v>
      </c>
      <c r="C8425" s="132"/>
      <c r="D8425" s="125">
        <f t="shared" si="145"/>
        <v>0</v>
      </c>
      <c r="E8425" s="124" t="s">
        <v>8367</v>
      </c>
      <c r="F8425" s="126">
        <v>16</v>
      </c>
      <c r="G8425" s="127">
        <v>776.4</v>
      </c>
      <c r="H8425" s="124" t="s">
        <v>8368</v>
      </c>
      <c r="I8425" s="128">
        <v>1791.6</v>
      </c>
      <c r="J8425" s="128">
        <v>8958</v>
      </c>
    </row>
    <row r="8426" spans="1:10" hidden="1" x14ac:dyDescent="0.25">
      <c r="A8426" s="124" t="s">
        <v>10683</v>
      </c>
      <c r="B8426" s="124" t="s">
        <v>11736</v>
      </c>
      <c r="C8426" s="132"/>
      <c r="D8426" s="125">
        <f t="shared" si="145"/>
        <v>0</v>
      </c>
      <c r="E8426" s="124" t="s">
        <v>8579</v>
      </c>
      <c r="F8426" s="126">
        <v>20</v>
      </c>
      <c r="G8426" s="127">
        <v>800.4</v>
      </c>
      <c r="H8426" s="124" t="s">
        <v>8368</v>
      </c>
      <c r="I8426" s="128">
        <v>4400</v>
      </c>
      <c r="J8426" s="128">
        <v>22000</v>
      </c>
    </row>
    <row r="8427" spans="1:10" hidden="1" x14ac:dyDescent="0.25">
      <c r="A8427" s="124" t="s">
        <v>10684</v>
      </c>
      <c r="B8427" s="124" t="s">
        <v>11736</v>
      </c>
      <c r="C8427" s="132"/>
      <c r="D8427" s="125">
        <f t="shared" si="145"/>
        <v>0</v>
      </c>
      <c r="E8427" s="124" t="s">
        <v>8367</v>
      </c>
      <c r="F8427" s="126">
        <v>5</v>
      </c>
      <c r="G8427" s="128">
        <v>18000</v>
      </c>
      <c r="H8427" s="124" t="s">
        <v>8368</v>
      </c>
      <c r="I8427" s="128">
        <v>6300</v>
      </c>
      <c r="J8427" s="128">
        <v>31500</v>
      </c>
    </row>
    <row r="8428" spans="1:10" hidden="1" x14ac:dyDescent="0.25">
      <c r="A8428" s="124" t="s">
        <v>10685</v>
      </c>
      <c r="B8428" s="124" t="s">
        <v>11736</v>
      </c>
      <c r="C8428" s="132"/>
      <c r="D8428" s="125">
        <f t="shared" si="145"/>
        <v>0</v>
      </c>
      <c r="E8428" s="124" t="s">
        <v>8367</v>
      </c>
      <c r="F8428" s="126">
        <v>5</v>
      </c>
      <c r="G8428" s="128">
        <v>10749.6</v>
      </c>
      <c r="H8428" s="124" t="s">
        <v>8368</v>
      </c>
      <c r="I8428" s="128">
        <v>7500</v>
      </c>
      <c r="J8428" s="128">
        <v>37500</v>
      </c>
    </row>
    <row r="8429" spans="1:10" hidden="1" x14ac:dyDescent="0.25">
      <c r="A8429" s="124" t="s">
        <v>10686</v>
      </c>
      <c r="B8429" s="124" t="s">
        <v>11736</v>
      </c>
      <c r="C8429" s="132"/>
      <c r="D8429" s="125">
        <f t="shared" si="145"/>
        <v>0</v>
      </c>
      <c r="E8429" s="124" t="s">
        <v>8367</v>
      </c>
      <c r="F8429" s="126">
        <v>2</v>
      </c>
      <c r="G8429" s="128">
        <v>26400</v>
      </c>
      <c r="H8429" s="124" t="s">
        <v>8368</v>
      </c>
      <c r="I8429" s="128">
        <v>9360</v>
      </c>
      <c r="J8429" s="128">
        <v>46800</v>
      </c>
    </row>
    <row r="8430" spans="1:10" hidden="1" x14ac:dyDescent="0.25">
      <c r="A8430" s="124" t="s">
        <v>10687</v>
      </c>
      <c r="B8430" s="124" t="s">
        <v>11736</v>
      </c>
      <c r="C8430" s="132"/>
      <c r="D8430" s="125">
        <f t="shared" si="145"/>
        <v>0</v>
      </c>
      <c r="E8430" s="124" t="s">
        <v>8367</v>
      </c>
      <c r="F8430" s="126">
        <v>10</v>
      </c>
      <c r="G8430" s="128">
        <v>37800</v>
      </c>
      <c r="H8430" s="124" t="s">
        <v>8368</v>
      </c>
      <c r="I8430" s="128">
        <v>6480</v>
      </c>
      <c r="J8430" s="128">
        <v>32400</v>
      </c>
    </row>
    <row r="8431" spans="1:10" hidden="1" x14ac:dyDescent="0.25">
      <c r="A8431" s="124" t="s">
        <v>10688</v>
      </c>
      <c r="B8431" s="124" t="s">
        <v>11736</v>
      </c>
      <c r="C8431" s="132"/>
      <c r="D8431" s="125">
        <f>COUNTIF(A4109:A8430,A8431)</f>
        <v>0</v>
      </c>
      <c r="E8431" s="124" t="s">
        <v>8367</v>
      </c>
      <c r="F8431" s="126">
        <v>10</v>
      </c>
      <c r="G8431" s="128">
        <v>45000</v>
      </c>
      <c r="H8431" s="124" t="s">
        <v>8368</v>
      </c>
      <c r="I8431" s="128">
        <v>1912</v>
      </c>
      <c r="J8431" s="128">
        <v>9560</v>
      </c>
    </row>
    <row r="8432" spans="1:10" hidden="1" x14ac:dyDescent="0.25">
      <c r="A8432" s="124" t="s">
        <v>10689</v>
      </c>
      <c r="B8432" s="124" t="s">
        <v>11736</v>
      </c>
      <c r="C8432" s="132"/>
      <c r="D8432" s="125">
        <f>COUNTIF(A4110:A8431,A8432)</f>
        <v>0</v>
      </c>
      <c r="E8432" s="124" t="s">
        <v>8367</v>
      </c>
      <c r="F8432" s="126">
        <v>6</v>
      </c>
      <c r="G8432" s="128">
        <v>56160</v>
      </c>
      <c r="H8432" s="124" t="s">
        <v>8368</v>
      </c>
      <c r="I8432" s="128">
        <v>1580</v>
      </c>
      <c r="J8432" s="128">
        <v>7900</v>
      </c>
    </row>
    <row r="8433" spans="1:10" hidden="1" x14ac:dyDescent="0.25">
      <c r="A8433" s="124" t="s">
        <v>10690</v>
      </c>
      <c r="B8433" s="124" t="s">
        <v>11736</v>
      </c>
      <c r="C8433" s="132"/>
      <c r="D8433" s="125">
        <f>COUNTIF(A4111:A8432,A8433)</f>
        <v>0</v>
      </c>
      <c r="E8433" s="124" t="s">
        <v>8367</v>
      </c>
      <c r="F8433" s="126">
        <v>10</v>
      </c>
      <c r="G8433" s="128">
        <v>38880</v>
      </c>
      <c r="H8433" s="124" t="s">
        <v>8368</v>
      </c>
      <c r="I8433" s="128">
        <v>2948.4</v>
      </c>
      <c r="J8433" s="128">
        <v>14742</v>
      </c>
    </row>
    <row r="8434" spans="1:10" hidden="1" x14ac:dyDescent="0.25">
      <c r="A8434" s="124" t="s">
        <v>10691</v>
      </c>
      <c r="B8434" s="124" t="s">
        <v>11736</v>
      </c>
      <c r="C8434" s="132"/>
      <c r="D8434" s="125">
        <f>COUNTIF(A4112:A8433,A8434)</f>
        <v>0</v>
      </c>
      <c r="E8434" s="124" t="s">
        <v>8367</v>
      </c>
      <c r="F8434" s="126">
        <v>4</v>
      </c>
      <c r="G8434" s="128">
        <v>11472</v>
      </c>
      <c r="H8434" s="124" t="s">
        <v>8368</v>
      </c>
      <c r="I8434" s="128">
        <v>7117.74</v>
      </c>
      <c r="J8434" s="128">
        <v>35588.699999999997</v>
      </c>
    </row>
    <row r="8435" spans="1:10" hidden="1" x14ac:dyDescent="0.25">
      <c r="A8435" s="124" t="s">
        <v>10692</v>
      </c>
      <c r="B8435" s="124" t="s">
        <v>11736</v>
      </c>
      <c r="C8435" s="132"/>
      <c r="D8435" s="125">
        <f>COUNTIF(A4113:A8434,A8435)</f>
        <v>0</v>
      </c>
      <c r="E8435" s="124" t="s">
        <v>8367</v>
      </c>
      <c r="F8435" s="126">
        <v>2</v>
      </c>
      <c r="G8435" s="128">
        <v>9480</v>
      </c>
      <c r="H8435" s="124" t="s">
        <v>8368</v>
      </c>
      <c r="I8435" s="127">
        <v>954.72</v>
      </c>
      <c r="J8435" s="128">
        <v>4773.6000000000004</v>
      </c>
    </row>
    <row r="8436" spans="1:10" hidden="1" x14ac:dyDescent="0.25">
      <c r="A8436" s="124" t="s">
        <v>10693</v>
      </c>
      <c r="B8436" s="124" t="s">
        <v>11736</v>
      </c>
      <c r="C8436" s="132"/>
      <c r="D8436" s="125">
        <f t="shared" ref="D8436:D8460" si="146">COUNTIF(A4115:A8435,A8436)</f>
        <v>0</v>
      </c>
      <c r="E8436" s="124" t="s">
        <v>8367</v>
      </c>
      <c r="F8436" s="126">
        <v>3</v>
      </c>
      <c r="G8436" s="128">
        <v>17690.400000000001</v>
      </c>
      <c r="H8436" s="124" t="s">
        <v>8368</v>
      </c>
      <c r="I8436" s="128">
        <v>1861.34</v>
      </c>
      <c r="J8436" s="128">
        <v>9306.7199999999993</v>
      </c>
    </row>
    <row r="8437" spans="1:10" hidden="1" x14ac:dyDescent="0.25">
      <c r="A8437" s="124" t="s">
        <v>10694</v>
      </c>
      <c r="B8437" s="124" t="s">
        <v>11736</v>
      </c>
      <c r="C8437" s="132"/>
      <c r="D8437" s="125">
        <f t="shared" si="146"/>
        <v>0</v>
      </c>
      <c r="E8437" s="124" t="s">
        <v>8367</v>
      </c>
      <c r="F8437" s="126">
        <v>3</v>
      </c>
      <c r="G8437" s="128">
        <v>42706.44</v>
      </c>
      <c r="H8437" s="124" t="s">
        <v>8368</v>
      </c>
      <c r="I8437" s="128">
        <v>1861.34</v>
      </c>
      <c r="J8437" s="128">
        <v>9306.7199999999993</v>
      </c>
    </row>
    <row r="8438" spans="1:10" hidden="1" x14ac:dyDescent="0.25">
      <c r="A8438" s="124" t="s">
        <v>10695</v>
      </c>
      <c r="B8438" s="124" t="s">
        <v>11736</v>
      </c>
      <c r="C8438" s="132"/>
      <c r="D8438" s="125">
        <f t="shared" si="146"/>
        <v>0</v>
      </c>
      <c r="E8438" s="124" t="s">
        <v>8367</v>
      </c>
      <c r="F8438" s="126">
        <v>6</v>
      </c>
      <c r="G8438" s="128">
        <v>5728.32</v>
      </c>
      <c r="H8438" s="124" t="s">
        <v>8368</v>
      </c>
      <c r="I8438" s="128">
        <v>1861.34</v>
      </c>
      <c r="J8438" s="128">
        <v>9306.7199999999993</v>
      </c>
    </row>
    <row r="8439" spans="1:10" hidden="1" x14ac:dyDescent="0.25">
      <c r="A8439" s="124" t="s">
        <v>10696</v>
      </c>
      <c r="B8439" s="124" t="s">
        <v>11736</v>
      </c>
      <c r="C8439" s="132"/>
      <c r="D8439" s="125">
        <f t="shared" si="146"/>
        <v>0</v>
      </c>
      <c r="E8439" s="124" t="s">
        <v>8367</v>
      </c>
      <c r="F8439" s="126">
        <v>3</v>
      </c>
      <c r="G8439" s="128">
        <v>11168.06</v>
      </c>
      <c r="H8439" s="124" t="s">
        <v>8368</v>
      </c>
      <c r="I8439" s="128">
        <v>1429.13</v>
      </c>
      <c r="J8439" s="128">
        <v>7145.64</v>
      </c>
    </row>
    <row r="8440" spans="1:10" hidden="1" x14ac:dyDescent="0.25">
      <c r="A8440" s="124" t="s">
        <v>10697</v>
      </c>
      <c r="B8440" s="124" t="s">
        <v>11736</v>
      </c>
      <c r="C8440" s="132"/>
      <c r="D8440" s="125">
        <f t="shared" si="146"/>
        <v>0</v>
      </c>
      <c r="E8440" s="124" t="s">
        <v>8367</v>
      </c>
      <c r="F8440" s="126">
        <v>3</v>
      </c>
      <c r="G8440" s="128">
        <v>11168.06</v>
      </c>
      <c r="H8440" s="124" t="s">
        <v>8368</v>
      </c>
      <c r="I8440" s="128">
        <v>1861.34</v>
      </c>
      <c r="J8440" s="128">
        <v>9306.7199999999993</v>
      </c>
    </row>
    <row r="8441" spans="1:10" hidden="1" x14ac:dyDescent="0.25">
      <c r="A8441" s="124" t="s">
        <v>10698</v>
      </c>
      <c r="B8441" s="124" t="s">
        <v>11736</v>
      </c>
      <c r="C8441" s="132"/>
      <c r="D8441" s="125">
        <f t="shared" si="146"/>
        <v>0</v>
      </c>
      <c r="E8441" s="124" t="s">
        <v>8367</v>
      </c>
      <c r="F8441" s="126">
        <v>3</v>
      </c>
      <c r="G8441" s="128">
        <v>11168.06</v>
      </c>
      <c r="H8441" s="124" t="s">
        <v>8368</v>
      </c>
      <c r="I8441" s="128">
        <v>2434.3200000000002</v>
      </c>
      <c r="J8441" s="128">
        <v>12171.6</v>
      </c>
    </row>
    <row r="8442" spans="1:10" hidden="1" x14ac:dyDescent="0.25">
      <c r="A8442" s="124" t="s">
        <v>10699</v>
      </c>
      <c r="B8442" s="124" t="s">
        <v>11736</v>
      </c>
      <c r="C8442" s="132"/>
      <c r="D8442" s="125">
        <f t="shared" si="146"/>
        <v>0</v>
      </c>
      <c r="E8442" s="124" t="s">
        <v>8367</v>
      </c>
      <c r="F8442" s="126">
        <v>3</v>
      </c>
      <c r="G8442" s="128">
        <v>8574.77</v>
      </c>
      <c r="H8442" s="124" t="s">
        <v>8368</v>
      </c>
      <c r="I8442" s="128">
        <v>2434.3200000000002</v>
      </c>
      <c r="J8442" s="128">
        <v>12171.6</v>
      </c>
    </row>
    <row r="8443" spans="1:10" hidden="1" x14ac:dyDescent="0.25">
      <c r="A8443" s="124" t="s">
        <v>10700</v>
      </c>
      <c r="B8443" s="124" t="s">
        <v>11736</v>
      </c>
      <c r="C8443" s="132"/>
      <c r="D8443" s="125">
        <f t="shared" si="146"/>
        <v>0</v>
      </c>
      <c r="E8443" s="124" t="s">
        <v>8367</v>
      </c>
      <c r="F8443" s="126">
        <v>3</v>
      </c>
      <c r="G8443" s="128">
        <v>11168.06</v>
      </c>
      <c r="H8443" s="124" t="s">
        <v>8368</v>
      </c>
      <c r="I8443" s="128">
        <v>2250</v>
      </c>
      <c r="J8443" s="128">
        <v>11250</v>
      </c>
    </row>
    <row r="8444" spans="1:10" hidden="1" x14ac:dyDescent="0.25">
      <c r="A8444" s="124" t="s">
        <v>10701</v>
      </c>
      <c r="B8444" s="124" t="s">
        <v>11736</v>
      </c>
      <c r="C8444" s="132"/>
      <c r="D8444" s="125">
        <f t="shared" si="146"/>
        <v>0</v>
      </c>
      <c r="E8444" s="124" t="s">
        <v>8367</v>
      </c>
      <c r="F8444" s="126">
        <v>3</v>
      </c>
      <c r="G8444" s="128">
        <v>14605.92</v>
      </c>
      <c r="H8444" s="124" t="s">
        <v>8368</v>
      </c>
      <c r="I8444" s="128">
        <v>2200</v>
      </c>
      <c r="J8444" s="128">
        <v>11000</v>
      </c>
    </row>
    <row r="8445" spans="1:10" hidden="1" x14ac:dyDescent="0.25">
      <c r="A8445" s="124" t="s">
        <v>10702</v>
      </c>
      <c r="B8445" s="124" t="s">
        <v>11736</v>
      </c>
      <c r="C8445" s="132"/>
      <c r="D8445" s="125">
        <f t="shared" si="146"/>
        <v>0</v>
      </c>
      <c r="E8445" s="124" t="s">
        <v>8367</v>
      </c>
      <c r="F8445" s="126">
        <v>3</v>
      </c>
      <c r="G8445" s="128">
        <v>14605.92</v>
      </c>
      <c r="H8445" s="124" t="s">
        <v>8368</v>
      </c>
      <c r="I8445" s="128">
        <v>1360</v>
      </c>
      <c r="J8445" s="128">
        <v>6800</v>
      </c>
    </row>
    <row r="8446" spans="1:10" hidden="1" x14ac:dyDescent="0.25">
      <c r="A8446" s="124" t="s">
        <v>2931</v>
      </c>
      <c r="B8446" s="124" t="s">
        <v>11736</v>
      </c>
      <c r="C8446" s="132"/>
      <c r="D8446" s="125">
        <f t="shared" si="146"/>
        <v>0</v>
      </c>
      <c r="E8446" s="124" t="s">
        <v>8367</v>
      </c>
      <c r="F8446" s="126">
        <v>10</v>
      </c>
      <c r="G8446" s="128">
        <v>13500</v>
      </c>
      <c r="H8446" s="124" t="s">
        <v>8368</v>
      </c>
      <c r="I8446" s="127">
        <v>480</v>
      </c>
      <c r="J8446" s="128">
        <v>2400</v>
      </c>
    </row>
    <row r="8447" spans="1:10" hidden="1" x14ac:dyDescent="0.25">
      <c r="A8447" s="124" t="s">
        <v>10703</v>
      </c>
      <c r="B8447" s="124" t="s">
        <v>11736</v>
      </c>
      <c r="C8447" s="132"/>
      <c r="D8447" s="125">
        <f t="shared" si="146"/>
        <v>0</v>
      </c>
      <c r="E8447" s="124" t="s">
        <v>8367</v>
      </c>
      <c r="F8447" s="126">
        <v>2</v>
      </c>
      <c r="G8447" s="128">
        <v>13200</v>
      </c>
      <c r="H8447" s="124" t="s">
        <v>8368</v>
      </c>
      <c r="I8447" s="127">
        <v>80</v>
      </c>
      <c r="J8447" s="127">
        <v>400</v>
      </c>
    </row>
    <row r="8448" spans="1:10" hidden="1" x14ac:dyDescent="0.25">
      <c r="A8448" s="124" t="s">
        <v>10704</v>
      </c>
      <c r="B8448" s="124" t="s">
        <v>11736</v>
      </c>
      <c r="C8448" s="132"/>
      <c r="D8448" s="125">
        <f t="shared" si="146"/>
        <v>0</v>
      </c>
      <c r="E8448" s="124" t="s">
        <v>8367</v>
      </c>
      <c r="F8448" s="126">
        <v>2</v>
      </c>
      <c r="G8448" s="128">
        <v>8160</v>
      </c>
      <c r="H8448" s="124" t="s">
        <v>8368</v>
      </c>
      <c r="I8448" s="127">
        <v>80</v>
      </c>
      <c r="J8448" s="127">
        <v>400</v>
      </c>
    </row>
    <row r="8449" spans="1:10" hidden="1" x14ac:dyDescent="0.25">
      <c r="A8449" s="124" t="s">
        <v>10705</v>
      </c>
      <c r="B8449" s="124" t="s">
        <v>11736</v>
      </c>
      <c r="C8449" s="132"/>
      <c r="D8449" s="125">
        <f t="shared" si="146"/>
        <v>0</v>
      </c>
      <c r="E8449" s="124" t="s">
        <v>8367</v>
      </c>
      <c r="F8449" s="126">
        <v>4</v>
      </c>
      <c r="G8449" s="128">
        <v>2880</v>
      </c>
      <c r="H8449" s="124" t="s">
        <v>8368</v>
      </c>
      <c r="I8449" s="127">
        <v>600</v>
      </c>
      <c r="J8449" s="128">
        <v>3000</v>
      </c>
    </row>
    <row r="8450" spans="1:10" hidden="1" x14ac:dyDescent="0.25">
      <c r="A8450" s="124" t="s">
        <v>10706</v>
      </c>
      <c r="B8450" s="124" t="s">
        <v>11736</v>
      </c>
      <c r="C8450" s="132"/>
      <c r="D8450" s="125">
        <f t="shared" si="146"/>
        <v>0</v>
      </c>
      <c r="E8450" s="124" t="s">
        <v>8367</v>
      </c>
      <c r="F8450" s="126">
        <v>1</v>
      </c>
      <c r="G8450" s="127">
        <v>480</v>
      </c>
      <c r="H8450" s="124" t="s">
        <v>8368</v>
      </c>
      <c r="I8450" s="127">
        <v>920</v>
      </c>
      <c r="J8450" s="128">
        <v>4600</v>
      </c>
    </row>
    <row r="8451" spans="1:10" hidden="1" x14ac:dyDescent="0.25">
      <c r="A8451" s="124" t="s">
        <v>10707</v>
      </c>
      <c r="B8451" s="124" t="s">
        <v>11736</v>
      </c>
      <c r="C8451" s="132"/>
      <c r="D8451" s="125">
        <f t="shared" si="146"/>
        <v>0</v>
      </c>
      <c r="E8451" s="124" t="s">
        <v>8367</v>
      </c>
      <c r="F8451" s="126">
        <v>1</v>
      </c>
      <c r="G8451" s="127">
        <v>480</v>
      </c>
      <c r="H8451" s="124" t="s">
        <v>8368</v>
      </c>
      <c r="I8451" s="127">
        <v>360</v>
      </c>
      <c r="J8451" s="128">
        <v>1800</v>
      </c>
    </row>
    <row r="8452" spans="1:10" hidden="1" x14ac:dyDescent="0.25">
      <c r="A8452" s="124" t="s">
        <v>10708</v>
      </c>
      <c r="B8452" s="124" t="s">
        <v>11736</v>
      </c>
      <c r="C8452" s="132"/>
      <c r="D8452" s="125">
        <f t="shared" si="146"/>
        <v>0</v>
      </c>
      <c r="E8452" s="124" t="s">
        <v>8367</v>
      </c>
      <c r="F8452" s="126">
        <v>2</v>
      </c>
      <c r="G8452" s="128">
        <v>3600</v>
      </c>
      <c r="H8452" s="124" t="s">
        <v>8368</v>
      </c>
      <c r="I8452" s="127">
        <v>440</v>
      </c>
      <c r="J8452" s="128">
        <v>2200</v>
      </c>
    </row>
    <row r="8453" spans="1:10" hidden="1" x14ac:dyDescent="0.25">
      <c r="A8453" s="124" t="s">
        <v>10709</v>
      </c>
      <c r="B8453" s="124" t="s">
        <v>11736</v>
      </c>
      <c r="C8453" s="132"/>
      <c r="D8453" s="125">
        <f t="shared" si="146"/>
        <v>0</v>
      </c>
      <c r="E8453" s="124" t="s">
        <v>8367</v>
      </c>
      <c r="F8453" s="126">
        <v>2</v>
      </c>
      <c r="G8453" s="128">
        <v>5520</v>
      </c>
      <c r="H8453" s="124" t="s">
        <v>8368</v>
      </c>
      <c r="I8453" s="127">
        <v>560</v>
      </c>
      <c r="J8453" s="128">
        <v>2800</v>
      </c>
    </row>
    <row r="8454" spans="1:10" hidden="1" x14ac:dyDescent="0.25">
      <c r="A8454" s="124" t="s">
        <v>10710</v>
      </c>
      <c r="B8454" s="124" t="s">
        <v>11736</v>
      </c>
      <c r="C8454" s="132"/>
      <c r="D8454" s="125">
        <f t="shared" si="146"/>
        <v>0</v>
      </c>
      <c r="E8454" s="124" t="s">
        <v>8367</v>
      </c>
      <c r="F8454" s="126">
        <v>2</v>
      </c>
      <c r="G8454" s="128">
        <v>2160</v>
      </c>
      <c r="H8454" s="124" t="s">
        <v>8368</v>
      </c>
      <c r="I8454" s="127">
        <v>280</v>
      </c>
      <c r="J8454" s="128">
        <v>1400</v>
      </c>
    </row>
    <row r="8455" spans="1:10" hidden="1" x14ac:dyDescent="0.25">
      <c r="A8455" s="124" t="s">
        <v>10711</v>
      </c>
      <c r="B8455" s="124" t="s">
        <v>11736</v>
      </c>
      <c r="C8455" s="132"/>
      <c r="D8455" s="125">
        <f t="shared" si="146"/>
        <v>0</v>
      </c>
      <c r="E8455" s="124" t="s">
        <v>8367</v>
      </c>
      <c r="F8455" s="126">
        <v>2</v>
      </c>
      <c r="G8455" s="128">
        <v>2640</v>
      </c>
      <c r="H8455" s="124" t="s">
        <v>8368</v>
      </c>
      <c r="I8455" s="127">
        <v>180</v>
      </c>
      <c r="J8455" s="127">
        <v>900</v>
      </c>
    </row>
    <row r="8456" spans="1:10" hidden="1" x14ac:dyDescent="0.25">
      <c r="A8456" s="124" t="s">
        <v>10712</v>
      </c>
      <c r="B8456" s="124" t="s">
        <v>11736</v>
      </c>
      <c r="C8456" s="132"/>
      <c r="D8456" s="125">
        <f t="shared" si="146"/>
        <v>0</v>
      </c>
      <c r="E8456" s="124" t="s">
        <v>8367</v>
      </c>
      <c r="F8456" s="126">
        <v>1</v>
      </c>
      <c r="G8456" s="128">
        <v>3360</v>
      </c>
      <c r="H8456" s="124" t="s">
        <v>8368</v>
      </c>
      <c r="I8456" s="127">
        <v>180</v>
      </c>
      <c r="J8456" s="127">
        <v>900</v>
      </c>
    </row>
    <row r="8457" spans="1:10" hidden="1" x14ac:dyDescent="0.25">
      <c r="A8457" s="124" t="s">
        <v>10713</v>
      </c>
      <c r="B8457" s="124" t="s">
        <v>11736</v>
      </c>
      <c r="C8457" s="132"/>
      <c r="D8457" s="125">
        <f t="shared" si="146"/>
        <v>0</v>
      </c>
      <c r="E8457" s="124" t="s">
        <v>8367</v>
      </c>
      <c r="F8457" s="126">
        <v>2</v>
      </c>
      <c r="G8457" s="128">
        <v>1680</v>
      </c>
      <c r="H8457" s="124" t="s">
        <v>8368</v>
      </c>
      <c r="I8457" s="127">
        <v>775.79</v>
      </c>
      <c r="J8457" s="128">
        <v>3878.97</v>
      </c>
    </row>
    <row r="8458" spans="1:10" hidden="1" x14ac:dyDescent="0.25">
      <c r="A8458" s="124" t="s">
        <v>10714</v>
      </c>
      <c r="B8458" s="124" t="s">
        <v>11736</v>
      </c>
      <c r="C8458" s="132"/>
      <c r="D8458" s="125">
        <f t="shared" si="146"/>
        <v>0</v>
      </c>
      <c r="E8458" s="124" t="s">
        <v>8367</v>
      </c>
      <c r="F8458" s="126">
        <v>1</v>
      </c>
      <c r="G8458" s="128">
        <v>1080</v>
      </c>
      <c r="H8458" s="124" t="s">
        <v>8368</v>
      </c>
      <c r="I8458" s="127">
        <v>117.4</v>
      </c>
      <c r="J8458" s="127">
        <v>587</v>
      </c>
    </row>
    <row r="8459" spans="1:10" hidden="1" x14ac:dyDescent="0.25">
      <c r="A8459" s="124" t="s">
        <v>10715</v>
      </c>
      <c r="B8459" s="124" t="s">
        <v>11736</v>
      </c>
      <c r="C8459" s="132"/>
      <c r="D8459" s="125">
        <f t="shared" si="146"/>
        <v>0</v>
      </c>
      <c r="E8459" s="124" t="s">
        <v>8367</v>
      </c>
      <c r="F8459" s="126">
        <v>1</v>
      </c>
      <c r="G8459" s="128">
        <v>1080</v>
      </c>
      <c r="H8459" s="124" t="s">
        <v>8368</v>
      </c>
      <c r="I8459" s="127">
        <v>150</v>
      </c>
      <c r="J8459" s="127">
        <v>750</v>
      </c>
    </row>
    <row r="8460" spans="1:10" hidden="1" x14ac:dyDescent="0.25">
      <c r="A8460" s="124" t="s">
        <v>10716</v>
      </c>
      <c r="B8460" s="124" t="s">
        <v>11736</v>
      </c>
      <c r="C8460" s="132"/>
      <c r="D8460" s="125">
        <f t="shared" si="146"/>
        <v>0</v>
      </c>
      <c r="E8460" s="124" t="s">
        <v>8367</v>
      </c>
      <c r="F8460" s="126">
        <v>1</v>
      </c>
      <c r="G8460" s="128">
        <v>4654.76</v>
      </c>
      <c r="H8460" s="124" t="s">
        <v>8368</v>
      </c>
      <c r="I8460" s="127">
        <v>273.39999999999998</v>
      </c>
      <c r="J8460" s="128">
        <v>1367</v>
      </c>
    </row>
    <row r="8461" spans="1:10" hidden="1" x14ac:dyDescent="0.25">
      <c r="A8461" s="124" t="s">
        <v>10717</v>
      </c>
      <c r="B8461" s="124" t="s">
        <v>11736</v>
      </c>
      <c r="C8461" s="132"/>
      <c r="D8461" s="125">
        <f t="shared" ref="D8461:D8471" si="147">COUNTIF(A4141:A8460,A8461)</f>
        <v>0</v>
      </c>
      <c r="E8461" s="124" t="s">
        <v>8367</v>
      </c>
      <c r="F8461" s="126">
        <v>16</v>
      </c>
      <c r="G8461" s="127">
        <v>704.4</v>
      </c>
      <c r="H8461" s="124" t="s">
        <v>8368</v>
      </c>
      <c r="I8461" s="128">
        <v>4662</v>
      </c>
      <c r="J8461" s="128">
        <v>23310</v>
      </c>
    </row>
    <row r="8462" spans="1:10" hidden="1" x14ac:dyDescent="0.25">
      <c r="A8462" s="124" t="s">
        <v>10718</v>
      </c>
      <c r="B8462" s="124" t="s">
        <v>11736</v>
      </c>
      <c r="C8462" s="132"/>
      <c r="D8462" s="125">
        <f t="shared" si="147"/>
        <v>0</v>
      </c>
      <c r="E8462" s="124" t="s">
        <v>8367</v>
      </c>
      <c r="F8462" s="126">
        <v>5</v>
      </c>
      <c r="G8462" s="127">
        <v>900</v>
      </c>
      <c r="H8462" s="124" t="s">
        <v>8368</v>
      </c>
      <c r="I8462" s="128">
        <v>1191</v>
      </c>
      <c r="J8462" s="128">
        <v>5955</v>
      </c>
    </row>
    <row r="8463" spans="1:10" hidden="1" x14ac:dyDescent="0.25">
      <c r="A8463" s="124" t="s">
        <v>10719</v>
      </c>
      <c r="B8463" s="124" t="s">
        <v>11736</v>
      </c>
      <c r="C8463" s="132"/>
      <c r="D8463" s="125">
        <f t="shared" si="147"/>
        <v>0</v>
      </c>
      <c r="E8463" s="124" t="s">
        <v>8367</v>
      </c>
      <c r="F8463" s="126">
        <v>10</v>
      </c>
      <c r="G8463" s="128">
        <v>1640.4</v>
      </c>
      <c r="H8463" s="124" t="s">
        <v>8368</v>
      </c>
      <c r="I8463" s="127">
        <v>75.400000000000006</v>
      </c>
      <c r="J8463" s="127">
        <v>377</v>
      </c>
    </row>
    <row r="8464" spans="1:10" hidden="1" x14ac:dyDescent="0.25">
      <c r="A8464" s="124" t="s">
        <v>10720</v>
      </c>
      <c r="B8464" s="124" t="s">
        <v>11736</v>
      </c>
      <c r="C8464" s="132"/>
      <c r="D8464" s="125">
        <f t="shared" si="147"/>
        <v>0</v>
      </c>
      <c r="E8464" s="124" t="s">
        <v>8367</v>
      </c>
      <c r="F8464" s="126">
        <v>252</v>
      </c>
      <c r="G8464" s="128">
        <v>27972</v>
      </c>
      <c r="H8464" s="124" t="s">
        <v>8368</v>
      </c>
      <c r="I8464" s="127">
        <v>47.6</v>
      </c>
      <c r="J8464" s="127">
        <v>238</v>
      </c>
    </row>
    <row r="8465" spans="1:10" hidden="1" x14ac:dyDescent="0.25">
      <c r="A8465" s="124" t="s">
        <v>10721</v>
      </c>
      <c r="B8465" s="124" t="s">
        <v>11736</v>
      </c>
      <c r="C8465" s="132"/>
      <c r="D8465" s="125">
        <f t="shared" si="147"/>
        <v>0</v>
      </c>
      <c r="E8465" s="124" t="s">
        <v>8367</v>
      </c>
      <c r="F8465" s="126">
        <v>4</v>
      </c>
      <c r="G8465" s="128">
        <v>7146</v>
      </c>
      <c r="H8465" s="124" t="s">
        <v>8368</v>
      </c>
      <c r="I8465" s="127">
        <v>119.4</v>
      </c>
      <c r="J8465" s="127">
        <v>597</v>
      </c>
    </row>
    <row r="8466" spans="1:10" hidden="1" x14ac:dyDescent="0.25">
      <c r="A8466" s="124" t="s">
        <v>10722</v>
      </c>
      <c r="B8466" s="124" t="s">
        <v>11736</v>
      </c>
      <c r="C8466" s="132"/>
      <c r="D8466" s="125">
        <f t="shared" si="147"/>
        <v>0</v>
      </c>
      <c r="E8466" s="124" t="s">
        <v>8367</v>
      </c>
      <c r="F8466" s="126">
        <v>1</v>
      </c>
      <c r="G8466" s="127">
        <v>452.4</v>
      </c>
      <c r="H8466" s="124" t="s">
        <v>8368</v>
      </c>
      <c r="I8466" s="127">
        <v>133</v>
      </c>
      <c r="J8466" s="127">
        <v>665</v>
      </c>
    </row>
    <row r="8467" spans="1:10" hidden="1" x14ac:dyDescent="0.25">
      <c r="A8467" s="124" t="s">
        <v>10723</v>
      </c>
      <c r="B8467" s="124" t="s">
        <v>11736</v>
      </c>
      <c r="C8467" s="132"/>
      <c r="D8467" s="125">
        <f t="shared" si="147"/>
        <v>0</v>
      </c>
      <c r="E8467" s="124" t="s">
        <v>8451</v>
      </c>
      <c r="F8467" s="126">
        <v>2</v>
      </c>
      <c r="G8467" s="127">
        <v>285.60000000000002</v>
      </c>
      <c r="H8467" s="124" t="s">
        <v>8368</v>
      </c>
      <c r="I8467" s="127">
        <v>60</v>
      </c>
      <c r="J8467" s="127">
        <v>300</v>
      </c>
    </row>
    <row r="8468" spans="1:10" hidden="1" x14ac:dyDescent="0.25">
      <c r="A8468" s="124" t="s">
        <v>10724</v>
      </c>
      <c r="B8468" s="124" t="s">
        <v>11736</v>
      </c>
      <c r="C8468" s="132"/>
      <c r="D8468" s="125">
        <f t="shared" si="147"/>
        <v>0</v>
      </c>
      <c r="E8468" s="124" t="s">
        <v>8367</v>
      </c>
      <c r="F8468" s="126">
        <v>2</v>
      </c>
      <c r="G8468" s="127">
        <v>716.4</v>
      </c>
      <c r="H8468" s="124" t="s">
        <v>8368</v>
      </c>
      <c r="I8468" s="127">
        <v>62.6</v>
      </c>
      <c r="J8468" s="127">
        <v>313</v>
      </c>
    </row>
    <row r="8469" spans="1:10" hidden="1" x14ac:dyDescent="0.25">
      <c r="A8469" s="124" t="s">
        <v>10725</v>
      </c>
      <c r="B8469" s="124" t="s">
        <v>11736</v>
      </c>
      <c r="C8469" s="132"/>
      <c r="D8469" s="125">
        <f t="shared" si="147"/>
        <v>0</v>
      </c>
      <c r="E8469" s="124" t="s">
        <v>9270</v>
      </c>
      <c r="F8469" s="126">
        <v>6</v>
      </c>
      <c r="G8469" s="127">
        <v>798</v>
      </c>
      <c r="H8469" s="124" t="s">
        <v>8368</v>
      </c>
      <c r="I8469" s="127">
        <v>63</v>
      </c>
      <c r="J8469" s="127">
        <v>315</v>
      </c>
    </row>
    <row r="8470" spans="1:10" hidden="1" x14ac:dyDescent="0.25">
      <c r="A8470" s="124" t="s">
        <v>3662</v>
      </c>
      <c r="B8470" s="124" t="s">
        <v>11736</v>
      </c>
      <c r="C8470" s="132"/>
      <c r="D8470" s="125">
        <f t="shared" si="147"/>
        <v>0</v>
      </c>
      <c r="E8470" s="124" t="s">
        <v>8451</v>
      </c>
      <c r="F8470" s="126">
        <v>1</v>
      </c>
      <c r="G8470" s="127">
        <v>360</v>
      </c>
      <c r="H8470" s="124" t="s">
        <v>8368</v>
      </c>
      <c r="I8470" s="127">
        <v>573.4</v>
      </c>
      <c r="J8470" s="128">
        <v>2867</v>
      </c>
    </row>
    <row r="8471" spans="1:10" hidden="1" x14ac:dyDescent="0.25">
      <c r="A8471" s="124" t="s">
        <v>10726</v>
      </c>
      <c r="B8471" s="124" t="s">
        <v>11736</v>
      </c>
      <c r="C8471" s="132"/>
      <c r="D8471" s="125">
        <f t="shared" si="147"/>
        <v>0</v>
      </c>
      <c r="E8471" s="124" t="s">
        <v>8451</v>
      </c>
      <c r="F8471" s="126">
        <v>10</v>
      </c>
      <c r="G8471" s="127">
        <v>375.6</v>
      </c>
      <c r="H8471" s="124" t="s">
        <v>8368</v>
      </c>
      <c r="I8471" s="127">
        <v>216</v>
      </c>
      <c r="J8471" s="128">
        <v>1080</v>
      </c>
    </row>
    <row r="8472" spans="1:10" hidden="1" x14ac:dyDescent="0.25">
      <c r="A8472" s="124" t="s">
        <v>10727</v>
      </c>
      <c r="B8472" s="124" t="s">
        <v>11736</v>
      </c>
      <c r="C8472" s="132"/>
      <c r="D8472" s="125">
        <f>COUNTIF(A4153:A8471,A8472)</f>
        <v>0</v>
      </c>
      <c r="E8472" s="124" t="s">
        <v>8451</v>
      </c>
      <c r="F8472" s="126">
        <v>3</v>
      </c>
      <c r="G8472" s="127">
        <v>378</v>
      </c>
      <c r="H8472" s="124" t="s">
        <v>8368</v>
      </c>
      <c r="I8472" s="127">
        <v>67.599999999999994</v>
      </c>
      <c r="J8472" s="127">
        <v>338</v>
      </c>
    </row>
    <row r="8473" spans="1:10" hidden="1" x14ac:dyDescent="0.25">
      <c r="A8473" s="124" t="s">
        <v>10728</v>
      </c>
      <c r="B8473" s="124" t="s">
        <v>11736</v>
      </c>
      <c r="C8473" s="132"/>
      <c r="D8473" s="125">
        <f>COUNTIF(A4154:A8472,A8473)</f>
        <v>0</v>
      </c>
      <c r="E8473" s="124" t="s">
        <v>8451</v>
      </c>
      <c r="F8473" s="126">
        <v>5</v>
      </c>
      <c r="G8473" s="128">
        <v>3440.4</v>
      </c>
      <c r="H8473" s="124" t="s">
        <v>8368</v>
      </c>
      <c r="I8473" s="127">
        <v>608</v>
      </c>
      <c r="J8473" s="128">
        <v>3040</v>
      </c>
    </row>
    <row r="8474" spans="1:10" hidden="1" x14ac:dyDescent="0.25">
      <c r="A8474" s="124" t="s">
        <v>10729</v>
      </c>
      <c r="B8474" s="124" t="s">
        <v>11736</v>
      </c>
      <c r="C8474" s="132"/>
      <c r="D8474" s="125">
        <f>COUNTIF(A4155:A8473,A8474)</f>
        <v>0</v>
      </c>
      <c r="E8474" s="124" t="s">
        <v>8367</v>
      </c>
      <c r="F8474" s="126">
        <v>15</v>
      </c>
      <c r="G8474" s="128">
        <v>1296</v>
      </c>
      <c r="H8474" s="124" t="s">
        <v>8368</v>
      </c>
      <c r="I8474" s="128">
        <v>7363.33</v>
      </c>
      <c r="J8474" s="128">
        <v>36816.67</v>
      </c>
    </row>
    <row r="8475" spans="1:10" hidden="1" x14ac:dyDescent="0.25">
      <c r="A8475" s="124" t="s">
        <v>10730</v>
      </c>
      <c r="B8475" s="124" t="s">
        <v>11736</v>
      </c>
      <c r="C8475" s="132"/>
      <c r="D8475" s="125">
        <f>COUNTIF(A4156:A8474,A8475)</f>
        <v>0</v>
      </c>
      <c r="E8475" s="124" t="s">
        <v>8367</v>
      </c>
      <c r="F8475" s="126">
        <v>3</v>
      </c>
      <c r="G8475" s="127">
        <v>405.6</v>
      </c>
      <c r="H8475" s="124" t="s">
        <v>8368</v>
      </c>
      <c r="I8475" s="127">
        <v>159.80000000000001</v>
      </c>
      <c r="J8475" s="127">
        <v>799</v>
      </c>
    </row>
    <row r="8476" spans="1:10" hidden="1" x14ac:dyDescent="0.25">
      <c r="A8476" s="124" t="s">
        <v>5658</v>
      </c>
      <c r="B8476" s="124" t="s">
        <v>11736</v>
      </c>
      <c r="C8476" s="132"/>
      <c r="D8476" s="125">
        <f>COUNTIF(A4157:A8475,A8476)</f>
        <v>0</v>
      </c>
      <c r="E8476" s="124" t="s">
        <v>8457</v>
      </c>
      <c r="F8476" s="126">
        <v>2</v>
      </c>
      <c r="G8476" s="128">
        <v>3648</v>
      </c>
      <c r="H8476" s="124" t="s">
        <v>8368</v>
      </c>
      <c r="I8476" s="128">
        <v>1251.04</v>
      </c>
      <c r="J8476" s="128">
        <v>6255.2</v>
      </c>
    </row>
    <row r="8477" spans="1:10" hidden="1" x14ac:dyDescent="0.25">
      <c r="A8477" s="124" t="s">
        <v>4087</v>
      </c>
      <c r="B8477" s="124" t="s">
        <v>11736</v>
      </c>
      <c r="C8477" s="132"/>
      <c r="D8477" s="125">
        <f>COUNTIF(A4160:A8476,A8477)</f>
        <v>0</v>
      </c>
      <c r="E8477" s="124" t="s">
        <v>8367</v>
      </c>
      <c r="F8477" s="126">
        <v>10</v>
      </c>
      <c r="G8477" s="128">
        <v>44180</v>
      </c>
      <c r="H8477" s="124" t="s">
        <v>8368</v>
      </c>
      <c r="I8477" s="127">
        <v>103.28</v>
      </c>
      <c r="J8477" s="127">
        <v>516.37</v>
      </c>
    </row>
    <row r="8478" spans="1:10" hidden="1" x14ac:dyDescent="0.25">
      <c r="A8478" s="124" t="s">
        <v>10731</v>
      </c>
      <c r="B8478" s="124" t="s">
        <v>11736</v>
      </c>
      <c r="C8478" s="132"/>
      <c r="D8478" s="125">
        <f>COUNTIF(A4162:A8477,A8478)</f>
        <v>0</v>
      </c>
      <c r="E8478" s="124" t="s">
        <v>8367</v>
      </c>
      <c r="F8478" s="126">
        <v>12</v>
      </c>
      <c r="G8478" s="127">
        <v>958.8</v>
      </c>
      <c r="H8478" s="124" t="s">
        <v>8368</v>
      </c>
      <c r="I8478" s="127">
        <v>206.4</v>
      </c>
      <c r="J8478" s="128">
        <v>1032</v>
      </c>
    </row>
    <row r="8479" spans="1:10" hidden="1" x14ac:dyDescent="0.25">
      <c r="A8479" s="124" t="s">
        <v>10732</v>
      </c>
      <c r="B8479" s="124" t="s">
        <v>11736</v>
      </c>
      <c r="C8479" s="132"/>
      <c r="D8479" s="125">
        <f>COUNTIF(A4163:A8478,A8479)</f>
        <v>0</v>
      </c>
      <c r="E8479" s="124" t="s">
        <v>8367</v>
      </c>
      <c r="F8479" s="126">
        <v>10</v>
      </c>
      <c r="G8479" s="128">
        <v>7506.24</v>
      </c>
      <c r="H8479" s="124" t="s">
        <v>8368</v>
      </c>
      <c r="I8479" s="127">
        <v>243.8</v>
      </c>
      <c r="J8479" s="128">
        <v>1219</v>
      </c>
    </row>
    <row r="8480" spans="1:10" hidden="1" x14ac:dyDescent="0.25">
      <c r="A8480" s="124" t="s">
        <v>10733</v>
      </c>
      <c r="B8480" s="124" t="s">
        <v>11736</v>
      </c>
      <c r="C8480" s="132"/>
      <c r="D8480" s="125">
        <f>COUNTIF(A4165:A8479,A8480)</f>
        <v>0</v>
      </c>
      <c r="E8480" s="124" t="s">
        <v>8367</v>
      </c>
      <c r="F8480" s="126">
        <v>1</v>
      </c>
      <c r="G8480" s="127">
        <v>619.65</v>
      </c>
      <c r="H8480" s="124" t="s">
        <v>8368</v>
      </c>
      <c r="I8480" s="127">
        <v>259</v>
      </c>
      <c r="J8480" s="128">
        <v>1295</v>
      </c>
    </row>
    <row r="8481" spans="1:10" hidden="1" x14ac:dyDescent="0.25">
      <c r="A8481" s="124" t="s">
        <v>10734</v>
      </c>
      <c r="B8481" s="124" t="s">
        <v>11736</v>
      </c>
      <c r="C8481" s="132"/>
      <c r="D8481" s="125">
        <f>COUNTIF(A4168:A8480,A8481)</f>
        <v>0</v>
      </c>
      <c r="E8481" s="124" t="s">
        <v>8367</v>
      </c>
      <c r="F8481" s="126">
        <v>2</v>
      </c>
      <c r="G8481" s="128">
        <v>1238.4000000000001</v>
      </c>
      <c r="H8481" s="124" t="s">
        <v>8368</v>
      </c>
      <c r="I8481" s="127">
        <v>343</v>
      </c>
      <c r="J8481" s="128">
        <v>1715</v>
      </c>
    </row>
    <row r="8482" spans="1:10" hidden="1" x14ac:dyDescent="0.25">
      <c r="A8482" s="124" t="s">
        <v>10735</v>
      </c>
      <c r="B8482" s="124" t="s">
        <v>11736</v>
      </c>
      <c r="C8482" s="132"/>
      <c r="D8482" s="125">
        <f>COUNTIF(A4169:A8481,A8482)</f>
        <v>0</v>
      </c>
      <c r="E8482" s="124" t="s">
        <v>8367</v>
      </c>
      <c r="F8482" s="126">
        <v>5</v>
      </c>
      <c r="G8482" s="128">
        <v>1462.8</v>
      </c>
      <c r="H8482" s="124" t="s">
        <v>8368</v>
      </c>
      <c r="I8482" s="127">
        <v>152</v>
      </c>
      <c r="J8482" s="127">
        <v>760</v>
      </c>
    </row>
    <row r="8483" spans="1:10" hidden="1" x14ac:dyDescent="0.25">
      <c r="A8483" s="124" t="s">
        <v>10736</v>
      </c>
      <c r="B8483" s="124" t="s">
        <v>11736</v>
      </c>
      <c r="C8483" s="132"/>
      <c r="D8483" s="125">
        <f>COUNTIF(A4170:A8482,A8483)</f>
        <v>0</v>
      </c>
      <c r="E8483" s="124" t="s">
        <v>8367</v>
      </c>
      <c r="F8483" s="126">
        <v>2</v>
      </c>
      <c r="G8483" s="128">
        <v>1554</v>
      </c>
      <c r="H8483" s="124" t="s">
        <v>8368</v>
      </c>
      <c r="I8483" s="128">
        <v>8298.6</v>
      </c>
      <c r="J8483" s="128">
        <v>41493</v>
      </c>
    </row>
    <row r="8484" spans="1:10" hidden="1" x14ac:dyDescent="0.25">
      <c r="A8484" s="124" t="s">
        <v>10737</v>
      </c>
      <c r="B8484" s="124" t="s">
        <v>11736</v>
      </c>
      <c r="C8484" s="132"/>
      <c r="D8484" s="125">
        <f>COUNTIF(A4171:A8483,A8484)</f>
        <v>0</v>
      </c>
      <c r="E8484" s="124" t="s">
        <v>8367</v>
      </c>
      <c r="F8484" s="126">
        <v>6</v>
      </c>
      <c r="G8484" s="128">
        <v>2058</v>
      </c>
      <c r="H8484" s="124" t="s">
        <v>8368</v>
      </c>
      <c r="I8484" s="127">
        <v>241.4</v>
      </c>
      <c r="J8484" s="128">
        <v>1207</v>
      </c>
    </row>
    <row r="8485" spans="1:10" hidden="1" x14ac:dyDescent="0.25">
      <c r="A8485" s="124" t="s">
        <v>10738</v>
      </c>
      <c r="B8485" s="124" t="s">
        <v>11736</v>
      </c>
      <c r="C8485" s="132"/>
      <c r="D8485" s="125">
        <f>COUNTIF(A4172:A8484,A8485)</f>
        <v>0</v>
      </c>
      <c r="E8485" s="124" t="s">
        <v>8367</v>
      </c>
      <c r="F8485" s="126">
        <v>12</v>
      </c>
      <c r="G8485" s="127">
        <v>912</v>
      </c>
      <c r="H8485" s="124" t="s">
        <v>8368</v>
      </c>
      <c r="I8485" s="127">
        <v>266.56</v>
      </c>
      <c r="J8485" s="128">
        <v>1332.8</v>
      </c>
    </row>
    <row r="8486" spans="1:10" hidden="1" x14ac:dyDescent="0.25">
      <c r="A8486" s="124" t="s">
        <v>10739</v>
      </c>
      <c r="B8486" s="124" t="s">
        <v>11736</v>
      </c>
      <c r="C8486" s="132"/>
      <c r="D8486" s="125">
        <f>COUNTIF(A4174:A8485,A8486)</f>
        <v>0</v>
      </c>
      <c r="E8486" s="124" t="s">
        <v>8367</v>
      </c>
      <c r="F8486" s="126">
        <v>4</v>
      </c>
      <c r="G8486" s="128">
        <v>49791.6</v>
      </c>
      <c r="H8486" s="124" t="s">
        <v>8368</v>
      </c>
      <c r="I8486" s="127">
        <v>128.35</v>
      </c>
      <c r="J8486" s="127">
        <v>641.75</v>
      </c>
    </row>
    <row r="8487" spans="1:10" hidden="1" x14ac:dyDescent="0.25">
      <c r="A8487" s="124" t="s">
        <v>10740</v>
      </c>
      <c r="B8487" s="124" t="s">
        <v>11736</v>
      </c>
      <c r="C8487" s="132"/>
      <c r="D8487" s="125">
        <f>COUNTIF(A4176:A8486,A8487)</f>
        <v>0</v>
      </c>
      <c r="E8487" s="124" t="s">
        <v>8457</v>
      </c>
      <c r="F8487" s="126">
        <v>1</v>
      </c>
      <c r="G8487" s="128">
        <v>1448.4</v>
      </c>
      <c r="H8487" s="124" t="s">
        <v>8368</v>
      </c>
      <c r="I8487" s="127">
        <v>113.4</v>
      </c>
      <c r="J8487" s="127">
        <v>567</v>
      </c>
    </row>
    <row r="8488" spans="1:10" hidden="1" x14ac:dyDescent="0.25">
      <c r="A8488" s="124" t="s">
        <v>10741</v>
      </c>
      <c r="B8488" s="124" t="s">
        <v>11736</v>
      </c>
      <c r="C8488" s="132"/>
      <c r="D8488" s="125">
        <f>COUNTIF(A4179:A8487,A8488)</f>
        <v>0</v>
      </c>
      <c r="E8488" s="124" t="s">
        <v>8367</v>
      </c>
      <c r="F8488" s="126">
        <v>4</v>
      </c>
      <c r="G8488" s="128">
        <v>1599.36</v>
      </c>
      <c r="H8488" s="124" t="s">
        <v>8368</v>
      </c>
      <c r="I8488" s="127">
        <v>398.4</v>
      </c>
      <c r="J8488" s="128">
        <v>1992</v>
      </c>
    </row>
    <row r="8489" spans="1:10" hidden="1" x14ac:dyDescent="0.25">
      <c r="A8489" s="124" t="s">
        <v>10742</v>
      </c>
      <c r="B8489" s="124" t="s">
        <v>11736</v>
      </c>
      <c r="C8489" s="132"/>
      <c r="D8489" s="125">
        <f>COUNTIF(A4181:A8488,A8489)</f>
        <v>0</v>
      </c>
      <c r="E8489" s="124" t="s">
        <v>8367</v>
      </c>
      <c r="F8489" s="126">
        <v>2</v>
      </c>
      <c r="G8489" s="127">
        <v>770.1</v>
      </c>
      <c r="H8489" s="124" t="s">
        <v>8368</v>
      </c>
      <c r="I8489" s="127">
        <v>183</v>
      </c>
      <c r="J8489" s="127">
        <v>915</v>
      </c>
    </row>
    <row r="8490" spans="1:10" hidden="1" x14ac:dyDescent="0.25">
      <c r="A8490" s="124" t="s">
        <v>10743</v>
      </c>
      <c r="B8490" s="124" t="s">
        <v>11736</v>
      </c>
      <c r="C8490" s="132"/>
      <c r="D8490" s="125">
        <f>COUNTIF(A4183:A8489,A8490)</f>
        <v>0</v>
      </c>
      <c r="E8490" s="124" t="s">
        <v>8367</v>
      </c>
      <c r="F8490" s="126">
        <v>5</v>
      </c>
      <c r="G8490" s="127">
        <v>680.4</v>
      </c>
      <c r="H8490" s="124" t="s">
        <v>8368</v>
      </c>
      <c r="I8490" s="127">
        <v>482.04</v>
      </c>
      <c r="J8490" s="128">
        <v>2410.2199999999998</v>
      </c>
    </row>
    <row r="8491" spans="1:10" hidden="1" x14ac:dyDescent="0.25">
      <c r="A8491" s="124" t="s">
        <v>10744</v>
      </c>
      <c r="B8491" s="124" t="s">
        <v>11736</v>
      </c>
      <c r="C8491" s="132"/>
      <c r="D8491" s="125">
        <f>COUNTIF(A4184:A8490,A8491)</f>
        <v>0</v>
      </c>
      <c r="E8491" s="124" t="s">
        <v>8367</v>
      </c>
      <c r="F8491" s="126">
        <v>10</v>
      </c>
      <c r="G8491" s="128">
        <v>2390.4</v>
      </c>
      <c r="H8491" s="124" t="s">
        <v>8368</v>
      </c>
      <c r="I8491" s="128">
        <v>4346.6000000000004</v>
      </c>
      <c r="J8491" s="128">
        <v>21733</v>
      </c>
    </row>
    <row r="8492" spans="1:10" hidden="1" x14ac:dyDescent="0.25">
      <c r="A8492" s="124" t="s">
        <v>10745</v>
      </c>
      <c r="B8492" s="124" t="s">
        <v>11736</v>
      </c>
      <c r="C8492" s="132"/>
      <c r="D8492" s="125">
        <f>COUNTIF(A4185:A8491,A8492)</f>
        <v>0</v>
      </c>
      <c r="E8492" s="124" t="s">
        <v>8367</v>
      </c>
      <c r="F8492" s="126">
        <v>6</v>
      </c>
      <c r="G8492" s="128">
        <v>1098</v>
      </c>
      <c r="H8492" s="124" t="s">
        <v>8368</v>
      </c>
      <c r="I8492" s="128">
        <v>1604.2</v>
      </c>
      <c r="J8492" s="128">
        <v>8021</v>
      </c>
    </row>
    <row r="8493" spans="1:10" hidden="1" x14ac:dyDescent="0.25">
      <c r="A8493" s="124" t="s">
        <v>10746</v>
      </c>
      <c r="B8493" s="124" t="s">
        <v>11736</v>
      </c>
      <c r="C8493" s="132"/>
      <c r="D8493" s="125">
        <f>COUNTIF(A4186:A8492,A8493)</f>
        <v>0</v>
      </c>
      <c r="E8493" s="124" t="s">
        <v>8367</v>
      </c>
      <c r="F8493" s="126">
        <v>16</v>
      </c>
      <c r="G8493" s="128">
        <v>2892.26</v>
      </c>
      <c r="H8493" s="124" t="s">
        <v>8368</v>
      </c>
      <c r="I8493" s="127">
        <v>582.6</v>
      </c>
      <c r="J8493" s="128">
        <v>2913</v>
      </c>
    </row>
    <row r="8494" spans="1:10" hidden="1" x14ac:dyDescent="0.25">
      <c r="A8494" s="124" t="s">
        <v>4551</v>
      </c>
      <c r="B8494" s="124" t="s">
        <v>11736</v>
      </c>
      <c r="C8494" s="132"/>
      <c r="D8494" s="125">
        <f t="shared" ref="D8494:D8523" si="148">COUNTIF(A4188:A8493,A8494)</f>
        <v>0</v>
      </c>
      <c r="E8494" s="124" t="s">
        <v>8457</v>
      </c>
      <c r="F8494" s="126">
        <v>40</v>
      </c>
      <c r="G8494" s="128">
        <v>26079.599999999999</v>
      </c>
      <c r="H8494" s="124" t="s">
        <v>8368</v>
      </c>
      <c r="I8494" s="127">
        <v>851.4</v>
      </c>
      <c r="J8494" s="128">
        <v>4257</v>
      </c>
    </row>
    <row r="8495" spans="1:10" hidden="1" x14ac:dyDescent="0.25">
      <c r="A8495" s="124" t="s">
        <v>10747</v>
      </c>
      <c r="B8495" s="124" t="s">
        <v>11736</v>
      </c>
      <c r="C8495" s="132"/>
      <c r="D8495" s="125">
        <f t="shared" si="148"/>
        <v>0</v>
      </c>
      <c r="E8495" s="124" t="s">
        <v>8457</v>
      </c>
      <c r="F8495" s="126">
        <v>35</v>
      </c>
      <c r="G8495" s="128">
        <v>9625.2000000000007</v>
      </c>
      <c r="H8495" s="124" t="s">
        <v>8368</v>
      </c>
      <c r="I8495" s="127">
        <v>32.4</v>
      </c>
      <c r="J8495" s="127">
        <v>162</v>
      </c>
    </row>
    <row r="8496" spans="1:10" hidden="1" x14ac:dyDescent="0.25">
      <c r="A8496" s="124" t="s">
        <v>10748</v>
      </c>
      <c r="B8496" s="124" t="s">
        <v>11736</v>
      </c>
      <c r="C8496" s="132"/>
      <c r="D8496" s="125">
        <f t="shared" si="148"/>
        <v>0</v>
      </c>
      <c r="E8496" s="124" t="s">
        <v>8457</v>
      </c>
      <c r="F8496" s="126">
        <v>50</v>
      </c>
      <c r="G8496" s="128">
        <v>3495.6</v>
      </c>
      <c r="H8496" s="124" t="s">
        <v>8368</v>
      </c>
      <c r="I8496" s="127">
        <v>129</v>
      </c>
      <c r="J8496" s="127">
        <v>645</v>
      </c>
    </row>
    <row r="8497" spans="1:10" hidden="1" x14ac:dyDescent="0.25">
      <c r="A8497" s="124" t="s">
        <v>10749</v>
      </c>
      <c r="B8497" s="124" t="s">
        <v>11736</v>
      </c>
      <c r="C8497" s="132"/>
      <c r="D8497" s="125">
        <f t="shared" si="148"/>
        <v>0</v>
      </c>
      <c r="E8497" s="124" t="s">
        <v>8451</v>
      </c>
      <c r="F8497" s="126">
        <v>2</v>
      </c>
      <c r="G8497" s="128">
        <v>5108.3999999999996</v>
      </c>
      <c r="H8497" s="124" t="s">
        <v>8368</v>
      </c>
      <c r="I8497" s="127">
        <v>39.6</v>
      </c>
      <c r="J8497" s="127">
        <v>198</v>
      </c>
    </row>
    <row r="8498" spans="1:10" hidden="1" x14ac:dyDescent="0.25">
      <c r="A8498" s="124" t="s">
        <v>10750</v>
      </c>
      <c r="B8498" s="124" t="s">
        <v>11736</v>
      </c>
      <c r="C8498" s="132"/>
      <c r="D8498" s="125">
        <f t="shared" si="148"/>
        <v>0</v>
      </c>
      <c r="E8498" s="124" t="s">
        <v>8367</v>
      </c>
      <c r="F8498" s="126">
        <v>5</v>
      </c>
      <c r="G8498" s="127">
        <v>194.4</v>
      </c>
      <c r="H8498" s="124" t="s">
        <v>8368</v>
      </c>
      <c r="I8498" s="127">
        <v>405</v>
      </c>
      <c r="J8498" s="128">
        <v>2025</v>
      </c>
    </row>
    <row r="8499" spans="1:10" hidden="1" x14ac:dyDescent="0.25">
      <c r="A8499" s="124" t="s">
        <v>10751</v>
      </c>
      <c r="B8499" s="124" t="s">
        <v>11736</v>
      </c>
      <c r="C8499" s="132"/>
      <c r="D8499" s="125">
        <f t="shared" si="148"/>
        <v>0</v>
      </c>
      <c r="E8499" s="124" t="s">
        <v>8367</v>
      </c>
      <c r="F8499" s="126">
        <v>6</v>
      </c>
      <c r="G8499" s="127">
        <v>774</v>
      </c>
      <c r="H8499" s="124" t="s">
        <v>8368</v>
      </c>
      <c r="I8499" s="127">
        <v>534.6</v>
      </c>
      <c r="J8499" s="128">
        <v>2673</v>
      </c>
    </row>
    <row r="8500" spans="1:10" hidden="1" x14ac:dyDescent="0.25">
      <c r="A8500" s="124" t="s">
        <v>10752</v>
      </c>
      <c r="B8500" s="124" t="s">
        <v>11736</v>
      </c>
      <c r="C8500" s="132"/>
      <c r="D8500" s="125">
        <f t="shared" si="148"/>
        <v>0</v>
      </c>
      <c r="E8500" s="124" t="s">
        <v>8451</v>
      </c>
      <c r="F8500" s="126">
        <v>2</v>
      </c>
      <c r="G8500" s="127">
        <v>237.6</v>
      </c>
      <c r="H8500" s="124" t="s">
        <v>8368</v>
      </c>
      <c r="I8500" s="128">
        <v>1021.6</v>
      </c>
      <c r="J8500" s="128">
        <v>5108</v>
      </c>
    </row>
    <row r="8501" spans="1:10" hidden="1" x14ac:dyDescent="0.25">
      <c r="A8501" s="124" t="s">
        <v>10753</v>
      </c>
      <c r="B8501" s="124" t="s">
        <v>11736</v>
      </c>
      <c r="C8501" s="132"/>
      <c r="D8501" s="125">
        <f t="shared" si="148"/>
        <v>0</v>
      </c>
      <c r="E8501" s="124" t="s">
        <v>8367</v>
      </c>
      <c r="F8501" s="126">
        <v>2</v>
      </c>
      <c r="G8501" s="128">
        <v>2430</v>
      </c>
      <c r="H8501" s="124" t="s">
        <v>8368</v>
      </c>
      <c r="I8501" s="127">
        <v>69.400000000000006</v>
      </c>
      <c r="J8501" s="127">
        <v>347</v>
      </c>
    </row>
    <row r="8502" spans="1:10" hidden="1" x14ac:dyDescent="0.25">
      <c r="A8502" s="124" t="s">
        <v>10754</v>
      </c>
      <c r="B8502" s="124" t="s">
        <v>11736</v>
      </c>
      <c r="C8502" s="132"/>
      <c r="D8502" s="125">
        <f t="shared" si="148"/>
        <v>0</v>
      </c>
      <c r="E8502" s="124" t="s">
        <v>8367</v>
      </c>
      <c r="F8502" s="126">
        <v>10</v>
      </c>
      <c r="G8502" s="128">
        <v>3207.6</v>
      </c>
      <c r="H8502" s="124" t="s">
        <v>8368</v>
      </c>
      <c r="I8502" s="127">
        <v>26</v>
      </c>
      <c r="J8502" s="127">
        <v>130</v>
      </c>
    </row>
    <row r="8503" spans="1:10" hidden="1" x14ac:dyDescent="0.25">
      <c r="A8503" s="124" t="s">
        <v>10755</v>
      </c>
      <c r="B8503" s="124" t="s">
        <v>11736</v>
      </c>
      <c r="C8503" s="132"/>
      <c r="D8503" s="125">
        <f t="shared" si="148"/>
        <v>0</v>
      </c>
      <c r="E8503" s="124" t="s">
        <v>8367</v>
      </c>
      <c r="F8503" s="126">
        <v>10</v>
      </c>
      <c r="G8503" s="128">
        <v>6129.6</v>
      </c>
      <c r="H8503" s="124" t="s">
        <v>8368</v>
      </c>
      <c r="I8503" s="128">
        <v>27158.400000000001</v>
      </c>
      <c r="J8503" s="128">
        <v>135792</v>
      </c>
    </row>
    <row r="8504" spans="1:10" hidden="1" x14ac:dyDescent="0.25">
      <c r="A8504" s="124" t="s">
        <v>10756</v>
      </c>
      <c r="B8504" s="124" t="s">
        <v>11736</v>
      </c>
      <c r="C8504" s="132"/>
      <c r="D8504" s="125">
        <f t="shared" si="148"/>
        <v>0</v>
      </c>
      <c r="E8504" s="124" t="s">
        <v>8367</v>
      </c>
      <c r="F8504" s="126">
        <v>3</v>
      </c>
      <c r="G8504" s="127">
        <v>416.4</v>
      </c>
      <c r="H8504" s="124" t="s">
        <v>8368</v>
      </c>
      <c r="I8504" s="127">
        <v>600</v>
      </c>
      <c r="J8504" s="128">
        <v>3000</v>
      </c>
    </row>
    <row r="8505" spans="1:10" hidden="1" x14ac:dyDescent="0.25">
      <c r="A8505" s="124" t="s">
        <v>10757</v>
      </c>
      <c r="B8505" s="124" t="s">
        <v>11736</v>
      </c>
      <c r="C8505" s="132"/>
      <c r="D8505" s="125">
        <f t="shared" si="148"/>
        <v>0</v>
      </c>
      <c r="E8505" s="124" t="s">
        <v>8451</v>
      </c>
      <c r="F8505" s="126">
        <v>3</v>
      </c>
      <c r="G8505" s="127">
        <v>156</v>
      </c>
      <c r="H8505" s="124" t="s">
        <v>8368</v>
      </c>
      <c r="I8505" s="127">
        <v>600</v>
      </c>
      <c r="J8505" s="128">
        <v>3000</v>
      </c>
    </row>
    <row r="8506" spans="1:10" hidden="1" x14ac:dyDescent="0.25">
      <c r="A8506" s="124" t="s">
        <v>10758</v>
      </c>
      <c r="B8506" s="124" t="s">
        <v>11736</v>
      </c>
      <c r="C8506" s="132"/>
      <c r="D8506" s="125">
        <f t="shared" si="148"/>
        <v>0</v>
      </c>
      <c r="E8506" s="124" t="s">
        <v>8367</v>
      </c>
      <c r="F8506" s="126">
        <v>12</v>
      </c>
      <c r="G8506" s="128">
        <v>162950.39999999999</v>
      </c>
      <c r="H8506" s="124" t="s">
        <v>8368</v>
      </c>
      <c r="I8506" s="127">
        <v>600</v>
      </c>
      <c r="J8506" s="128">
        <v>3000</v>
      </c>
    </row>
    <row r="8507" spans="1:10" hidden="1" x14ac:dyDescent="0.25">
      <c r="A8507" s="124" t="s">
        <v>10759</v>
      </c>
      <c r="B8507" s="124" t="s">
        <v>11736</v>
      </c>
      <c r="C8507" s="132"/>
      <c r="D8507" s="125">
        <f t="shared" si="148"/>
        <v>0</v>
      </c>
      <c r="E8507" s="124" t="s">
        <v>8367</v>
      </c>
      <c r="F8507" s="126">
        <v>5</v>
      </c>
      <c r="G8507" s="128">
        <v>3600</v>
      </c>
      <c r="H8507" s="124" t="s">
        <v>8368</v>
      </c>
      <c r="I8507" s="127">
        <v>600</v>
      </c>
      <c r="J8507" s="128">
        <v>3000</v>
      </c>
    </row>
    <row r="8508" spans="1:10" hidden="1" x14ac:dyDescent="0.25">
      <c r="A8508" s="124" t="s">
        <v>10760</v>
      </c>
      <c r="B8508" s="124" t="s">
        <v>11736</v>
      </c>
      <c r="C8508" s="132"/>
      <c r="D8508" s="125">
        <f t="shared" si="148"/>
        <v>0</v>
      </c>
      <c r="E8508" s="124" t="s">
        <v>8367</v>
      </c>
      <c r="F8508" s="126">
        <v>5</v>
      </c>
      <c r="G8508" s="128">
        <v>3600</v>
      </c>
      <c r="H8508" s="124" t="s">
        <v>8368</v>
      </c>
      <c r="I8508" s="128">
        <v>40048.11</v>
      </c>
      <c r="J8508" s="128">
        <v>200240.56</v>
      </c>
    </row>
    <row r="8509" spans="1:10" hidden="1" x14ac:dyDescent="0.25">
      <c r="A8509" s="124" t="s">
        <v>10761</v>
      </c>
      <c r="B8509" s="124" t="s">
        <v>11736</v>
      </c>
      <c r="C8509" s="132"/>
      <c r="D8509" s="125">
        <f t="shared" si="148"/>
        <v>0</v>
      </c>
      <c r="E8509" s="124" t="s">
        <v>8367</v>
      </c>
      <c r="F8509" s="126">
        <v>5</v>
      </c>
      <c r="G8509" s="128">
        <v>3600</v>
      </c>
      <c r="H8509" s="124" t="s">
        <v>8368</v>
      </c>
      <c r="I8509" s="128">
        <v>55900</v>
      </c>
      <c r="J8509" s="128">
        <v>279500</v>
      </c>
    </row>
    <row r="8510" spans="1:10" hidden="1" x14ac:dyDescent="0.25">
      <c r="A8510" s="124" t="s">
        <v>10762</v>
      </c>
      <c r="B8510" s="124" t="s">
        <v>11736</v>
      </c>
      <c r="C8510" s="132"/>
      <c r="D8510" s="125">
        <f t="shared" si="148"/>
        <v>0</v>
      </c>
      <c r="E8510" s="124" t="s">
        <v>8367</v>
      </c>
      <c r="F8510" s="126">
        <v>5</v>
      </c>
      <c r="G8510" s="128">
        <v>3600</v>
      </c>
      <c r="H8510" s="124" t="s">
        <v>8368</v>
      </c>
      <c r="I8510" s="128">
        <v>55900</v>
      </c>
      <c r="J8510" s="128">
        <v>279500</v>
      </c>
    </row>
    <row r="8511" spans="1:10" hidden="1" x14ac:dyDescent="0.25">
      <c r="A8511" s="124" t="s">
        <v>4674</v>
      </c>
      <c r="B8511" s="124" t="s">
        <v>11736</v>
      </c>
      <c r="C8511" s="132"/>
      <c r="D8511" s="125">
        <f t="shared" si="148"/>
        <v>0</v>
      </c>
      <c r="E8511" s="124" t="s">
        <v>8367</v>
      </c>
      <c r="F8511" s="126">
        <v>20</v>
      </c>
      <c r="G8511" s="128">
        <v>240288.67</v>
      </c>
      <c r="H8511" s="124" t="s">
        <v>8368</v>
      </c>
      <c r="I8511" s="128">
        <v>55900</v>
      </c>
      <c r="J8511" s="128">
        <v>279500</v>
      </c>
    </row>
    <row r="8512" spans="1:10" hidden="1" x14ac:dyDescent="0.25">
      <c r="A8512" s="124" t="s">
        <v>10763</v>
      </c>
      <c r="B8512" s="124" t="s">
        <v>11736</v>
      </c>
      <c r="C8512" s="132"/>
      <c r="D8512" s="125">
        <f t="shared" si="148"/>
        <v>0</v>
      </c>
      <c r="E8512" s="124" t="s">
        <v>8579</v>
      </c>
      <c r="F8512" s="129">
        <v>12900</v>
      </c>
      <c r="G8512" s="128">
        <v>335400</v>
      </c>
      <c r="H8512" s="124" t="s">
        <v>8368</v>
      </c>
      <c r="I8512" s="128">
        <v>55900</v>
      </c>
      <c r="J8512" s="128">
        <v>279500</v>
      </c>
    </row>
    <row r="8513" spans="1:10" hidden="1" x14ac:dyDescent="0.25">
      <c r="A8513" s="124" t="s">
        <v>10764</v>
      </c>
      <c r="B8513" s="124" t="s">
        <v>11736</v>
      </c>
      <c r="C8513" s="132"/>
      <c r="D8513" s="125">
        <f t="shared" si="148"/>
        <v>0</v>
      </c>
      <c r="E8513" s="124" t="s">
        <v>8579</v>
      </c>
      <c r="F8513" s="129">
        <v>12900</v>
      </c>
      <c r="G8513" s="128">
        <v>335400</v>
      </c>
      <c r="H8513" s="124" t="s">
        <v>8368</v>
      </c>
      <c r="I8513" s="128">
        <v>9500</v>
      </c>
      <c r="J8513" s="128">
        <v>47500</v>
      </c>
    </row>
    <row r="8514" spans="1:10" hidden="1" x14ac:dyDescent="0.25">
      <c r="A8514" s="124" t="s">
        <v>10765</v>
      </c>
      <c r="B8514" s="124" t="s">
        <v>11736</v>
      </c>
      <c r="C8514" s="132"/>
      <c r="D8514" s="125">
        <f t="shared" si="148"/>
        <v>0</v>
      </c>
      <c r="E8514" s="124" t="s">
        <v>8579</v>
      </c>
      <c r="F8514" s="129">
        <v>12900</v>
      </c>
      <c r="G8514" s="128">
        <v>335400</v>
      </c>
      <c r="H8514" s="124" t="s">
        <v>8368</v>
      </c>
      <c r="I8514" s="128">
        <v>1834.8</v>
      </c>
      <c r="J8514" s="128">
        <v>9174</v>
      </c>
    </row>
    <row r="8515" spans="1:10" hidden="1" x14ac:dyDescent="0.25">
      <c r="A8515" s="124" t="s">
        <v>10766</v>
      </c>
      <c r="B8515" s="124" t="s">
        <v>11736</v>
      </c>
      <c r="C8515" s="132"/>
      <c r="D8515" s="125">
        <f t="shared" si="148"/>
        <v>0</v>
      </c>
      <c r="E8515" s="124" t="s">
        <v>8579</v>
      </c>
      <c r="F8515" s="129">
        <v>12900</v>
      </c>
      <c r="G8515" s="128">
        <v>335400</v>
      </c>
      <c r="H8515" s="124" t="s">
        <v>8368</v>
      </c>
      <c r="I8515" s="128">
        <v>6580</v>
      </c>
      <c r="J8515" s="128">
        <v>32900</v>
      </c>
    </row>
    <row r="8516" spans="1:10" hidden="1" x14ac:dyDescent="0.25">
      <c r="A8516" s="124" t="s">
        <v>5858</v>
      </c>
      <c r="B8516" s="124" t="s">
        <v>11736</v>
      </c>
      <c r="C8516" s="132"/>
      <c r="D8516" s="125">
        <f t="shared" si="148"/>
        <v>0</v>
      </c>
      <c r="E8516" s="124" t="s">
        <v>8579</v>
      </c>
      <c r="F8516" s="129">
        <v>1500</v>
      </c>
      <c r="G8516" s="128">
        <v>57000</v>
      </c>
      <c r="H8516" s="124" t="s">
        <v>8368</v>
      </c>
      <c r="I8516" s="127">
        <v>185</v>
      </c>
      <c r="J8516" s="127">
        <v>925</v>
      </c>
    </row>
    <row r="8517" spans="1:10" hidden="1" x14ac:dyDescent="0.25">
      <c r="A8517" s="124" t="s">
        <v>10767</v>
      </c>
      <c r="B8517" s="124" t="s">
        <v>11736</v>
      </c>
      <c r="C8517" s="132"/>
      <c r="D8517" s="125">
        <f t="shared" si="148"/>
        <v>0</v>
      </c>
      <c r="E8517" s="124" t="s">
        <v>8367</v>
      </c>
      <c r="F8517" s="126">
        <v>1</v>
      </c>
      <c r="G8517" s="128">
        <v>11008.8</v>
      </c>
      <c r="H8517" s="124" t="s">
        <v>8368</v>
      </c>
      <c r="I8517" s="128">
        <v>3066.6</v>
      </c>
      <c r="J8517" s="128">
        <v>15333</v>
      </c>
    </row>
    <row r="8518" spans="1:10" hidden="1" x14ac:dyDescent="0.25">
      <c r="A8518" s="124" t="s">
        <v>10768</v>
      </c>
      <c r="B8518" s="124" t="s">
        <v>11736</v>
      </c>
      <c r="C8518" s="132"/>
      <c r="D8518" s="125">
        <f t="shared" si="148"/>
        <v>0</v>
      </c>
      <c r="E8518" s="124" t="s">
        <v>8367</v>
      </c>
      <c r="F8518" s="126">
        <v>1</v>
      </c>
      <c r="G8518" s="128">
        <v>39480</v>
      </c>
      <c r="H8518" s="124" t="s">
        <v>8368</v>
      </c>
      <c r="I8518" s="128">
        <v>13676.6</v>
      </c>
      <c r="J8518" s="128">
        <v>68383</v>
      </c>
    </row>
    <row r="8519" spans="1:10" hidden="1" x14ac:dyDescent="0.25">
      <c r="A8519" s="124" t="s">
        <v>10769</v>
      </c>
      <c r="B8519" s="124" t="s">
        <v>11736</v>
      </c>
      <c r="C8519" s="132"/>
      <c r="D8519" s="125">
        <f t="shared" si="148"/>
        <v>0</v>
      </c>
      <c r="E8519" s="124" t="s">
        <v>8367</v>
      </c>
      <c r="F8519" s="126">
        <v>10</v>
      </c>
      <c r="G8519" s="128">
        <v>1110</v>
      </c>
      <c r="H8519" s="124" t="s">
        <v>8368</v>
      </c>
      <c r="I8519" s="128">
        <v>56000</v>
      </c>
      <c r="J8519" s="128">
        <v>280000</v>
      </c>
    </row>
    <row r="8520" spans="1:10" hidden="1" x14ac:dyDescent="0.25">
      <c r="A8520" s="124" t="s">
        <v>10770</v>
      </c>
      <c r="B8520" s="124" t="s">
        <v>11736</v>
      </c>
      <c r="C8520" s="132"/>
      <c r="D8520" s="125">
        <f t="shared" si="148"/>
        <v>0</v>
      </c>
      <c r="E8520" s="124" t="s">
        <v>8367</v>
      </c>
      <c r="F8520" s="126">
        <v>4</v>
      </c>
      <c r="G8520" s="128">
        <v>18399.599999999999</v>
      </c>
      <c r="H8520" s="124" t="s">
        <v>8368</v>
      </c>
      <c r="I8520" s="127">
        <v>278.8</v>
      </c>
      <c r="J8520" s="128">
        <v>1394</v>
      </c>
    </row>
    <row r="8521" spans="1:10" hidden="1" x14ac:dyDescent="0.25">
      <c r="A8521" s="124" t="s">
        <v>10771</v>
      </c>
      <c r="B8521" s="124" t="s">
        <v>11736</v>
      </c>
      <c r="C8521" s="132"/>
      <c r="D8521" s="125">
        <f t="shared" si="148"/>
        <v>0</v>
      </c>
      <c r="E8521" s="124" t="s">
        <v>8367</v>
      </c>
      <c r="F8521" s="126">
        <v>22</v>
      </c>
      <c r="G8521" s="128">
        <v>82059.600000000006</v>
      </c>
      <c r="H8521" s="124" t="s">
        <v>8368</v>
      </c>
      <c r="I8521" s="128">
        <v>8350</v>
      </c>
      <c r="J8521" s="128">
        <v>41750</v>
      </c>
    </row>
    <row r="8522" spans="1:10" hidden="1" x14ac:dyDescent="0.25">
      <c r="A8522" s="124" t="s">
        <v>10772</v>
      </c>
      <c r="B8522" s="124" t="s">
        <v>11736</v>
      </c>
      <c r="C8522" s="132"/>
      <c r="D8522" s="125">
        <f t="shared" si="148"/>
        <v>0</v>
      </c>
      <c r="E8522" s="124" t="s">
        <v>8367</v>
      </c>
      <c r="F8522" s="126">
        <v>80</v>
      </c>
      <c r="G8522" s="128">
        <v>336000</v>
      </c>
      <c r="H8522" s="124" t="s">
        <v>8368</v>
      </c>
      <c r="I8522" s="127">
        <v>895.6</v>
      </c>
      <c r="J8522" s="128">
        <v>4478</v>
      </c>
    </row>
    <row r="8523" spans="1:10" hidden="1" x14ac:dyDescent="0.25">
      <c r="A8523" s="124" t="s">
        <v>10773</v>
      </c>
      <c r="B8523" s="124" t="s">
        <v>11736</v>
      </c>
      <c r="C8523" s="132"/>
      <c r="D8523" s="125">
        <f t="shared" si="148"/>
        <v>0</v>
      </c>
      <c r="E8523" s="124" t="s">
        <v>8367</v>
      </c>
      <c r="F8523" s="126">
        <v>1</v>
      </c>
      <c r="G8523" s="128">
        <v>1672.8</v>
      </c>
      <c r="H8523" s="124" t="s">
        <v>8368</v>
      </c>
      <c r="I8523" s="128">
        <v>1062.8</v>
      </c>
      <c r="J8523" s="128">
        <v>5314</v>
      </c>
    </row>
    <row r="8524" spans="1:10" hidden="1" x14ac:dyDescent="0.25">
      <c r="A8524" s="124" t="s">
        <v>10774</v>
      </c>
      <c r="B8524" s="124" t="s">
        <v>11736</v>
      </c>
      <c r="C8524" s="132"/>
      <c r="D8524" s="125">
        <f>COUNTIF(A4220:A8523,A8524)</f>
        <v>0</v>
      </c>
      <c r="E8524" s="124" t="s">
        <v>8367</v>
      </c>
      <c r="F8524" s="129">
        <v>2004</v>
      </c>
      <c r="G8524" s="128">
        <v>50100</v>
      </c>
      <c r="H8524" s="124" t="s">
        <v>8368</v>
      </c>
      <c r="I8524" s="127">
        <v>972.4</v>
      </c>
      <c r="J8524" s="128">
        <v>4862</v>
      </c>
    </row>
    <row r="8525" spans="1:10" hidden="1" x14ac:dyDescent="0.25">
      <c r="A8525" s="124" t="s">
        <v>10775</v>
      </c>
      <c r="B8525" s="124" t="s">
        <v>11736</v>
      </c>
      <c r="C8525" s="132"/>
      <c r="D8525" s="125">
        <f>COUNTIF(A4223:A8524,A8525)</f>
        <v>0</v>
      </c>
      <c r="E8525" s="124" t="s">
        <v>8367</v>
      </c>
      <c r="F8525" s="126">
        <v>1</v>
      </c>
      <c r="G8525" s="128">
        <v>5373.6</v>
      </c>
      <c r="H8525" s="124" t="s">
        <v>8368</v>
      </c>
      <c r="I8525" s="127">
        <v>431.4</v>
      </c>
      <c r="J8525" s="128">
        <v>2157</v>
      </c>
    </row>
    <row r="8526" spans="1:10" hidden="1" x14ac:dyDescent="0.25">
      <c r="A8526" s="124" t="s">
        <v>10776</v>
      </c>
      <c r="B8526" s="124" t="s">
        <v>11736</v>
      </c>
      <c r="C8526" s="132"/>
      <c r="D8526" s="125">
        <f>COUNTIF(A4224:A8525,A8526)</f>
        <v>0</v>
      </c>
      <c r="E8526" s="124" t="s">
        <v>8367</v>
      </c>
      <c r="F8526" s="126">
        <v>1</v>
      </c>
      <c r="G8526" s="128">
        <v>6376.8</v>
      </c>
      <c r="H8526" s="124" t="s">
        <v>8368</v>
      </c>
      <c r="I8526" s="128">
        <v>1948.2</v>
      </c>
      <c r="J8526" s="128">
        <v>9741</v>
      </c>
    </row>
    <row r="8527" spans="1:10" hidden="1" x14ac:dyDescent="0.25">
      <c r="A8527" s="124" t="s">
        <v>10777</v>
      </c>
      <c r="B8527" s="124" t="s">
        <v>11736</v>
      </c>
      <c r="C8527" s="132"/>
      <c r="D8527" s="125">
        <f>COUNTIF(A4225:A8526,A8527)</f>
        <v>0</v>
      </c>
      <c r="E8527" s="124" t="s">
        <v>8367</v>
      </c>
      <c r="F8527" s="126">
        <v>1</v>
      </c>
      <c r="G8527" s="128">
        <v>5834.4</v>
      </c>
      <c r="H8527" s="124" t="s">
        <v>8368</v>
      </c>
      <c r="I8527" s="128">
        <v>65395.72</v>
      </c>
      <c r="J8527" s="128">
        <v>326978.58</v>
      </c>
    </row>
    <row r="8528" spans="1:10" hidden="1" x14ac:dyDescent="0.25">
      <c r="A8528" s="124" t="s">
        <v>2891</v>
      </c>
      <c r="B8528" s="124" t="s">
        <v>11736</v>
      </c>
      <c r="C8528" s="132"/>
      <c r="D8528" s="125">
        <f t="shared" ref="D8528:D8540" si="149">COUNTIF(A4227:A8527,A8528)</f>
        <v>0</v>
      </c>
      <c r="E8528" s="124" t="s">
        <v>8367</v>
      </c>
      <c r="F8528" s="126">
        <v>10</v>
      </c>
      <c r="G8528" s="128">
        <v>2588.4</v>
      </c>
      <c r="H8528" s="124" t="s">
        <v>8368</v>
      </c>
      <c r="I8528" s="128">
        <v>3300</v>
      </c>
      <c r="J8528" s="128">
        <v>16500</v>
      </c>
    </row>
    <row r="8529" spans="1:10" hidden="1" x14ac:dyDescent="0.25">
      <c r="A8529" s="124" t="s">
        <v>5692</v>
      </c>
      <c r="B8529" s="124" t="s">
        <v>11736</v>
      </c>
      <c r="C8529" s="132"/>
      <c r="D8529" s="125">
        <f t="shared" si="149"/>
        <v>0</v>
      </c>
      <c r="E8529" s="124" t="s">
        <v>9270</v>
      </c>
      <c r="F8529" s="126">
        <v>4</v>
      </c>
      <c r="G8529" s="128">
        <v>11689.2</v>
      </c>
      <c r="H8529" s="124" t="s">
        <v>8368</v>
      </c>
      <c r="I8529" s="127">
        <v>50</v>
      </c>
      <c r="J8529" s="127">
        <v>250</v>
      </c>
    </row>
    <row r="8530" spans="1:10" hidden="1" x14ac:dyDescent="0.25">
      <c r="A8530" s="124" t="s">
        <v>10778</v>
      </c>
      <c r="B8530" s="124" t="s">
        <v>11736</v>
      </c>
      <c r="C8530" s="132"/>
      <c r="D8530" s="125">
        <f t="shared" si="149"/>
        <v>0</v>
      </c>
      <c r="E8530" s="124" t="s">
        <v>1</v>
      </c>
      <c r="F8530" s="126">
        <v>23.295999999999999</v>
      </c>
      <c r="G8530" s="128">
        <v>392374.3</v>
      </c>
      <c r="H8530" s="124" t="s">
        <v>8368</v>
      </c>
      <c r="I8530" s="128">
        <v>23396.6</v>
      </c>
      <c r="J8530" s="128">
        <v>116983</v>
      </c>
    </row>
    <row r="8531" spans="1:10" hidden="1" x14ac:dyDescent="0.25">
      <c r="A8531" s="124" t="s">
        <v>10779</v>
      </c>
      <c r="B8531" s="124" t="s">
        <v>11736</v>
      </c>
      <c r="C8531" s="132"/>
      <c r="D8531" s="125">
        <f t="shared" si="149"/>
        <v>0</v>
      </c>
      <c r="E8531" s="124" t="s">
        <v>8367</v>
      </c>
      <c r="F8531" s="126">
        <v>2</v>
      </c>
      <c r="G8531" s="128">
        <v>19800</v>
      </c>
      <c r="H8531" s="124" t="s">
        <v>8368</v>
      </c>
      <c r="I8531" s="128">
        <v>4246.6000000000004</v>
      </c>
      <c r="J8531" s="128">
        <v>21233</v>
      </c>
    </row>
    <row r="8532" spans="1:10" hidden="1" x14ac:dyDescent="0.25">
      <c r="A8532" s="124" t="s">
        <v>10780</v>
      </c>
      <c r="B8532" s="124" t="s">
        <v>11736</v>
      </c>
      <c r="C8532" s="132"/>
      <c r="D8532" s="125">
        <f t="shared" si="149"/>
        <v>0</v>
      </c>
      <c r="E8532" s="124" t="s">
        <v>8367</v>
      </c>
      <c r="F8532" s="126">
        <v>1</v>
      </c>
      <c r="G8532" s="127">
        <v>300</v>
      </c>
      <c r="H8532" s="124" t="s">
        <v>8368</v>
      </c>
      <c r="I8532" s="128">
        <v>2333.4</v>
      </c>
      <c r="J8532" s="128">
        <v>11667</v>
      </c>
    </row>
    <row r="8533" spans="1:10" hidden="1" x14ac:dyDescent="0.25">
      <c r="A8533" s="124" t="s">
        <v>10781</v>
      </c>
      <c r="B8533" s="124" t="s">
        <v>11736</v>
      </c>
      <c r="C8533" s="132"/>
      <c r="D8533" s="125">
        <f t="shared" si="149"/>
        <v>0</v>
      </c>
      <c r="E8533" s="124" t="s">
        <v>8367</v>
      </c>
      <c r="F8533" s="126">
        <v>2</v>
      </c>
      <c r="G8533" s="128">
        <v>140379.6</v>
      </c>
      <c r="H8533" s="124" t="s">
        <v>8368</v>
      </c>
      <c r="I8533" s="128">
        <v>3333.4</v>
      </c>
      <c r="J8533" s="128">
        <v>16667</v>
      </c>
    </row>
    <row r="8534" spans="1:10" hidden="1" x14ac:dyDescent="0.25">
      <c r="A8534" s="124" t="s">
        <v>10782</v>
      </c>
      <c r="B8534" s="124" t="s">
        <v>11736</v>
      </c>
      <c r="C8534" s="132"/>
      <c r="D8534" s="125">
        <f t="shared" si="149"/>
        <v>0</v>
      </c>
      <c r="E8534" s="124" t="s">
        <v>8367</v>
      </c>
      <c r="F8534" s="126">
        <v>1</v>
      </c>
      <c r="G8534" s="128">
        <v>25479.599999999999</v>
      </c>
      <c r="H8534" s="124" t="s">
        <v>8368</v>
      </c>
      <c r="I8534" s="128">
        <v>1222</v>
      </c>
      <c r="J8534" s="128">
        <v>6110</v>
      </c>
    </row>
    <row r="8535" spans="1:10" hidden="1" x14ac:dyDescent="0.25">
      <c r="A8535" s="124" t="s">
        <v>10783</v>
      </c>
      <c r="B8535" s="124" t="s">
        <v>11736</v>
      </c>
      <c r="C8535" s="132"/>
      <c r="D8535" s="125">
        <f t="shared" si="149"/>
        <v>0</v>
      </c>
      <c r="E8535" s="124" t="s">
        <v>8367</v>
      </c>
      <c r="F8535" s="126">
        <v>10</v>
      </c>
      <c r="G8535" s="128">
        <v>14000.4</v>
      </c>
      <c r="H8535" s="124" t="s">
        <v>8368</v>
      </c>
      <c r="I8535" s="127">
        <v>930.8</v>
      </c>
      <c r="J8535" s="128">
        <v>4654</v>
      </c>
    </row>
    <row r="8536" spans="1:10" hidden="1" x14ac:dyDescent="0.25">
      <c r="A8536" s="124" t="s">
        <v>3488</v>
      </c>
      <c r="B8536" s="124" t="s">
        <v>11736</v>
      </c>
      <c r="C8536" s="132"/>
      <c r="D8536" s="125">
        <f t="shared" si="149"/>
        <v>0</v>
      </c>
      <c r="E8536" s="124" t="s">
        <v>8367</v>
      </c>
      <c r="F8536" s="126">
        <v>10</v>
      </c>
      <c r="G8536" s="128">
        <v>20000.400000000001</v>
      </c>
      <c r="H8536" s="124" t="s">
        <v>8368</v>
      </c>
      <c r="I8536" s="128">
        <v>2824.6</v>
      </c>
      <c r="J8536" s="128">
        <v>14123</v>
      </c>
    </row>
    <row r="8537" spans="1:10" hidden="1" x14ac:dyDescent="0.25">
      <c r="A8537" s="124" t="s">
        <v>10784</v>
      </c>
      <c r="B8537" s="124" t="s">
        <v>11736</v>
      </c>
      <c r="C8537" s="132"/>
      <c r="D8537" s="125">
        <f t="shared" si="149"/>
        <v>0</v>
      </c>
      <c r="E8537" s="124" t="s">
        <v>8367</v>
      </c>
      <c r="F8537" s="126">
        <v>7</v>
      </c>
      <c r="G8537" s="128">
        <v>7332</v>
      </c>
      <c r="H8537" s="124" t="s">
        <v>8368</v>
      </c>
      <c r="I8537" s="128">
        <v>1194</v>
      </c>
      <c r="J8537" s="128">
        <v>5970</v>
      </c>
    </row>
    <row r="8538" spans="1:10" hidden="1" x14ac:dyDescent="0.25">
      <c r="A8538" s="124" t="s">
        <v>10785</v>
      </c>
      <c r="B8538" s="124" t="s">
        <v>11736</v>
      </c>
      <c r="C8538" s="132"/>
      <c r="D8538" s="125">
        <f t="shared" si="149"/>
        <v>0</v>
      </c>
      <c r="E8538" s="124" t="s">
        <v>8367</v>
      </c>
      <c r="F8538" s="126">
        <v>5</v>
      </c>
      <c r="G8538" s="128">
        <v>5584.8</v>
      </c>
      <c r="H8538" s="124" t="s">
        <v>8368</v>
      </c>
      <c r="I8538" s="127">
        <v>345</v>
      </c>
      <c r="J8538" s="128">
        <v>1725</v>
      </c>
    </row>
    <row r="8539" spans="1:10" hidden="1" x14ac:dyDescent="0.25">
      <c r="A8539" s="124" t="s">
        <v>1910</v>
      </c>
      <c r="B8539" s="124" t="s">
        <v>11736</v>
      </c>
      <c r="C8539" s="132"/>
      <c r="D8539" s="125">
        <f t="shared" si="149"/>
        <v>0</v>
      </c>
      <c r="E8539" s="124" t="s">
        <v>8367</v>
      </c>
      <c r="F8539" s="126">
        <v>7</v>
      </c>
      <c r="G8539" s="128">
        <v>16947.599999999999</v>
      </c>
      <c r="H8539" s="124" t="s">
        <v>8368</v>
      </c>
      <c r="I8539" s="127">
        <v>345</v>
      </c>
      <c r="J8539" s="128">
        <v>1725</v>
      </c>
    </row>
    <row r="8540" spans="1:10" hidden="1" x14ac:dyDescent="0.25">
      <c r="A8540" s="124" t="s">
        <v>4767</v>
      </c>
      <c r="B8540" s="124" t="s">
        <v>11736</v>
      </c>
      <c r="C8540" s="132"/>
      <c r="D8540" s="125">
        <f t="shared" si="149"/>
        <v>0</v>
      </c>
      <c r="E8540" s="124" t="s">
        <v>8367</v>
      </c>
      <c r="F8540" s="126">
        <v>4</v>
      </c>
      <c r="G8540" s="128">
        <v>7164</v>
      </c>
      <c r="H8540" s="124" t="s">
        <v>8368</v>
      </c>
      <c r="I8540" s="127">
        <v>100.8</v>
      </c>
      <c r="J8540" s="127">
        <v>504</v>
      </c>
    </row>
    <row r="8541" spans="1:10" hidden="1" x14ac:dyDescent="0.25">
      <c r="A8541" s="124" t="s">
        <v>10786</v>
      </c>
      <c r="B8541" s="124" t="s">
        <v>11736</v>
      </c>
      <c r="C8541" s="132"/>
      <c r="D8541" s="125">
        <f t="shared" ref="D8541:D8549" si="150">COUNTIF(A4241:A8540,A8541)</f>
        <v>0</v>
      </c>
      <c r="E8541" s="124" t="s">
        <v>8367</v>
      </c>
      <c r="F8541" s="126">
        <v>10</v>
      </c>
      <c r="G8541" s="128">
        <v>2070</v>
      </c>
      <c r="H8541" s="124" t="s">
        <v>8368</v>
      </c>
      <c r="I8541" s="127">
        <v>99.2</v>
      </c>
      <c r="J8541" s="127">
        <v>496</v>
      </c>
    </row>
    <row r="8542" spans="1:10" hidden="1" x14ac:dyDescent="0.25">
      <c r="A8542" s="124" t="s">
        <v>10787</v>
      </c>
      <c r="B8542" s="124" t="s">
        <v>11736</v>
      </c>
      <c r="C8542" s="132"/>
      <c r="D8542" s="125">
        <f t="shared" si="150"/>
        <v>0</v>
      </c>
      <c r="E8542" s="124" t="s">
        <v>8367</v>
      </c>
      <c r="F8542" s="126">
        <v>10</v>
      </c>
      <c r="G8542" s="128">
        <v>2070</v>
      </c>
      <c r="H8542" s="124" t="s">
        <v>8368</v>
      </c>
      <c r="I8542" s="127">
        <v>73.400000000000006</v>
      </c>
      <c r="J8542" s="127">
        <v>367</v>
      </c>
    </row>
    <row r="8543" spans="1:10" hidden="1" x14ac:dyDescent="0.25">
      <c r="A8543" s="124" t="s">
        <v>2145</v>
      </c>
      <c r="B8543" s="124" t="s">
        <v>11736</v>
      </c>
      <c r="C8543" s="132"/>
      <c r="D8543" s="125">
        <f t="shared" si="150"/>
        <v>0</v>
      </c>
      <c r="E8543" s="124" t="s">
        <v>8367</v>
      </c>
      <c r="F8543" s="126">
        <v>5</v>
      </c>
      <c r="G8543" s="127">
        <v>604.79999999999995</v>
      </c>
      <c r="H8543" s="124" t="s">
        <v>8368</v>
      </c>
      <c r="I8543" s="127">
        <v>51.6</v>
      </c>
      <c r="J8543" s="127">
        <v>258</v>
      </c>
    </row>
    <row r="8544" spans="1:10" hidden="1" x14ac:dyDescent="0.25">
      <c r="A8544" s="124" t="s">
        <v>10788</v>
      </c>
      <c r="B8544" s="124" t="s">
        <v>11736</v>
      </c>
      <c r="C8544" s="132"/>
      <c r="D8544" s="125">
        <f t="shared" si="150"/>
        <v>0</v>
      </c>
      <c r="E8544" s="124" t="s">
        <v>8367</v>
      </c>
      <c r="F8544" s="126">
        <v>5</v>
      </c>
      <c r="G8544" s="127">
        <v>595.20000000000005</v>
      </c>
      <c r="H8544" s="124" t="s">
        <v>8368</v>
      </c>
      <c r="I8544" s="128">
        <v>1213.4000000000001</v>
      </c>
      <c r="J8544" s="128">
        <v>6067</v>
      </c>
    </row>
    <row r="8545" spans="1:10" hidden="1" x14ac:dyDescent="0.25">
      <c r="A8545" s="124" t="s">
        <v>10789</v>
      </c>
      <c r="B8545" s="124" t="s">
        <v>11736</v>
      </c>
      <c r="C8545" s="132"/>
      <c r="D8545" s="125">
        <f t="shared" si="150"/>
        <v>0</v>
      </c>
      <c r="E8545" s="124" t="s">
        <v>8367</v>
      </c>
      <c r="F8545" s="126">
        <v>10</v>
      </c>
      <c r="G8545" s="127">
        <v>440.4</v>
      </c>
      <c r="H8545" s="124" t="s">
        <v>8368</v>
      </c>
      <c r="I8545" s="127">
        <v>327.60000000000002</v>
      </c>
      <c r="J8545" s="128">
        <v>1638</v>
      </c>
    </row>
    <row r="8546" spans="1:10" hidden="1" x14ac:dyDescent="0.25">
      <c r="A8546" s="124" t="s">
        <v>10790</v>
      </c>
      <c r="B8546" s="124" t="s">
        <v>11736</v>
      </c>
      <c r="C8546" s="132"/>
      <c r="D8546" s="125">
        <f t="shared" si="150"/>
        <v>0</v>
      </c>
      <c r="E8546" s="124" t="s">
        <v>8367</v>
      </c>
      <c r="F8546" s="126">
        <v>1</v>
      </c>
      <c r="G8546" s="127">
        <v>309.60000000000002</v>
      </c>
      <c r="H8546" s="124" t="s">
        <v>8368</v>
      </c>
      <c r="I8546" s="127">
        <v>721.51</v>
      </c>
      <c r="J8546" s="128">
        <v>3607.56</v>
      </c>
    </row>
    <row r="8547" spans="1:10" hidden="1" x14ac:dyDescent="0.25">
      <c r="A8547" s="124" t="s">
        <v>10791</v>
      </c>
      <c r="B8547" s="124" t="s">
        <v>11736</v>
      </c>
      <c r="C8547" s="132"/>
      <c r="D8547" s="125">
        <f t="shared" si="150"/>
        <v>0</v>
      </c>
      <c r="E8547" s="124" t="s">
        <v>8367</v>
      </c>
      <c r="F8547" s="126">
        <v>2</v>
      </c>
      <c r="G8547" s="128">
        <v>7280.4</v>
      </c>
      <c r="H8547" s="124" t="s">
        <v>8368</v>
      </c>
      <c r="I8547" s="128">
        <v>3853</v>
      </c>
      <c r="J8547" s="128">
        <v>19265</v>
      </c>
    </row>
    <row r="8548" spans="1:10" hidden="1" x14ac:dyDescent="0.25">
      <c r="A8548" s="124" t="s">
        <v>10792</v>
      </c>
      <c r="B8548" s="124" t="s">
        <v>11736</v>
      </c>
      <c r="C8548" s="132"/>
      <c r="D8548" s="125">
        <f t="shared" si="150"/>
        <v>0</v>
      </c>
      <c r="E8548" s="124" t="s">
        <v>8367</v>
      </c>
      <c r="F8548" s="126">
        <v>2</v>
      </c>
      <c r="G8548" s="128">
        <v>1965.6</v>
      </c>
      <c r="H8548" s="124" t="s">
        <v>8368</v>
      </c>
      <c r="I8548" s="127">
        <v>311.60000000000002</v>
      </c>
      <c r="J8548" s="128">
        <v>1558</v>
      </c>
    </row>
    <row r="8549" spans="1:10" hidden="1" x14ac:dyDescent="0.25">
      <c r="A8549" s="124" t="s">
        <v>10793</v>
      </c>
      <c r="B8549" s="124" t="s">
        <v>11736</v>
      </c>
      <c r="C8549" s="132"/>
      <c r="D8549" s="125">
        <f t="shared" si="150"/>
        <v>0</v>
      </c>
      <c r="E8549" s="124" t="s">
        <v>8367</v>
      </c>
      <c r="F8549" s="126">
        <v>9</v>
      </c>
      <c r="G8549" s="128">
        <v>4329.07</v>
      </c>
      <c r="H8549" s="124" t="s">
        <v>8368</v>
      </c>
      <c r="I8549" s="127">
        <v>32</v>
      </c>
      <c r="J8549" s="127">
        <v>160</v>
      </c>
    </row>
    <row r="8550" spans="1:10" hidden="1" x14ac:dyDescent="0.25">
      <c r="A8550" s="124" t="s">
        <v>10794</v>
      </c>
      <c r="B8550" s="124" t="s">
        <v>11736</v>
      </c>
      <c r="C8550" s="132"/>
      <c r="D8550" s="125">
        <f t="shared" ref="D8550:D8556" si="151">COUNTIF(A4251:A8549,A8550)</f>
        <v>0</v>
      </c>
      <c r="E8550" s="124" t="s">
        <v>8367</v>
      </c>
      <c r="F8550" s="126">
        <v>6</v>
      </c>
      <c r="G8550" s="128">
        <v>23118</v>
      </c>
      <c r="H8550" s="124" t="s">
        <v>8368</v>
      </c>
      <c r="I8550" s="127">
        <v>100</v>
      </c>
      <c r="J8550" s="127">
        <v>500</v>
      </c>
    </row>
    <row r="8551" spans="1:10" hidden="1" x14ac:dyDescent="0.25">
      <c r="A8551" s="124" t="s">
        <v>10795</v>
      </c>
      <c r="B8551" s="124" t="s">
        <v>11736</v>
      </c>
      <c r="C8551" s="132"/>
      <c r="D8551" s="125">
        <f t="shared" si="151"/>
        <v>0</v>
      </c>
      <c r="E8551" s="124" t="s">
        <v>8367</v>
      </c>
      <c r="F8551" s="126">
        <v>5</v>
      </c>
      <c r="G8551" s="128">
        <v>1869.6</v>
      </c>
      <c r="H8551" s="124" t="s">
        <v>8368</v>
      </c>
      <c r="I8551" s="127">
        <v>422.6</v>
      </c>
      <c r="J8551" s="128">
        <v>2113</v>
      </c>
    </row>
    <row r="8552" spans="1:10" hidden="1" x14ac:dyDescent="0.25">
      <c r="A8552" s="124" t="s">
        <v>10796</v>
      </c>
      <c r="B8552" s="124" t="s">
        <v>11736</v>
      </c>
      <c r="C8552" s="132"/>
      <c r="D8552" s="125">
        <f t="shared" si="151"/>
        <v>0</v>
      </c>
      <c r="E8552" s="124" t="s">
        <v>8367</v>
      </c>
      <c r="F8552" s="126">
        <v>2</v>
      </c>
      <c r="G8552" s="127">
        <v>192</v>
      </c>
      <c r="H8552" s="124" t="s">
        <v>8368</v>
      </c>
      <c r="I8552" s="127">
        <v>275.8</v>
      </c>
      <c r="J8552" s="128">
        <v>1379</v>
      </c>
    </row>
    <row r="8553" spans="1:10" hidden="1" x14ac:dyDescent="0.25">
      <c r="A8553" s="124" t="s">
        <v>10797</v>
      </c>
      <c r="B8553" s="124" t="s">
        <v>11736</v>
      </c>
      <c r="C8553" s="132"/>
      <c r="D8553" s="125">
        <f t="shared" si="151"/>
        <v>0</v>
      </c>
      <c r="E8553" s="124" t="s">
        <v>8367</v>
      </c>
      <c r="F8553" s="126">
        <v>2</v>
      </c>
      <c r="G8553" s="127">
        <v>600</v>
      </c>
      <c r="H8553" s="124" t="s">
        <v>8368</v>
      </c>
      <c r="I8553" s="127">
        <v>291.60000000000002</v>
      </c>
      <c r="J8553" s="128">
        <v>1458</v>
      </c>
    </row>
    <row r="8554" spans="1:10" hidden="1" x14ac:dyDescent="0.25">
      <c r="A8554" s="124" t="s">
        <v>10798</v>
      </c>
      <c r="B8554" s="124" t="s">
        <v>11736</v>
      </c>
      <c r="C8554" s="132"/>
      <c r="D8554" s="125">
        <f t="shared" si="151"/>
        <v>0</v>
      </c>
      <c r="E8554" s="124" t="s">
        <v>8367</v>
      </c>
      <c r="F8554" s="126">
        <v>5</v>
      </c>
      <c r="G8554" s="128">
        <v>2535.6</v>
      </c>
      <c r="H8554" s="124" t="s">
        <v>8368</v>
      </c>
      <c r="I8554" s="127">
        <v>20.8</v>
      </c>
      <c r="J8554" s="127">
        <v>104</v>
      </c>
    </row>
    <row r="8555" spans="1:10" hidden="1" x14ac:dyDescent="0.25">
      <c r="A8555" s="124" t="s">
        <v>10799</v>
      </c>
      <c r="B8555" s="124" t="s">
        <v>11736</v>
      </c>
      <c r="C8555" s="132"/>
      <c r="D8555" s="125">
        <f t="shared" si="151"/>
        <v>0</v>
      </c>
      <c r="E8555" s="124" t="s">
        <v>8367</v>
      </c>
      <c r="F8555" s="126">
        <v>5</v>
      </c>
      <c r="G8555" s="128">
        <v>1654.8</v>
      </c>
      <c r="H8555" s="124" t="s">
        <v>8368</v>
      </c>
      <c r="I8555" s="127">
        <v>899.4</v>
      </c>
      <c r="J8555" s="128">
        <v>4497</v>
      </c>
    </row>
    <row r="8556" spans="1:10" hidden="1" x14ac:dyDescent="0.25">
      <c r="A8556" s="124" t="s">
        <v>10800</v>
      </c>
      <c r="B8556" s="124" t="s">
        <v>11736</v>
      </c>
      <c r="C8556" s="132"/>
      <c r="D8556" s="125">
        <f t="shared" si="151"/>
        <v>0</v>
      </c>
      <c r="E8556" s="124" t="s">
        <v>8367</v>
      </c>
      <c r="F8556" s="126">
        <v>5</v>
      </c>
      <c r="G8556" s="128">
        <v>1749.6</v>
      </c>
      <c r="H8556" s="124" t="s">
        <v>8368</v>
      </c>
      <c r="I8556" s="128">
        <v>46666.6</v>
      </c>
      <c r="J8556" s="128">
        <v>233333</v>
      </c>
    </row>
    <row r="8557" spans="1:10" hidden="1" x14ac:dyDescent="0.25">
      <c r="A8557" s="124" t="s">
        <v>10801</v>
      </c>
      <c r="B8557" s="124" t="s">
        <v>11736</v>
      </c>
      <c r="C8557" s="132"/>
      <c r="D8557" s="125">
        <f>COUNTIF(A4259:A8556,A8557)</f>
        <v>0</v>
      </c>
      <c r="E8557" s="124" t="s">
        <v>8367</v>
      </c>
      <c r="F8557" s="126">
        <v>5</v>
      </c>
      <c r="G8557" s="127">
        <v>124.8</v>
      </c>
      <c r="H8557" s="124" t="s">
        <v>8368</v>
      </c>
      <c r="I8557" s="128">
        <v>2500</v>
      </c>
      <c r="J8557" s="128">
        <v>12500</v>
      </c>
    </row>
    <row r="8558" spans="1:10" hidden="1" x14ac:dyDescent="0.25">
      <c r="A8558" s="124" t="s">
        <v>10802</v>
      </c>
      <c r="B8558" s="124" t="s">
        <v>11736</v>
      </c>
      <c r="C8558" s="132"/>
      <c r="D8558" s="125">
        <f>COUNTIF(A4260:A8557,A8558)</f>
        <v>0</v>
      </c>
      <c r="E8558" s="124" t="s">
        <v>8367</v>
      </c>
      <c r="F8558" s="126">
        <v>15</v>
      </c>
      <c r="G8558" s="128">
        <v>5396.4</v>
      </c>
      <c r="H8558" s="124" t="s">
        <v>8368</v>
      </c>
      <c r="I8558" s="128">
        <v>653333.4</v>
      </c>
      <c r="J8558" s="128">
        <v>3266667</v>
      </c>
    </row>
    <row r="8559" spans="1:10" hidden="1" x14ac:dyDescent="0.25">
      <c r="A8559" s="124" t="s">
        <v>10803</v>
      </c>
      <c r="B8559" s="124" t="s">
        <v>11736</v>
      </c>
      <c r="C8559" s="132"/>
      <c r="D8559" s="125">
        <f>COUNTIF(A4261:A8558,A8559)</f>
        <v>0</v>
      </c>
      <c r="E8559" s="124" t="s">
        <v>8367</v>
      </c>
      <c r="F8559" s="126">
        <v>200</v>
      </c>
      <c r="G8559" s="128">
        <v>279999.59999999998</v>
      </c>
      <c r="H8559" s="124" t="s">
        <v>8368</v>
      </c>
      <c r="I8559" s="128">
        <v>12120</v>
      </c>
      <c r="J8559" s="128">
        <v>60600</v>
      </c>
    </row>
    <row r="8560" spans="1:10" hidden="1" x14ac:dyDescent="0.25">
      <c r="A8560" s="124" t="s">
        <v>10804</v>
      </c>
      <c r="B8560" s="124" t="s">
        <v>11736</v>
      </c>
      <c r="C8560" s="132"/>
      <c r="D8560" s="125">
        <f>COUNTIF(A4262:A8559,A8560)</f>
        <v>0</v>
      </c>
      <c r="E8560" s="124" t="s">
        <v>9270</v>
      </c>
      <c r="F8560" s="126">
        <v>2</v>
      </c>
      <c r="G8560" s="128">
        <v>15000</v>
      </c>
      <c r="H8560" s="124" t="s">
        <v>8368</v>
      </c>
      <c r="I8560" s="127">
        <v>649.96</v>
      </c>
      <c r="J8560" s="128">
        <v>3249.8</v>
      </c>
    </row>
    <row r="8561" spans="1:10" hidden="1" x14ac:dyDescent="0.25">
      <c r="A8561" s="124" t="s">
        <v>10805</v>
      </c>
      <c r="B8561" s="124" t="s">
        <v>11736</v>
      </c>
      <c r="C8561" s="132"/>
      <c r="D8561" s="125">
        <f>COUNTIF(A4267:A8560,A8561)</f>
        <v>0</v>
      </c>
      <c r="E8561" s="124" t="s">
        <v>9270</v>
      </c>
      <c r="F8561" s="129">
        <v>1120</v>
      </c>
      <c r="G8561" s="128">
        <v>3920000.4</v>
      </c>
      <c r="H8561" s="124" t="s">
        <v>8368</v>
      </c>
      <c r="I8561" s="127">
        <v>213.6</v>
      </c>
      <c r="J8561" s="128">
        <v>1068</v>
      </c>
    </row>
    <row r="8562" spans="1:10" hidden="1" x14ac:dyDescent="0.25">
      <c r="A8562" s="124" t="s">
        <v>10806</v>
      </c>
      <c r="B8562" s="124" t="s">
        <v>11736</v>
      </c>
      <c r="C8562" s="132"/>
      <c r="D8562" s="125">
        <f>COUNTIF(A4268:A8561,A8562)</f>
        <v>0</v>
      </c>
      <c r="E8562" s="124" t="s">
        <v>1</v>
      </c>
      <c r="F8562" s="126">
        <v>30</v>
      </c>
      <c r="G8562" s="128">
        <v>72720</v>
      </c>
      <c r="H8562" s="124" t="s">
        <v>8368</v>
      </c>
      <c r="I8562" s="128">
        <v>7510.6</v>
      </c>
      <c r="J8562" s="128">
        <v>37553</v>
      </c>
    </row>
    <row r="8563" spans="1:10" hidden="1" x14ac:dyDescent="0.25">
      <c r="A8563" s="124" t="s">
        <v>10807</v>
      </c>
      <c r="B8563" s="124" t="s">
        <v>11736</v>
      </c>
      <c r="C8563" s="132"/>
      <c r="D8563" s="125">
        <f>COUNTIF(A4269:A8562,A8563)</f>
        <v>0</v>
      </c>
      <c r="E8563" s="124" t="s">
        <v>8591</v>
      </c>
      <c r="F8563" s="126">
        <v>10</v>
      </c>
      <c r="G8563" s="128">
        <v>3899.76</v>
      </c>
      <c r="H8563" s="124" t="s">
        <v>8368</v>
      </c>
      <c r="I8563" s="127">
        <v>183.17</v>
      </c>
      <c r="J8563" s="127">
        <v>915.83</v>
      </c>
    </row>
    <row r="8564" spans="1:10" hidden="1" x14ac:dyDescent="0.25">
      <c r="A8564" s="124" t="s">
        <v>2903</v>
      </c>
      <c r="B8564" s="124" t="s">
        <v>11736</v>
      </c>
      <c r="C8564" s="132"/>
      <c r="D8564" s="125">
        <f t="shared" ref="D8564:D8576" si="152">COUNTIF(A4271:A8563,A8564)</f>
        <v>0</v>
      </c>
      <c r="E8564" s="124" t="s">
        <v>8367</v>
      </c>
      <c r="F8564" s="126">
        <v>1</v>
      </c>
      <c r="G8564" s="128">
        <v>1281.5999999999999</v>
      </c>
      <c r="H8564" s="124" t="s">
        <v>8368</v>
      </c>
      <c r="I8564" s="127">
        <v>26</v>
      </c>
      <c r="J8564" s="127">
        <v>130</v>
      </c>
    </row>
    <row r="8565" spans="1:10" hidden="1" x14ac:dyDescent="0.25">
      <c r="A8565" s="124" t="s">
        <v>3420</v>
      </c>
      <c r="B8565" s="124" t="s">
        <v>11736</v>
      </c>
      <c r="C8565" s="132"/>
      <c r="D8565" s="125">
        <f t="shared" si="152"/>
        <v>0</v>
      </c>
      <c r="E8565" s="124" t="s">
        <v>8367</v>
      </c>
      <c r="F8565" s="126">
        <v>1</v>
      </c>
      <c r="G8565" s="128">
        <v>45063.6</v>
      </c>
      <c r="H8565" s="124" t="s">
        <v>8368</v>
      </c>
      <c r="I8565" s="127">
        <v>279</v>
      </c>
      <c r="J8565" s="128">
        <v>1395</v>
      </c>
    </row>
    <row r="8566" spans="1:10" hidden="1" x14ac:dyDescent="0.25">
      <c r="A8566" s="124" t="s">
        <v>10808</v>
      </c>
      <c r="B8566" s="124" t="s">
        <v>11736</v>
      </c>
      <c r="C8566" s="132"/>
      <c r="D8566" s="125">
        <f t="shared" si="152"/>
        <v>0</v>
      </c>
      <c r="E8566" s="124" t="s">
        <v>8367</v>
      </c>
      <c r="F8566" s="126">
        <v>1</v>
      </c>
      <c r="G8566" s="128">
        <v>1099</v>
      </c>
      <c r="H8566" s="124" t="s">
        <v>8368</v>
      </c>
      <c r="I8566" s="128">
        <v>1574</v>
      </c>
      <c r="J8566" s="128">
        <v>7870</v>
      </c>
    </row>
    <row r="8567" spans="1:10" hidden="1" x14ac:dyDescent="0.25">
      <c r="A8567" s="124" t="s">
        <v>10809</v>
      </c>
      <c r="B8567" s="124" t="s">
        <v>11736</v>
      </c>
      <c r="C8567" s="132"/>
      <c r="D8567" s="125">
        <f t="shared" si="152"/>
        <v>0</v>
      </c>
      <c r="E8567" s="124" t="s">
        <v>8367</v>
      </c>
      <c r="F8567" s="126">
        <v>2</v>
      </c>
      <c r="G8567" s="127">
        <v>156</v>
      </c>
      <c r="H8567" s="124" t="s">
        <v>8368</v>
      </c>
      <c r="I8567" s="128">
        <v>1917.8</v>
      </c>
      <c r="J8567" s="128">
        <v>9589</v>
      </c>
    </row>
    <row r="8568" spans="1:10" hidden="1" x14ac:dyDescent="0.25">
      <c r="A8568" s="124" t="s">
        <v>10810</v>
      </c>
      <c r="B8568" s="124" t="s">
        <v>11736</v>
      </c>
      <c r="C8568" s="132"/>
      <c r="D8568" s="125">
        <f t="shared" si="152"/>
        <v>0</v>
      </c>
      <c r="E8568" s="124" t="s">
        <v>8367</v>
      </c>
      <c r="F8568" s="126">
        <v>1</v>
      </c>
      <c r="G8568" s="128">
        <v>1674</v>
      </c>
      <c r="H8568" s="124" t="s">
        <v>8368</v>
      </c>
      <c r="I8568" s="127">
        <v>265.8</v>
      </c>
      <c r="J8568" s="128">
        <v>1329</v>
      </c>
    </row>
    <row r="8569" spans="1:10" hidden="1" x14ac:dyDescent="0.25">
      <c r="A8569" s="124" t="s">
        <v>1750</v>
      </c>
      <c r="B8569" s="124" t="s">
        <v>11736</v>
      </c>
      <c r="C8569" s="132"/>
      <c r="D8569" s="125">
        <f t="shared" si="152"/>
        <v>0</v>
      </c>
      <c r="E8569" s="124" t="s">
        <v>8367</v>
      </c>
      <c r="F8569" s="126">
        <v>4</v>
      </c>
      <c r="G8569" s="128">
        <v>9444</v>
      </c>
      <c r="H8569" s="124" t="s">
        <v>8368</v>
      </c>
      <c r="I8569" s="127">
        <v>155.16999999999999</v>
      </c>
      <c r="J8569" s="127">
        <v>775.83</v>
      </c>
    </row>
    <row r="8570" spans="1:10" hidden="1" x14ac:dyDescent="0.25">
      <c r="A8570" s="124" t="s">
        <v>5869</v>
      </c>
      <c r="B8570" s="124" t="s">
        <v>11736</v>
      </c>
      <c r="C8570" s="132"/>
      <c r="D8570" s="125">
        <f t="shared" si="152"/>
        <v>0</v>
      </c>
      <c r="E8570" s="124" t="s">
        <v>8367</v>
      </c>
      <c r="F8570" s="126">
        <v>1</v>
      </c>
      <c r="G8570" s="128">
        <v>11506.8</v>
      </c>
      <c r="H8570" s="124" t="s">
        <v>8368</v>
      </c>
      <c r="I8570" s="127">
        <v>86</v>
      </c>
      <c r="J8570" s="127">
        <v>430</v>
      </c>
    </row>
    <row r="8571" spans="1:10" hidden="1" x14ac:dyDescent="0.25">
      <c r="A8571" s="124" t="s">
        <v>10811</v>
      </c>
      <c r="B8571" s="124" t="s">
        <v>11736</v>
      </c>
      <c r="C8571" s="132"/>
      <c r="D8571" s="125">
        <f t="shared" si="152"/>
        <v>0</v>
      </c>
      <c r="E8571" s="124" t="s">
        <v>8367</v>
      </c>
      <c r="F8571" s="126">
        <v>5</v>
      </c>
      <c r="G8571" s="128">
        <v>1594.8</v>
      </c>
      <c r="H8571" s="124" t="s">
        <v>8368</v>
      </c>
      <c r="I8571" s="127">
        <v>49.67</v>
      </c>
      <c r="J8571" s="127">
        <v>248.34</v>
      </c>
    </row>
    <row r="8572" spans="1:10" hidden="1" x14ac:dyDescent="0.25">
      <c r="A8572" s="124" t="s">
        <v>10812</v>
      </c>
      <c r="B8572" s="124" t="s">
        <v>11736</v>
      </c>
      <c r="C8572" s="132"/>
      <c r="D8572" s="125">
        <f t="shared" si="152"/>
        <v>0</v>
      </c>
      <c r="E8572" s="124" t="s">
        <v>8367</v>
      </c>
      <c r="F8572" s="126">
        <v>1</v>
      </c>
      <c r="G8572" s="127">
        <v>931</v>
      </c>
      <c r="H8572" s="124" t="s">
        <v>8368</v>
      </c>
      <c r="I8572" s="127">
        <v>322.60000000000002</v>
      </c>
      <c r="J8572" s="128">
        <v>1613</v>
      </c>
    </row>
    <row r="8573" spans="1:10" hidden="1" x14ac:dyDescent="0.25">
      <c r="A8573" s="124" t="s">
        <v>10813</v>
      </c>
      <c r="B8573" s="124" t="s">
        <v>11736</v>
      </c>
      <c r="C8573" s="132"/>
      <c r="D8573" s="125">
        <f t="shared" si="152"/>
        <v>0</v>
      </c>
      <c r="E8573" s="124" t="s">
        <v>8367</v>
      </c>
      <c r="F8573" s="126">
        <v>2</v>
      </c>
      <c r="G8573" s="127">
        <v>516</v>
      </c>
      <c r="H8573" s="124" t="s">
        <v>8368</v>
      </c>
      <c r="I8573" s="128">
        <v>864500</v>
      </c>
      <c r="J8573" s="128">
        <v>4322500</v>
      </c>
    </row>
    <row r="8574" spans="1:10" hidden="1" x14ac:dyDescent="0.25">
      <c r="A8574" s="124" t="s">
        <v>10814</v>
      </c>
      <c r="B8574" s="124" t="s">
        <v>11736</v>
      </c>
      <c r="C8574" s="132"/>
      <c r="D8574" s="125">
        <f t="shared" si="152"/>
        <v>0</v>
      </c>
      <c r="E8574" s="124" t="s">
        <v>8451</v>
      </c>
      <c r="F8574" s="126">
        <v>2</v>
      </c>
      <c r="G8574" s="127">
        <v>298.01</v>
      </c>
      <c r="H8574" s="124" t="s">
        <v>8368</v>
      </c>
      <c r="I8574" s="128">
        <v>123667.5</v>
      </c>
      <c r="J8574" s="128">
        <v>618337.5</v>
      </c>
    </row>
    <row r="8575" spans="1:10" hidden="1" x14ac:dyDescent="0.25">
      <c r="A8575" s="124" t="s">
        <v>912</v>
      </c>
      <c r="B8575" s="124" t="s">
        <v>11736</v>
      </c>
      <c r="C8575" s="132"/>
      <c r="D8575" s="125">
        <f t="shared" si="152"/>
        <v>0</v>
      </c>
      <c r="E8575" s="124" t="s">
        <v>8367</v>
      </c>
      <c r="F8575" s="126">
        <v>30</v>
      </c>
      <c r="G8575" s="128">
        <v>1935.6</v>
      </c>
      <c r="H8575" s="124" t="s">
        <v>8368</v>
      </c>
      <c r="I8575" s="128">
        <v>6166.66</v>
      </c>
      <c r="J8575" s="128">
        <v>30833.32</v>
      </c>
    </row>
    <row r="8576" spans="1:10" hidden="1" x14ac:dyDescent="0.25">
      <c r="A8576" s="124" t="s">
        <v>10815</v>
      </c>
      <c r="B8576" s="124" t="s">
        <v>11736</v>
      </c>
      <c r="C8576" s="132"/>
      <c r="D8576" s="125">
        <f t="shared" si="152"/>
        <v>0</v>
      </c>
      <c r="E8576" s="124" t="s">
        <v>9270</v>
      </c>
      <c r="F8576" s="126">
        <v>798</v>
      </c>
      <c r="G8576" s="128">
        <v>5187000</v>
      </c>
      <c r="H8576" s="124" t="s">
        <v>8368</v>
      </c>
      <c r="I8576" s="128">
        <v>8940</v>
      </c>
      <c r="J8576" s="128">
        <v>44700</v>
      </c>
    </row>
    <row r="8577" spans="1:10" hidden="1" x14ac:dyDescent="0.25">
      <c r="A8577" s="124" t="s">
        <v>10816</v>
      </c>
      <c r="B8577" s="124" t="s">
        <v>11736</v>
      </c>
      <c r="C8577" s="132"/>
      <c r="D8577" s="125">
        <f>COUNTIF(A4285:A8576,A8577)</f>
        <v>0</v>
      </c>
      <c r="E8577" s="124" t="s">
        <v>9270</v>
      </c>
      <c r="F8577" s="126">
        <v>198</v>
      </c>
      <c r="G8577" s="128">
        <v>742005</v>
      </c>
      <c r="H8577" s="124" t="s">
        <v>8368</v>
      </c>
      <c r="I8577" s="127">
        <v>200</v>
      </c>
      <c r="J8577" s="128">
        <v>1000</v>
      </c>
    </row>
    <row r="8578" spans="1:10" hidden="1" x14ac:dyDescent="0.25">
      <c r="A8578" s="124" t="s">
        <v>10817</v>
      </c>
      <c r="B8578" s="124" t="s">
        <v>11736</v>
      </c>
      <c r="C8578" s="132"/>
      <c r="D8578" s="125">
        <f>COUNTIF(A4287:A8577,A8578)</f>
        <v>0</v>
      </c>
      <c r="E8578" s="124" t="s">
        <v>8367</v>
      </c>
      <c r="F8578" s="126">
        <v>4</v>
      </c>
      <c r="G8578" s="128">
        <v>36999.980000000003</v>
      </c>
      <c r="H8578" s="124" t="s">
        <v>8368</v>
      </c>
      <c r="I8578" s="128">
        <v>2433.4</v>
      </c>
      <c r="J8578" s="128">
        <v>12167</v>
      </c>
    </row>
    <row r="8579" spans="1:10" hidden="1" x14ac:dyDescent="0.25">
      <c r="A8579" s="124" t="s">
        <v>10818</v>
      </c>
      <c r="B8579" s="124" t="s">
        <v>11736</v>
      </c>
      <c r="C8579" s="132"/>
      <c r="D8579" s="125">
        <f>COUNTIF(A4288:A8578,A8579)</f>
        <v>0</v>
      </c>
      <c r="E8579" s="124" t="s">
        <v>8367</v>
      </c>
      <c r="F8579" s="126">
        <v>4</v>
      </c>
      <c r="G8579" s="128">
        <v>53640</v>
      </c>
      <c r="H8579" s="124" t="s">
        <v>8368</v>
      </c>
      <c r="I8579" s="128">
        <v>15130</v>
      </c>
      <c r="J8579" s="128">
        <v>75650</v>
      </c>
    </row>
    <row r="8580" spans="1:10" hidden="1" x14ac:dyDescent="0.25">
      <c r="A8580" s="124" t="s">
        <v>10819</v>
      </c>
      <c r="B8580" s="124" t="s">
        <v>11736</v>
      </c>
      <c r="C8580" s="132"/>
      <c r="D8580" s="125">
        <f>COUNTIF(A4289:A8579,A8580)</f>
        <v>0</v>
      </c>
      <c r="E8580" s="124" t="s">
        <v>8367</v>
      </c>
      <c r="F8580" s="126">
        <v>24</v>
      </c>
      <c r="G8580" s="128">
        <v>1200</v>
      </c>
      <c r="H8580" s="124" t="s">
        <v>8368</v>
      </c>
      <c r="I8580" s="128">
        <v>2208.4</v>
      </c>
      <c r="J8580" s="128">
        <v>11042</v>
      </c>
    </row>
    <row r="8581" spans="1:10" hidden="1" x14ac:dyDescent="0.25">
      <c r="A8581" s="124" t="s">
        <v>10820</v>
      </c>
      <c r="B8581" s="124" t="s">
        <v>11736</v>
      </c>
      <c r="C8581" s="132"/>
      <c r="D8581" s="125">
        <f>COUNTIF(A4290:A8580,A8581)</f>
        <v>0</v>
      </c>
      <c r="E8581" s="124" t="s">
        <v>8367</v>
      </c>
      <c r="F8581" s="126">
        <v>4</v>
      </c>
      <c r="G8581" s="128">
        <v>14600.4</v>
      </c>
      <c r="H8581" s="124" t="s">
        <v>8368</v>
      </c>
      <c r="I8581" s="128">
        <v>1590</v>
      </c>
      <c r="J8581" s="128">
        <v>7950</v>
      </c>
    </row>
    <row r="8582" spans="1:10" hidden="1" x14ac:dyDescent="0.25">
      <c r="A8582" s="124" t="s">
        <v>10821</v>
      </c>
      <c r="B8582" s="124" t="s">
        <v>11736</v>
      </c>
      <c r="C8582" s="132"/>
      <c r="D8582" s="125">
        <f>COUNTIF(A4292:A8581,A8582)</f>
        <v>0</v>
      </c>
      <c r="E8582" s="124" t="s">
        <v>8</v>
      </c>
      <c r="F8582" s="126">
        <v>400</v>
      </c>
      <c r="G8582" s="128">
        <v>90780</v>
      </c>
      <c r="H8582" s="124" t="s">
        <v>8368</v>
      </c>
      <c r="I8582" s="128">
        <v>10836.9</v>
      </c>
      <c r="J8582" s="128">
        <v>54184.5</v>
      </c>
    </row>
    <row r="8583" spans="1:10" hidden="1" x14ac:dyDescent="0.25">
      <c r="A8583" s="124" t="s">
        <v>10822</v>
      </c>
      <c r="B8583" s="124" t="s">
        <v>11736</v>
      </c>
      <c r="C8583" s="132"/>
      <c r="D8583" s="125">
        <f>COUNTIF(A4293:A8582,A8583)</f>
        <v>0</v>
      </c>
      <c r="E8583" s="124" t="s">
        <v>8</v>
      </c>
      <c r="F8583" s="126">
        <v>50</v>
      </c>
      <c r="G8583" s="128">
        <v>13250.4</v>
      </c>
      <c r="H8583" s="124" t="s">
        <v>8368</v>
      </c>
      <c r="I8583" s="128">
        <v>11571</v>
      </c>
      <c r="J8583" s="128">
        <v>57855</v>
      </c>
    </row>
    <row r="8584" spans="1:10" hidden="1" x14ac:dyDescent="0.25">
      <c r="A8584" s="124" t="s">
        <v>10823</v>
      </c>
      <c r="B8584" s="124" t="s">
        <v>11736</v>
      </c>
      <c r="C8584" s="132"/>
      <c r="D8584" s="125">
        <f>COUNTIF(A4295:A8583,A8584)</f>
        <v>0</v>
      </c>
      <c r="E8584" s="124" t="s">
        <v>8</v>
      </c>
      <c r="F8584" s="126">
        <v>36</v>
      </c>
      <c r="G8584" s="128">
        <v>9540</v>
      </c>
      <c r="H8584" s="124" t="s">
        <v>8368</v>
      </c>
      <c r="I8584" s="127">
        <v>100.67</v>
      </c>
      <c r="J8584" s="127">
        <v>503.34</v>
      </c>
    </row>
    <row r="8585" spans="1:10" hidden="1" x14ac:dyDescent="0.25">
      <c r="A8585" s="124" t="s">
        <v>2323</v>
      </c>
      <c r="B8585" s="124" t="s">
        <v>11736</v>
      </c>
      <c r="C8585" s="132"/>
      <c r="D8585" s="125">
        <f>COUNTIF(A4296:A8584,A8585)</f>
        <v>0</v>
      </c>
      <c r="E8585" s="124" t="s">
        <v>8367</v>
      </c>
      <c r="F8585" s="129">
        <v>2570</v>
      </c>
      <c r="G8585" s="128">
        <v>65021.4</v>
      </c>
      <c r="H8585" s="124" t="s">
        <v>8368</v>
      </c>
      <c r="I8585" s="128">
        <v>1348</v>
      </c>
      <c r="J8585" s="128">
        <v>6740</v>
      </c>
    </row>
    <row r="8586" spans="1:10" hidden="1" x14ac:dyDescent="0.25">
      <c r="A8586" s="124" t="s">
        <v>10824</v>
      </c>
      <c r="B8586" s="124" t="s">
        <v>11736</v>
      </c>
      <c r="C8586" s="132"/>
      <c r="D8586" s="125">
        <f>COUNTIF(A4297:A8585,A8586)</f>
        <v>0</v>
      </c>
      <c r="E8586" s="124" t="s">
        <v>8367</v>
      </c>
      <c r="F8586" s="129">
        <v>1368</v>
      </c>
      <c r="G8586" s="128">
        <v>69426</v>
      </c>
      <c r="H8586" s="124" t="s">
        <v>8368</v>
      </c>
      <c r="I8586" s="128">
        <v>1306.5999999999999</v>
      </c>
      <c r="J8586" s="128">
        <v>6533</v>
      </c>
    </row>
    <row r="8587" spans="1:10" hidden="1" x14ac:dyDescent="0.25">
      <c r="A8587" s="124" t="s">
        <v>10825</v>
      </c>
      <c r="B8587" s="124" t="s">
        <v>11736</v>
      </c>
      <c r="C8587" s="132"/>
      <c r="D8587" s="125">
        <f>COUNTIF(A4298:A8586,A8587)</f>
        <v>0</v>
      </c>
      <c r="E8587" s="124" t="s">
        <v>8451</v>
      </c>
      <c r="F8587" s="126">
        <v>2</v>
      </c>
      <c r="G8587" s="127">
        <v>604.01</v>
      </c>
      <c r="H8587" s="124" t="s">
        <v>8368</v>
      </c>
      <c r="I8587" s="127">
        <v>388.2</v>
      </c>
      <c r="J8587" s="128">
        <v>1941</v>
      </c>
    </row>
    <row r="8588" spans="1:10" hidden="1" x14ac:dyDescent="0.25">
      <c r="A8588" s="124" t="s">
        <v>10826</v>
      </c>
      <c r="B8588" s="124" t="s">
        <v>11736</v>
      </c>
      <c r="C8588" s="132"/>
      <c r="D8588" s="125">
        <f t="shared" ref="D8588:D8601" si="153">COUNTIF(A4300:A8587,A8588)</f>
        <v>0</v>
      </c>
      <c r="E8588" s="124" t="s">
        <v>8367</v>
      </c>
      <c r="F8588" s="126">
        <v>1</v>
      </c>
      <c r="G8588" s="128">
        <v>8088</v>
      </c>
      <c r="H8588" s="124" t="s">
        <v>8368</v>
      </c>
      <c r="I8588" s="127">
        <v>829.34</v>
      </c>
      <c r="J8588" s="128">
        <v>4146.68</v>
      </c>
    </row>
    <row r="8589" spans="1:10" hidden="1" x14ac:dyDescent="0.25">
      <c r="A8589" s="124" t="s">
        <v>10827</v>
      </c>
      <c r="B8589" s="124" t="s">
        <v>11736</v>
      </c>
      <c r="C8589" s="132"/>
      <c r="D8589" s="125">
        <f t="shared" si="153"/>
        <v>0</v>
      </c>
      <c r="E8589" s="124" t="s">
        <v>8367</v>
      </c>
      <c r="F8589" s="126">
        <v>20</v>
      </c>
      <c r="G8589" s="128">
        <v>7839.6</v>
      </c>
      <c r="H8589" s="124" t="s">
        <v>8368</v>
      </c>
      <c r="I8589" s="128">
        <v>1131.67</v>
      </c>
      <c r="J8589" s="128">
        <v>5658.35</v>
      </c>
    </row>
    <row r="8590" spans="1:10" hidden="1" x14ac:dyDescent="0.25">
      <c r="A8590" s="124" t="s">
        <v>5023</v>
      </c>
      <c r="B8590" s="124" t="s">
        <v>11736</v>
      </c>
      <c r="C8590" s="132"/>
      <c r="D8590" s="125">
        <f t="shared" si="153"/>
        <v>0</v>
      </c>
      <c r="E8590" s="124" t="s">
        <v>8367</v>
      </c>
      <c r="F8590" s="126">
        <v>1</v>
      </c>
      <c r="G8590" s="128">
        <v>2329.1999999999998</v>
      </c>
      <c r="H8590" s="124" t="s">
        <v>8368</v>
      </c>
      <c r="I8590" s="127">
        <v>101.6</v>
      </c>
      <c r="J8590" s="127">
        <v>508</v>
      </c>
    </row>
    <row r="8591" spans="1:10" hidden="1" x14ac:dyDescent="0.25">
      <c r="A8591" s="124" t="s">
        <v>10828</v>
      </c>
      <c r="B8591" s="124" t="s">
        <v>11736</v>
      </c>
      <c r="C8591" s="132"/>
      <c r="D8591" s="125">
        <f t="shared" si="153"/>
        <v>0</v>
      </c>
      <c r="E8591" s="124" t="s">
        <v>8367</v>
      </c>
      <c r="F8591" s="126">
        <v>2</v>
      </c>
      <c r="G8591" s="128">
        <v>4976.0200000000004</v>
      </c>
      <c r="H8591" s="124" t="s">
        <v>8368</v>
      </c>
      <c r="I8591" s="127">
        <v>108.2</v>
      </c>
      <c r="J8591" s="127">
        <v>541</v>
      </c>
    </row>
    <row r="8592" spans="1:10" hidden="1" x14ac:dyDescent="0.25">
      <c r="A8592" s="124" t="s">
        <v>10829</v>
      </c>
      <c r="B8592" s="124" t="s">
        <v>11736</v>
      </c>
      <c r="C8592" s="132"/>
      <c r="D8592" s="125">
        <f t="shared" si="153"/>
        <v>0</v>
      </c>
      <c r="E8592" s="124" t="s">
        <v>8367</v>
      </c>
      <c r="F8592" s="126">
        <v>5</v>
      </c>
      <c r="G8592" s="128">
        <v>6790.02</v>
      </c>
      <c r="H8592" s="124" t="s">
        <v>8368</v>
      </c>
      <c r="I8592" s="127">
        <v>506.6</v>
      </c>
      <c r="J8592" s="128">
        <v>2533</v>
      </c>
    </row>
    <row r="8593" spans="1:10" hidden="1" x14ac:dyDescent="0.25">
      <c r="A8593" s="124" t="s">
        <v>10830</v>
      </c>
      <c r="B8593" s="124" t="s">
        <v>11736</v>
      </c>
      <c r="C8593" s="132"/>
      <c r="D8593" s="125">
        <f t="shared" si="153"/>
        <v>0</v>
      </c>
      <c r="E8593" s="124" t="s">
        <v>8367</v>
      </c>
      <c r="F8593" s="126">
        <v>10</v>
      </c>
      <c r="G8593" s="127">
        <v>609.6</v>
      </c>
      <c r="H8593" s="124" t="s">
        <v>8368</v>
      </c>
      <c r="I8593" s="127">
        <v>191.6</v>
      </c>
      <c r="J8593" s="127">
        <v>958</v>
      </c>
    </row>
    <row r="8594" spans="1:10" hidden="1" x14ac:dyDescent="0.25">
      <c r="A8594" s="124" t="s">
        <v>10831</v>
      </c>
      <c r="B8594" s="124" t="s">
        <v>11736</v>
      </c>
      <c r="C8594" s="132"/>
      <c r="D8594" s="125">
        <f t="shared" si="153"/>
        <v>0</v>
      </c>
      <c r="E8594" s="124" t="s">
        <v>8367</v>
      </c>
      <c r="F8594" s="126">
        <v>1</v>
      </c>
      <c r="G8594" s="127">
        <v>649.20000000000005</v>
      </c>
      <c r="H8594" s="124" t="s">
        <v>8368</v>
      </c>
      <c r="I8594" s="127">
        <v>575</v>
      </c>
      <c r="J8594" s="128">
        <v>2875</v>
      </c>
    </row>
    <row r="8595" spans="1:10" hidden="1" x14ac:dyDescent="0.25">
      <c r="A8595" s="124" t="s">
        <v>10832</v>
      </c>
      <c r="B8595" s="124" t="s">
        <v>11736</v>
      </c>
      <c r="C8595" s="132"/>
      <c r="D8595" s="125">
        <f t="shared" si="153"/>
        <v>0</v>
      </c>
      <c r="E8595" s="124" t="s">
        <v>8367</v>
      </c>
      <c r="F8595" s="126">
        <v>2</v>
      </c>
      <c r="G8595" s="128">
        <v>3039.6</v>
      </c>
      <c r="H8595" s="124" t="s">
        <v>8368</v>
      </c>
      <c r="I8595" s="127">
        <v>420.4</v>
      </c>
      <c r="J8595" s="128">
        <v>2102</v>
      </c>
    </row>
    <row r="8596" spans="1:10" hidden="1" x14ac:dyDescent="0.25">
      <c r="A8596" s="124" t="s">
        <v>10833</v>
      </c>
      <c r="B8596" s="124" t="s">
        <v>11736</v>
      </c>
      <c r="C8596" s="132"/>
      <c r="D8596" s="125">
        <f t="shared" si="153"/>
        <v>0</v>
      </c>
      <c r="E8596" s="124" t="s">
        <v>8367</v>
      </c>
      <c r="F8596" s="126">
        <v>10</v>
      </c>
      <c r="G8596" s="128">
        <v>1149.5999999999999</v>
      </c>
      <c r="H8596" s="124" t="s">
        <v>8368</v>
      </c>
      <c r="I8596" s="127">
        <v>203.4</v>
      </c>
      <c r="J8596" s="128">
        <v>1017</v>
      </c>
    </row>
    <row r="8597" spans="1:10" hidden="1" x14ac:dyDescent="0.25">
      <c r="A8597" s="124" t="s">
        <v>10834</v>
      </c>
      <c r="B8597" s="124" t="s">
        <v>11736</v>
      </c>
      <c r="C8597" s="132"/>
      <c r="D8597" s="125">
        <f t="shared" si="153"/>
        <v>0</v>
      </c>
      <c r="E8597" s="124" t="s">
        <v>8367</v>
      </c>
      <c r="F8597" s="126">
        <v>15</v>
      </c>
      <c r="G8597" s="128">
        <v>3450</v>
      </c>
      <c r="H8597" s="124" t="s">
        <v>8368</v>
      </c>
      <c r="I8597" s="127">
        <v>713.6</v>
      </c>
      <c r="J8597" s="128">
        <v>3568</v>
      </c>
    </row>
    <row r="8598" spans="1:10" hidden="1" x14ac:dyDescent="0.25">
      <c r="A8598" s="124" t="s">
        <v>357</v>
      </c>
      <c r="B8598" s="124" t="s">
        <v>11736</v>
      </c>
      <c r="C8598" s="132"/>
      <c r="D8598" s="125">
        <f t="shared" si="153"/>
        <v>0</v>
      </c>
      <c r="E8598" s="124" t="s">
        <v>8367</v>
      </c>
      <c r="F8598" s="126">
        <v>2</v>
      </c>
      <c r="G8598" s="128">
        <v>2522.4</v>
      </c>
      <c r="H8598" s="124" t="s">
        <v>8368</v>
      </c>
      <c r="I8598" s="127">
        <v>890</v>
      </c>
      <c r="J8598" s="128">
        <v>4450</v>
      </c>
    </row>
    <row r="8599" spans="1:10" hidden="1" x14ac:dyDescent="0.25">
      <c r="A8599" s="124" t="s">
        <v>10835</v>
      </c>
      <c r="B8599" s="124" t="s">
        <v>11736</v>
      </c>
      <c r="C8599" s="132"/>
      <c r="D8599" s="125">
        <f t="shared" si="153"/>
        <v>0</v>
      </c>
      <c r="E8599" s="124" t="s">
        <v>8367</v>
      </c>
      <c r="F8599" s="126">
        <v>10</v>
      </c>
      <c r="G8599" s="128">
        <v>1220.4000000000001</v>
      </c>
      <c r="H8599" s="124" t="s">
        <v>8368</v>
      </c>
      <c r="I8599" s="127">
        <v>698.62</v>
      </c>
      <c r="J8599" s="128">
        <v>3493.07</v>
      </c>
    </row>
    <row r="8600" spans="1:10" hidden="1" x14ac:dyDescent="0.25">
      <c r="A8600" s="124" t="s">
        <v>10836</v>
      </c>
      <c r="B8600" s="124" t="s">
        <v>11736</v>
      </c>
      <c r="C8600" s="132"/>
      <c r="D8600" s="125">
        <f t="shared" si="153"/>
        <v>0</v>
      </c>
      <c r="E8600" s="124" t="s">
        <v>8367</v>
      </c>
      <c r="F8600" s="126">
        <v>2</v>
      </c>
      <c r="G8600" s="128">
        <v>4281.6000000000004</v>
      </c>
      <c r="H8600" s="124" t="s">
        <v>8368</v>
      </c>
      <c r="I8600" s="127">
        <v>130.12</v>
      </c>
      <c r="J8600" s="127">
        <v>650.6</v>
      </c>
    </row>
    <row r="8601" spans="1:10" hidden="1" x14ac:dyDescent="0.25">
      <c r="A8601" s="124" t="s">
        <v>10837</v>
      </c>
      <c r="B8601" s="124" t="s">
        <v>11736</v>
      </c>
      <c r="C8601" s="132"/>
      <c r="D8601" s="125">
        <f t="shared" si="153"/>
        <v>0</v>
      </c>
      <c r="E8601" s="124" t="s">
        <v>8367</v>
      </c>
      <c r="F8601" s="126">
        <v>1</v>
      </c>
      <c r="G8601" s="128">
        <v>5340</v>
      </c>
      <c r="H8601" s="124" t="s">
        <v>8368</v>
      </c>
      <c r="I8601" s="127">
        <v>146.47999999999999</v>
      </c>
      <c r="J8601" s="127">
        <v>732.42</v>
      </c>
    </row>
    <row r="8602" spans="1:10" hidden="1" x14ac:dyDescent="0.25">
      <c r="A8602" s="124" t="s">
        <v>10838</v>
      </c>
      <c r="B8602" s="124" t="s">
        <v>11736</v>
      </c>
      <c r="C8602" s="132"/>
      <c r="D8602" s="125">
        <f>COUNTIF(A4315:A8601,A8602)</f>
        <v>0</v>
      </c>
      <c r="E8602" s="124" t="s">
        <v>8367</v>
      </c>
      <c r="F8602" s="126">
        <v>62</v>
      </c>
      <c r="G8602" s="128">
        <v>4191.6899999999996</v>
      </c>
      <c r="H8602" s="124" t="s">
        <v>8368</v>
      </c>
      <c r="I8602" s="127">
        <v>304.24</v>
      </c>
      <c r="J8602" s="128">
        <v>1521.18</v>
      </c>
    </row>
    <row r="8603" spans="1:10" hidden="1" x14ac:dyDescent="0.25">
      <c r="A8603" s="124" t="s">
        <v>10839</v>
      </c>
      <c r="B8603" s="124" t="s">
        <v>11736</v>
      </c>
      <c r="C8603" s="132"/>
      <c r="D8603" s="125">
        <f>COUNTIF(A4317:A8602,A8603)</f>
        <v>0</v>
      </c>
      <c r="E8603" s="124" t="s">
        <v>8367</v>
      </c>
      <c r="F8603" s="126">
        <v>10</v>
      </c>
      <c r="G8603" s="127">
        <v>780.72</v>
      </c>
      <c r="H8603" s="124" t="s">
        <v>8368</v>
      </c>
      <c r="I8603" s="128">
        <v>1864.4</v>
      </c>
      <c r="J8603" s="128">
        <v>9322</v>
      </c>
    </row>
    <row r="8604" spans="1:10" hidden="1" x14ac:dyDescent="0.25">
      <c r="A8604" s="124" t="s">
        <v>10840</v>
      </c>
      <c r="B8604" s="124" t="s">
        <v>11736</v>
      </c>
      <c r="C8604" s="132"/>
      <c r="D8604" s="125">
        <f>COUNTIF(A4319:A8603,A8604)</f>
        <v>0</v>
      </c>
      <c r="E8604" s="124" t="s">
        <v>8367</v>
      </c>
      <c r="F8604" s="126">
        <v>13</v>
      </c>
      <c r="G8604" s="127">
        <v>878.9</v>
      </c>
      <c r="H8604" s="124" t="s">
        <v>8368</v>
      </c>
      <c r="I8604" s="128">
        <v>1690.2</v>
      </c>
      <c r="J8604" s="128">
        <v>8451</v>
      </c>
    </row>
    <row r="8605" spans="1:10" hidden="1" x14ac:dyDescent="0.25">
      <c r="A8605" s="124" t="s">
        <v>10841</v>
      </c>
      <c r="B8605" s="124" t="s">
        <v>11736</v>
      </c>
      <c r="C8605" s="132"/>
      <c r="D8605" s="125">
        <f>COUNTIF(A4321:A8604,A8605)</f>
        <v>0</v>
      </c>
      <c r="E8605" s="124" t="s">
        <v>8367</v>
      </c>
      <c r="F8605" s="126">
        <v>27</v>
      </c>
      <c r="G8605" s="128">
        <v>1825.42</v>
      </c>
      <c r="H8605" s="124" t="s">
        <v>8368</v>
      </c>
      <c r="I8605" s="128">
        <v>1690.2</v>
      </c>
      <c r="J8605" s="128">
        <v>8451</v>
      </c>
    </row>
    <row r="8606" spans="1:10" hidden="1" x14ac:dyDescent="0.25">
      <c r="A8606" s="124" t="s">
        <v>10842</v>
      </c>
      <c r="B8606" s="124" t="s">
        <v>11736</v>
      </c>
      <c r="C8606" s="132"/>
      <c r="D8606" s="125">
        <f>COUNTIF(A4323:A8605,A8606)</f>
        <v>0</v>
      </c>
      <c r="E8606" s="124" t="s">
        <v>8367</v>
      </c>
      <c r="F8606" s="126">
        <v>100</v>
      </c>
      <c r="G8606" s="128">
        <v>11186.4</v>
      </c>
      <c r="H8606" s="124" t="s">
        <v>8368</v>
      </c>
      <c r="I8606" s="127">
        <v>593.11</v>
      </c>
      <c r="J8606" s="128">
        <v>2965.55</v>
      </c>
    </row>
    <row r="8607" spans="1:10" hidden="1" x14ac:dyDescent="0.25">
      <c r="A8607" s="124" t="s">
        <v>10843</v>
      </c>
      <c r="B8607" s="124" t="s">
        <v>11736</v>
      </c>
      <c r="C8607" s="132"/>
      <c r="D8607" s="125">
        <f>COUNTIF(A4325:A8606,A8607)</f>
        <v>0</v>
      </c>
      <c r="E8607" s="124" t="s">
        <v>8367</v>
      </c>
      <c r="F8607" s="126">
        <v>100</v>
      </c>
      <c r="G8607" s="128">
        <v>10141.200000000001</v>
      </c>
      <c r="H8607" s="124" t="s">
        <v>8368</v>
      </c>
      <c r="I8607" s="127">
        <v>593.11</v>
      </c>
      <c r="J8607" s="128">
        <v>2965.55</v>
      </c>
    </row>
    <row r="8608" spans="1:10" hidden="1" x14ac:dyDescent="0.25">
      <c r="A8608" s="124" t="s">
        <v>10844</v>
      </c>
      <c r="B8608" s="124" t="s">
        <v>11736</v>
      </c>
      <c r="C8608" s="132"/>
      <c r="D8608" s="125">
        <f>COUNTIF(A4327:A8607,A8608)</f>
        <v>0</v>
      </c>
      <c r="E8608" s="124" t="s">
        <v>8367</v>
      </c>
      <c r="F8608" s="126">
        <v>100</v>
      </c>
      <c r="G8608" s="128">
        <v>10141.200000000001</v>
      </c>
      <c r="H8608" s="124" t="s">
        <v>8368</v>
      </c>
      <c r="I8608" s="127">
        <v>197.17</v>
      </c>
      <c r="J8608" s="127">
        <v>985.86</v>
      </c>
    </row>
    <row r="8609" spans="1:10" hidden="1" x14ac:dyDescent="0.25">
      <c r="A8609" s="124" t="s">
        <v>10845</v>
      </c>
      <c r="B8609" s="124" t="s">
        <v>11736</v>
      </c>
      <c r="C8609" s="132"/>
      <c r="D8609" s="125">
        <f>COUNTIF(A4328:A8608,A8609)</f>
        <v>0</v>
      </c>
      <c r="E8609" s="124" t="s">
        <v>8367</v>
      </c>
      <c r="F8609" s="126">
        <v>1</v>
      </c>
      <c r="G8609" s="128">
        <v>3558.66</v>
      </c>
      <c r="H8609" s="124" t="s">
        <v>8368</v>
      </c>
      <c r="I8609" s="128">
        <v>1204.4000000000001</v>
      </c>
      <c r="J8609" s="128">
        <v>6022</v>
      </c>
    </row>
    <row r="8610" spans="1:10" hidden="1" x14ac:dyDescent="0.25">
      <c r="A8610" s="124" t="s">
        <v>10846</v>
      </c>
      <c r="B8610" s="124" t="s">
        <v>11736</v>
      </c>
      <c r="C8610" s="132"/>
      <c r="D8610" s="125">
        <f>COUNTIF(A4329:A8609,A8610)</f>
        <v>0</v>
      </c>
      <c r="E8610" s="124" t="s">
        <v>8367</v>
      </c>
      <c r="F8610" s="126">
        <v>1</v>
      </c>
      <c r="G8610" s="128">
        <v>3558.66</v>
      </c>
      <c r="H8610" s="124" t="s">
        <v>8368</v>
      </c>
      <c r="I8610" s="127">
        <v>58.81</v>
      </c>
      <c r="J8610" s="127">
        <v>294.05</v>
      </c>
    </row>
    <row r="8611" spans="1:10" hidden="1" x14ac:dyDescent="0.25">
      <c r="A8611" s="124" t="s">
        <v>10847</v>
      </c>
      <c r="B8611" s="124" t="s">
        <v>11736</v>
      </c>
      <c r="C8611" s="132"/>
      <c r="D8611" s="125">
        <f>COUNTIF(A4330:A8610,A8611)</f>
        <v>0</v>
      </c>
      <c r="E8611" s="124" t="s">
        <v>8367</v>
      </c>
      <c r="F8611" s="126">
        <v>2</v>
      </c>
      <c r="G8611" s="128">
        <v>1183.03</v>
      </c>
      <c r="H8611" s="124" t="s">
        <v>8368</v>
      </c>
      <c r="I8611" s="127">
        <v>133.91999999999999</v>
      </c>
      <c r="J8611" s="127">
        <v>669.6</v>
      </c>
    </row>
    <row r="8612" spans="1:10" hidden="1" x14ac:dyDescent="0.25">
      <c r="A8612" s="124" t="s">
        <v>10848</v>
      </c>
      <c r="B8612" s="124" t="s">
        <v>11736</v>
      </c>
      <c r="C8612" s="132"/>
      <c r="D8612" s="125">
        <f t="shared" ref="D8612:D8619" si="154">COUNTIF(A4332:A8611,A8612)</f>
        <v>0</v>
      </c>
      <c r="E8612" s="124" t="s">
        <v>8367</v>
      </c>
      <c r="F8612" s="126">
        <v>20</v>
      </c>
      <c r="G8612" s="128">
        <v>7226.4</v>
      </c>
      <c r="H8612" s="124" t="s">
        <v>8368</v>
      </c>
      <c r="I8612" s="127">
        <v>180.78</v>
      </c>
      <c r="J8612" s="127">
        <v>903.9</v>
      </c>
    </row>
    <row r="8613" spans="1:10" hidden="1" x14ac:dyDescent="0.25">
      <c r="A8613" s="124" t="s">
        <v>10849</v>
      </c>
      <c r="B8613" s="124" t="s">
        <v>11736</v>
      </c>
      <c r="C8613" s="132"/>
      <c r="D8613" s="125">
        <f t="shared" si="154"/>
        <v>0</v>
      </c>
      <c r="E8613" s="124" t="s">
        <v>8367</v>
      </c>
      <c r="F8613" s="126">
        <v>5</v>
      </c>
      <c r="G8613" s="127">
        <v>352.86</v>
      </c>
      <c r="H8613" s="124" t="s">
        <v>8368</v>
      </c>
      <c r="I8613" s="127">
        <v>811.98</v>
      </c>
      <c r="J8613" s="128">
        <v>4059.92</v>
      </c>
    </row>
    <row r="8614" spans="1:10" hidden="1" x14ac:dyDescent="0.25">
      <c r="A8614" s="124" t="s">
        <v>10850</v>
      </c>
      <c r="B8614" s="124" t="s">
        <v>11736</v>
      </c>
      <c r="C8614" s="132"/>
      <c r="D8614" s="125">
        <f t="shared" si="154"/>
        <v>0</v>
      </c>
      <c r="E8614" s="124" t="s">
        <v>8367</v>
      </c>
      <c r="F8614" s="126">
        <v>60</v>
      </c>
      <c r="G8614" s="127">
        <v>803.52</v>
      </c>
      <c r="H8614" s="124" t="s">
        <v>8368</v>
      </c>
      <c r="I8614" s="127">
        <v>45.98</v>
      </c>
      <c r="J8614" s="127">
        <v>229.9</v>
      </c>
    </row>
    <row r="8615" spans="1:10" hidden="1" x14ac:dyDescent="0.25">
      <c r="A8615" s="124" t="s">
        <v>10851</v>
      </c>
      <c r="B8615" s="124" t="s">
        <v>11736</v>
      </c>
      <c r="C8615" s="132"/>
      <c r="D8615" s="125">
        <f t="shared" si="154"/>
        <v>0</v>
      </c>
      <c r="E8615" s="124" t="s">
        <v>8367</v>
      </c>
      <c r="F8615" s="126">
        <v>10</v>
      </c>
      <c r="G8615" s="128">
        <v>1084.68</v>
      </c>
      <c r="H8615" s="124" t="s">
        <v>8368</v>
      </c>
      <c r="I8615" s="127">
        <v>45.11</v>
      </c>
      <c r="J8615" s="127">
        <v>225.55</v>
      </c>
    </row>
    <row r="8616" spans="1:10" hidden="1" x14ac:dyDescent="0.25">
      <c r="A8616" s="124" t="s">
        <v>10852</v>
      </c>
      <c r="B8616" s="124" t="s">
        <v>11736</v>
      </c>
      <c r="C8616" s="132"/>
      <c r="D8616" s="125">
        <f t="shared" si="154"/>
        <v>0</v>
      </c>
      <c r="E8616" s="124" t="s">
        <v>8367</v>
      </c>
      <c r="F8616" s="126">
        <v>4</v>
      </c>
      <c r="G8616" s="128">
        <v>4871.8999999999996</v>
      </c>
      <c r="H8616" s="124" t="s">
        <v>8368</v>
      </c>
      <c r="I8616" s="127">
        <v>65.95</v>
      </c>
      <c r="J8616" s="127">
        <v>329.76</v>
      </c>
    </row>
    <row r="8617" spans="1:10" hidden="1" x14ac:dyDescent="0.25">
      <c r="A8617" s="124" t="s">
        <v>973</v>
      </c>
      <c r="B8617" s="124" t="s">
        <v>11736</v>
      </c>
      <c r="C8617" s="132"/>
      <c r="D8617" s="125">
        <f t="shared" si="154"/>
        <v>0</v>
      </c>
      <c r="E8617" s="124" t="s">
        <v>8367</v>
      </c>
      <c r="F8617" s="126">
        <v>5</v>
      </c>
      <c r="G8617" s="127">
        <v>275.88</v>
      </c>
      <c r="H8617" s="124" t="s">
        <v>8368</v>
      </c>
      <c r="I8617" s="128">
        <v>1579.6</v>
      </c>
      <c r="J8617" s="128">
        <v>7898</v>
      </c>
    </row>
    <row r="8618" spans="1:10" hidden="1" x14ac:dyDescent="0.25">
      <c r="A8618" s="124" t="s">
        <v>1522</v>
      </c>
      <c r="B8618" s="124" t="s">
        <v>11736</v>
      </c>
      <c r="C8618" s="132"/>
      <c r="D8618" s="125">
        <f t="shared" si="154"/>
        <v>0</v>
      </c>
      <c r="E8618" s="124" t="s">
        <v>8367</v>
      </c>
      <c r="F8618" s="126">
        <v>5</v>
      </c>
      <c r="G8618" s="127">
        <v>270.66000000000003</v>
      </c>
      <c r="H8618" s="124" t="s">
        <v>8368</v>
      </c>
      <c r="I8618" s="127">
        <v>737.2</v>
      </c>
      <c r="J8618" s="128">
        <v>3686</v>
      </c>
    </row>
    <row r="8619" spans="1:10" hidden="1" x14ac:dyDescent="0.25">
      <c r="A8619" s="124" t="s">
        <v>10853</v>
      </c>
      <c r="B8619" s="124" t="s">
        <v>11736</v>
      </c>
      <c r="C8619" s="132"/>
      <c r="D8619" s="125">
        <f t="shared" si="154"/>
        <v>0</v>
      </c>
      <c r="E8619" s="124" t="s">
        <v>8367</v>
      </c>
      <c r="F8619" s="126">
        <v>4</v>
      </c>
      <c r="G8619" s="127">
        <v>395.71</v>
      </c>
      <c r="H8619" s="124" t="s">
        <v>8368</v>
      </c>
      <c r="I8619" s="128">
        <v>586408</v>
      </c>
      <c r="J8619" s="128">
        <v>2932040</v>
      </c>
    </row>
    <row r="8620" spans="1:10" hidden="1" x14ac:dyDescent="0.25">
      <c r="A8620" s="124" t="s">
        <v>10854</v>
      </c>
      <c r="B8620" s="124" t="s">
        <v>11736</v>
      </c>
      <c r="C8620" s="132"/>
      <c r="D8620" s="125">
        <f>COUNTIF(A4341:A8619,A8620)</f>
        <v>0</v>
      </c>
      <c r="E8620" s="124" t="s">
        <v>8367</v>
      </c>
      <c r="F8620" s="126">
        <v>14</v>
      </c>
      <c r="G8620" s="128">
        <v>9477.6</v>
      </c>
      <c r="H8620" s="124" t="s">
        <v>8368</v>
      </c>
      <c r="I8620" s="128">
        <v>398252</v>
      </c>
      <c r="J8620" s="128">
        <v>1991260</v>
      </c>
    </row>
    <row r="8621" spans="1:10" hidden="1" x14ac:dyDescent="0.25">
      <c r="A8621" s="124" t="s">
        <v>2496</v>
      </c>
      <c r="B8621" s="124" t="s">
        <v>11736</v>
      </c>
      <c r="C8621" s="132"/>
      <c r="D8621" s="125">
        <f>COUNTIF(A4342:A8620,A8621)</f>
        <v>0</v>
      </c>
      <c r="E8621" s="124" t="s">
        <v>8367</v>
      </c>
      <c r="F8621" s="129">
        <v>7372</v>
      </c>
      <c r="G8621" s="128">
        <v>4423.2</v>
      </c>
      <c r="H8621" s="124" t="s">
        <v>8368</v>
      </c>
      <c r="I8621" s="128">
        <v>110116.16</v>
      </c>
      <c r="J8621" s="128">
        <v>550580.80000000005</v>
      </c>
    </row>
    <row r="8622" spans="1:10" hidden="1" x14ac:dyDescent="0.25">
      <c r="A8622" s="124" t="s">
        <v>10855</v>
      </c>
      <c r="B8622" s="124" t="s">
        <v>11736</v>
      </c>
      <c r="C8622" s="132"/>
      <c r="D8622" s="125">
        <f t="shared" ref="D8622:D8635" si="155">COUNTIF(A4344:A8621,A8622)</f>
        <v>0</v>
      </c>
      <c r="E8622" s="124" t="s">
        <v>8367</v>
      </c>
      <c r="F8622" s="129">
        <v>2000</v>
      </c>
      <c r="G8622" s="128">
        <v>3518448</v>
      </c>
      <c r="H8622" s="124" t="s">
        <v>8368</v>
      </c>
      <c r="I8622" s="128">
        <v>1520</v>
      </c>
      <c r="J8622" s="128">
        <v>7600</v>
      </c>
    </row>
    <row r="8623" spans="1:10" hidden="1" x14ac:dyDescent="0.25">
      <c r="A8623" s="124" t="s">
        <v>10856</v>
      </c>
      <c r="B8623" s="124" t="s">
        <v>11736</v>
      </c>
      <c r="C8623" s="132"/>
      <c r="D8623" s="125">
        <f t="shared" si="155"/>
        <v>0</v>
      </c>
      <c r="E8623" s="124" t="s">
        <v>8367</v>
      </c>
      <c r="F8623" s="129">
        <v>2000</v>
      </c>
      <c r="G8623" s="128">
        <v>2389512</v>
      </c>
      <c r="H8623" s="124" t="s">
        <v>8368</v>
      </c>
      <c r="I8623" s="127">
        <v>31.5</v>
      </c>
      <c r="J8623" s="127">
        <v>157.5</v>
      </c>
    </row>
    <row r="8624" spans="1:10" hidden="1" x14ac:dyDescent="0.25">
      <c r="A8624" s="124" t="s">
        <v>5997</v>
      </c>
      <c r="B8624" s="124" t="s">
        <v>11736</v>
      </c>
      <c r="C8624" s="132"/>
      <c r="D8624" s="125">
        <f t="shared" si="155"/>
        <v>0</v>
      </c>
      <c r="E8624" s="124" t="s">
        <v>8367</v>
      </c>
      <c r="F8624" s="126">
        <v>40</v>
      </c>
      <c r="G8624" s="128">
        <v>660696.96</v>
      </c>
      <c r="H8624" s="124" t="s">
        <v>8368</v>
      </c>
      <c r="I8624" s="127">
        <v>105.83</v>
      </c>
      <c r="J8624" s="127">
        <v>529.15</v>
      </c>
    </row>
    <row r="8625" spans="1:10" hidden="1" x14ac:dyDescent="0.25">
      <c r="A8625" s="124" t="s">
        <v>10857</v>
      </c>
      <c r="B8625" s="124" t="s">
        <v>11736</v>
      </c>
      <c r="C8625" s="132"/>
      <c r="D8625" s="125">
        <f t="shared" si="155"/>
        <v>0</v>
      </c>
      <c r="E8625" s="124" t="s">
        <v>8367</v>
      </c>
      <c r="F8625" s="126">
        <v>8</v>
      </c>
      <c r="G8625" s="128">
        <v>9120</v>
      </c>
      <c r="H8625" s="124" t="s">
        <v>8368</v>
      </c>
      <c r="I8625" s="127">
        <v>78.33</v>
      </c>
      <c r="J8625" s="127">
        <v>391.65</v>
      </c>
    </row>
    <row r="8626" spans="1:10" hidden="1" x14ac:dyDescent="0.25">
      <c r="A8626" s="124" t="s">
        <v>10858</v>
      </c>
      <c r="B8626" s="124" t="s">
        <v>11736</v>
      </c>
      <c r="C8626" s="132"/>
      <c r="D8626" s="125">
        <f t="shared" si="155"/>
        <v>0</v>
      </c>
      <c r="E8626" s="124" t="s">
        <v>8367</v>
      </c>
      <c r="F8626" s="126">
        <v>3</v>
      </c>
      <c r="G8626" s="127">
        <v>189</v>
      </c>
      <c r="H8626" s="124" t="s">
        <v>8368</v>
      </c>
      <c r="I8626" s="128">
        <v>1654.08</v>
      </c>
      <c r="J8626" s="128">
        <v>8270.4</v>
      </c>
    </row>
    <row r="8627" spans="1:10" hidden="1" x14ac:dyDescent="0.25">
      <c r="A8627" s="124" t="s">
        <v>10859</v>
      </c>
      <c r="B8627" s="124" t="s">
        <v>11736</v>
      </c>
      <c r="C8627" s="132"/>
      <c r="D8627" s="125">
        <f t="shared" si="155"/>
        <v>0</v>
      </c>
      <c r="E8627" s="124" t="s">
        <v>8367</v>
      </c>
      <c r="F8627" s="126">
        <v>5</v>
      </c>
      <c r="G8627" s="127">
        <v>634.98</v>
      </c>
      <c r="H8627" s="124" t="s">
        <v>8368</v>
      </c>
      <c r="I8627" s="128">
        <v>2100</v>
      </c>
      <c r="J8627" s="128">
        <v>10500</v>
      </c>
    </row>
    <row r="8628" spans="1:10" hidden="1" x14ac:dyDescent="0.25">
      <c r="A8628" s="124" t="s">
        <v>10860</v>
      </c>
      <c r="B8628" s="124" t="s">
        <v>11736</v>
      </c>
      <c r="C8628" s="132"/>
      <c r="D8628" s="125">
        <f t="shared" si="155"/>
        <v>0</v>
      </c>
      <c r="E8628" s="124" t="s">
        <v>8367</v>
      </c>
      <c r="F8628" s="126">
        <v>5</v>
      </c>
      <c r="G8628" s="127">
        <v>469.98</v>
      </c>
      <c r="H8628" s="124" t="s">
        <v>8368</v>
      </c>
      <c r="I8628" s="128">
        <v>28666.6</v>
      </c>
      <c r="J8628" s="128">
        <v>143333</v>
      </c>
    </row>
    <row r="8629" spans="1:10" hidden="1" x14ac:dyDescent="0.25">
      <c r="A8629" s="124" t="s">
        <v>10861</v>
      </c>
      <c r="B8629" s="124" t="s">
        <v>11736</v>
      </c>
      <c r="C8629" s="132"/>
      <c r="D8629" s="125">
        <f t="shared" si="155"/>
        <v>0</v>
      </c>
      <c r="E8629" s="124" t="s">
        <v>8367</v>
      </c>
      <c r="F8629" s="126">
        <v>5</v>
      </c>
      <c r="G8629" s="128">
        <v>9924.48</v>
      </c>
      <c r="H8629" s="124" t="s">
        <v>8368</v>
      </c>
      <c r="I8629" s="128">
        <v>28493.83</v>
      </c>
      <c r="J8629" s="128">
        <v>142469.16</v>
      </c>
    </row>
    <row r="8630" spans="1:10" hidden="1" x14ac:dyDescent="0.25">
      <c r="A8630" s="124" t="s">
        <v>10862</v>
      </c>
      <c r="B8630" s="124" t="s">
        <v>11736</v>
      </c>
      <c r="C8630" s="132"/>
      <c r="D8630" s="125">
        <f t="shared" si="155"/>
        <v>0</v>
      </c>
      <c r="E8630" s="124" t="s">
        <v>8579</v>
      </c>
      <c r="F8630" s="126">
        <v>50</v>
      </c>
      <c r="G8630" s="128">
        <v>12600</v>
      </c>
      <c r="H8630" s="124" t="s">
        <v>8368</v>
      </c>
      <c r="I8630" s="127">
        <v>281</v>
      </c>
      <c r="J8630" s="128">
        <v>1405</v>
      </c>
    </row>
    <row r="8631" spans="1:10" hidden="1" x14ac:dyDescent="0.25">
      <c r="A8631" s="124" t="s">
        <v>10863</v>
      </c>
      <c r="B8631" s="124" t="s">
        <v>11736</v>
      </c>
      <c r="C8631" s="132"/>
      <c r="D8631" s="125">
        <f t="shared" si="155"/>
        <v>0</v>
      </c>
      <c r="E8631" s="124" t="s">
        <v>8367</v>
      </c>
      <c r="F8631" s="129">
        <v>4000</v>
      </c>
      <c r="G8631" s="128">
        <v>171999.6</v>
      </c>
      <c r="H8631" s="124" t="s">
        <v>8368</v>
      </c>
      <c r="I8631" s="128">
        <v>20000</v>
      </c>
      <c r="J8631" s="128">
        <v>100000</v>
      </c>
    </row>
    <row r="8632" spans="1:10" hidden="1" x14ac:dyDescent="0.25">
      <c r="A8632" s="124" t="s">
        <v>10864</v>
      </c>
      <c r="B8632" s="124" t="s">
        <v>11736</v>
      </c>
      <c r="C8632" s="132"/>
      <c r="D8632" s="125">
        <f t="shared" si="155"/>
        <v>0</v>
      </c>
      <c r="E8632" s="124" t="s">
        <v>8</v>
      </c>
      <c r="F8632" s="126">
        <v>233.55600000000001</v>
      </c>
      <c r="G8632" s="128">
        <v>170962.99</v>
      </c>
      <c r="H8632" s="124" t="s">
        <v>8368</v>
      </c>
      <c r="I8632" s="128">
        <v>6880.15</v>
      </c>
      <c r="J8632" s="128">
        <v>34400.720000000001</v>
      </c>
    </row>
    <row r="8633" spans="1:10" hidden="1" x14ac:dyDescent="0.25">
      <c r="A8633" s="124" t="s">
        <v>10865</v>
      </c>
      <c r="B8633" s="124" t="s">
        <v>11736</v>
      </c>
      <c r="C8633" s="132"/>
      <c r="D8633" s="125">
        <f t="shared" si="155"/>
        <v>0</v>
      </c>
      <c r="E8633" s="124" t="s">
        <v>8367</v>
      </c>
      <c r="F8633" s="126">
        <v>1</v>
      </c>
      <c r="G8633" s="128">
        <v>1686</v>
      </c>
      <c r="H8633" s="124" t="s">
        <v>8368</v>
      </c>
      <c r="I8633" s="128">
        <v>3752.5</v>
      </c>
      <c r="J8633" s="128">
        <v>18762.5</v>
      </c>
    </row>
    <row r="8634" spans="1:10" hidden="1" x14ac:dyDescent="0.25">
      <c r="A8634" s="124" t="s">
        <v>2135</v>
      </c>
      <c r="B8634" s="124" t="s">
        <v>11736</v>
      </c>
      <c r="C8634" s="132"/>
      <c r="D8634" s="125">
        <f t="shared" si="155"/>
        <v>0</v>
      </c>
      <c r="E8634" s="124" t="s">
        <v>8367</v>
      </c>
      <c r="F8634" s="126">
        <v>800</v>
      </c>
      <c r="G8634" s="128">
        <v>120000</v>
      </c>
      <c r="H8634" s="124" t="s">
        <v>8368</v>
      </c>
      <c r="I8634" s="128">
        <v>1647</v>
      </c>
      <c r="J8634" s="128">
        <v>8235</v>
      </c>
    </row>
    <row r="8635" spans="1:10" hidden="1" x14ac:dyDescent="0.25">
      <c r="A8635" s="124" t="s">
        <v>10866</v>
      </c>
      <c r="B8635" s="124" t="s">
        <v>11736</v>
      </c>
      <c r="C8635" s="132"/>
      <c r="D8635" s="125">
        <f t="shared" si="155"/>
        <v>0</v>
      </c>
      <c r="E8635" s="124" t="s">
        <v>8367</v>
      </c>
      <c r="F8635" s="126">
        <v>24</v>
      </c>
      <c r="G8635" s="128">
        <v>41280.870000000003</v>
      </c>
      <c r="H8635" s="124" t="s">
        <v>8368</v>
      </c>
      <c r="I8635" s="127">
        <v>95.62</v>
      </c>
      <c r="J8635" s="127">
        <v>478.1</v>
      </c>
    </row>
    <row r="8636" spans="1:10" hidden="1" x14ac:dyDescent="0.25">
      <c r="A8636" s="124" t="s">
        <v>10867</v>
      </c>
      <c r="B8636" s="124" t="s">
        <v>11736</v>
      </c>
      <c r="C8636" s="132"/>
      <c r="D8636" s="125">
        <f>COUNTIF(A4360:A8635,A8636)</f>
        <v>0</v>
      </c>
      <c r="E8636" s="124" t="s">
        <v>8367</v>
      </c>
      <c r="F8636" s="126">
        <v>79</v>
      </c>
      <c r="G8636" s="128">
        <v>22515</v>
      </c>
      <c r="H8636" s="124" t="s">
        <v>8368</v>
      </c>
      <c r="I8636" s="127">
        <v>18.600000000000001</v>
      </c>
      <c r="J8636" s="127">
        <v>93</v>
      </c>
    </row>
    <row r="8637" spans="1:10" hidden="1" x14ac:dyDescent="0.25">
      <c r="A8637" s="124" t="s">
        <v>10868</v>
      </c>
      <c r="B8637" s="124" t="s">
        <v>11736</v>
      </c>
      <c r="C8637" s="132"/>
      <c r="D8637" s="125">
        <f>COUNTIF(A4361:A8636,A8637)</f>
        <v>0</v>
      </c>
      <c r="E8637" s="124" t="s">
        <v>8367</v>
      </c>
      <c r="F8637" s="129">
        <v>4500</v>
      </c>
      <c r="G8637" s="128">
        <v>9882</v>
      </c>
      <c r="H8637" s="124" t="s">
        <v>8368</v>
      </c>
      <c r="I8637" s="127">
        <v>520.66999999999996</v>
      </c>
      <c r="J8637" s="128">
        <v>2603.37</v>
      </c>
    </row>
    <row r="8638" spans="1:10" hidden="1" x14ac:dyDescent="0.25">
      <c r="A8638" s="124" t="s">
        <v>10869</v>
      </c>
      <c r="B8638" s="124" t="s">
        <v>11736</v>
      </c>
      <c r="C8638" s="132"/>
      <c r="D8638" s="125">
        <f>COUNTIF(A4362:A8637,A8638)</f>
        <v>0</v>
      </c>
      <c r="E8638" s="124" t="s">
        <v>8367</v>
      </c>
      <c r="F8638" s="126">
        <v>70</v>
      </c>
      <c r="G8638" s="127">
        <v>573.72</v>
      </c>
      <c r="H8638" s="124" t="s">
        <v>8368</v>
      </c>
      <c r="I8638" s="128">
        <v>2000</v>
      </c>
      <c r="J8638" s="128">
        <v>10000</v>
      </c>
    </row>
    <row r="8639" spans="1:10" hidden="1" x14ac:dyDescent="0.25">
      <c r="A8639" s="124" t="s">
        <v>2712</v>
      </c>
      <c r="B8639" s="124" t="s">
        <v>11736</v>
      </c>
      <c r="C8639" s="132"/>
      <c r="D8639" s="125">
        <f>COUNTIF(A4363:A8638,A8639)</f>
        <v>0</v>
      </c>
      <c r="E8639" s="124" t="s">
        <v>8367</v>
      </c>
      <c r="F8639" s="126">
        <v>70</v>
      </c>
      <c r="G8639" s="127">
        <v>111.6</v>
      </c>
      <c r="H8639" s="124" t="s">
        <v>8368</v>
      </c>
      <c r="I8639" s="127">
        <v>108.4</v>
      </c>
      <c r="J8639" s="127">
        <v>542</v>
      </c>
    </row>
    <row r="8640" spans="1:10" hidden="1" x14ac:dyDescent="0.25">
      <c r="A8640" s="124" t="s">
        <v>10870</v>
      </c>
      <c r="B8640" s="124" t="s">
        <v>11736</v>
      </c>
      <c r="C8640" s="132"/>
      <c r="D8640" s="125">
        <f>COUNTIF(A4365:A8639,A8640)</f>
        <v>0</v>
      </c>
      <c r="E8640" s="124" t="s">
        <v>8367</v>
      </c>
      <c r="F8640" s="126">
        <v>11</v>
      </c>
      <c r="G8640" s="128">
        <v>3124.04</v>
      </c>
      <c r="H8640" s="124" t="s">
        <v>8368</v>
      </c>
      <c r="I8640" s="127">
        <v>27</v>
      </c>
      <c r="J8640" s="127">
        <v>135</v>
      </c>
    </row>
    <row r="8641" spans="1:10" hidden="1" x14ac:dyDescent="0.25">
      <c r="A8641" s="124" t="s">
        <v>2133</v>
      </c>
      <c r="B8641" s="124" t="s">
        <v>11736</v>
      </c>
      <c r="C8641" s="132"/>
      <c r="D8641" s="125">
        <f>COUNTIF(A4366:A8640,A8641)</f>
        <v>0</v>
      </c>
      <c r="E8641" s="124" t="s">
        <v>8367</v>
      </c>
      <c r="F8641" s="126">
        <v>80</v>
      </c>
      <c r="G8641" s="128">
        <v>12000</v>
      </c>
      <c r="H8641" s="124" t="s">
        <v>8368</v>
      </c>
      <c r="I8641" s="127">
        <v>169</v>
      </c>
      <c r="J8641" s="127">
        <v>845</v>
      </c>
    </row>
    <row r="8642" spans="1:10" hidden="1" x14ac:dyDescent="0.25">
      <c r="A8642" s="124" t="s">
        <v>10871</v>
      </c>
      <c r="B8642" s="124" t="s">
        <v>11736</v>
      </c>
      <c r="C8642" s="132"/>
      <c r="D8642" s="125">
        <f>COUNTIF(A4367:A8641,A8642)</f>
        <v>0</v>
      </c>
      <c r="E8642" s="124" t="s">
        <v>8367</v>
      </c>
      <c r="F8642" s="126">
        <v>1</v>
      </c>
      <c r="G8642" s="127">
        <v>650.4</v>
      </c>
      <c r="H8642" s="124" t="s">
        <v>8368</v>
      </c>
      <c r="I8642" s="128">
        <v>19509.599999999999</v>
      </c>
      <c r="J8642" s="128">
        <v>97548</v>
      </c>
    </row>
    <row r="8643" spans="1:10" hidden="1" x14ac:dyDescent="0.25">
      <c r="A8643" s="124" t="s">
        <v>10872</v>
      </c>
      <c r="B8643" s="124" t="s">
        <v>11736</v>
      </c>
      <c r="C8643" s="132"/>
      <c r="D8643" s="125">
        <f>COUNTIF(A4368:A8642,A8643)</f>
        <v>0</v>
      </c>
      <c r="E8643" s="124" t="s">
        <v>8367</v>
      </c>
      <c r="F8643" s="126">
        <v>1</v>
      </c>
      <c r="G8643" s="127">
        <v>162</v>
      </c>
      <c r="H8643" s="124" t="s">
        <v>8368</v>
      </c>
      <c r="I8643" s="128">
        <v>1288.93</v>
      </c>
      <c r="J8643" s="128">
        <v>6444.67</v>
      </c>
    </row>
    <row r="8644" spans="1:10" hidden="1" x14ac:dyDescent="0.25">
      <c r="A8644" s="124" t="s">
        <v>10873</v>
      </c>
      <c r="B8644" s="124" t="s">
        <v>11736</v>
      </c>
      <c r="C8644" s="132"/>
      <c r="D8644" s="125">
        <f>COUNTIF(A4370:A8643,A8644)</f>
        <v>0</v>
      </c>
      <c r="E8644" s="124" t="s">
        <v>8451</v>
      </c>
      <c r="F8644" s="126">
        <v>1</v>
      </c>
      <c r="G8644" s="128">
        <v>1014</v>
      </c>
      <c r="H8644" s="124" t="s">
        <v>8368</v>
      </c>
      <c r="I8644" s="128">
        <v>2649.2</v>
      </c>
      <c r="J8644" s="128">
        <v>13246</v>
      </c>
    </row>
    <row r="8645" spans="1:10" hidden="1" x14ac:dyDescent="0.25">
      <c r="A8645" s="124" t="s">
        <v>10874</v>
      </c>
      <c r="B8645" s="124" t="s">
        <v>11736</v>
      </c>
      <c r="C8645" s="132"/>
      <c r="D8645" s="125">
        <f>COUNTIF(A4371:A8644,A8645)</f>
        <v>0</v>
      </c>
      <c r="E8645" s="124" t="s">
        <v>8367</v>
      </c>
      <c r="F8645" s="126">
        <v>46</v>
      </c>
      <c r="G8645" s="128">
        <v>117057.60000000001</v>
      </c>
      <c r="H8645" s="124" t="s">
        <v>8368</v>
      </c>
      <c r="I8645" s="128">
        <v>1431.67</v>
      </c>
      <c r="J8645" s="128">
        <v>7158.33</v>
      </c>
    </row>
    <row r="8646" spans="1:10" hidden="1" x14ac:dyDescent="0.25">
      <c r="A8646" s="124" t="s">
        <v>10875</v>
      </c>
      <c r="B8646" s="124" t="s">
        <v>11736</v>
      </c>
      <c r="C8646" s="132"/>
      <c r="D8646" s="125">
        <f>COUNTIF(A4372:A8645,A8646)</f>
        <v>0</v>
      </c>
      <c r="E8646" s="124" t="s">
        <v>8367</v>
      </c>
      <c r="F8646" s="126">
        <v>100</v>
      </c>
      <c r="G8646" s="128">
        <v>7733.6</v>
      </c>
      <c r="H8646" s="124" t="s">
        <v>8368</v>
      </c>
      <c r="I8646" s="127">
        <v>19.34</v>
      </c>
      <c r="J8646" s="127">
        <v>96.68</v>
      </c>
    </row>
    <row r="8647" spans="1:10" hidden="1" x14ac:dyDescent="0.25">
      <c r="A8647" s="124" t="s">
        <v>10876</v>
      </c>
      <c r="B8647" s="124" t="s">
        <v>11736</v>
      </c>
      <c r="C8647" s="132"/>
      <c r="D8647" s="125">
        <f>COUNTIF(A4373:A8646,A8647)</f>
        <v>0</v>
      </c>
      <c r="E8647" s="124" t="s">
        <v>8367</v>
      </c>
      <c r="F8647" s="126">
        <v>1</v>
      </c>
      <c r="G8647" s="128">
        <v>15895.2</v>
      </c>
      <c r="H8647" s="124" t="s">
        <v>8368</v>
      </c>
      <c r="I8647" s="127">
        <v>11.67</v>
      </c>
      <c r="J8647" s="127">
        <v>58.34</v>
      </c>
    </row>
    <row r="8648" spans="1:10" hidden="1" x14ac:dyDescent="0.25">
      <c r="A8648" s="124" t="s">
        <v>10877</v>
      </c>
      <c r="B8648" s="124" t="s">
        <v>11736</v>
      </c>
      <c r="C8648" s="132"/>
      <c r="D8648" s="125">
        <f t="shared" ref="D8648:D8684" si="156">COUNTIF(A4375:A8647,A8648)</f>
        <v>0</v>
      </c>
      <c r="E8648" s="124" t="s">
        <v>8367</v>
      </c>
      <c r="F8648" s="126">
        <v>1</v>
      </c>
      <c r="G8648" s="128">
        <v>8590</v>
      </c>
      <c r="H8648" s="124" t="s">
        <v>8368</v>
      </c>
      <c r="I8648" s="127">
        <v>104.16</v>
      </c>
      <c r="J8648" s="127">
        <v>520.79999999999995</v>
      </c>
    </row>
    <row r="8649" spans="1:10" hidden="1" x14ac:dyDescent="0.25">
      <c r="A8649" s="124" t="s">
        <v>10878</v>
      </c>
      <c r="B8649" s="124" t="s">
        <v>11736</v>
      </c>
      <c r="C8649" s="132"/>
      <c r="D8649" s="125">
        <f t="shared" si="156"/>
        <v>0</v>
      </c>
      <c r="E8649" s="124" t="s">
        <v>8367</v>
      </c>
      <c r="F8649" s="126">
        <v>4</v>
      </c>
      <c r="G8649" s="127">
        <v>116.02</v>
      </c>
      <c r="H8649" s="124" t="s">
        <v>8368</v>
      </c>
      <c r="I8649" s="127">
        <v>462</v>
      </c>
      <c r="J8649" s="128">
        <v>2310</v>
      </c>
    </row>
    <row r="8650" spans="1:10" hidden="1" x14ac:dyDescent="0.25">
      <c r="A8650" s="124" t="s">
        <v>10879</v>
      </c>
      <c r="B8650" s="124" t="s">
        <v>11736</v>
      </c>
      <c r="C8650" s="132"/>
      <c r="D8650" s="125">
        <f t="shared" si="156"/>
        <v>0</v>
      </c>
      <c r="E8650" s="124" t="s">
        <v>8367</v>
      </c>
      <c r="F8650" s="126">
        <v>2</v>
      </c>
      <c r="G8650" s="127">
        <v>70.010000000000005</v>
      </c>
      <c r="H8650" s="124" t="s">
        <v>8368</v>
      </c>
      <c r="I8650" s="128">
        <v>4937.5</v>
      </c>
      <c r="J8650" s="128">
        <v>24687.5</v>
      </c>
    </row>
    <row r="8651" spans="1:10" hidden="1" x14ac:dyDescent="0.25">
      <c r="A8651" s="124" t="s">
        <v>10880</v>
      </c>
      <c r="B8651" s="124" t="s">
        <v>11736</v>
      </c>
      <c r="C8651" s="132"/>
      <c r="D8651" s="125">
        <f t="shared" si="156"/>
        <v>0</v>
      </c>
      <c r="E8651" s="124" t="s">
        <v>8367</v>
      </c>
      <c r="F8651" s="126">
        <v>10</v>
      </c>
      <c r="G8651" s="127">
        <v>624.96</v>
      </c>
      <c r="H8651" s="124" t="s">
        <v>8368</v>
      </c>
      <c r="I8651" s="127">
        <v>170</v>
      </c>
      <c r="J8651" s="127">
        <v>850</v>
      </c>
    </row>
    <row r="8652" spans="1:10" hidden="1" x14ac:dyDescent="0.25">
      <c r="A8652" s="124" t="s">
        <v>5554</v>
      </c>
      <c r="B8652" s="124" t="s">
        <v>11736</v>
      </c>
      <c r="C8652" s="132"/>
      <c r="D8652" s="125">
        <f t="shared" si="156"/>
        <v>0</v>
      </c>
      <c r="E8652" s="124" t="s">
        <v>8367</v>
      </c>
      <c r="F8652" s="126">
        <v>40</v>
      </c>
      <c r="G8652" s="128">
        <v>2772</v>
      </c>
      <c r="H8652" s="124" t="s">
        <v>8368</v>
      </c>
      <c r="I8652" s="127">
        <v>170</v>
      </c>
      <c r="J8652" s="127">
        <v>850</v>
      </c>
    </row>
    <row r="8653" spans="1:10" hidden="1" x14ac:dyDescent="0.25">
      <c r="A8653" s="124" t="s">
        <v>10881</v>
      </c>
      <c r="B8653" s="124" t="s">
        <v>11736</v>
      </c>
      <c r="C8653" s="132"/>
      <c r="D8653" s="125">
        <f t="shared" si="156"/>
        <v>0</v>
      </c>
      <c r="E8653" s="124" t="s">
        <v>8367</v>
      </c>
      <c r="F8653" s="126">
        <v>5</v>
      </c>
      <c r="G8653" s="128">
        <v>29625</v>
      </c>
      <c r="H8653" s="124" t="s">
        <v>8368</v>
      </c>
      <c r="I8653" s="127">
        <v>170</v>
      </c>
      <c r="J8653" s="127">
        <v>850</v>
      </c>
    </row>
    <row r="8654" spans="1:10" hidden="1" x14ac:dyDescent="0.25">
      <c r="A8654" s="124" t="s">
        <v>10882</v>
      </c>
      <c r="B8654" s="124" t="s">
        <v>11736</v>
      </c>
      <c r="C8654" s="132"/>
      <c r="D8654" s="125">
        <f t="shared" si="156"/>
        <v>0</v>
      </c>
      <c r="E8654" s="124" t="s">
        <v>8367</v>
      </c>
      <c r="F8654" s="126">
        <v>2</v>
      </c>
      <c r="G8654" s="128">
        <v>1020</v>
      </c>
      <c r="H8654" s="124" t="s">
        <v>8368</v>
      </c>
      <c r="I8654" s="127">
        <v>450</v>
      </c>
      <c r="J8654" s="128">
        <v>2250</v>
      </c>
    </row>
    <row r="8655" spans="1:10" hidden="1" x14ac:dyDescent="0.25">
      <c r="A8655" s="124" t="s">
        <v>10883</v>
      </c>
      <c r="B8655" s="124" t="s">
        <v>11736</v>
      </c>
      <c r="C8655" s="132"/>
      <c r="D8655" s="125">
        <f t="shared" si="156"/>
        <v>0</v>
      </c>
      <c r="E8655" s="124" t="s">
        <v>8367</v>
      </c>
      <c r="F8655" s="126">
        <v>2</v>
      </c>
      <c r="G8655" s="128">
        <v>1020</v>
      </c>
      <c r="H8655" s="124" t="s">
        <v>8368</v>
      </c>
      <c r="I8655" s="127">
        <v>296.67</v>
      </c>
      <c r="J8655" s="128">
        <v>1483.33</v>
      </c>
    </row>
    <row r="8656" spans="1:10" hidden="1" x14ac:dyDescent="0.25">
      <c r="A8656" s="124" t="s">
        <v>10884</v>
      </c>
      <c r="B8656" s="124" t="s">
        <v>11736</v>
      </c>
      <c r="C8656" s="132"/>
      <c r="D8656" s="125">
        <f t="shared" si="156"/>
        <v>0</v>
      </c>
      <c r="E8656" s="124" t="s">
        <v>8367</v>
      </c>
      <c r="F8656" s="126">
        <v>2</v>
      </c>
      <c r="G8656" s="128">
        <v>1020</v>
      </c>
      <c r="H8656" s="124" t="s">
        <v>8368</v>
      </c>
      <c r="I8656" s="127">
        <v>328.33</v>
      </c>
      <c r="J8656" s="128">
        <v>1641.67</v>
      </c>
    </row>
    <row r="8657" spans="1:10" hidden="1" x14ac:dyDescent="0.25">
      <c r="A8657" s="124" t="s">
        <v>10885</v>
      </c>
      <c r="B8657" s="124" t="s">
        <v>11736</v>
      </c>
      <c r="C8657" s="132"/>
      <c r="D8657" s="125">
        <f t="shared" si="156"/>
        <v>0</v>
      </c>
      <c r="E8657" s="124" t="s">
        <v>8367</v>
      </c>
      <c r="F8657" s="126">
        <v>6</v>
      </c>
      <c r="G8657" s="128">
        <v>2700</v>
      </c>
      <c r="H8657" s="124" t="s">
        <v>8368</v>
      </c>
      <c r="I8657" s="127">
        <v>398.6</v>
      </c>
      <c r="J8657" s="128">
        <v>1993</v>
      </c>
    </row>
    <row r="8658" spans="1:10" hidden="1" x14ac:dyDescent="0.25">
      <c r="A8658" s="124" t="s">
        <v>10886</v>
      </c>
      <c r="B8658" s="124" t="s">
        <v>11736</v>
      </c>
      <c r="C8658" s="132"/>
      <c r="D8658" s="125">
        <f t="shared" si="156"/>
        <v>0</v>
      </c>
      <c r="E8658" s="124" t="s">
        <v>8367</v>
      </c>
      <c r="F8658" s="126">
        <v>1</v>
      </c>
      <c r="G8658" s="128">
        <v>1780</v>
      </c>
      <c r="H8658" s="124" t="s">
        <v>8368</v>
      </c>
      <c r="I8658" s="127">
        <v>579.4</v>
      </c>
      <c r="J8658" s="128">
        <v>2897</v>
      </c>
    </row>
    <row r="8659" spans="1:10" hidden="1" x14ac:dyDescent="0.25">
      <c r="A8659" s="124" t="s">
        <v>10887</v>
      </c>
      <c r="B8659" s="124" t="s">
        <v>11736</v>
      </c>
      <c r="C8659" s="132"/>
      <c r="D8659" s="125">
        <f t="shared" si="156"/>
        <v>0</v>
      </c>
      <c r="E8659" s="124" t="s">
        <v>8367</v>
      </c>
      <c r="F8659" s="126">
        <v>1</v>
      </c>
      <c r="G8659" s="128">
        <v>1970</v>
      </c>
      <c r="H8659" s="124" t="s">
        <v>8368</v>
      </c>
      <c r="I8659" s="128">
        <v>1953.2</v>
      </c>
      <c r="J8659" s="128">
        <v>9766</v>
      </c>
    </row>
    <row r="8660" spans="1:10" hidden="1" x14ac:dyDescent="0.25">
      <c r="A8660" s="124" t="s">
        <v>10888</v>
      </c>
      <c r="B8660" s="124" t="s">
        <v>11736</v>
      </c>
      <c r="C8660" s="132"/>
      <c r="D8660" s="125">
        <f t="shared" si="156"/>
        <v>0</v>
      </c>
      <c r="E8660" s="124" t="s">
        <v>8367</v>
      </c>
      <c r="F8660" s="126">
        <v>4</v>
      </c>
      <c r="G8660" s="128">
        <v>2391.6</v>
      </c>
      <c r="H8660" s="124" t="s">
        <v>8368</v>
      </c>
      <c r="I8660" s="128">
        <v>3133.4</v>
      </c>
      <c r="J8660" s="128">
        <v>15667</v>
      </c>
    </row>
    <row r="8661" spans="1:10" hidden="1" x14ac:dyDescent="0.25">
      <c r="A8661" s="124" t="s">
        <v>10889</v>
      </c>
      <c r="B8661" s="124" t="s">
        <v>11736</v>
      </c>
      <c r="C8661" s="132"/>
      <c r="D8661" s="125">
        <f t="shared" si="156"/>
        <v>0</v>
      </c>
      <c r="E8661" s="124" t="s">
        <v>8367</v>
      </c>
      <c r="F8661" s="126">
        <v>4</v>
      </c>
      <c r="G8661" s="128">
        <v>3476.4</v>
      </c>
      <c r="H8661" s="124" t="s">
        <v>8368</v>
      </c>
      <c r="I8661" s="127">
        <v>566.67999999999995</v>
      </c>
      <c r="J8661" s="128">
        <v>2833.4</v>
      </c>
    </row>
    <row r="8662" spans="1:10" hidden="1" x14ac:dyDescent="0.25">
      <c r="A8662" s="124" t="s">
        <v>10890</v>
      </c>
      <c r="B8662" s="124" t="s">
        <v>11736</v>
      </c>
      <c r="C8662" s="132"/>
      <c r="D8662" s="125">
        <f t="shared" si="156"/>
        <v>0</v>
      </c>
      <c r="E8662" s="124" t="s">
        <v>8367</v>
      </c>
      <c r="F8662" s="126">
        <v>1</v>
      </c>
      <c r="G8662" s="128">
        <v>11719.2</v>
      </c>
      <c r="H8662" s="124" t="s">
        <v>8368</v>
      </c>
      <c r="I8662" s="128">
        <v>18833.5</v>
      </c>
      <c r="J8662" s="128">
        <v>94167.5</v>
      </c>
    </row>
    <row r="8663" spans="1:10" hidden="1" x14ac:dyDescent="0.25">
      <c r="A8663" s="124" t="s">
        <v>10891</v>
      </c>
      <c r="B8663" s="124" t="s">
        <v>11736</v>
      </c>
      <c r="C8663" s="132"/>
      <c r="D8663" s="125">
        <f t="shared" si="156"/>
        <v>0</v>
      </c>
      <c r="E8663" s="124" t="s">
        <v>8367</v>
      </c>
      <c r="F8663" s="126">
        <v>2</v>
      </c>
      <c r="G8663" s="128">
        <v>18800.400000000001</v>
      </c>
      <c r="H8663" s="124" t="s">
        <v>8368</v>
      </c>
      <c r="I8663" s="127">
        <v>866.6</v>
      </c>
      <c r="J8663" s="128">
        <v>4333</v>
      </c>
    </row>
    <row r="8664" spans="1:10" hidden="1" x14ac:dyDescent="0.25">
      <c r="A8664" s="124" t="s">
        <v>10892</v>
      </c>
      <c r="B8664" s="124" t="s">
        <v>11736</v>
      </c>
      <c r="C8664" s="132"/>
      <c r="D8664" s="125">
        <f t="shared" si="156"/>
        <v>0</v>
      </c>
      <c r="E8664" s="124" t="s">
        <v>8367</v>
      </c>
      <c r="F8664" s="126">
        <v>20</v>
      </c>
      <c r="G8664" s="128">
        <v>3400.08</v>
      </c>
      <c r="H8664" s="124" t="s">
        <v>8368</v>
      </c>
      <c r="I8664" s="127">
        <v>421</v>
      </c>
      <c r="J8664" s="128">
        <v>2105</v>
      </c>
    </row>
    <row r="8665" spans="1:10" hidden="1" x14ac:dyDescent="0.25">
      <c r="A8665" s="124" t="s">
        <v>10893</v>
      </c>
      <c r="B8665" s="124" t="s">
        <v>11736</v>
      </c>
      <c r="C8665" s="132"/>
      <c r="D8665" s="125">
        <f t="shared" si="156"/>
        <v>0</v>
      </c>
      <c r="E8665" s="124" t="s">
        <v>8367</v>
      </c>
      <c r="F8665" s="126">
        <v>250</v>
      </c>
      <c r="G8665" s="128">
        <v>113001</v>
      </c>
      <c r="H8665" s="124" t="s">
        <v>8368</v>
      </c>
      <c r="I8665" s="127">
        <v>406.68</v>
      </c>
      <c r="J8665" s="128">
        <v>2033.4</v>
      </c>
    </row>
    <row r="8666" spans="1:10" hidden="1" x14ac:dyDescent="0.25">
      <c r="A8666" s="124" t="s">
        <v>10894</v>
      </c>
      <c r="B8666" s="124" t="s">
        <v>11736</v>
      </c>
      <c r="C8666" s="132"/>
      <c r="D8666" s="125">
        <f t="shared" si="156"/>
        <v>0</v>
      </c>
      <c r="E8666" s="124" t="s">
        <v>8367</v>
      </c>
      <c r="F8666" s="126">
        <v>10</v>
      </c>
      <c r="G8666" s="128">
        <v>5199.6000000000004</v>
      </c>
      <c r="H8666" s="124" t="s">
        <v>8368</v>
      </c>
      <c r="I8666" s="127">
        <v>559.49</v>
      </c>
      <c r="J8666" s="128">
        <v>2797.47</v>
      </c>
    </row>
    <row r="8667" spans="1:10" hidden="1" x14ac:dyDescent="0.25">
      <c r="A8667" s="124" t="s">
        <v>5892</v>
      </c>
      <c r="B8667" s="124" t="s">
        <v>11736</v>
      </c>
      <c r="C8667" s="132"/>
      <c r="D8667" s="125">
        <f t="shared" si="156"/>
        <v>0</v>
      </c>
      <c r="E8667" s="124" t="s">
        <v>8367</v>
      </c>
      <c r="F8667" s="126">
        <v>2</v>
      </c>
      <c r="G8667" s="128">
        <v>2526</v>
      </c>
      <c r="H8667" s="124" t="s">
        <v>8368</v>
      </c>
      <c r="I8667" s="127">
        <v>76.67</v>
      </c>
      <c r="J8667" s="127">
        <v>383.35</v>
      </c>
    </row>
    <row r="8668" spans="1:10" hidden="1" x14ac:dyDescent="0.25">
      <c r="A8668" s="124" t="s">
        <v>10895</v>
      </c>
      <c r="B8668" s="124" t="s">
        <v>11736</v>
      </c>
      <c r="C8668" s="132"/>
      <c r="D8668" s="125">
        <f t="shared" si="156"/>
        <v>0</v>
      </c>
      <c r="E8668" s="124" t="s">
        <v>8367</v>
      </c>
      <c r="F8668" s="126">
        <v>20</v>
      </c>
      <c r="G8668" s="128">
        <v>2440.08</v>
      </c>
      <c r="H8668" s="124" t="s">
        <v>8368</v>
      </c>
      <c r="I8668" s="127">
        <v>417.51</v>
      </c>
      <c r="J8668" s="128">
        <v>2087.5500000000002</v>
      </c>
    </row>
    <row r="8669" spans="1:10" hidden="1" x14ac:dyDescent="0.25">
      <c r="A8669" s="124" t="s">
        <v>10896</v>
      </c>
      <c r="B8669" s="124" t="s">
        <v>11736</v>
      </c>
      <c r="C8669" s="132"/>
      <c r="D8669" s="125">
        <f t="shared" si="156"/>
        <v>0</v>
      </c>
      <c r="E8669" s="124" t="s">
        <v>8451</v>
      </c>
      <c r="F8669" s="126">
        <v>9</v>
      </c>
      <c r="G8669" s="128">
        <v>3356.96</v>
      </c>
      <c r="H8669" s="124" t="s">
        <v>8368</v>
      </c>
      <c r="I8669" s="127">
        <v>198</v>
      </c>
      <c r="J8669" s="127">
        <v>990</v>
      </c>
    </row>
    <row r="8670" spans="1:10" hidden="1" x14ac:dyDescent="0.25">
      <c r="A8670" s="124" t="s">
        <v>10897</v>
      </c>
      <c r="B8670" s="124" t="s">
        <v>11736</v>
      </c>
      <c r="C8670" s="132"/>
      <c r="D8670" s="125">
        <f t="shared" si="156"/>
        <v>0</v>
      </c>
      <c r="E8670" s="124" t="s">
        <v>8367</v>
      </c>
      <c r="F8670" s="126">
        <v>5</v>
      </c>
      <c r="G8670" s="127">
        <v>460.02</v>
      </c>
      <c r="H8670" s="124" t="s">
        <v>8368</v>
      </c>
      <c r="I8670" s="127">
        <v>892</v>
      </c>
      <c r="J8670" s="128">
        <v>4459.9799999999996</v>
      </c>
    </row>
    <row r="8671" spans="1:10" hidden="1" x14ac:dyDescent="0.25">
      <c r="A8671" s="124" t="s">
        <v>10898</v>
      </c>
      <c r="B8671" s="124" t="s">
        <v>11736</v>
      </c>
      <c r="C8671" s="132"/>
      <c r="D8671" s="125">
        <f t="shared" si="156"/>
        <v>0</v>
      </c>
      <c r="E8671" s="124" t="s">
        <v>8367</v>
      </c>
      <c r="F8671" s="126">
        <v>15</v>
      </c>
      <c r="G8671" s="128">
        <v>2505.06</v>
      </c>
      <c r="H8671" s="124" t="s">
        <v>8368</v>
      </c>
      <c r="I8671" s="127">
        <v>92</v>
      </c>
      <c r="J8671" s="127">
        <v>460</v>
      </c>
    </row>
    <row r="8672" spans="1:10" hidden="1" x14ac:dyDescent="0.25">
      <c r="A8672" s="124" t="s">
        <v>10899</v>
      </c>
      <c r="B8672" s="124" t="s">
        <v>11736</v>
      </c>
      <c r="C8672" s="132"/>
      <c r="D8672" s="125">
        <f t="shared" si="156"/>
        <v>0</v>
      </c>
      <c r="E8672" s="124" t="s">
        <v>8367</v>
      </c>
      <c r="F8672" s="126">
        <v>2</v>
      </c>
      <c r="G8672" s="128">
        <v>1188</v>
      </c>
      <c r="H8672" s="124" t="s">
        <v>8368</v>
      </c>
      <c r="I8672" s="128">
        <v>1650</v>
      </c>
      <c r="J8672" s="128">
        <v>8250</v>
      </c>
    </row>
    <row r="8673" spans="1:10" hidden="1" x14ac:dyDescent="0.25">
      <c r="A8673" s="124" t="s">
        <v>10900</v>
      </c>
      <c r="B8673" s="124" t="s">
        <v>11736</v>
      </c>
      <c r="C8673" s="132"/>
      <c r="D8673" s="125">
        <f t="shared" si="156"/>
        <v>0</v>
      </c>
      <c r="E8673" s="124" t="s">
        <v>8367</v>
      </c>
      <c r="F8673" s="126">
        <v>6</v>
      </c>
      <c r="G8673" s="128">
        <v>5351.98</v>
      </c>
      <c r="H8673" s="124" t="s">
        <v>8368</v>
      </c>
      <c r="I8673" s="128">
        <v>1726.4</v>
      </c>
      <c r="J8673" s="128">
        <v>8632</v>
      </c>
    </row>
    <row r="8674" spans="1:10" hidden="1" x14ac:dyDescent="0.25">
      <c r="A8674" s="124" t="s">
        <v>10901</v>
      </c>
      <c r="B8674" s="124" t="s">
        <v>11736</v>
      </c>
      <c r="C8674" s="132"/>
      <c r="D8674" s="125">
        <f t="shared" si="156"/>
        <v>0</v>
      </c>
      <c r="E8674" s="124" t="s">
        <v>8367</v>
      </c>
      <c r="F8674" s="126">
        <v>8</v>
      </c>
      <c r="G8674" s="127">
        <v>552</v>
      </c>
      <c r="H8674" s="124" t="s">
        <v>8368</v>
      </c>
      <c r="I8674" s="127">
        <v>224.5</v>
      </c>
      <c r="J8674" s="128">
        <v>1122.51</v>
      </c>
    </row>
    <row r="8675" spans="1:10" hidden="1" x14ac:dyDescent="0.25">
      <c r="A8675" s="124" t="s">
        <v>4116</v>
      </c>
      <c r="B8675" s="124" t="s">
        <v>11736</v>
      </c>
      <c r="C8675" s="132"/>
      <c r="D8675" s="125">
        <f t="shared" si="156"/>
        <v>0</v>
      </c>
      <c r="E8675" s="124" t="s">
        <v>8367</v>
      </c>
      <c r="F8675" s="126">
        <v>30</v>
      </c>
      <c r="G8675" s="128">
        <v>9900</v>
      </c>
      <c r="H8675" s="124" t="s">
        <v>8368</v>
      </c>
      <c r="I8675" s="127">
        <v>333.17</v>
      </c>
      <c r="J8675" s="128">
        <v>1665.83</v>
      </c>
    </row>
    <row r="8676" spans="1:10" hidden="1" x14ac:dyDescent="0.25">
      <c r="A8676" s="124" t="s">
        <v>5315</v>
      </c>
      <c r="B8676" s="124" t="s">
        <v>11736</v>
      </c>
      <c r="C8676" s="132"/>
      <c r="D8676" s="125">
        <f t="shared" si="156"/>
        <v>0</v>
      </c>
      <c r="E8676" s="124" t="s">
        <v>8367</v>
      </c>
      <c r="F8676" s="126">
        <v>2</v>
      </c>
      <c r="G8676" s="128">
        <v>10358.4</v>
      </c>
      <c r="H8676" s="124" t="s">
        <v>8368</v>
      </c>
      <c r="I8676" s="128">
        <v>11187.9</v>
      </c>
      <c r="J8676" s="128">
        <v>55939.5</v>
      </c>
    </row>
    <row r="8677" spans="1:10" hidden="1" x14ac:dyDescent="0.25">
      <c r="A8677" s="124" t="s">
        <v>10902</v>
      </c>
      <c r="B8677" s="124" t="s">
        <v>11736</v>
      </c>
      <c r="C8677" s="132"/>
      <c r="D8677" s="125">
        <f t="shared" si="156"/>
        <v>0</v>
      </c>
      <c r="E8677" s="124" t="s">
        <v>8367</v>
      </c>
      <c r="F8677" s="126">
        <v>3</v>
      </c>
      <c r="G8677" s="128">
        <v>1347.01</v>
      </c>
      <c r="H8677" s="124" t="s">
        <v>8368</v>
      </c>
      <c r="I8677" s="128">
        <v>1370.71</v>
      </c>
      <c r="J8677" s="128">
        <v>6853.56</v>
      </c>
    </row>
    <row r="8678" spans="1:10" hidden="1" x14ac:dyDescent="0.25">
      <c r="A8678" s="124" t="s">
        <v>10903</v>
      </c>
      <c r="B8678" s="124" t="s">
        <v>11736</v>
      </c>
      <c r="C8678" s="132"/>
      <c r="D8678" s="125">
        <f t="shared" si="156"/>
        <v>0</v>
      </c>
      <c r="E8678" s="124" t="s">
        <v>8367</v>
      </c>
      <c r="F8678" s="126">
        <v>1</v>
      </c>
      <c r="G8678" s="128">
        <v>1999</v>
      </c>
      <c r="H8678" s="124" t="s">
        <v>8368</v>
      </c>
      <c r="I8678" s="127">
        <v>69.64</v>
      </c>
      <c r="J8678" s="127">
        <v>348.2</v>
      </c>
    </row>
    <row r="8679" spans="1:10" hidden="1" x14ac:dyDescent="0.25">
      <c r="A8679" s="124" t="s">
        <v>10904</v>
      </c>
      <c r="B8679" s="124" t="s">
        <v>11736</v>
      </c>
      <c r="C8679" s="132"/>
      <c r="D8679" s="125">
        <f t="shared" si="156"/>
        <v>0</v>
      </c>
      <c r="E8679" s="124" t="s">
        <v>8367</v>
      </c>
      <c r="F8679" s="129">
        <v>2005</v>
      </c>
      <c r="G8679" s="128">
        <v>67127.399999999994</v>
      </c>
      <c r="H8679" s="124" t="s">
        <v>8368</v>
      </c>
      <c r="I8679" s="128">
        <v>193923.6</v>
      </c>
      <c r="J8679" s="128">
        <v>969618</v>
      </c>
    </row>
    <row r="8680" spans="1:10" hidden="1" x14ac:dyDescent="0.25">
      <c r="A8680" s="124" t="s">
        <v>453</v>
      </c>
      <c r="B8680" s="124" t="s">
        <v>11736</v>
      </c>
      <c r="C8680" s="132"/>
      <c r="D8680" s="125">
        <f t="shared" si="156"/>
        <v>0</v>
      </c>
      <c r="E8680" s="124" t="s">
        <v>8367</v>
      </c>
      <c r="F8680" s="129">
        <v>8010</v>
      </c>
      <c r="G8680" s="128">
        <v>8224.27</v>
      </c>
      <c r="H8680" s="124" t="s">
        <v>8368</v>
      </c>
      <c r="I8680" s="127">
        <v>493.85</v>
      </c>
      <c r="J8680" s="128">
        <v>2469.25</v>
      </c>
    </row>
    <row r="8681" spans="1:10" hidden="1" x14ac:dyDescent="0.25">
      <c r="A8681" s="124" t="s">
        <v>10905</v>
      </c>
      <c r="B8681" s="124" t="s">
        <v>11736</v>
      </c>
      <c r="C8681" s="132"/>
      <c r="D8681" s="125">
        <f t="shared" si="156"/>
        <v>0</v>
      </c>
      <c r="E8681" s="124" t="s">
        <v>8367</v>
      </c>
      <c r="F8681" s="126">
        <v>10</v>
      </c>
      <c r="G8681" s="127">
        <v>417.84</v>
      </c>
      <c r="H8681" s="124" t="s">
        <v>8368</v>
      </c>
      <c r="I8681" s="128">
        <v>4377.3900000000003</v>
      </c>
      <c r="J8681" s="128">
        <v>21886.97</v>
      </c>
    </row>
    <row r="8682" spans="1:10" hidden="1" x14ac:dyDescent="0.25">
      <c r="A8682" s="124" t="s">
        <v>10906</v>
      </c>
      <c r="B8682" s="124" t="s">
        <v>11736</v>
      </c>
      <c r="C8682" s="132"/>
      <c r="D8682" s="125">
        <f t="shared" si="156"/>
        <v>0</v>
      </c>
      <c r="E8682" s="124" t="s">
        <v>8367</v>
      </c>
      <c r="F8682" s="129">
        <v>2005</v>
      </c>
      <c r="G8682" s="128">
        <v>1163541.6000000001</v>
      </c>
      <c r="H8682" s="124" t="s">
        <v>8368</v>
      </c>
      <c r="I8682" s="127">
        <v>998.33</v>
      </c>
      <c r="J8682" s="128">
        <v>4991.67</v>
      </c>
    </row>
    <row r="8683" spans="1:10" hidden="1" x14ac:dyDescent="0.25">
      <c r="A8683" s="124" t="s">
        <v>10907</v>
      </c>
      <c r="B8683" s="124" t="s">
        <v>11736</v>
      </c>
      <c r="C8683" s="132"/>
      <c r="D8683" s="125">
        <f t="shared" si="156"/>
        <v>0</v>
      </c>
      <c r="E8683" s="124" t="s">
        <v>8451</v>
      </c>
      <c r="F8683" s="126">
        <v>7</v>
      </c>
      <c r="G8683" s="128">
        <v>2963.1</v>
      </c>
      <c r="H8683" s="124" t="s">
        <v>8368</v>
      </c>
      <c r="I8683" s="127">
        <v>265</v>
      </c>
      <c r="J8683" s="128">
        <v>1325</v>
      </c>
    </row>
    <row r="8684" spans="1:10" hidden="1" x14ac:dyDescent="0.25">
      <c r="A8684" s="124" t="s">
        <v>10908</v>
      </c>
      <c r="B8684" s="124" t="s">
        <v>11736</v>
      </c>
      <c r="C8684" s="132"/>
      <c r="D8684" s="125">
        <f t="shared" si="156"/>
        <v>0</v>
      </c>
      <c r="E8684" s="124" t="s">
        <v>8367</v>
      </c>
      <c r="F8684" s="126">
        <v>1</v>
      </c>
      <c r="G8684" s="128">
        <v>26264.36</v>
      </c>
      <c r="H8684" s="124" t="s">
        <v>8368</v>
      </c>
      <c r="I8684" s="128">
        <v>1498.4</v>
      </c>
      <c r="J8684" s="128">
        <v>7492</v>
      </c>
    </row>
    <row r="8685" spans="1:10" hidden="1" x14ac:dyDescent="0.25">
      <c r="A8685" s="124" t="s">
        <v>10909</v>
      </c>
      <c r="B8685" s="124" t="s">
        <v>11736</v>
      </c>
      <c r="C8685" s="132"/>
      <c r="D8685" s="125">
        <f t="shared" ref="D8685:D8696" si="157">COUNTIF(A4413:A8684,A8685)</f>
        <v>0</v>
      </c>
      <c r="E8685" s="124" t="s">
        <v>8367</v>
      </c>
      <c r="F8685" s="126">
        <v>1</v>
      </c>
      <c r="G8685" s="128">
        <v>5990</v>
      </c>
      <c r="H8685" s="124" t="s">
        <v>8368</v>
      </c>
      <c r="I8685" s="127">
        <v>321.67</v>
      </c>
      <c r="J8685" s="128">
        <v>1608.33</v>
      </c>
    </row>
    <row r="8686" spans="1:10" hidden="1" x14ac:dyDescent="0.25">
      <c r="A8686" s="124" t="s">
        <v>10910</v>
      </c>
      <c r="B8686" s="124" t="s">
        <v>11736</v>
      </c>
      <c r="C8686" s="132"/>
      <c r="D8686" s="125">
        <f t="shared" si="157"/>
        <v>0</v>
      </c>
      <c r="E8686" s="124" t="s">
        <v>8367</v>
      </c>
      <c r="F8686" s="126">
        <v>1</v>
      </c>
      <c r="G8686" s="128">
        <v>1590</v>
      </c>
      <c r="H8686" s="124" t="s">
        <v>8368</v>
      </c>
      <c r="I8686" s="127">
        <v>820</v>
      </c>
      <c r="J8686" s="128">
        <v>4100</v>
      </c>
    </row>
    <row r="8687" spans="1:10" hidden="1" x14ac:dyDescent="0.25">
      <c r="A8687" s="124" t="s">
        <v>10911</v>
      </c>
      <c r="B8687" s="124" t="s">
        <v>11736</v>
      </c>
      <c r="C8687" s="132"/>
      <c r="D8687" s="125">
        <f t="shared" si="157"/>
        <v>0</v>
      </c>
      <c r="E8687" s="124" t="s">
        <v>8367</v>
      </c>
      <c r="F8687" s="126">
        <v>1</v>
      </c>
      <c r="G8687" s="128">
        <v>8990.4</v>
      </c>
      <c r="H8687" s="124" t="s">
        <v>8368</v>
      </c>
      <c r="I8687" s="128">
        <v>6041.75</v>
      </c>
      <c r="J8687" s="128">
        <v>30208.75</v>
      </c>
    </row>
    <row r="8688" spans="1:10" hidden="1" x14ac:dyDescent="0.25">
      <c r="A8688" s="124" t="s">
        <v>10912</v>
      </c>
      <c r="B8688" s="124" t="s">
        <v>11736</v>
      </c>
      <c r="C8688" s="132"/>
      <c r="D8688" s="125">
        <f t="shared" si="157"/>
        <v>0</v>
      </c>
      <c r="E8688" s="124" t="s">
        <v>8367</v>
      </c>
      <c r="F8688" s="126">
        <v>1</v>
      </c>
      <c r="G8688" s="128">
        <v>1930</v>
      </c>
      <c r="H8688" s="124" t="s">
        <v>8368</v>
      </c>
      <c r="I8688" s="127">
        <v>681.66</v>
      </c>
      <c r="J8688" s="128">
        <v>3408.3</v>
      </c>
    </row>
    <row r="8689" spans="1:10" hidden="1" x14ac:dyDescent="0.25">
      <c r="A8689" s="124" t="s">
        <v>10913</v>
      </c>
      <c r="B8689" s="124" t="s">
        <v>11736</v>
      </c>
      <c r="C8689" s="132"/>
      <c r="D8689" s="125">
        <f t="shared" si="157"/>
        <v>0</v>
      </c>
      <c r="E8689" s="124" t="s">
        <v>8367</v>
      </c>
      <c r="F8689" s="126">
        <v>20</v>
      </c>
      <c r="G8689" s="128">
        <v>4920</v>
      </c>
      <c r="H8689" s="124" t="s">
        <v>8368</v>
      </c>
      <c r="I8689" s="127">
        <v>494</v>
      </c>
      <c r="J8689" s="128">
        <v>2470</v>
      </c>
    </row>
    <row r="8690" spans="1:10" hidden="1" x14ac:dyDescent="0.25">
      <c r="A8690" s="124" t="s">
        <v>10914</v>
      </c>
      <c r="B8690" s="124" t="s">
        <v>11736</v>
      </c>
      <c r="C8690" s="132"/>
      <c r="D8690" s="125">
        <f t="shared" si="157"/>
        <v>0</v>
      </c>
      <c r="E8690" s="124" t="s">
        <v>1</v>
      </c>
      <c r="F8690" s="126">
        <v>125</v>
      </c>
      <c r="G8690" s="128">
        <v>36250.5</v>
      </c>
      <c r="H8690" s="124" t="s">
        <v>8368</v>
      </c>
      <c r="I8690" s="127">
        <v>205</v>
      </c>
      <c r="J8690" s="128">
        <v>1025</v>
      </c>
    </row>
    <row r="8691" spans="1:10" hidden="1" x14ac:dyDescent="0.25">
      <c r="A8691" s="124" t="s">
        <v>10915</v>
      </c>
      <c r="B8691" s="124" t="s">
        <v>11736</v>
      </c>
      <c r="C8691" s="132"/>
      <c r="D8691" s="125">
        <f t="shared" si="157"/>
        <v>0</v>
      </c>
      <c r="E8691" s="124" t="s">
        <v>8367</v>
      </c>
      <c r="F8691" s="126">
        <v>10</v>
      </c>
      <c r="G8691" s="128">
        <v>4089.96</v>
      </c>
      <c r="H8691" s="124" t="s">
        <v>8368</v>
      </c>
      <c r="I8691" s="127">
        <v>255</v>
      </c>
      <c r="J8691" s="128">
        <v>1275</v>
      </c>
    </row>
    <row r="8692" spans="1:10" hidden="1" x14ac:dyDescent="0.25">
      <c r="A8692" s="124" t="s">
        <v>10916</v>
      </c>
      <c r="B8692" s="124" t="s">
        <v>11736</v>
      </c>
      <c r="C8692" s="132"/>
      <c r="D8692" s="125">
        <f t="shared" si="157"/>
        <v>0</v>
      </c>
      <c r="E8692" s="124" t="s">
        <v>8367</v>
      </c>
      <c r="F8692" s="126">
        <v>1</v>
      </c>
      <c r="G8692" s="128">
        <v>2964</v>
      </c>
      <c r="H8692" s="124" t="s">
        <v>8368</v>
      </c>
      <c r="I8692" s="128">
        <v>1955</v>
      </c>
      <c r="J8692" s="128">
        <v>9775</v>
      </c>
    </row>
    <row r="8693" spans="1:10" hidden="1" x14ac:dyDescent="0.25">
      <c r="A8693" s="124" t="s">
        <v>10917</v>
      </c>
      <c r="B8693" s="124" t="s">
        <v>11736</v>
      </c>
      <c r="C8693" s="132"/>
      <c r="D8693" s="125">
        <f t="shared" si="157"/>
        <v>0</v>
      </c>
      <c r="E8693" s="124" t="s">
        <v>8367</v>
      </c>
      <c r="F8693" s="126">
        <v>1</v>
      </c>
      <c r="G8693" s="128">
        <v>1230</v>
      </c>
      <c r="H8693" s="124" t="s">
        <v>8368</v>
      </c>
      <c r="I8693" s="128">
        <v>50000</v>
      </c>
      <c r="J8693" s="128">
        <v>250000</v>
      </c>
    </row>
    <row r="8694" spans="1:10" hidden="1" x14ac:dyDescent="0.25">
      <c r="A8694" s="124" t="s">
        <v>10918</v>
      </c>
      <c r="B8694" s="124" t="s">
        <v>11736</v>
      </c>
      <c r="C8694" s="132"/>
      <c r="D8694" s="125">
        <f t="shared" si="157"/>
        <v>0</v>
      </c>
      <c r="E8694" s="124" t="s">
        <v>8367</v>
      </c>
      <c r="F8694" s="126">
        <v>1</v>
      </c>
      <c r="G8694" s="128">
        <v>1530</v>
      </c>
      <c r="H8694" s="124" t="s">
        <v>8368</v>
      </c>
      <c r="I8694" s="127">
        <v>40</v>
      </c>
      <c r="J8694" s="127">
        <v>200</v>
      </c>
    </row>
    <row r="8695" spans="1:10" hidden="1" x14ac:dyDescent="0.25">
      <c r="A8695" s="124" t="s">
        <v>10919</v>
      </c>
      <c r="B8695" s="124" t="s">
        <v>11736</v>
      </c>
      <c r="C8695" s="132"/>
      <c r="D8695" s="125">
        <f t="shared" si="157"/>
        <v>0</v>
      </c>
      <c r="E8695" s="124" t="s">
        <v>8367</v>
      </c>
      <c r="F8695" s="126">
        <v>1</v>
      </c>
      <c r="G8695" s="128">
        <v>11730</v>
      </c>
      <c r="H8695" s="124" t="s">
        <v>8368</v>
      </c>
      <c r="I8695" s="127">
        <v>34.64</v>
      </c>
      <c r="J8695" s="127">
        <v>173.2</v>
      </c>
    </row>
    <row r="8696" spans="1:10" hidden="1" x14ac:dyDescent="0.25">
      <c r="A8696" s="124" t="s">
        <v>2874</v>
      </c>
      <c r="B8696" s="124" t="s">
        <v>11736</v>
      </c>
      <c r="C8696" s="132"/>
      <c r="D8696" s="125">
        <f t="shared" si="157"/>
        <v>0</v>
      </c>
      <c r="E8696" s="124" t="s">
        <v>8367</v>
      </c>
      <c r="F8696" s="126">
        <v>750</v>
      </c>
      <c r="G8696" s="128">
        <v>300000</v>
      </c>
      <c r="H8696" s="124" t="s">
        <v>8368</v>
      </c>
      <c r="I8696" s="127">
        <v>62.04</v>
      </c>
      <c r="J8696" s="127">
        <v>310.2</v>
      </c>
    </row>
    <row r="8697" spans="1:10" hidden="1" x14ac:dyDescent="0.25">
      <c r="A8697" s="124" t="s">
        <v>10920</v>
      </c>
      <c r="B8697" s="124" t="s">
        <v>11736</v>
      </c>
      <c r="C8697" s="132"/>
      <c r="D8697" s="125">
        <f t="shared" ref="D8697:D8715" si="158">COUNTIF(A4427:A8696,A8697)</f>
        <v>0</v>
      </c>
      <c r="E8697" s="124" t="s">
        <v>8367</v>
      </c>
      <c r="F8697" s="126">
        <v>20</v>
      </c>
      <c r="G8697" s="127">
        <v>240</v>
      </c>
      <c r="H8697" s="124" t="s">
        <v>8368</v>
      </c>
      <c r="I8697" s="128">
        <v>5114</v>
      </c>
      <c r="J8697" s="128">
        <v>25570</v>
      </c>
    </row>
    <row r="8698" spans="1:10" hidden="1" x14ac:dyDescent="0.25">
      <c r="A8698" s="124" t="s">
        <v>10921</v>
      </c>
      <c r="B8698" s="124" t="s">
        <v>11736</v>
      </c>
      <c r="C8698" s="132"/>
      <c r="D8698" s="125">
        <f t="shared" si="158"/>
        <v>0</v>
      </c>
      <c r="E8698" s="124" t="s">
        <v>8367</v>
      </c>
      <c r="F8698" s="126">
        <v>40</v>
      </c>
      <c r="G8698" s="127">
        <v>207.84</v>
      </c>
      <c r="H8698" s="124" t="s">
        <v>8368</v>
      </c>
      <c r="I8698" s="128">
        <v>5301.8</v>
      </c>
      <c r="J8698" s="128">
        <v>26509</v>
      </c>
    </row>
    <row r="8699" spans="1:10" hidden="1" x14ac:dyDescent="0.25">
      <c r="A8699" s="124" t="s">
        <v>10922</v>
      </c>
      <c r="B8699" s="124" t="s">
        <v>11736</v>
      </c>
      <c r="C8699" s="132"/>
      <c r="D8699" s="125">
        <f t="shared" si="158"/>
        <v>0</v>
      </c>
      <c r="E8699" s="124" t="s">
        <v>8367</v>
      </c>
      <c r="F8699" s="126">
        <v>60</v>
      </c>
      <c r="G8699" s="127">
        <v>372.24</v>
      </c>
      <c r="H8699" s="124" t="s">
        <v>8368</v>
      </c>
      <c r="I8699" s="128">
        <v>7076000</v>
      </c>
      <c r="J8699" s="128">
        <v>35380000</v>
      </c>
    </row>
    <row r="8700" spans="1:10" hidden="1" x14ac:dyDescent="0.25">
      <c r="A8700" s="124" t="s">
        <v>10923</v>
      </c>
      <c r="B8700" s="124" t="s">
        <v>11736</v>
      </c>
      <c r="C8700" s="132"/>
      <c r="D8700" s="125">
        <f t="shared" si="158"/>
        <v>0</v>
      </c>
      <c r="E8700" s="124" t="s">
        <v>8367</v>
      </c>
      <c r="F8700" s="126">
        <v>8</v>
      </c>
      <c r="G8700" s="128">
        <v>30684</v>
      </c>
      <c r="H8700" s="124" t="s">
        <v>8368</v>
      </c>
      <c r="I8700" s="128">
        <v>1233333.3999999999</v>
      </c>
      <c r="J8700" s="128">
        <v>6166667</v>
      </c>
    </row>
    <row r="8701" spans="1:10" hidden="1" x14ac:dyDescent="0.25">
      <c r="A8701" s="124" t="s">
        <v>10924</v>
      </c>
      <c r="B8701" s="124" t="s">
        <v>11736</v>
      </c>
      <c r="C8701" s="132"/>
      <c r="D8701" s="125">
        <f t="shared" si="158"/>
        <v>0</v>
      </c>
      <c r="E8701" s="124" t="s">
        <v>8367</v>
      </c>
      <c r="F8701" s="126">
        <v>6</v>
      </c>
      <c r="G8701" s="128">
        <v>31810.799999999999</v>
      </c>
      <c r="H8701" s="124" t="s">
        <v>8368</v>
      </c>
      <c r="I8701" s="128">
        <v>39631.599999999999</v>
      </c>
      <c r="J8701" s="128">
        <v>198158</v>
      </c>
    </row>
    <row r="8702" spans="1:10" hidden="1" x14ac:dyDescent="0.25">
      <c r="A8702" s="124" t="s">
        <v>10925</v>
      </c>
      <c r="B8702" s="124" t="s">
        <v>11736</v>
      </c>
      <c r="C8702" s="132"/>
      <c r="D8702" s="125">
        <f t="shared" si="158"/>
        <v>0</v>
      </c>
      <c r="E8702" s="124" t="s">
        <v>8367</v>
      </c>
      <c r="F8702" s="129">
        <v>1450</v>
      </c>
      <c r="G8702" s="128">
        <v>42456000</v>
      </c>
      <c r="H8702" s="124" t="s">
        <v>8368</v>
      </c>
      <c r="I8702" s="128">
        <v>532193.56999999995</v>
      </c>
      <c r="J8702" s="128">
        <v>2660967.83</v>
      </c>
    </row>
    <row r="8703" spans="1:10" hidden="1" x14ac:dyDescent="0.25">
      <c r="A8703" s="124" t="s">
        <v>10926</v>
      </c>
      <c r="B8703" s="124" t="s">
        <v>11736</v>
      </c>
      <c r="C8703" s="132"/>
      <c r="D8703" s="125">
        <f t="shared" si="158"/>
        <v>0</v>
      </c>
      <c r="E8703" s="124" t="s">
        <v>8367</v>
      </c>
      <c r="F8703" s="126">
        <v>200</v>
      </c>
      <c r="G8703" s="128">
        <v>7400000.4000000004</v>
      </c>
      <c r="H8703" s="124" t="s">
        <v>8368</v>
      </c>
      <c r="I8703" s="128">
        <v>7466.66</v>
      </c>
      <c r="J8703" s="128">
        <v>37333.32</v>
      </c>
    </row>
    <row r="8704" spans="1:10" hidden="1" x14ac:dyDescent="0.25">
      <c r="A8704" s="124" t="s">
        <v>10927</v>
      </c>
      <c r="B8704" s="124" t="s">
        <v>11736</v>
      </c>
      <c r="C8704" s="132"/>
      <c r="D8704" s="125">
        <f t="shared" si="158"/>
        <v>0</v>
      </c>
      <c r="E8704" s="124" t="s">
        <v>8367</v>
      </c>
      <c r="F8704" s="126">
        <v>4</v>
      </c>
      <c r="G8704" s="128">
        <v>237789.6</v>
      </c>
      <c r="H8704" s="124" t="s">
        <v>8368</v>
      </c>
      <c r="I8704" s="127">
        <v>600</v>
      </c>
      <c r="J8704" s="128">
        <v>3000</v>
      </c>
    </row>
    <row r="8705" spans="1:10" hidden="1" x14ac:dyDescent="0.25">
      <c r="A8705" s="124" t="s">
        <v>4306</v>
      </c>
      <c r="B8705" s="124" t="s">
        <v>11736</v>
      </c>
      <c r="C8705" s="132"/>
      <c r="D8705" s="125">
        <f t="shared" si="158"/>
        <v>0</v>
      </c>
      <c r="E8705" s="124" t="s">
        <v>8367</v>
      </c>
      <c r="F8705" s="126">
        <v>401</v>
      </c>
      <c r="G8705" s="128">
        <v>3193161.4</v>
      </c>
      <c r="H8705" s="124" t="s">
        <v>8368</v>
      </c>
      <c r="I8705" s="128">
        <v>2150</v>
      </c>
      <c r="J8705" s="128">
        <v>10750</v>
      </c>
    </row>
    <row r="8706" spans="1:10" hidden="1" x14ac:dyDescent="0.25">
      <c r="A8706" s="124" t="s">
        <v>10928</v>
      </c>
      <c r="B8706" s="124" t="s">
        <v>11736</v>
      </c>
      <c r="C8706" s="132"/>
      <c r="D8706" s="125">
        <f t="shared" si="158"/>
        <v>0</v>
      </c>
      <c r="E8706" s="124" t="s">
        <v>8627</v>
      </c>
      <c r="F8706" s="126">
        <v>4</v>
      </c>
      <c r="G8706" s="128">
        <v>44799.98</v>
      </c>
      <c r="H8706" s="124" t="s">
        <v>8368</v>
      </c>
      <c r="I8706" s="128">
        <v>24866.6</v>
      </c>
      <c r="J8706" s="128">
        <v>124333</v>
      </c>
    </row>
    <row r="8707" spans="1:10" hidden="1" x14ac:dyDescent="0.25">
      <c r="A8707" s="124" t="s">
        <v>10929</v>
      </c>
      <c r="B8707" s="124" t="s">
        <v>11736</v>
      </c>
      <c r="C8707" s="132"/>
      <c r="D8707" s="125">
        <f t="shared" si="158"/>
        <v>0</v>
      </c>
      <c r="E8707" s="124" t="s">
        <v>8627</v>
      </c>
      <c r="F8707" s="126">
        <v>2</v>
      </c>
      <c r="G8707" s="128">
        <v>3600</v>
      </c>
      <c r="H8707" s="124" t="s">
        <v>8368</v>
      </c>
      <c r="I8707" s="127">
        <v>550</v>
      </c>
      <c r="J8707" s="128">
        <v>2750.01</v>
      </c>
    </row>
    <row r="8708" spans="1:10" hidden="1" x14ac:dyDescent="0.25">
      <c r="A8708" s="124" t="s">
        <v>10930</v>
      </c>
      <c r="B8708" s="124" t="s">
        <v>11736</v>
      </c>
      <c r="C8708" s="132"/>
      <c r="D8708" s="125">
        <f t="shared" si="158"/>
        <v>0</v>
      </c>
      <c r="E8708" s="124" t="s">
        <v>8367</v>
      </c>
      <c r="F8708" s="126">
        <v>1</v>
      </c>
      <c r="G8708" s="128">
        <v>12900</v>
      </c>
      <c r="H8708" s="124" t="s">
        <v>8368</v>
      </c>
      <c r="I8708" s="128">
        <v>1372</v>
      </c>
      <c r="J8708" s="128">
        <v>6860</v>
      </c>
    </row>
    <row r="8709" spans="1:10" hidden="1" x14ac:dyDescent="0.25">
      <c r="A8709" s="124" t="s">
        <v>10931</v>
      </c>
      <c r="B8709" s="124" t="s">
        <v>11736</v>
      </c>
      <c r="C8709" s="132"/>
      <c r="D8709" s="125">
        <f t="shared" si="158"/>
        <v>0</v>
      </c>
      <c r="E8709" s="124" t="s">
        <v>8367</v>
      </c>
      <c r="F8709" s="126">
        <v>40</v>
      </c>
      <c r="G8709" s="128">
        <v>149199.6</v>
      </c>
      <c r="H8709" s="124" t="s">
        <v>8368</v>
      </c>
      <c r="I8709" s="128">
        <v>10651.6</v>
      </c>
      <c r="J8709" s="128">
        <v>53258</v>
      </c>
    </row>
    <row r="8710" spans="1:10" hidden="1" x14ac:dyDescent="0.25">
      <c r="A8710" s="124" t="s">
        <v>10932</v>
      </c>
      <c r="B8710" s="124" t="s">
        <v>11736</v>
      </c>
      <c r="C8710" s="132"/>
      <c r="D8710" s="125">
        <f t="shared" si="158"/>
        <v>0</v>
      </c>
      <c r="E8710" s="124" t="s">
        <v>8367</v>
      </c>
      <c r="F8710" s="126">
        <v>3</v>
      </c>
      <c r="G8710" s="128">
        <v>3300.01</v>
      </c>
      <c r="H8710" s="124" t="s">
        <v>8368</v>
      </c>
      <c r="I8710" s="128">
        <v>7725</v>
      </c>
      <c r="J8710" s="128">
        <v>38625</v>
      </c>
    </row>
    <row r="8711" spans="1:10" hidden="1" x14ac:dyDescent="0.25">
      <c r="A8711" s="124" t="s">
        <v>4189</v>
      </c>
      <c r="B8711" s="124" t="s">
        <v>11736</v>
      </c>
      <c r="C8711" s="132"/>
      <c r="D8711" s="125">
        <f t="shared" si="158"/>
        <v>0</v>
      </c>
      <c r="E8711" s="124" t="s">
        <v>8367</v>
      </c>
      <c r="F8711" s="126">
        <v>42</v>
      </c>
      <c r="G8711" s="128">
        <v>8232</v>
      </c>
      <c r="H8711" s="124" t="s">
        <v>8368</v>
      </c>
      <c r="I8711" s="128">
        <v>1499.34</v>
      </c>
      <c r="J8711" s="128">
        <v>7496.68</v>
      </c>
    </row>
    <row r="8712" spans="1:10" hidden="1" x14ac:dyDescent="0.25">
      <c r="A8712" s="124" t="s">
        <v>10933</v>
      </c>
      <c r="B8712" s="124" t="s">
        <v>11736</v>
      </c>
      <c r="C8712" s="132"/>
      <c r="D8712" s="125">
        <f t="shared" si="158"/>
        <v>0</v>
      </c>
      <c r="E8712" s="124" t="s">
        <v>8367</v>
      </c>
      <c r="F8712" s="126">
        <v>22</v>
      </c>
      <c r="G8712" s="128">
        <v>63909.599999999999</v>
      </c>
      <c r="H8712" s="124" t="s">
        <v>8368</v>
      </c>
      <c r="I8712" s="128">
        <v>12653.32</v>
      </c>
      <c r="J8712" s="128">
        <v>63266.6</v>
      </c>
    </row>
    <row r="8713" spans="1:10" hidden="1" x14ac:dyDescent="0.25">
      <c r="A8713" s="124" t="s">
        <v>10934</v>
      </c>
      <c r="B8713" s="124" t="s">
        <v>11736</v>
      </c>
      <c r="C8713" s="132"/>
      <c r="D8713" s="125">
        <f t="shared" si="158"/>
        <v>0</v>
      </c>
      <c r="E8713" s="124" t="s">
        <v>8367</v>
      </c>
      <c r="F8713" s="126">
        <v>3</v>
      </c>
      <c r="G8713" s="128">
        <v>46350</v>
      </c>
      <c r="H8713" s="124" t="s">
        <v>8368</v>
      </c>
      <c r="I8713" s="128">
        <v>6469.67</v>
      </c>
      <c r="J8713" s="128">
        <v>32348.33</v>
      </c>
    </row>
    <row r="8714" spans="1:10" hidden="1" x14ac:dyDescent="0.25">
      <c r="A8714" s="124" t="s">
        <v>10935</v>
      </c>
      <c r="B8714" s="124" t="s">
        <v>11736</v>
      </c>
      <c r="C8714" s="132"/>
      <c r="D8714" s="125">
        <f t="shared" si="158"/>
        <v>0</v>
      </c>
      <c r="E8714" s="124" t="s">
        <v>8367</v>
      </c>
      <c r="F8714" s="126">
        <v>2</v>
      </c>
      <c r="G8714" s="128">
        <v>8996.02</v>
      </c>
      <c r="H8714" s="124" t="s">
        <v>8368</v>
      </c>
      <c r="I8714" s="127">
        <v>793</v>
      </c>
      <c r="J8714" s="128">
        <v>3965</v>
      </c>
    </row>
    <row r="8715" spans="1:10" hidden="1" x14ac:dyDescent="0.25">
      <c r="A8715" s="124" t="s">
        <v>10936</v>
      </c>
      <c r="B8715" s="124" t="s">
        <v>11736</v>
      </c>
      <c r="C8715" s="132"/>
      <c r="D8715" s="125">
        <f t="shared" si="158"/>
        <v>0</v>
      </c>
      <c r="E8715" s="124" t="s">
        <v>8367</v>
      </c>
      <c r="F8715" s="126">
        <v>20</v>
      </c>
      <c r="G8715" s="128">
        <v>75919.92</v>
      </c>
      <c r="H8715" s="124" t="s">
        <v>8368</v>
      </c>
      <c r="I8715" s="128">
        <v>1606.68</v>
      </c>
      <c r="J8715" s="128">
        <v>8033.4</v>
      </c>
    </row>
    <row r="8716" spans="1:10" hidden="1" x14ac:dyDescent="0.25">
      <c r="A8716" s="124" t="s">
        <v>10937</v>
      </c>
      <c r="B8716" s="124" t="s">
        <v>11736</v>
      </c>
      <c r="C8716" s="132"/>
      <c r="D8716" s="125">
        <f>COUNTIF(A4447:A8715,A8716)</f>
        <v>0</v>
      </c>
      <c r="E8716" s="124" t="s">
        <v>8367</v>
      </c>
      <c r="F8716" s="126">
        <v>1</v>
      </c>
      <c r="G8716" s="128">
        <v>38818</v>
      </c>
      <c r="H8716" s="124" t="s">
        <v>8368</v>
      </c>
      <c r="I8716" s="128">
        <v>2600</v>
      </c>
      <c r="J8716" s="128">
        <v>13000</v>
      </c>
    </row>
    <row r="8717" spans="1:10" hidden="1" x14ac:dyDescent="0.25">
      <c r="A8717" s="124" t="s">
        <v>10938</v>
      </c>
      <c r="B8717" s="124" t="s">
        <v>11736</v>
      </c>
      <c r="C8717" s="132"/>
      <c r="D8717" s="125">
        <f>COUNTIF(A4448:A8716,A8717)</f>
        <v>0</v>
      </c>
      <c r="E8717" s="124" t="s">
        <v>8367</v>
      </c>
      <c r="F8717" s="126">
        <v>1</v>
      </c>
      <c r="G8717" s="128">
        <v>4758</v>
      </c>
      <c r="H8717" s="124" t="s">
        <v>8368</v>
      </c>
      <c r="I8717" s="127">
        <v>870</v>
      </c>
      <c r="J8717" s="128">
        <v>4350</v>
      </c>
    </row>
    <row r="8718" spans="1:10" hidden="1" x14ac:dyDescent="0.25">
      <c r="A8718" s="124" t="s">
        <v>10939</v>
      </c>
      <c r="B8718" s="124" t="s">
        <v>11736</v>
      </c>
      <c r="C8718" s="132"/>
      <c r="D8718" s="125">
        <f>COUNTIF(A4449:A8717,A8718)</f>
        <v>0</v>
      </c>
      <c r="E8718" s="124" t="s">
        <v>8367</v>
      </c>
      <c r="F8718" s="126">
        <v>20</v>
      </c>
      <c r="G8718" s="128">
        <v>9640.08</v>
      </c>
      <c r="H8718" s="124" t="s">
        <v>8368</v>
      </c>
      <c r="I8718" s="127">
        <v>48</v>
      </c>
      <c r="J8718" s="127">
        <v>240</v>
      </c>
    </row>
    <row r="8719" spans="1:10" hidden="1" x14ac:dyDescent="0.25">
      <c r="A8719" s="124" t="s">
        <v>5163</v>
      </c>
      <c r="B8719" s="124" t="s">
        <v>11736</v>
      </c>
      <c r="C8719" s="132"/>
      <c r="D8719" s="125">
        <f>COUNTIF(A4450:A8718,A8719)</f>
        <v>0</v>
      </c>
      <c r="E8719" s="124" t="s">
        <v>8367</v>
      </c>
      <c r="F8719" s="126">
        <v>30</v>
      </c>
      <c r="G8719" s="128">
        <v>15600</v>
      </c>
      <c r="H8719" s="124" t="s">
        <v>8368</v>
      </c>
      <c r="I8719" s="128">
        <v>2673.45</v>
      </c>
      <c r="J8719" s="128">
        <v>13367.27</v>
      </c>
    </row>
    <row r="8720" spans="1:10" hidden="1" x14ac:dyDescent="0.25">
      <c r="A8720" s="124" t="s">
        <v>10940</v>
      </c>
      <c r="B8720" s="124" t="s">
        <v>11736</v>
      </c>
      <c r="C8720" s="132"/>
      <c r="D8720" s="125">
        <f>COUNTIF(A4452:A8719,A8720)</f>
        <v>0</v>
      </c>
      <c r="E8720" s="124" t="s">
        <v>8367</v>
      </c>
      <c r="F8720" s="126">
        <v>30</v>
      </c>
      <c r="G8720" s="128">
        <v>5220</v>
      </c>
      <c r="H8720" s="124" t="s">
        <v>8368</v>
      </c>
      <c r="I8720" s="128">
        <v>1702.38</v>
      </c>
      <c r="J8720" s="128">
        <v>8511.9</v>
      </c>
    </row>
    <row r="8721" spans="1:10" hidden="1" x14ac:dyDescent="0.25">
      <c r="A8721" s="124" t="s">
        <v>10941</v>
      </c>
      <c r="B8721" s="124" t="s">
        <v>11736</v>
      </c>
      <c r="C8721" s="132"/>
      <c r="D8721" s="125">
        <f>COUNTIF(A4453:A8720,A8721)</f>
        <v>0</v>
      </c>
      <c r="E8721" s="124" t="s">
        <v>8367</v>
      </c>
      <c r="F8721" s="126">
        <v>30</v>
      </c>
      <c r="G8721" s="127">
        <v>288</v>
      </c>
      <c r="H8721" s="124" t="s">
        <v>8368</v>
      </c>
      <c r="I8721" s="127">
        <v>391.6</v>
      </c>
      <c r="J8721" s="128">
        <v>1958</v>
      </c>
    </row>
    <row r="8722" spans="1:10" hidden="1" x14ac:dyDescent="0.25">
      <c r="A8722" s="124" t="s">
        <v>6043</v>
      </c>
      <c r="B8722" s="124" t="s">
        <v>11736</v>
      </c>
      <c r="C8722" s="132"/>
      <c r="D8722" s="125">
        <f>COUNTIF(A4454:A8721,A8722)</f>
        <v>0</v>
      </c>
      <c r="E8722" s="124" t="s">
        <v>8367</v>
      </c>
      <c r="F8722" s="126">
        <v>40</v>
      </c>
      <c r="G8722" s="128">
        <v>16040.72</v>
      </c>
      <c r="H8722" s="124" t="s">
        <v>8368</v>
      </c>
      <c r="I8722" s="128">
        <v>1354.4</v>
      </c>
      <c r="J8722" s="128">
        <v>6772</v>
      </c>
    </row>
    <row r="8723" spans="1:10" hidden="1" x14ac:dyDescent="0.25">
      <c r="A8723" s="124" t="s">
        <v>5542</v>
      </c>
      <c r="B8723" s="124" t="s">
        <v>11736</v>
      </c>
      <c r="C8723" s="132"/>
      <c r="D8723" s="125">
        <f>COUNTIF(A4456:A8722,A8723)</f>
        <v>0</v>
      </c>
      <c r="E8723" s="124" t="s">
        <v>8451</v>
      </c>
      <c r="F8723" s="126">
        <v>45</v>
      </c>
      <c r="G8723" s="128">
        <v>10214.280000000001</v>
      </c>
      <c r="H8723" s="124" t="s">
        <v>8368</v>
      </c>
      <c r="I8723" s="127">
        <v>163.19999999999999</v>
      </c>
      <c r="J8723" s="127">
        <v>816</v>
      </c>
    </row>
    <row r="8724" spans="1:10" hidden="1" x14ac:dyDescent="0.25">
      <c r="A8724" s="124" t="s">
        <v>5307</v>
      </c>
      <c r="B8724" s="124" t="s">
        <v>11736</v>
      </c>
      <c r="C8724" s="132"/>
      <c r="D8724" s="125">
        <f t="shared" ref="D8724:D8738" si="159">COUNTIF(A4458:A8723,A8724)</f>
        <v>0</v>
      </c>
      <c r="E8724" s="124" t="s">
        <v>8367</v>
      </c>
      <c r="F8724" s="126">
        <v>1</v>
      </c>
      <c r="G8724" s="128">
        <v>2349.6</v>
      </c>
      <c r="H8724" s="124" t="s">
        <v>8368</v>
      </c>
      <c r="I8724" s="128">
        <v>10938</v>
      </c>
      <c r="J8724" s="128">
        <v>54690</v>
      </c>
    </row>
    <row r="8725" spans="1:10" hidden="1" x14ac:dyDescent="0.25">
      <c r="A8725" s="124" t="s">
        <v>3810</v>
      </c>
      <c r="B8725" s="124" t="s">
        <v>11736</v>
      </c>
      <c r="C8725" s="132"/>
      <c r="D8725" s="125">
        <f t="shared" si="159"/>
        <v>0</v>
      </c>
      <c r="E8725" s="124" t="s">
        <v>8367</v>
      </c>
      <c r="F8725" s="126">
        <v>2</v>
      </c>
      <c r="G8725" s="128">
        <v>8126.4</v>
      </c>
      <c r="H8725" s="124" t="s">
        <v>8368</v>
      </c>
      <c r="I8725" s="128">
        <v>16492</v>
      </c>
      <c r="J8725" s="128">
        <v>82460</v>
      </c>
    </row>
    <row r="8726" spans="1:10" hidden="1" x14ac:dyDescent="0.25">
      <c r="A8726" s="124" t="s">
        <v>10942</v>
      </c>
      <c r="B8726" s="124" t="s">
        <v>11736</v>
      </c>
      <c r="C8726" s="132"/>
      <c r="D8726" s="125">
        <f t="shared" si="159"/>
        <v>0</v>
      </c>
      <c r="E8726" s="124" t="s">
        <v>8367</v>
      </c>
      <c r="F8726" s="126">
        <v>10</v>
      </c>
      <c r="G8726" s="127">
        <v>979.2</v>
      </c>
      <c r="H8726" s="124" t="s">
        <v>8368</v>
      </c>
      <c r="I8726" s="127">
        <v>616.70000000000005</v>
      </c>
      <c r="J8726" s="128">
        <v>3083.5</v>
      </c>
    </row>
    <row r="8727" spans="1:10" hidden="1" x14ac:dyDescent="0.25">
      <c r="A8727" s="124" t="s">
        <v>6230</v>
      </c>
      <c r="B8727" s="124" t="s">
        <v>11736</v>
      </c>
      <c r="C8727" s="132"/>
      <c r="D8727" s="125">
        <f t="shared" si="159"/>
        <v>0</v>
      </c>
      <c r="E8727" s="124" t="s">
        <v>8367</v>
      </c>
      <c r="F8727" s="126">
        <v>3</v>
      </c>
      <c r="G8727" s="128">
        <v>65628</v>
      </c>
      <c r="H8727" s="124" t="s">
        <v>8368</v>
      </c>
      <c r="I8727" s="128">
        <v>2800</v>
      </c>
      <c r="J8727" s="128">
        <v>14000</v>
      </c>
    </row>
    <row r="8728" spans="1:10" hidden="1" x14ac:dyDescent="0.25">
      <c r="A8728" s="124" t="s">
        <v>10943</v>
      </c>
      <c r="B8728" s="124" t="s">
        <v>11736</v>
      </c>
      <c r="C8728" s="132"/>
      <c r="D8728" s="125">
        <f t="shared" si="159"/>
        <v>0</v>
      </c>
      <c r="E8728" s="124" t="s">
        <v>8367</v>
      </c>
      <c r="F8728" s="126">
        <v>19</v>
      </c>
      <c r="G8728" s="128">
        <v>98952</v>
      </c>
      <c r="H8728" s="124" t="s">
        <v>8368</v>
      </c>
      <c r="I8728" s="127">
        <v>750</v>
      </c>
      <c r="J8728" s="128">
        <v>3750</v>
      </c>
    </row>
    <row r="8729" spans="1:10" hidden="1" x14ac:dyDescent="0.25">
      <c r="A8729" s="124" t="s">
        <v>2434</v>
      </c>
      <c r="B8729" s="124" t="s">
        <v>11736</v>
      </c>
      <c r="C8729" s="132"/>
      <c r="D8729" s="125">
        <f t="shared" si="159"/>
        <v>0</v>
      </c>
      <c r="E8729" s="124" t="s">
        <v>8367</v>
      </c>
      <c r="F8729" s="129">
        <v>2000</v>
      </c>
      <c r="G8729" s="128">
        <v>3700.2</v>
      </c>
      <c r="H8729" s="124" t="s">
        <v>8368</v>
      </c>
      <c r="I8729" s="128">
        <v>1415.4</v>
      </c>
      <c r="J8729" s="128">
        <v>7077</v>
      </c>
    </row>
    <row r="8730" spans="1:10" hidden="1" x14ac:dyDescent="0.25">
      <c r="A8730" s="124" t="s">
        <v>2432</v>
      </c>
      <c r="B8730" s="124" t="s">
        <v>11736</v>
      </c>
      <c r="C8730" s="132"/>
      <c r="D8730" s="125">
        <f t="shared" si="159"/>
        <v>0</v>
      </c>
      <c r="E8730" s="124" t="s">
        <v>8367</v>
      </c>
      <c r="F8730" s="129">
        <v>4000</v>
      </c>
      <c r="G8730" s="128">
        <v>16800</v>
      </c>
      <c r="H8730" s="124" t="s">
        <v>8368</v>
      </c>
      <c r="I8730" s="127">
        <v>860</v>
      </c>
      <c r="J8730" s="128">
        <v>4300</v>
      </c>
    </row>
    <row r="8731" spans="1:10" hidden="1" x14ac:dyDescent="0.25">
      <c r="A8731" s="124" t="s">
        <v>10944</v>
      </c>
      <c r="B8731" s="124" t="s">
        <v>11736</v>
      </c>
      <c r="C8731" s="132"/>
      <c r="D8731" s="125">
        <f t="shared" si="159"/>
        <v>0</v>
      </c>
      <c r="E8731" s="124" t="s">
        <v>8367</v>
      </c>
      <c r="F8731" s="126">
        <v>10</v>
      </c>
      <c r="G8731" s="128">
        <v>4500</v>
      </c>
      <c r="H8731" s="124" t="s">
        <v>8368</v>
      </c>
      <c r="I8731" s="128">
        <v>1361.66</v>
      </c>
      <c r="J8731" s="128">
        <v>6808.3</v>
      </c>
    </row>
    <row r="8732" spans="1:10" hidden="1" x14ac:dyDescent="0.25">
      <c r="A8732" s="124" t="s">
        <v>10945</v>
      </c>
      <c r="B8732" s="124" t="s">
        <v>11736</v>
      </c>
      <c r="C8732" s="132"/>
      <c r="D8732" s="125">
        <f t="shared" si="159"/>
        <v>0</v>
      </c>
      <c r="E8732" s="124" t="s">
        <v>8367</v>
      </c>
      <c r="F8732" s="126">
        <v>7</v>
      </c>
      <c r="G8732" s="128">
        <v>8492.4</v>
      </c>
      <c r="H8732" s="124" t="s">
        <v>8368</v>
      </c>
      <c r="I8732" s="127">
        <v>182</v>
      </c>
      <c r="J8732" s="127">
        <v>910</v>
      </c>
    </row>
    <row r="8733" spans="1:10" hidden="1" x14ac:dyDescent="0.25">
      <c r="A8733" s="124" t="s">
        <v>4097</v>
      </c>
      <c r="B8733" s="124" t="s">
        <v>11736</v>
      </c>
      <c r="C8733" s="132"/>
      <c r="D8733" s="125">
        <f t="shared" si="159"/>
        <v>0</v>
      </c>
      <c r="E8733" s="124" t="s">
        <v>8367</v>
      </c>
      <c r="F8733" s="126">
        <v>2</v>
      </c>
      <c r="G8733" s="128">
        <v>5160</v>
      </c>
      <c r="H8733" s="124" t="s">
        <v>8368</v>
      </c>
      <c r="I8733" s="128">
        <v>3527.28</v>
      </c>
      <c r="J8733" s="128">
        <v>17636.400000000001</v>
      </c>
    </row>
    <row r="8734" spans="1:10" hidden="1" x14ac:dyDescent="0.25">
      <c r="A8734" s="124" t="s">
        <v>10946</v>
      </c>
      <c r="B8734" s="124" t="s">
        <v>11736</v>
      </c>
      <c r="C8734" s="132"/>
      <c r="D8734" s="125">
        <f t="shared" si="159"/>
        <v>0</v>
      </c>
      <c r="E8734" s="124" t="s">
        <v>8367</v>
      </c>
      <c r="F8734" s="126">
        <v>10</v>
      </c>
      <c r="G8734" s="128">
        <v>8169.96</v>
      </c>
      <c r="H8734" s="124" t="s">
        <v>8368</v>
      </c>
      <c r="I8734" s="127">
        <v>705.4</v>
      </c>
      <c r="J8734" s="128">
        <v>3527</v>
      </c>
    </row>
    <row r="8735" spans="1:10" hidden="1" x14ac:dyDescent="0.25">
      <c r="A8735" s="124" t="s">
        <v>10947</v>
      </c>
      <c r="B8735" s="124" t="s">
        <v>11736</v>
      </c>
      <c r="C8735" s="132"/>
      <c r="D8735" s="125">
        <f t="shared" si="159"/>
        <v>0</v>
      </c>
      <c r="E8735" s="124" t="s">
        <v>8367</v>
      </c>
      <c r="F8735" s="126">
        <v>7</v>
      </c>
      <c r="G8735" s="128">
        <v>1092</v>
      </c>
      <c r="H8735" s="124" t="s">
        <v>8368</v>
      </c>
      <c r="I8735" s="127">
        <v>246.67</v>
      </c>
      <c r="J8735" s="128">
        <v>1233.33</v>
      </c>
    </row>
    <row r="8736" spans="1:10" hidden="1" x14ac:dyDescent="0.25">
      <c r="A8736" s="124" t="s">
        <v>10948</v>
      </c>
      <c r="B8736" s="124" t="s">
        <v>11736</v>
      </c>
      <c r="C8736" s="132"/>
      <c r="D8736" s="125">
        <f t="shared" si="159"/>
        <v>0</v>
      </c>
      <c r="E8736" s="124" t="s">
        <v>8367</v>
      </c>
      <c r="F8736" s="126">
        <v>5</v>
      </c>
      <c r="G8736" s="128">
        <v>21163.68</v>
      </c>
      <c r="H8736" s="124" t="s">
        <v>8368</v>
      </c>
      <c r="I8736" s="127">
        <v>754</v>
      </c>
      <c r="J8736" s="128">
        <v>3770</v>
      </c>
    </row>
    <row r="8737" spans="1:10" hidden="1" x14ac:dyDescent="0.25">
      <c r="A8737" s="124" t="s">
        <v>10949</v>
      </c>
      <c r="B8737" s="124" t="s">
        <v>11736</v>
      </c>
      <c r="C8737" s="132"/>
      <c r="D8737" s="125">
        <f t="shared" si="159"/>
        <v>0</v>
      </c>
      <c r="E8737" s="124" t="s">
        <v>8367</v>
      </c>
      <c r="F8737" s="126">
        <v>8</v>
      </c>
      <c r="G8737" s="128">
        <v>4232.3999999999996</v>
      </c>
      <c r="H8737" s="124" t="s">
        <v>8368</v>
      </c>
      <c r="I8737" s="127">
        <v>562.69000000000005</v>
      </c>
      <c r="J8737" s="128">
        <v>2813.45</v>
      </c>
    </row>
    <row r="8738" spans="1:10" hidden="1" x14ac:dyDescent="0.25">
      <c r="A8738" s="124" t="s">
        <v>10950</v>
      </c>
      <c r="B8738" s="124" t="s">
        <v>11736</v>
      </c>
      <c r="C8738" s="132"/>
      <c r="D8738" s="125">
        <f t="shared" si="159"/>
        <v>0</v>
      </c>
      <c r="E8738" s="124" t="s">
        <v>8367</v>
      </c>
      <c r="F8738" s="126">
        <v>10</v>
      </c>
      <c r="G8738" s="128">
        <v>1480</v>
      </c>
      <c r="H8738" s="124" t="s">
        <v>8368</v>
      </c>
      <c r="I8738" s="127">
        <v>40.799999999999997</v>
      </c>
      <c r="J8738" s="127">
        <v>204</v>
      </c>
    </row>
    <row r="8739" spans="1:10" hidden="1" x14ac:dyDescent="0.25">
      <c r="A8739" s="124" t="s">
        <v>2401</v>
      </c>
      <c r="B8739" s="124" t="s">
        <v>11736</v>
      </c>
      <c r="C8739" s="132"/>
      <c r="D8739" s="125">
        <f>COUNTIF(A4474:A8738,A8739)</f>
        <v>0</v>
      </c>
      <c r="E8739" s="124" t="s">
        <v>8367</v>
      </c>
      <c r="F8739" s="126">
        <v>6</v>
      </c>
      <c r="G8739" s="128">
        <v>4524</v>
      </c>
      <c r="H8739" s="124" t="s">
        <v>8368</v>
      </c>
      <c r="I8739" s="127">
        <v>262</v>
      </c>
      <c r="J8739" s="128">
        <v>1309.98</v>
      </c>
    </row>
    <row r="8740" spans="1:10" hidden="1" x14ac:dyDescent="0.25">
      <c r="A8740" s="124" t="s">
        <v>1215</v>
      </c>
      <c r="B8740" s="124" t="s">
        <v>11736</v>
      </c>
      <c r="C8740" s="132"/>
      <c r="D8740" s="125">
        <f>COUNTIF(A4475:A8739,A8740)</f>
        <v>0</v>
      </c>
      <c r="E8740" s="124" t="s">
        <v>8367</v>
      </c>
      <c r="F8740" s="126">
        <v>6</v>
      </c>
      <c r="G8740" s="128">
        <v>3376.14</v>
      </c>
      <c r="H8740" s="124" t="s">
        <v>8368</v>
      </c>
      <c r="I8740" s="128">
        <v>14508</v>
      </c>
      <c r="J8740" s="128">
        <v>72540</v>
      </c>
    </row>
    <row r="8741" spans="1:10" hidden="1" x14ac:dyDescent="0.25">
      <c r="A8741" s="124" t="s">
        <v>10951</v>
      </c>
      <c r="B8741" s="124" t="s">
        <v>11736</v>
      </c>
      <c r="C8741" s="132"/>
      <c r="D8741" s="125">
        <f>COUNTIF(A4477:A8740,A8741)</f>
        <v>0</v>
      </c>
      <c r="E8741" s="124" t="s">
        <v>8367</v>
      </c>
      <c r="F8741" s="126">
        <v>5</v>
      </c>
      <c r="G8741" s="127">
        <v>244.8</v>
      </c>
      <c r="H8741" s="124" t="s">
        <v>8368</v>
      </c>
      <c r="I8741" s="128">
        <v>3975.87</v>
      </c>
      <c r="J8741" s="128">
        <v>19879.36</v>
      </c>
    </row>
    <row r="8742" spans="1:10" hidden="1" x14ac:dyDescent="0.25">
      <c r="A8742" s="124" t="s">
        <v>10952</v>
      </c>
      <c r="B8742" s="124" t="s">
        <v>11736</v>
      </c>
      <c r="C8742" s="132"/>
      <c r="D8742" s="125">
        <f>COUNTIF(A4478:A8741,A8742)</f>
        <v>0</v>
      </c>
      <c r="E8742" s="124" t="s">
        <v>8451</v>
      </c>
      <c r="F8742" s="126">
        <v>6</v>
      </c>
      <c r="G8742" s="128">
        <v>1571.98</v>
      </c>
      <c r="H8742" s="124" t="s">
        <v>8368</v>
      </c>
      <c r="I8742" s="128">
        <v>10438.799999999999</v>
      </c>
      <c r="J8742" s="128">
        <v>52194</v>
      </c>
    </row>
    <row r="8743" spans="1:10" hidden="1" x14ac:dyDescent="0.25">
      <c r="A8743" s="124" t="s">
        <v>10953</v>
      </c>
      <c r="B8743" s="124" t="s">
        <v>11736</v>
      </c>
      <c r="C8743" s="132"/>
      <c r="D8743" s="125">
        <f t="shared" ref="D8743:D8764" si="160">COUNTIF(A4480:A8742,A8743)</f>
        <v>0</v>
      </c>
      <c r="E8743" s="124" t="s">
        <v>8367</v>
      </c>
      <c r="F8743" s="129">
        <v>9000</v>
      </c>
      <c r="G8743" s="128">
        <v>87048</v>
      </c>
      <c r="H8743" s="124" t="s">
        <v>8368</v>
      </c>
      <c r="I8743" s="127">
        <v>828</v>
      </c>
      <c r="J8743" s="128">
        <v>4140</v>
      </c>
    </row>
    <row r="8744" spans="1:10" hidden="1" x14ac:dyDescent="0.25">
      <c r="A8744" s="124" t="s">
        <v>435</v>
      </c>
      <c r="B8744" s="124" t="s">
        <v>11736</v>
      </c>
      <c r="C8744" s="132"/>
      <c r="D8744" s="125">
        <f t="shared" si="160"/>
        <v>0</v>
      </c>
      <c r="E8744" s="124" t="s">
        <v>8367</v>
      </c>
      <c r="F8744" s="129">
        <v>27010</v>
      </c>
      <c r="G8744" s="128">
        <v>23855.23</v>
      </c>
      <c r="H8744" s="124" t="s">
        <v>8368</v>
      </c>
      <c r="I8744" s="128">
        <v>1871.8</v>
      </c>
      <c r="J8744" s="128">
        <v>9359</v>
      </c>
    </row>
    <row r="8745" spans="1:10" hidden="1" x14ac:dyDescent="0.25">
      <c r="A8745" s="124" t="s">
        <v>549</v>
      </c>
      <c r="B8745" s="124" t="s">
        <v>11736</v>
      </c>
      <c r="C8745" s="132"/>
      <c r="D8745" s="125">
        <f t="shared" si="160"/>
        <v>0</v>
      </c>
      <c r="E8745" s="124" t="s">
        <v>8367</v>
      </c>
      <c r="F8745" s="129">
        <v>3000</v>
      </c>
      <c r="G8745" s="128">
        <v>62632.800000000003</v>
      </c>
      <c r="H8745" s="124" t="s">
        <v>8368</v>
      </c>
      <c r="I8745" s="128">
        <v>3360.5</v>
      </c>
      <c r="J8745" s="128">
        <v>16802.5</v>
      </c>
    </row>
    <row r="8746" spans="1:10" hidden="1" x14ac:dyDescent="0.25">
      <c r="A8746" s="124" t="s">
        <v>10954</v>
      </c>
      <c r="B8746" s="124" t="s">
        <v>11736</v>
      </c>
      <c r="C8746" s="132"/>
      <c r="D8746" s="125">
        <f t="shared" si="160"/>
        <v>0</v>
      </c>
      <c r="E8746" s="124" t="s">
        <v>8367</v>
      </c>
      <c r="F8746" s="129">
        <v>2000</v>
      </c>
      <c r="G8746" s="128">
        <v>4968</v>
      </c>
      <c r="H8746" s="124" t="s">
        <v>8368</v>
      </c>
      <c r="I8746" s="127">
        <v>250.6</v>
      </c>
      <c r="J8746" s="128">
        <v>1253</v>
      </c>
    </row>
    <row r="8747" spans="1:10" hidden="1" x14ac:dyDescent="0.25">
      <c r="A8747" s="124" t="s">
        <v>1075</v>
      </c>
      <c r="B8747" s="124" t="s">
        <v>11736</v>
      </c>
      <c r="C8747" s="132"/>
      <c r="D8747" s="125">
        <f t="shared" si="160"/>
        <v>0</v>
      </c>
      <c r="E8747" s="124" t="s">
        <v>8367</v>
      </c>
      <c r="F8747" s="129">
        <v>1000</v>
      </c>
      <c r="G8747" s="128">
        <v>11230.8</v>
      </c>
      <c r="H8747" s="124" t="s">
        <v>8368</v>
      </c>
      <c r="I8747" s="127">
        <v>320</v>
      </c>
      <c r="J8747" s="128">
        <v>1600</v>
      </c>
    </row>
    <row r="8748" spans="1:10" hidden="1" x14ac:dyDescent="0.25">
      <c r="A8748" s="124" t="s">
        <v>251</v>
      </c>
      <c r="B8748" s="124" t="s">
        <v>11736</v>
      </c>
      <c r="C8748" s="132"/>
      <c r="D8748" s="125">
        <f t="shared" si="160"/>
        <v>0</v>
      </c>
      <c r="E8748" s="124" t="s">
        <v>8367</v>
      </c>
      <c r="F8748" s="129">
        <v>5000</v>
      </c>
      <c r="G8748" s="128">
        <v>20163</v>
      </c>
      <c r="H8748" s="124" t="s">
        <v>8368</v>
      </c>
      <c r="I8748" s="127">
        <v>540</v>
      </c>
      <c r="J8748" s="128">
        <v>2700</v>
      </c>
    </row>
    <row r="8749" spans="1:10" hidden="1" x14ac:dyDescent="0.25">
      <c r="A8749" s="124" t="s">
        <v>1161</v>
      </c>
      <c r="B8749" s="124" t="s">
        <v>11736</v>
      </c>
      <c r="C8749" s="132"/>
      <c r="D8749" s="125">
        <f t="shared" si="160"/>
        <v>0</v>
      </c>
      <c r="E8749" s="124" t="s">
        <v>8367</v>
      </c>
      <c r="F8749" s="126">
        <v>270</v>
      </c>
      <c r="G8749" s="128">
        <v>1503.6</v>
      </c>
      <c r="H8749" s="124" t="s">
        <v>8368</v>
      </c>
      <c r="I8749" s="128">
        <v>1055.5999999999999</v>
      </c>
      <c r="J8749" s="128">
        <v>5278</v>
      </c>
    </row>
    <row r="8750" spans="1:10" hidden="1" x14ac:dyDescent="0.25">
      <c r="A8750" s="124" t="s">
        <v>10955</v>
      </c>
      <c r="B8750" s="124" t="s">
        <v>11736</v>
      </c>
      <c r="C8750" s="132"/>
      <c r="D8750" s="125">
        <f t="shared" si="160"/>
        <v>0</v>
      </c>
      <c r="E8750" s="124" t="s">
        <v>8367</v>
      </c>
      <c r="F8750" s="129">
        <v>20000</v>
      </c>
      <c r="G8750" s="128">
        <v>1920</v>
      </c>
      <c r="H8750" s="124" t="s">
        <v>8368</v>
      </c>
      <c r="I8750" s="127">
        <v>722.6</v>
      </c>
      <c r="J8750" s="128">
        <v>3613</v>
      </c>
    </row>
    <row r="8751" spans="1:10" hidden="1" x14ac:dyDescent="0.25">
      <c r="A8751" s="124" t="s">
        <v>334</v>
      </c>
      <c r="B8751" s="124" t="s">
        <v>11736</v>
      </c>
      <c r="C8751" s="132"/>
      <c r="D8751" s="125">
        <f t="shared" si="160"/>
        <v>0</v>
      </c>
      <c r="E8751" s="124" t="s">
        <v>8367</v>
      </c>
      <c r="F8751" s="129">
        <v>4000</v>
      </c>
      <c r="G8751" s="128">
        <v>3240</v>
      </c>
      <c r="H8751" s="124" t="s">
        <v>8368</v>
      </c>
      <c r="I8751" s="127">
        <v>442.4</v>
      </c>
      <c r="J8751" s="128">
        <v>2212</v>
      </c>
    </row>
    <row r="8752" spans="1:10" hidden="1" x14ac:dyDescent="0.25">
      <c r="A8752" s="124" t="s">
        <v>10956</v>
      </c>
      <c r="B8752" s="124" t="s">
        <v>11736</v>
      </c>
      <c r="C8752" s="132"/>
      <c r="D8752" s="125">
        <f t="shared" si="160"/>
        <v>0</v>
      </c>
      <c r="E8752" s="124" t="s">
        <v>8367</v>
      </c>
      <c r="F8752" s="129">
        <v>2000</v>
      </c>
      <c r="G8752" s="128">
        <v>6333.6</v>
      </c>
      <c r="H8752" s="124" t="s">
        <v>8368</v>
      </c>
      <c r="I8752" s="127">
        <v>160</v>
      </c>
      <c r="J8752" s="127">
        <v>800</v>
      </c>
    </row>
    <row r="8753" spans="1:10" hidden="1" x14ac:dyDescent="0.25">
      <c r="A8753" s="124" t="s">
        <v>321</v>
      </c>
      <c r="B8753" s="124" t="s">
        <v>11736</v>
      </c>
      <c r="C8753" s="132"/>
      <c r="D8753" s="125">
        <f t="shared" si="160"/>
        <v>0</v>
      </c>
      <c r="E8753" s="124" t="s">
        <v>8367</v>
      </c>
      <c r="F8753" s="129">
        <v>3000</v>
      </c>
      <c r="G8753" s="128">
        <v>4335.6000000000004</v>
      </c>
      <c r="H8753" s="124" t="s">
        <v>8368</v>
      </c>
      <c r="I8753" s="127">
        <v>136</v>
      </c>
      <c r="J8753" s="127">
        <v>680</v>
      </c>
    </row>
    <row r="8754" spans="1:10" hidden="1" x14ac:dyDescent="0.25">
      <c r="A8754" s="124" t="s">
        <v>1331</v>
      </c>
      <c r="B8754" s="124" t="s">
        <v>11736</v>
      </c>
      <c r="C8754" s="132"/>
      <c r="D8754" s="125">
        <f t="shared" si="160"/>
        <v>0</v>
      </c>
      <c r="E8754" s="124" t="s">
        <v>8367</v>
      </c>
      <c r="F8754" s="129">
        <v>40000</v>
      </c>
      <c r="G8754" s="128">
        <v>2654.4</v>
      </c>
      <c r="H8754" s="124" t="s">
        <v>8368</v>
      </c>
      <c r="I8754" s="127">
        <v>160</v>
      </c>
      <c r="J8754" s="127">
        <v>800</v>
      </c>
    </row>
    <row r="8755" spans="1:10" hidden="1" x14ac:dyDescent="0.25">
      <c r="A8755" s="124" t="s">
        <v>10957</v>
      </c>
      <c r="B8755" s="124" t="s">
        <v>11736</v>
      </c>
      <c r="C8755" s="132"/>
      <c r="D8755" s="125">
        <f t="shared" si="160"/>
        <v>0</v>
      </c>
      <c r="E8755" s="124" t="s">
        <v>8367</v>
      </c>
      <c r="F8755" s="129">
        <v>10000</v>
      </c>
      <c r="G8755" s="127">
        <v>960</v>
      </c>
      <c r="H8755" s="124" t="s">
        <v>8368</v>
      </c>
      <c r="I8755" s="127">
        <v>100</v>
      </c>
      <c r="J8755" s="127">
        <v>500</v>
      </c>
    </row>
    <row r="8756" spans="1:10" hidden="1" x14ac:dyDescent="0.25">
      <c r="A8756" s="124" t="s">
        <v>10958</v>
      </c>
      <c r="B8756" s="124" t="s">
        <v>11736</v>
      </c>
      <c r="C8756" s="132"/>
      <c r="D8756" s="125">
        <f t="shared" si="160"/>
        <v>0</v>
      </c>
      <c r="E8756" s="124" t="s">
        <v>8367</v>
      </c>
      <c r="F8756" s="129">
        <v>4000</v>
      </c>
      <c r="G8756" s="127">
        <v>816</v>
      </c>
      <c r="H8756" s="124" t="s">
        <v>8368</v>
      </c>
      <c r="I8756" s="127">
        <v>100</v>
      </c>
      <c r="J8756" s="127">
        <v>500</v>
      </c>
    </row>
    <row r="8757" spans="1:10" hidden="1" x14ac:dyDescent="0.25">
      <c r="A8757" s="124" t="s">
        <v>10959</v>
      </c>
      <c r="B8757" s="124" t="s">
        <v>11736</v>
      </c>
      <c r="C8757" s="132"/>
      <c r="D8757" s="125">
        <f t="shared" si="160"/>
        <v>0</v>
      </c>
      <c r="E8757" s="124" t="s">
        <v>8367</v>
      </c>
      <c r="F8757" s="129">
        <v>10000</v>
      </c>
      <c r="G8757" s="127">
        <v>960</v>
      </c>
      <c r="H8757" s="124" t="s">
        <v>8368</v>
      </c>
      <c r="I8757" s="127">
        <v>100</v>
      </c>
      <c r="J8757" s="127">
        <v>500</v>
      </c>
    </row>
    <row r="8758" spans="1:10" hidden="1" x14ac:dyDescent="0.25">
      <c r="A8758" s="124" t="s">
        <v>10960</v>
      </c>
      <c r="B8758" s="124" t="s">
        <v>11736</v>
      </c>
      <c r="C8758" s="132"/>
      <c r="D8758" s="125">
        <f t="shared" si="160"/>
        <v>0</v>
      </c>
      <c r="E8758" s="124" t="s">
        <v>8367</v>
      </c>
      <c r="F8758" s="129">
        <v>10000</v>
      </c>
      <c r="G8758" s="127">
        <v>600</v>
      </c>
      <c r="H8758" s="124" t="s">
        <v>8368</v>
      </c>
      <c r="I8758" s="127">
        <v>100</v>
      </c>
      <c r="J8758" s="127">
        <v>500</v>
      </c>
    </row>
    <row r="8759" spans="1:10" hidden="1" x14ac:dyDescent="0.25">
      <c r="A8759" s="124" t="s">
        <v>10961</v>
      </c>
      <c r="B8759" s="124" t="s">
        <v>11736</v>
      </c>
      <c r="C8759" s="132"/>
      <c r="D8759" s="125">
        <f t="shared" si="160"/>
        <v>0</v>
      </c>
      <c r="E8759" s="124" t="s">
        <v>8367</v>
      </c>
      <c r="F8759" s="129">
        <v>10000</v>
      </c>
      <c r="G8759" s="127">
        <v>600</v>
      </c>
      <c r="H8759" s="124" t="s">
        <v>8368</v>
      </c>
      <c r="I8759" s="127">
        <v>92</v>
      </c>
      <c r="J8759" s="127">
        <v>460</v>
      </c>
    </row>
    <row r="8760" spans="1:10" hidden="1" x14ac:dyDescent="0.25">
      <c r="A8760" s="124" t="s">
        <v>10962</v>
      </c>
      <c r="B8760" s="124" t="s">
        <v>11736</v>
      </c>
      <c r="C8760" s="132"/>
      <c r="D8760" s="125">
        <f t="shared" si="160"/>
        <v>0</v>
      </c>
      <c r="E8760" s="124" t="s">
        <v>8367</v>
      </c>
      <c r="F8760" s="129">
        <v>10000</v>
      </c>
      <c r="G8760" s="127">
        <v>600</v>
      </c>
      <c r="H8760" s="124" t="s">
        <v>8368</v>
      </c>
      <c r="I8760" s="128">
        <v>39614.050000000003</v>
      </c>
      <c r="J8760" s="128">
        <v>198070.23</v>
      </c>
    </row>
    <row r="8761" spans="1:10" hidden="1" x14ac:dyDescent="0.25">
      <c r="A8761" s="124" t="s">
        <v>10963</v>
      </c>
      <c r="B8761" s="124" t="s">
        <v>11736</v>
      </c>
      <c r="C8761" s="132"/>
      <c r="D8761" s="125">
        <f t="shared" si="160"/>
        <v>0</v>
      </c>
      <c r="E8761" s="124" t="s">
        <v>8367</v>
      </c>
      <c r="F8761" s="129">
        <v>10000</v>
      </c>
      <c r="G8761" s="127">
        <v>600</v>
      </c>
      <c r="H8761" s="124" t="s">
        <v>8368</v>
      </c>
      <c r="I8761" s="127">
        <v>161.29</v>
      </c>
      <c r="J8761" s="127">
        <v>806.42</v>
      </c>
    </row>
    <row r="8762" spans="1:10" hidden="1" x14ac:dyDescent="0.25">
      <c r="A8762" s="124" t="s">
        <v>1322</v>
      </c>
      <c r="B8762" s="124" t="s">
        <v>11736</v>
      </c>
      <c r="C8762" s="132"/>
      <c r="D8762" s="125">
        <f t="shared" si="160"/>
        <v>0</v>
      </c>
      <c r="E8762" s="124" t="s">
        <v>8367</v>
      </c>
      <c r="F8762" s="129">
        <v>10000</v>
      </c>
      <c r="G8762" s="127">
        <v>552</v>
      </c>
      <c r="H8762" s="124" t="s">
        <v>8368</v>
      </c>
      <c r="I8762" s="128">
        <v>14086.7</v>
      </c>
      <c r="J8762" s="128">
        <v>70433.5</v>
      </c>
    </row>
    <row r="8763" spans="1:10" hidden="1" x14ac:dyDescent="0.25">
      <c r="A8763" s="124" t="s">
        <v>115</v>
      </c>
      <c r="B8763" s="124" t="s">
        <v>11736</v>
      </c>
      <c r="C8763" s="132"/>
      <c r="D8763" s="125">
        <f t="shared" si="160"/>
        <v>0</v>
      </c>
      <c r="E8763" s="124" t="s">
        <v>8367</v>
      </c>
      <c r="F8763" s="129">
        <v>4256</v>
      </c>
      <c r="G8763" s="128">
        <v>237684.28</v>
      </c>
      <c r="H8763" s="124" t="s">
        <v>8368</v>
      </c>
      <c r="I8763" s="128">
        <v>6081</v>
      </c>
      <c r="J8763" s="128">
        <v>30405</v>
      </c>
    </row>
    <row r="8764" spans="1:10" hidden="1" x14ac:dyDescent="0.25">
      <c r="A8764" s="124" t="s">
        <v>10964</v>
      </c>
      <c r="B8764" s="124" t="s">
        <v>11736</v>
      </c>
      <c r="C8764" s="132"/>
      <c r="D8764" s="125">
        <f t="shared" si="160"/>
        <v>0</v>
      </c>
      <c r="E8764" s="124" t="s">
        <v>8367</v>
      </c>
      <c r="F8764" s="126">
        <v>1</v>
      </c>
      <c r="G8764" s="127">
        <v>967.71</v>
      </c>
      <c r="H8764" s="124" t="s">
        <v>8368</v>
      </c>
      <c r="I8764" s="128">
        <v>24070</v>
      </c>
      <c r="J8764" s="128">
        <v>120350</v>
      </c>
    </row>
    <row r="8765" spans="1:10" hidden="1" x14ac:dyDescent="0.25">
      <c r="A8765" s="124" t="s">
        <v>10965</v>
      </c>
      <c r="B8765" s="124" t="s">
        <v>11736</v>
      </c>
      <c r="C8765" s="132"/>
      <c r="D8765" s="125">
        <f t="shared" ref="D8765:D8770" si="161">COUNTIF(A4503:A8764,A8765)</f>
        <v>0</v>
      </c>
      <c r="E8765" s="124" t="s">
        <v>8367</v>
      </c>
      <c r="F8765" s="126">
        <v>170</v>
      </c>
      <c r="G8765" s="128">
        <v>84520.2</v>
      </c>
      <c r="H8765" s="124" t="s">
        <v>8368</v>
      </c>
      <c r="I8765" s="128">
        <v>13628.4</v>
      </c>
      <c r="J8765" s="128">
        <v>68142</v>
      </c>
    </row>
    <row r="8766" spans="1:10" hidden="1" x14ac:dyDescent="0.25">
      <c r="A8766" s="124" t="s">
        <v>10966</v>
      </c>
      <c r="B8766" s="124" t="s">
        <v>11736</v>
      </c>
      <c r="C8766" s="132"/>
      <c r="D8766" s="125">
        <f t="shared" si="161"/>
        <v>0</v>
      </c>
      <c r="E8766" s="124" t="s">
        <v>8367</v>
      </c>
      <c r="F8766" s="126">
        <v>2</v>
      </c>
      <c r="G8766" s="128">
        <v>36486</v>
      </c>
      <c r="H8766" s="124" t="s">
        <v>8368</v>
      </c>
      <c r="I8766" s="128">
        <v>17446.400000000001</v>
      </c>
      <c r="J8766" s="128">
        <v>87232</v>
      </c>
    </row>
    <row r="8767" spans="1:10" hidden="1" x14ac:dyDescent="0.25">
      <c r="A8767" s="124" t="s">
        <v>10967</v>
      </c>
      <c r="B8767" s="124" t="s">
        <v>11736</v>
      </c>
      <c r="C8767" s="132"/>
      <c r="D8767" s="125">
        <f t="shared" si="161"/>
        <v>0</v>
      </c>
      <c r="E8767" s="124" t="s">
        <v>8367</v>
      </c>
      <c r="F8767" s="126">
        <v>20</v>
      </c>
      <c r="G8767" s="128">
        <v>144420</v>
      </c>
      <c r="H8767" s="124" t="s">
        <v>8368</v>
      </c>
      <c r="I8767" s="128">
        <v>5019850.62</v>
      </c>
      <c r="J8767" s="128">
        <v>25099253.100000001</v>
      </c>
    </row>
    <row r="8768" spans="1:10" hidden="1" x14ac:dyDescent="0.25">
      <c r="A8768" s="124" t="s">
        <v>1918</v>
      </c>
      <c r="B8768" s="124" t="s">
        <v>11736</v>
      </c>
      <c r="C8768" s="132"/>
      <c r="D8768" s="125">
        <f t="shared" si="161"/>
        <v>0</v>
      </c>
      <c r="E8768" s="124" t="s">
        <v>8627</v>
      </c>
      <c r="F8768" s="126">
        <v>41</v>
      </c>
      <c r="G8768" s="128">
        <v>81770.399999999994</v>
      </c>
      <c r="H8768" s="124" t="s">
        <v>8368</v>
      </c>
      <c r="I8768" s="127">
        <v>465.8</v>
      </c>
      <c r="J8768" s="128">
        <v>2329</v>
      </c>
    </row>
    <row r="8769" spans="1:10" hidden="1" x14ac:dyDescent="0.25">
      <c r="A8769" s="124" t="s">
        <v>10968</v>
      </c>
      <c r="B8769" s="124" t="s">
        <v>11736</v>
      </c>
      <c r="C8769" s="132"/>
      <c r="D8769" s="125">
        <f t="shared" si="161"/>
        <v>0</v>
      </c>
      <c r="E8769" s="124" t="s">
        <v>9134</v>
      </c>
      <c r="F8769" s="129">
        <v>1363</v>
      </c>
      <c r="G8769" s="128">
        <v>104678.39999999999</v>
      </c>
      <c r="H8769" s="124" t="s">
        <v>8368</v>
      </c>
      <c r="I8769" s="127">
        <v>934.1</v>
      </c>
      <c r="J8769" s="128">
        <v>4670.5</v>
      </c>
    </row>
    <row r="8770" spans="1:10" hidden="1" x14ac:dyDescent="0.25">
      <c r="A8770" s="124" t="s">
        <v>10969</v>
      </c>
      <c r="B8770" s="124" t="s">
        <v>11736</v>
      </c>
      <c r="C8770" s="132"/>
      <c r="D8770" s="125">
        <f t="shared" si="161"/>
        <v>0</v>
      </c>
      <c r="E8770" s="124" t="s">
        <v>8367</v>
      </c>
      <c r="F8770" s="129">
        <v>3970</v>
      </c>
      <c r="G8770" s="128">
        <v>30119103.719999999</v>
      </c>
      <c r="H8770" s="124" t="s">
        <v>8368</v>
      </c>
      <c r="I8770" s="127">
        <v>467</v>
      </c>
      <c r="J8770" s="128">
        <v>2335</v>
      </c>
    </row>
    <row r="8771" spans="1:10" hidden="1" x14ac:dyDescent="0.25">
      <c r="A8771" s="124" t="s">
        <v>5689</v>
      </c>
      <c r="B8771" s="124" t="s">
        <v>11736</v>
      </c>
      <c r="C8771" s="132"/>
      <c r="D8771" s="125">
        <f t="shared" ref="D8771:D8779" si="162">COUNTIF(A4510:A8770,A8771)</f>
        <v>0</v>
      </c>
      <c r="E8771" s="124" t="s">
        <v>8367</v>
      </c>
      <c r="F8771" s="126">
        <v>1</v>
      </c>
      <c r="G8771" s="128">
        <v>2794.8</v>
      </c>
      <c r="H8771" s="124" t="s">
        <v>8368</v>
      </c>
      <c r="I8771" s="127">
        <v>934.1</v>
      </c>
      <c r="J8771" s="128">
        <v>4670.5</v>
      </c>
    </row>
    <row r="8772" spans="1:10" hidden="1" x14ac:dyDescent="0.25">
      <c r="A8772" s="124" t="s">
        <v>2243</v>
      </c>
      <c r="B8772" s="124" t="s">
        <v>11736</v>
      </c>
      <c r="C8772" s="132"/>
      <c r="D8772" s="125">
        <f t="shared" si="162"/>
        <v>0</v>
      </c>
      <c r="E8772" s="124" t="s">
        <v>8367</v>
      </c>
      <c r="F8772" s="126">
        <v>2</v>
      </c>
      <c r="G8772" s="128">
        <v>5604.6</v>
      </c>
      <c r="H8772" s="124" t="s">
        <v>8368</v>
      </c>
      <c r="I8772" s="128">
        <v>1401.2</v>
      </c>
      <c r="J8772" s="128">
        <v>7006</v>
      </c>
    </row>
    <row r="8773" spans="1:10" hidden="1" x14ac:dyDescent="0.25">
      <c r="A8773" s="124" t="s">
        <v>2245</v>
      </c>
      <c r="B8773" s="124" t="s">
        <v>11736</v>
      </c>
      <c r="C8773" s="132"/>
      <c r="D8773" s="125">
        <f t="shared" si="162"/>
        <v>0</v>
      </c>
      <c r="E8773" s="124" t="s">
        <v>8367</v>
      </c>
      <c r="F8773" s="126">
        <v>1</v>
      </c>
      <c r="G8773" s="128">
        <v>2802</v>
      </c>
      <c r="H8773" s="124" t="s">
        <v>8368</v>
      </c>
      <c r="I8773" s="127">
        <v>467</v>
      </c>
      <c r="J8773" s="128">
        <v>2335</v>
      </c>
    </row>
    <row r="8774" spans="1:10" hidden="1" x14ac:dyDescent="0.25">
      <c r="A8774" s="124" t="s">
        <v>10970</v>
      </c>
      <c r="B8774" s="124" t="s">
        <v>11736</v>
      </c>
      <c r="C8774" s="132"/>
      <c r="D8774" s="125">
        <f t="shared" si="162"/>
        <v>0</v>
      </c>
      <c r="E8774" s="124" t="s">
        <v>8367</v>
      </c>
      <c r="F8774" s="126">
        <v>2</v>
      </c>
      <c r="G8774" s="128">
        <v>5604.6</v>
      </c>
      <c r="H8774" s="124" t="s">
        <v>8368</v>
      </c>
      <c r="I8774" s="127">
        <v>119</v>
      </c>
      <c r="J8774" s="127">
        <v>595</v>
      </c>
    </row>
    <row r="8775" spans="1:10" hidden="1" x14ac:dyDescent="0.25">
      <c r="A8775" s="124" t="s">
        <v>10971</v>
      </c>
      <c r="B8775" s="124" t="s">
        <v>11736</v>
      </c>
      <c r="C8775" s="132"/>
      <c r="D8775" s="125">
        <f t="shared" si="162"/>
        <v>0</v>
      </c>
      <c r="E8775" s="124" t="s">
        <v>8367</v>
      </c>
      <c r="F8775" s="126">
        <v>3</v>
      </c>
      <c r="G8775" s="128">
        <v>8407.2000000000007</v>
      </c>
      <c r="H8775" s="124" t="s">
        <v>8368</v>
      </c>
      <c r="I8775" s="127">
        <v>892.6</v>
      </c>
      <c r="J8775" s="128">
        <v>4463</v>
      </c>
    </row>
    <row r="8776" spans="1:10" hidden="1" x14ac:dyDescent="0.25">
      <c r="A8776" s="124" t="s">
        <v>10972</v>
      </c>
      <c r="B8776" s="124" t="s">
        <v>11736</v>
      </c>
      <c r="C8776" s="132"/>
      <c r="D8776" s="125">
        <f t="shared" si="162"/>
        <v>0</v>
      </c>
      <c r="E8776" s="124" t="s">
        <v>8367</v>
      </c>
      <c r="F8776" s="126">
        <v>1</v>
      </c>
      <c r="G8776" s="128">
        <v>2802</v>
      </c>
      <c r="H8776" s="124" t="s">
        <v>8368</v>
      </c>
      <c r="I8776" s="127">
        <v>76.5</v>
      </c>
      <c r="J8776" s="127">
        <v>382.5</v>
      </c>
    </row>
    <row r="8777" spans="1:10" hidden="1" x14ac:dyDescent="0.25">
      <c r="A8777" s="124" t="s">
        <v>2075</v>
      </c>
      <c r="B8777" s="124" t="s">
        <v>11736</v>
      </c>
      <c r="C8777" s="132"/>
      <c r="D8777" s="125">
        <f t="shared" si="162"/>
        <v>0</v>
      </c>
      <c r="E8777" s="124" t="s">
        <v>8367</v>
      </c>
      <c r="F8777" s="126">
        <v>2</v>
      </c>
      <c r="G8777" s="127">
        <v>714</v>
      </c>
      <c r="H8777" s="124" t="s">
        <v>8368</v>
      </c>
      <c r="I8777" s="127">
        <v>925.6</v>
      </c>
      <c r="J8777" s="128">
        <v>4628</v>
      </c>
    </row>
    <row r="8778" spans="1:10" hidden="1" x14ac:dyDescent="0.25">
      <c r="A8778" s="124" t="s">
        <v>2073</v>
      </c>
      <c r="B8778" s="124" t="s">
        <v>11736</v>
      </c>
      <c r="C8778" s="132"/>
      <c r="D8778" s="125">
        <f t="shared" si="162"/>
        <v>0</v>
      </c>
      <c r="E8778" s="124" t="s">
        <v>8367</v>
      </c>
      <c r="F8778" s="126">
        <v>15</v>
      </c>
      <c r="G8778" s="128">
        <v>5355.6</v>
      </c>
      <c r="H8778" s="124" t="s">
        <v>8368</v>
      </c>
      <c r="I8778" s="128">
        <v>2337</v>
      </c>
      <c r="J8778" s="128">
        <v>11685</v>
      </c>
    </row>
    <row r="8779" spans="1:10" hidden="1" x14ac:dyDescent="0.25">
      <c r="A8779" s="124" t="s">
        <v>5399</v>
      </c>
      <c r="B8779" s="124" t="s">
        <v>11736</v>
      </c>
      <c r="C8779" s="132"/>
      <c r="D8779" s="125">
        <f t="shared" si="162"/>
        <v>0</v>
      </c>
      <c r="E8779" s="124" t="s">
        <v>8367</v>
      </c>
      <c r="F8779" s="126">
        <v>15</v>
      </c>
      <c r="G8779" s="127">
        <v>459</v>
      </c>
      <c r="H8779" s="124" t="s">
        <v>8368</v>
      </c>
      <c r="I8779" s="128">
        <v>2832.6</v>
      </c>
      <c r="J8779" s="128">
        <v>14163</v>
      </c>
    </row>
    <row r="8780" spans="1:10" hidden="1" x14ac:dyDescent="0.25">
      <c r="A8780" s="124" t="s">
        <v>10973</v>
      </c>
      <c r="B8780" s="124" t="s">
        <v>11736</v>
      </c>
      <c r="C8780" s="132"/>
      <c r="D8780" s="125">
        <f>COUNTIF(A4520:A8779,A8780)</f>
        <v>0</v>
      </c>
      <c r="E8780" s="124" t="s">
        <v>8367</v>
      </c>
      <c r="F8780" s="126">
        <v>1</v>
      </c>
      <c r="G8780" s="128">
        <v>5553.6</v>
      </c>
      <c r="H8780" s="124" t="s">
        <v>8368</v>
      </c>
      <c r="I8780" s="128">
        <v>1133.0999999999999</v>
      </c>
      <c r="J8780" s="128">
        <v>5665.5</v>
      </c>
    </row>
    <row r="8781" spans="1:10" hidden="1" x14ac:dyDescent="0.25">
      <c r="A8781" s="124" t="s">
        <v>4009</v>
      </c>
      <c r="B8781" s="124" t="s">
        <v>11736</v>
      </c>
      <c r="C8781" s="132"/>
      <c r="D8781" s="125">
        <f>COUNTIF(A4521:A8780,A8781)</f>
        <v>0</v>
      </c>
      <c r="E8781" s="124" t="s">
        <v>8367</v>
      </c>
      <c r="F8781" s="126">
        <v>3</v>
      </c>
      <c r="G8781" s="128">
        <v>14022</v>
      </c>
      <c r="H8781" s="124" t="s">
        <v>8368</v>
      </c>
      <c r="I8781" s="127">
        <v>566.6</v>
      </c>
      <c r="J8781" s="128">
        <v>2833</v>
      </c>
    </row>
    <row r="8782" spans="1:10" hidden="1" x14ac:dyDescent="0.25">
      <c r="A8782" s="124" t="s">
        <v>10974</v>
      </c>
      <c r="B8782" s="124" t="s">
        <v>11736</v>
      </c>
      <c r="C8782" s="132"/>
      <c r="D8782" s="125">
        <f t="shared" ref="D8782:D8787" si="163">COUNTIF(A4523:A8781,A8782)</f>
        <v>0</v>
      </c>
      <c r="E8782" s="124" t="s">
        <v>8367</v>
      </c>
      <c r="F8782" s="126">
        <v>5</v>
      </c>
      <c r="G8782" s="128">
        <v>16995.599999999999</v>
      </c>
      <c r="H8782" s="124" t="s">
        <v>8368</v>
      </c>
      <c r="I8782" s="128">
        <v>3487.5</v>
      </c>
      <c r="J8782" s="128">
        <v>17437.5</v>
      </c>
    </row>
    <row r="8783" spans="1:10" hidden="1" x14ac:dyDescent="0.25">
      <c r="A8783" s="124" t="s">
        <v>4140</v>
      </c>
      <c r="B8783" s="124" t="s">
        <v>11736</v>
      </c>
      <c r="C8783" s="132"/>
      <c r="D8783" s="125">
        <f t="shared" si="163"/>
        <v>0</v>
      </c>
      <c r="E8783" s="124" t="s">
        <v>8367</v>
      </c>
      <c r="F8783" s="126">
        <v>2</v>
      </c>
      <c r="G8783" s="128">
        <v>6798.6</v>
      </c>
      <c r="H8783" s="124" t="s">
        <v>8368</v>
      </c>
      <c r="I8783" s="128">
        <v>22692.65</v>
      </c>
      <c r="J8783" s="128">
        <v>113463.27</v>
      </c>
    </row>
    <row r="8784" spans="1:10" hidden="1" x14ac:dyDescent="0.25">
      <c r="A8784" s="124" t="s">
        <v>10975</v>
      </c>
      <c r="B8784" s="124" t="s">
        <v>11736</v>
      </c>
      <c r="C8784" s="132"/>
      <c r="D8784" s="125">
        <f t="shared" si="163"/>
        <v>0</v>
      </c>
      <c r="E8784" s="124" t="s">
        <v>8367</v>
      </c>
      <c r="F8784" s="126">
        <v>1</v>
      </c>
      <c r="G8784" s="128">
        <v>3399.6</v>
      </c>
      <c r="H8784" s="124" t="s">
        <v>8368</v>
      </c>
      <c r="I8784" s="128">
        <v>36785.4</v>
      </c>
      <c r="J8784" s="128">
        <v>183927</v>
      </c>
    </row>
    <row r="8785" spans="1:10" hidden="1" x14ac:dyDescent="0.25">
      <c r="A8785" s="124" t="s">
        <v>10976</v>
      </c>
      <c r="B8785" s="124" t="s">
        <v>11736</v>
      </c>
      <c r="C8785" s="132"/>
      <c r="D8785" s="125">
        <f t="shared" si="163"/>
        <v>0</v>
      </c>
      <c r="E8785" s="124" t="s">
        <v>8367</v>
      </c>
      <c r="F8785" s="126">
        <v>5</v>
      </c>
      <c r="G8785" s="128">
        <v>20925</v>
      </c>
      <c r="H8785" s="124" t="s">
        <v>8368</v>
      </c>
      <c r="I8785" s="128">
        <v>2193.4</v>
      </c>
      <c r="J8785" s="128">
        <v>10967</v>
      </c>
    </row>
    <row r="8786" spans="1:10" hidden="1" x14ac:dyDescent="0.25">
      <c r="A8786" s="124" t="s">
        <v>10977</v>
      </c>
      <c r="B8786" s="124" t="s">
        <v>11736</v>
      </c>
      <c r="C8786" s="132"/>
      <c r="D8786" s="125">
        <f t="shared" si="163"/>
        <v>0</v>
      </c>
      <c r="E8786" s="124" t="s">
        <v>8367</v>
      </c>
      <c r="F8786" s="126">
        <v>53</v>
      </c>
      <c r="G8786" s="128">
        <v>136155.92000000001</v>
      </c>
      <c r="H8786" s="124" t="s">
        <v>8368</v>
      </c>
      <c r="I8786" s="127">
        <v>517.5</v>
      </c>
      <c r="J8786" s="128">
        <v>2587.5</v>
      </c>
    </row>
    <row r="8787" spans="1:10" hidden="1" x14ac:dyDescent="0.25">
      <c r="A8787" s="124" t="s">
        <v>10978</v>
      </c>
      <c r="B8787" s="124" t="s">
        <v>11736</v>
      </c>
      <c r="C8787" s="132"/>
      <c r="D8787" s="125">
        <f t="shared" si="163"/>
        <v>0</v>
      </c>
      <c r="E8787" s="124" t="s">
        <v>8367</v>
      </c>
      <c r="F8787" s="126">
        <v>3</v>
      </c>
      <c r="G8787" s="128">
        <v>220712.4</v>
      </c>
      <c r="H8787" s="124" t="s">
        <v>8368</v>
      </c>
      <c r="I8787" s="127">
        <v>490</v>
      </c>
      <c r="J8787" s="128">
        <v>2450</v>
      </c>
    </row>
    <row r="8788" spans="1:10" hidden="1" x14ac:dyDescent="0.25">
      <c r="A8788" s="124" t="s">
        <v>10979</v>
      </c>
      <c r="B8788" s="124" t="s">
        <v>11736</v>
      </c>
      <c r="C8788" s="132"/>
      <c r="D8788" s="125">
        <f t="shared" ref="D8788:D8803" si="164">COUNTIF(A4530:A8787,A8788)</f>
        <v>0</v>
      </c>
      <c r="E8788" s="124" t="s">
        <v>8367</v>
      </c>
      <c r="F8788" s="126">
        <v>4</v>
      </c>
      <c r="G8788" s="128">
        <v>13160.4</v>
      </c>
      <c r="H8788" s="124" t="s">
        <v>8368</v>
      </c>
      <c r="I8788" s="127">
        <v>490</v>
      </c>
      <c r="J8788" s="128">
        <v>2450</v>
      </c>
    </row>
    <row r="8789" spans="1:10" hidden="1" x14ac:dyDescent="0.25">
      <c r="A8789" s="124" t="s">
        <v>10980</v>
      </c>
      <c r="B8789" s="124" t="s">
        <v>11736</v>
      </c>
      <c r="C8789" s="132"/>
      <c r="D8789" s="125">
        <f t="shared" si="164"/>
        <v>0</v>
      </c>
      <c r="E8789" s="124" t="s">
        <v>8367</v>
      </c>
      <c r="F8789" s="126">
        <v>1</v>
      </c>
      <c r="G8789" s="128">
        <v>3105</v>
      </c>
      <c r="H8789" s="124" t="s">
        <v>8368</v>
      </c>
      <c r="I8789" s="128">
        <v>35747.599999999999</v>
      </c>
      <c r="J8789" s="128">
        <v>178738</v>
      </c>
    </row>
    <row r="8790" spans="1:10" hidden="1" x14ac:dyDescent="0.25">
      <c r="A8790" s="124" t="s">
        <v>10981</v>
      </c>
      <c r="B8790" s="124" t="s">
        <v>11736</v>
      </c>
      <c r="C8790" s="132"/>
      <c r="D8790" s="125">
        <f t="shared" si="164"/>
        <v>0</v>
      </c>
      <c r="E8790" s="124" t="s">
        <v>8367</v>
      </c>
      <c r="F8790" s="126">
        <v>1</v>
      </c>
      <c r="G8790" s="128">
        <v>2940</v>
      </c>
      <c r="H8790" s="124" t="s">
        <v>8368</v>
      </c>
      <c r="I8790" s="128">
        <v>10000</v>
      </c>
      <c r="J8790" s="128">
        <v>50000</v>
      </c>
    </row>
    <row r="8791" spans="1:10" hidden="1" x14ac:dyDescent="0.25">
      <c r="A8791" s="124" t="s">
        <v>10982</v>
      </c>
      <c r="B8791" s="124" t="s">
        <v>11736</v>
      </c>
      <c r="C8791" s="132"/>
      <c r="D8791" s="125">
        <f t="shared" si="164"/>
        <v>0</v>
      </c>
      <c r="E8791" s="124" t="s">
        <v>8367</v>
      </c>
      <c r="F8791" s="126">
        <v>1</v>
      </c>
      <c r="G8791" s="128">
        <v>2940</v>
      </c>
      <c r="H8791" s="124" t="s">
        <v>8368</v>
      </c>
      <c r="I8791" s="127">
        <v>967.5</v>
      </c>
      <c r="J8791" s="128">
        <v>4837.5</v>
      </c>
    </row>
    <row r="8792" spans="1:10" hidden="1" x14ac:dyDescent="0.25">
      <c r="A8792" s="124" t="s">
        <v>10983</v>
      </c>
      <c r="B8792" s="124" t="s">
        <v>11736</v>
      </c>
      <c r="C8792" s="132"/>
      <c r="D8792" s="125">
        <f t="shared" si="164"/>
        <v>0</v>
      </c>
      <c r="E8792" s="124" t="s">
        <v>8367</v>
      </c>
      <c r="F8792" s="126">
        <v>15</v>
      </c>
      <c r="G8792" s="128">
        <v>214485.6</v>
      </c>
      <c r="H8792" s="124" t="s">
        <v>8368</v>
      </c>
      <c r="I8792" s="128">
        <v>8405.2000000000007</v>
      </c>
      <c r="J8792" s="128">
        <v>42026</v>
      </c>
    </row>
    <row r="8793" spans="1:10" hidden="1" x14ac:dyDescent="0.25">
      <c r="A8793" s="124" t="s">
        <v>2762</v>
      </c>
      <c r="B8793" s="124" t="s">
        <v>11736</v>
      </c>
      <c r="C8793" s="132"/>
      <c r="D8793" s="125">
        <f t="shared" si="164"/>
        <v>0</v>
      </c>
      <c r="E8793" s="124" t="s">
        <v>8367</v>
      </c>
      <c r="F8793" s="126">
        <v>10</v>
      </c>
      <c r="G8793" s="128">
        <v>60000</v>
      </c>
      <c r="H8793" s="124" t="s">
        <v>8368</v>
      </c>
      <c r="I8793" s="128">
        <v>1007</v>
      </c>
      <c r="J8793" s="128">
        <v>5035</v>
      </c>
    </row>
    <row r="8794" spans="1:10" hidden="1" x14ac:dyDescent="0.25">
      <c r="A8794" s="124" t="s">
        <v>10984</v>
      </c>
      <c r="B8794" s="124" t="s">
        <v>11736</v>
      </c>
      <c r="C8794" s="132"/>
      <c r="D8794" s="125">
        <f t="shared" si="164"/>
        <v>0</v>
      </c>
      <c r="E8794" s="124" t="s">
        <v>1</v>
      </c>
      <c r="F8794" s="126">
        <v>2.15</v>
      </c>
      <c r="G8794" s="128">
        <v>5805</v>
      </c>
      <c r="H8794" s="124" t="s">
        <v>8368</v>
      </c>
      <c r="I8794" s="127">
        <v>638.4</v>
      </c>
      <c r="J8794" s="128">
        <v>3192</v>
      </c>
    </row>
    <row r="8795" spans="1:10" hidden="1" x14ac:dyDescent="0.25">
      <c r="A8795" s="124" t="s">
        <v>10985</v>
      </c>
      <c r="B8795" s="124" t="s">
        <v>11736</v>
      </c>
      <c r="C8795" s="132"/>
      <c r="D8795" s="125">
        <f t="shared" si="164"/>
        <v>0</v>
      </c>
      <c r="E8795" s="124" t="s">
        <v>8367</v>
      </c>
      <c r="F8795" s="126">
        <v>6</v>
      </c>
      <c r="G8795" s="128">
        <v>50431.199999999997</v>
      </c>
      <c r="H8795" s="124" t="s">
        <v>8368</v>
      </c>
      <c r="I8795" s="128">
        <v>12566.6</v>
      </c>
      <c r="J8795" s="128">
        <v>62833</v>
      </c>
    </row>
    <row r="8796" spans="1:10" hidden="1" x14ac:dyDescent="0.25">
      <c r="A8796" s="124" t="s">
        <v>10986</v>
      </c>
      <c r="B8796" s="124" t="s">
        <v>11736</v>
      </c>
      <c r="C8796" s="132"/>
      <c r="D8796" s="125">
        <f t="shared" si="164"/>
        <v>0</v>
      </c>
      <c r="E8796" s="124" t="s">
        <v>8367</v>
      </c>
      <c r="F8796" s="126">
        <v>6</v>
      </c>
      <c r="G8796" s="128">
        <v>6042</v>
      </c>
      <c r="H8796" s="124" t="s">
        <v>8368</v>
      </c>
      <c r="I8796" s="128">
        <v>15999.83</v>
      </c>
      <c r="J8796" s="128">
        <v>79999.17</v>
      </c>
    </row>
    <row r="8797" spans="1:10" hidden="1" x14ac:dyDescent="0.25">
      <c r="A8797" s="124" t="s">
        <v>10987</v>
      </c>
      <c r="B8797" s="124" t="s">
        <v>11736</v>
      </c>
      <c r="C8797" s="132"/>
      <c r="D8797" s="125">
        <f t="shared" si="164"/>
        <v>0</v>
      </c>
      <c r="E8797" s="124" t="s">
        <v>8367</v>
      </c>
      <c r="F8797" s="126">
        <v>10</v>
      </c>
      <c r="G8797" s="128">
        <v>3830.4</v>
      </c>
      <c r="H8797" s="124" t="s">
        <v>8368</v>
      </c>
      <c r="I8797" s="128">
        <v>189000</v>
      </c>
      <c r="J8797" s="128">
        <v>945000</v>
      </c>
    </row>
    <row r="8798" spans="1:10" hidden="1" x14ac:dyDescent="0.25">
      <c r="A8798" s="124" t="s">
        <v>10988</v>
      </c>
      <c r="B8798" s="124" t="s">
        <v>11736</v>
      </c>
      <c r="C8798" s="132"/>
      <c r="D8798" s="125">
        <f t="shared" si="164"/>
        <v>0</v>
      </c>
      <c r="E8798" s="124" t="s">
        <v>8367</v>
      </c>
      <c r="F8798" s="126">
        <v>12</v>
      </c>
      <c r="G8798" s="128">
        <v>75399.600000000006</v>
      </c>
      <c r="H8798" s="124" t="s">
        <v>8368</v>
      </c>
      <c r="I8798" s="128">
        <v>3450</v>
      </c>
      <c r="J8798" s="128">
        <v>17250</v>
      </c>
    </row>
    <row r="8799" spans="1:10" hidden="1" x14ac:dyDescent="0.25">
      <c r="A8799" s="124" t="s">
        <v>10989</v>
      </c>
      <c r="B8799" s="124" t="s">
        <v>11736</v>
      </c>
      <c r="C8799" s="132"/>
      <c r="D8799" s="125">
        <f t="shared" si="164"/>
        <v>0</v>
      </c>
      <c r="E8799" s="124" t="s">
        <v>8367</v>
      </c>
      <c r="F8799" s="126">
        <v>1</v>
      </c>
      <c r="G8799" s="128">
        <v>95999</v>
      </c>
      <c r="H8799" s="124" t="s">
        <v>8368</v>
      </c>
      <c r="I8799" s="128">
        <v>2102.5</v>
      </c>
      <c r="J8799" s="128">
        <v>10512.5</v>
      </c>
    </row>
    <row r="8800" spans="1:10" hidden="1" x14ac:dyDescent="0.25">
      <c r="A8800" s="124" t="s">
        <v>10990</v>
      </c>
      <c r="B8800" s="124" t="s">
        <v>11736</v>
      </c>
      <c r="C8800" s="132"/>
      <c r="D8800" s="125">
        <f t="shared" si="164"/>
        <v>0</v>
      </c>
      <c r="E8800" s="124" t="s">
        <v>8367</v>
      </c>
      <c r="F8800" s="126">
        <v>21</v>
      </c>
      <c r="G8800" s="128">
        <v>1134000</v>
      </c>
      <c r="H8800" s="124" t="s">
        <v>8368</v>
      </c>
      <c r="I8800" s="128">
        <v>5966.7</v>
      </c>
      <c r="J8800" s="128">
        <v>29833.5</v>
      </c>
    </row>
    <row r="8801" spans="1:10" hidden="1" x14ac:dyDescent="0.25">
      <c r="A8801" s="124" t="s">
        <v>10991</v>
      </c>
      <c r="B8801" s="124" t="s">
        <v>11736</v>
      </c>
      <c r="C8801" s="132"/>
      <c r="D8801" s="125">
        <f t="shared" si="164"/>
        <v>0</v>
      </c>
      <c r="E8801" s="124" t="s">
        <v>8367</v>
      </c>
      <c r="F8801" s="126">
        <v>10</v>
      </c>
      <c r="G8801" s="128">
        <v>20700</v>
      </c>
      <c r="H8801" s="124" t="s">
        <v>8368</v>
      </c>
      <c r="I8801" s="128">
        <v>4006.66</v>
      </c>
      <c r="J8801" s="128">
        <v>20033.3</v>
      </c>
    </row>
    <row r="8802" spans="1:10" hidden="1" x14ac:dyDescent="0.25">
      <c r="A8802" s="124" t="s">
        <v>10992</v>
      </c>
      <c r="B8802" s="124" t="s">
        <v>11736</v>
      </c>
      <c r="C8802" s="132"/>
      <c r="D8802" s="125">
        <f t="shared" si="164"/>
        <v>0</v>
      </c>
      <c r="E8802" s="124" t="s">
        <v>8367</v>
      </c>
      <c r="F8802" s="126">
        <v>1</v>
      </c>
      <c r="G8802" s="128">
        <v>12615</v>
      </c>
      <c r="H8802" s="124" t="s">
        <v>8368</v>
      </c>
      <c r="I8802" s="128">
        <v>63280.03</v>
      </c>
      <c r="J8802" s="128">
        <v>316400.12</v>
      </c>
    </row>
    <row r="8803" spans="1:10" hidden="1" x14ac:dyDescent="0.25">
      <c r="A8803" s="124" t="s">
        <v>10993</v>
      </c>
      <c r="B8803" s="124" t="s">
        <v>11736</v>
      </c>
      <c r="C8803" s="132"/>
      <c r="D8803" s="125">
        <f t="shared" si="164"/>
        <v>0</v>
      </c>
      <c r="E8803" s="124" t="s">
        <v>8367</v>
      </c>
      <c r="F8803" s="126">
        <v>2</v>
      </c>
      <c r="G8803" s="128">
        <v>35800.199999999997</v>
      </c>
      <c r="H8803" s="124" t="s">
        <v>8368</v>
      </c>
      <c r="I8803" s="128">
        <v>10170</v>
      </c>
      <c r="J8803" s="128">
        <v>50850</v>
      </c>
    </row>
    <row r="8804" spans="1:10" hidden="1" x14ac:dyDescent="0.25">
      <c r="A8804" s="124" t="s">
        <v>10994</v>
      </c>
      <c r="B8804" s="124" t="s">
        <v>11736</v>
      </c>
      <c r="C8804" s="132"/>
      <c r="D8804" s="125">
        <f>COUNTIF(A4547:A8803,A8804)</f>
        <v>0</v>
      </c>
      <c r="E8804" s="124" t="s">
        <v>1</v>
      </c>
      <c r="F8804" s="126">
        <v>10</v>
      </c>
      <c r="G8804" s="128">
        <v>24039.96</v>
      </c>
      <c r="H8804" s="124" t="s">
        <v>8368</v>
      </c>
      <c r="I8804" s="128">
        <v>60447.360000000001</v>
      </c>
      <c r="J8804" s="128">
        <v>302236.79999999999</v>
      </c>
    </row>
    <row r="8805" spans="1:10" hidden="1" x14ac:dyDescent="0.25">
      <c r="A8805" s="124" t="s">
        <v>5979</v>
      </c>
      <c r="B8805" s="124" t="s">
        <v>11736</v>
      </c>
      <c r="C8805" s="132"/>
      <c r="D8805" s="125">
        <f>COUNTIF(A4549:A8804,A8805)</f>
        <v>0</v>
      </c>
      <c r="E8805" s="124" t="s">
        <v>8367</v>
      </c>
      <c r="F8805" s="129">
        <v>5424</v>
      </c>
      <c r="G8805" s="128">
        <v>379680.15</v>
      </c>
      <c r="H8805" s="124" t="s">
        <v>8368</v>
      </c>
      <c r="I8805" s="128">
        <v>645333.25</v>
      </c>
      <c r="J8805" s="128">
        <v>3226666.27</v>
      </c>
    </row>
    <row r="8806" spans="1:10" hidden="1" x14ac:dyDescent="0.25">
      <c r="A8806" s="124" t="s">
        <v>10995</v>
      </c>
      <c r="B8806" s="124" t="s">
        <v>11736</v>
      </c>
      <c r="C8806" s="132"/>
      <c r="D8806" s="125">
        <f>COUNTIF(A4550:A8805,A8806)</f>
        <v>0</v>
      </c>
      <c r="E8806" s="124" t="s">
        <v>8457</v>
      </c>
      <c r="F8806" s="126">
        <v>180</v>
      </c>
      <c r="G8806" s="128">
        <v>61020</v>
      </c>
      <c r="H8806" s="124" t="s">
        <v>8368</v>
      </c>
      <c r="I8806" s="128">
        <v>2100</v>
      </c>
      <c r="J8806" s="128">
        <v>10500</v>
      </c>
    </row>
    <row r="8807" spans="1:10" hidden="1" x14ac:dyDescent="0.25">
      <c r="A8807" s="124" t="s">
        <v>5328</v>
      </c>
      <c r="B8807" s="124" t="s">
        <v>11736</v>
      </c>
      <c r="C8807" s="132"/>
      <c r="D8807" s="125">
        <f>COUNTIF(A4551:A8806,A8807)</f>
        <v>0</v>
      </c>
      <c r="E8807" s="124" t="s">
        <v>8</v>
      </c>
      <c r="F8807" s="126">
        <v>298.99799999999999</v>
      </c>
      <c r="G8807" s="128">
        <v>362684.15999999997</v>
      </c>
      <c r="H8807" s="124" t="s">
        <v>8368</v>
      </c>
      <c r="I8807" s="127">
        <v>81.599999999999994</v>
      </c>
      <c r="J8807" s="127">
        <v>408</v>
      </c>
    </row>
    <row r="8808" spans="1:10" hidden="1" x14ac:dyDescent="0.25">
      <c r="A8808" s="124" t="s">
        <v>6147</v>
      </c>
      <c r="B8808" s="124" t="s">
        <v>11736</v>
      </c>
      <c r="C8808" s="132"/>
      <c r="D8808" s="125">
        <f>COUNTIF(A4552:A8807,A8808)</f>
        <v>0</v>
      </c>
      <c r="E8808" s="124" t="s">
        <v>8367</v>
      </c>
      <c r="F8808" s="126">
        <v>968</v>
      </c>
      <c r="G8808" s="128">
        <v>3871999.52</v>
      </c>
      <c r="H8808" s="124" t="s">
        <v>8368</v>
      </c>
      <c r="I8808" s="128">
        <v>5388.4</v>
      </c>
      <c r="J8808" s="128">
        <v>26942</v>
      </c>
    </row>
    <row r="8809" spans="1:10" hidden="1" x14ac:dyDescent="0.25">
      <c r="A8809" s="124" t="s">
        <v>10996</v>
      </c>
      <c r="B8809" s="124" t="s">
        <v>11736</v>
      </c>
      <c r="C8809" s="132"/>
      <c r="D8809" s="125">
        <f>COUNTIF(A4555:A8808,A8809)</f>
        <v>0</v>
      </c>
      <c r="E8809" s="124" t="s">
        <v>8579</v>
      </c>
      <c r="F8809" s="126">
        <v>50</v>
      </c>
      <c r="G8809" s="128">
        <v>12600</v>
      </c>
      <c r="H8809" s="124" t="s">
        <v>8368</v>
      </c>
      <c r="I8809" s="127">
        <v>102</v>
      </c>
      <c r="J8809" s="127">
        <v>510</v>
      </c>
    </row>
    <row r="8810" spans="1:10" hidden="1" x14ac:dyDescent="0.25">
      <c r="A8810" s="124" t="s">
        <v>10997</v>
      </c>
      <c r="B8810" s="124" t="s">
        <v>11736</v>
      </c>
      <c r="C8810" s="132"/>
      <c r="D8810" s="125">
        <f>COUNTIF(A4556:A8809,A8810)</f>
        <v>0</v>
      </c>
      <c r="E8810" s="124" t="s">
        <v>8367</v>
      </c>
      <c r="F8810" s="126">
        <v>1</v>
      </c>
      <c r="G8810" s="127">
        <v>489.6</v>
      </c>
      <c r="H8810" s="124" t="s">
        <v>8368</v>
      </c>
      <c r="I8810" s="128">
        <v>2383.86</v>
      </c>
      <c r="J8810" s="128">
        <v>11919.3</v>
      </c>
    </row>
    <row r="8811" spans="1:10" hidden="1" x14ac:dyDescent="0.25">
      <c r="A8811" s="124" t="s">
        <v>10998</v>
      </c>
      <c r="B8811" s="124" t="s">
        <v>11736</v>
      </c>
      <c r="C8811" s="132"/>
      <c r="D8811" s="125">
        <f>COUNTIF(A4557:A8810,A8811)</f>
        <v>0</v>
      </c>
      <c r="E8811" s="124" t="s">
        <v>8367</v>
      </c>
      <c r="F8811" s="126">
        <v>2</v>
      </c>
      <c r="G8811" s="128">
        <v>32330.400000000001</v>
      </c>
      <c r="H8811" s="124" t="s">
        <v>8368</v>
      </c>
      <c r="I8811" s="127">
        <v>198.6</v>
      </c>
      <c r="J8811" s="127">
        <v>993</v>
      </c>
    </row>
    <row r="8812" spans="1:10" hidden="1" x14ac:dyDescent="0.25">
      <c r="A8812" s="124" t="s">
        <v>3337</v>
      </c>
      <c r="B8812" s="124" t="s">
        <v>11736</v>
      </c>
      <c r="C8812" s="132"/>
      <c r="D8812" s="125">
        <f>COUNTIF(A4558:A8811,A8812)</f>
        <v>0</v>
      </c>
      <c r="E8812" s="124" t="s">
        <v>8367</v>
      </c>
      <c r="F8812" s="126">
        <v>2</v>
      </c>
      <c r="G8812" s="127">
        <v>612</v>
      </c>
      <c r="H8812" s="124" t="s">
        <v>8368</v>
      </c>
      <c r="I8812" s="128">
        <v>61447.85</v>
      </c>
      <c r="J8812" s="128">
        <v>307239.24</v>
      </c>
    </row>
    <row r="8813" spans="1:10" hidden="1" x14ac:dyDescent="0.25">
      <c r="A8813" s="124" t="s">
        <v>1714</v>
      </c>
      <c r="B8813" s="124" t="s">
        <v>11736</v>
      </c>
      <c r="C8813" s="132"/>
      <c r="D8813" s="125">
        <f t="shared" ref="D8813:D8822" si="165">COUNTIF(A4560:A8812,A8813)</f>
        <v>0</v>
      </c>
      <c r="E8813" s="124" t="s">
        <v>8367</v>
      </c>
      <c r="F8813" s="129">
        <v>1005</v>
      </c>
      <c r="G8813" s="128">
        <v>14303.16</v>
      </c>
      <c r="H8813" s="124" t="s">
        <v>8368</v>
      </c>
      <c r="I8813" s="127">
        <v>458.4</v>
      </c>
      <c r="J8813" s="128">
        <v>2292</v>
      </c>
    </row>
    <row r="8814" spans="1:10" hidden="1" x14ac:dyDescent="0.25">
      <c r="A8814" s="124" t="s">
        <v>1323</v>
      </c>
      <c r="B8814" s="124" t="s">
        <v>11736</v>
      </c>
      <c r="C8814" s="132"/>
      <c r="D8814" s="125">
        <f t="shared" si="165"/>
        <v>0</v>
      </c>
      <c r="E8814" s="124" t="s">
        <v>8367</v>
      </c>
      <c r="F8814" s="129">
        <v>10000</v>
      </c>
      <c r="G8814" s="128">
        <v>1191.5999999999999</v>
      </c>
      <c r="H8814" s="124" t="s">
        <v>8368</v>
      </c>
      <c r="I8814" s="128">
        <v>3708</v>
      </c>
      <c r="J8814" s="128">
        <v>18540</v>
      </c>
    </row>
    <row r="8815" spans="1:10" hidden="1" x14ac:dyDescent="0.25">
      <c r="A8815" s="124" t="s">
        <v>1551</v>
      </c>
      <c r="B8815" s="124" t="s">
        <v>11736</v>
      </c>
      <c r="C8815" s="132"/>
      <c r="D8815" s="125">
        <f t="shared" si="165"/>
        <v>0</v>
      </c>
      <c r="E8815" s="124" t="s">
        <v>8367</v>
      </c>
      <c r="F8815" s="129">
        <v>24330</v>
      </c>
      <c r="G8815" s="128">
        <v>368687.09</v>
      </c>
      <c r="H8815" s="124" t="s">
        <v>8368</v>
      </c>
      <c r="I8815" s="128">
        <v>1680</v>
      </c>
      <c r="J8815" s="128">
        <v>8400</v>
      </c>
    </row>
    <row r="8816" spans="1:10" hidden="1" x14ac:dyDescent="0.25">
      <c r="A8816" s="124" t="s">
        <v>10999</v>
      </c>
      <c r="B8816" s="124" t="s">
        <v>11736</v>
      </c>
      <c r="C8816" s="132"/>
      <c r="D8816" s="125">
        <f t="shared" si="165"/>
        <v>0</v>
      </c>
      <c r="E8816" s="124" t="s">
        <v>8367</v>
      </c>
      <c r="F8816" s="126">
        <v>15</v>
      </c>
      <c r="G8816" s="128">
        <v>2750.4</v>
      </c>
      <c r="H8816" s="124" t="s">
        <v>8368</v>
      </c>
      <c r="I8816" s="128">
        <v>155998</v>
      </c>
      <c r="J8816" s="128">
        <v>779990</v>
      </c>
    </row>
    <row r="8817" spans="1:10" hidden="1" x14ac:dyDescent="0.25">
      <c r="A8817" s="124" t="s">
        <v>11000</v>
      </c>
      <c r="B8817" s="124" t="s">
        <v>11736</v>
      </c>
      <c r="C8817" s="132"/>
      <c r="D8817" s="125">
        <f t="shared" si="165"/>
        <v>0</v>
      </c>
      <c r="E8817" s="124" t="s">
        <v>8367</v>
      </c>
      <c r="F8817" s="129">
        <v>18000</v>
      </c>
      <c r="G8817" s="128">
        <v>22248</v>
      </c>
      <c r="H8817" s="124" t="s">
        <v>8368</v>
      </c>
      <c r="I8817" s="127">
        <v>566.6</v>
      </c>
      <c r="J8817" s="128">
        <v>2833</v>
      </c>
    </row>
    <row r="8818" spans="1:10" hidden="1" x14ac:dyDescent="0.25">
      <c r="A8818" s="124" t="s">
        <v>11001</v>
      </c>
      <c r="B8818" s="124" t="s">
        <v>11736</v>
      </c>
      <c r="C8818" s="132"/>
      <c r="D8818" s="125">
        <f t="shared" si="165"/>
        <v>0</v>
      </c>
      <c r="E8818" s="124" t="s">
        <v>8367</v>
      </c>
      <c r="F8818" s="129">
        <v>8000</v>
      </c>
      <c r="G8818" s="128">
        <v>10080</v>
      </c>
      <c r="H8818" s="124" t="s">
        <v>8368</v>
      </c>
      <c r="I8818" s="127">
        <v>465.8</v>
      </c>
      <c r="J8818" s="128">
        <v>2329</v>
      </c>
    </row>
    <row r="8819" spans="1:10" hidden="1" x14ac:dyDescent="0.25">
      <c r="A8819" s="124" t="s">
        <v>11002</v>
      </c>
      <c r="B8819" s="124" t="s">
        <v>11736</v>
      </c>
      <c r="C8819" s="132"/>
      <c r="D8819" s="125">
        <f t="shared" si="165"/>
        <v>0</v>
      </c>
      <c r="E8819" s="124" t="s">
        <v>8367</v>
      </c>
      <c r="F8819" s="126">
        <v>1</v>
      </c>
      <c r="G8819" s="128">
        <v>935988</v>
      </c>
      <c r="H8819" s="124" t="s">
        <v>8368</v>
      </c>
      <c r="I8819" s="127">
        <v>368.1</v>
      </c>
      <c r="J8819" s="128">
        <v>1840.5</v>
      </c>
    </row>
    <row r="8820" spans="1:10" hidden="1" x14ac:dyDescent="0.25">
      <c r="A8820" s="124" t="s">
        <v>4139</v>
      </c>
      <c r="B8820" s="124" t="s">
        <v>11736</v>
      </c>
      <c r="C8820" s="132"/>
      <c r="D8820" s="125">
        <f t="shared" si="165"/>
        <v>0</v>
      </c>
      <c r="E8820" s="124" t="s">
        <v>8367</v>
      </c>
      <c r="F8820" s="126">
        <v>1</v>
      </c>
      <c r="G8820" s="128">
        <v>3399.6</v>
      </c>
      <c r="H8820" s="124" t="s">
        <v>8368</v>
      </c>
      <c r="I8820" s="127">
        <v>864.45</v>
      </c>
      <c r="J8820" s="128">
        <v>4322.25</v>
      </c>
    </row>
    <row r="8821" spans="1:10" hidden="1" x14ac:dyDescent="0.25">
      <c r="A8821" s="124" t="s">
        <v>5693</v>
      </c>
      <c r="B8821" s="124" t="s">
        <v>11736</v>
      </c>
      <c r="C8821" s="132"/>
      <c r="D8821" s="125">
        <f t="shared" si="165"/>
        <v>0</v>
      </c>
      <c r="E8821" s="124" t="s">
        <v>8367</v>
      </c>
      <c r="F8821" s="126">
        <v>1</v>
      </c>
      <c r="G8821" s="128">
        <v>2794.8</v>
      </c>
      <c r="H8821" s="124" t="s">
        <v>8368</v>
      </c>
      <c r="I8821" s="128">
        <v>2341.6</v>
      </c>
      <c r="J8821" s="128">
        <v>11708</v>
      </c>
    </row>
    <row r="8822" spans="1:10" hidden="1" x14ac:dyDescent="0.25">
      <c r="A8822" s="124" t="s">
        <v>11003</v>
      </c>
      <c r="B8822" s="124" t="s">
        <v>11736</v>
      </c>
      <c r="C8822" s="132"/>
      <c r="D8822" s="125">
        <f t="shared" si="165"/>
        <v>0</v>
      </c>
      <c r="E8822" s="124" t="s">
        <v>8367</v>
      </c>
      <c r="F8822" s="126">
        <v>1</v>
      </c>
      <c r="G8822" s="128">
        <v>2208.6</v>
      </c>
      <c r="H8822" s="124" t="s">
        <v>8368</v>
      </c>
      <c r="I8822" s="128">
        <v>1983.4</v>
      </c>
      <c r="J8822" s="128">
        <v>9917</v>
      </c>
    </row>
    <row r="8823" spans="1:10" hidden="1" x14ac:dyDescent="0.25">
      <c r="A8823" s="124" t="s">
        <v>11004</v>
      </c>
      <c r="B8823" s="124" t="s">
        <v>11736</v>
      </c>
      <c r="C8823" s="132"/>
      <c r="D8823" s="125">
        <f>COUNTIF(A4572:A8822,A8823)</f>
        <v>0</v>
      </c>
      <c r="E8823" s="124" t="s">
        <v>8367</v>
      </c>
      <c r="F8823" s="126">
        <v>1</v>
      </c>
      <c r="G8823" s="128">
        <v>5186.7</v>
      </c>
      <c r="H8823" s="124" t="s">
        <v>8368</v>
      </c>
      <c r="I8823" s="127">
        <v>75</v>
      </c>
      <c r="J8823" s="127">
        <v>375</v>
      </c>
    </row>
    <row r="8824" spans="1:10" hidden="1" x14ac:dyDescent="0.25">
      <c r="A8824" s="124" t="s">
        <v>11005</v>
      </c>
      <c r="B8824" s="124" t="s">
        <v>11736</v>
      </c>
      <c r="C8824" s="132"/>
      <c r="D8824" s="125">
        <f>COUNTIF(A4574:A8823,A8824)</f>
        <v>0</v>
      </c>
      <c r="E8824" s="124" t="s">
        <v>8367</v>
      </c>
      <c r="F8824" s="126">
        <v>10</v>
      </c>
      <c r="G8824" s="128">
        <v>14049.6</v>
      </c>
      <c r="H8824" s="124" t="s">
        <v>8368</v>
      </c>
      <c r="I8824" s="127">
        <v>21</v>
      </c>
      <c r="J8824" s="127">
        <v>105</v>
      </c>
    </row>
    <row r="8825" spans="1:10" hidden="1" x14ac:dyDescent="0.25">
      <c r="A8825" s="124" t="s">
        <v>11006</v>
      </c>
      <c r="B8825" s="124" t="s">
        <v>11736</v>
      </c>
      <c r="C8825" s="132"/>
      <c r="D8825" s="125">
        <f>COUNTIF(A4575:A8824,A8825)</f>
        <v>0</v>
      </c>
      <c r="E8825" s="124" t="s">
        <v>8367</v>
      </c>
      <c r="F8825" s="126">
        <v>10</v>
      </c>
      <c r="G8825" s="128">
        <v>11900.4</v>
      </c>
      <c r="H8825" s="124" t="s">
        <v>8368</v>
      </c>
      <c r="I8825" s="128">
        <v>28720</v>
      </c>
      <c r="J8825" s="128">
        <v>143600</v>
      </c>
    </row>
    <row r="8826" spans="1:10" hidden="1" x14ac:dyDescent="0.25">
      <c r="A8826" s="124" t="s">
        <v>11007</v>
      </c>
      <c r="B8826" s="124" t="s">
        <v>11736</v>
      </c>
      <c r="C8826" s="132"/>
      <c r="D8826" s="125">
        <f>COUNTIF(A4576:A8825,A8826)</f>
        <v>0</v>
      </c>
      <c r="E8826" s="124" t="s">
        <v>8367</v>
      </c>
      <c r="F8826" s="126">
        <v>1</v>
      </c>
      <c r="G8826" s="127">
        <v>450</v>
      </c>
      <c r="H8826" s="124" t="s">
        <v>8368</v>
      </c>
      <c r="I8826" s="127">
        <v>783.4</v>
      </c>
      <c r="J8826" s="128">
        <v>3917</v>
      </c>
    </row>
    <row r="8827" spans="1:10" hidden="1" x14ac:dyDescent="0.25">
      <c r="A8827" s="124" t="s">
        <v>11008</v>
      </c>
      <c r="B8827" s="124" t="s">
        <v>11736</v>
      </c>
      <c r="C8827" s="132"/>
      <c r="D8827" s="125">
        <f>COUNTIF(A4577:A8826,A8827)</f>
        <v>0</v>
      </c>
      <c r="E8827" s="124" t="s">
        <v>8367</v>
      </c>
      <c r="F8827" s="126">
        <v>1</v>
      </c>
      <c r="G8827" s="127">
        <v>126</v>
      </c>
      <c r="H8827" s="124" t="s">
        <v>8368</v>
      </c>
      <c r="I8827" s="127">
        <v>240</v>
      </c>
      <c r="J8827" s="128">
        <v>1200</v>
      </c>
    </row>
    <row r="8828" spans="1:10" hidden="1" x14ac:dyDescent="0.25">
      <c r="A8828" s="124" t="s">
        <v>4679</v>
      </c>
      <c r="B8828" s="124" t="s">
        <v>11736</v>
      </c>
      <c r="C8828" s="132"/>
      <c r="D8828" s="125">
        <f>COUNTIF(A4579:A8827,A8828)</f>
        <v>0</v>
      </c>
      <c r="E8828" s="124" t="s">
        <v>8367</v>
      </c>
      <c r="F8828" s="126">
        <v>16</v>
      </c>
      <c r="G8828" s="128">
        <v>172320</v>
      </c>
      <c r="H8828" s="124" t="s">
        <v>8368</v>
      </c>
      <c r="I8828" s="128">
        <v>1300.8</v>
      </c>
      <c r="J8828" s="128">
        <v>6504</v>
      </c>
    </row>
    <row r="8829" spans="1:10" hidden="1" x14ac:dyDescent="0.25">
      <c r="A8829" s="124" t="s">
        <v>11009</v>
      </c>
      <c r="B8829" s="124" t="s">
        <v>11736</v>
      </c>
      <c r="C8829" s="132"/>
      <c r="D8829" s="125">
        <f>COUNTIF(A4580:A8828,A8829)</f>
        <v>0</v>
      </c>
      <c r="E8829" s="124" t="s">
        <v>8367</v>
      </c>
      <c r="F8829" s="126">
        <v>1</v>
      </c>
      <c r="G8829" s="128">
        <v>4700.3999999999996</v>
      </c>
      <c r="H8829" s="124" t="s">
        <v>8368</v>
      </c>
      <c r="I8829" s="128">
        <v>2358.4</v>
      </c>
      <c r="J8829" s="128">
        <v>11792</v>
      </c>
    </row>
    <row r="8830" spans="1:10" hidden="1" x14ac:dyDescent="0.25">
      <c r="A8830" s="124" t="s">
        <v>11010</v>
      </c>
      <c r="B8830" s="124" t="s">
        <v>11736</v>
      </c>
      <c r="C8830" s="132"/>
      <c r="D8830" s="125">
        <f>COUNTIF(A4581:A8829,A8830)</f>
        <v>0</v>
      </c>
      <c r="E8830" s="124" t="s">
        <v>8367</v>
      </c>
      <c r="F8830" s="126">
        <v>3</v>
      </c>
      <c r="G8830" s="128">
        <v>1440</v>
      </c>
      <c r="H8830" s="124" t="s">
        <v>8368</v>
      </c>
      <c r="I8830" s="128">
        <v>2625</v>
      </c>
      <c r="J8830" s="128">
        <v>13125</v>
      </c>
    </row>
    <row r="8831" spans="1:10" hidden="1" x14ac:dyDescent="0.25">
      <c r="A8831" s="124" t="s">
        <v>11011</v>
      </c>
      <c r="B8831" s="124" t="s">
        <v>11736</v>
      </c>
      <c r="C8831" s="132"/>
      <c r="D8831" s="125">
        <f>COUNTIF(A4583:A8830,A8831)</f>
        <v>0</v>
      </c>
      <c r="E8831" s="124" t="s">
        <v>8367</v>
      </c>
      <c r="F8831" s="126">
        <v>3</v>
      </c>
      <c r="G8831" s="128">
        <v>7804.8</v>
      </c>
      <c r="H8831" s="124" t="s">
        <v>8368</v>
      </c>
      <c r="I8831" s="128">
        <v>1750.8</v>
      </c>
      <c r="J8831" s="128">
        <v>8754</v>
      </c>
    </row>
    <row r="8832" spans="1:10" hidden="1" x14ac:dyDescent="0.25">
      <c r="A8832" s="124" t="s">
        <v>1244</v>
      </c>
      <c r="B8832" s="124" t="s">
        <v>11736</v>
      </c>
      <c r="C8832" s="132"/>
      <c r="D8832" s="125">
        <f t="shared" ref="D8832:D8864" si="166">COUNTIF(A4585:A8831,A8832)</f>
        <v>0</v>
      </c>
      <c r="E8832" s="124" t="s">
        <v>8367</v>
      </c>
      <c r="F8832" s="126">
        <v>25</v>
      </c>
      <c r="G8832" s="128">
        <v>14150.4</v>
      </c>
      <c r="H8832" s="124" t="s">
        <v>8368</v>
      </c>
      <c r="I8832" s="127">
        <v>596</v>
      </c>
      <c r="J8832" s="128">
        <v>2980</v>
      </c>
    </row>
    <row r="8833" spans="1:10" hidden="1" x14ac:dyDescent="0.25">
      <c r="A8833" s="124" t="s">
        <v>11012</v>
      </c>
      <c r="B8833" s="124" t="s">
        <v>11736</v>
      </c>
      <c r="C8833" s="132"/>
      <c r="D8833" s="125">
        <f t="shared" si="166"/>
        <v>0</v>
      </c>
      <c r="E8833" s="124" t="s">
        <v>8367</v>
      </c>
      <c r="F8833" s="126">
        <v>25</v>
      </c>
      <c r="G8833" s="128">
        <v>15750</v>
      </c>
      <c r="H8833" s="124" t="s">
        <v>8368</v>
      </c>
      <c r="I8833" s="128">
        <v>52470</v>
      </c>
      <c r="J8833" s="128">
        <v>262350</v>
      </c>
    </row>
    <row r="8834" spans="1:10" hidden="1" x14ac:dyDescent="0.25">
      <c r="A8834" s="124" t="s">
        <v>11013</v>
      </c>
      <c r="B8834" s="124" t="s">
        <v>11736</v>
      </c>
      <c r="C8834" s="132"/>
      <c r="D8834" s="125">
        <f t="shared" si="166"/>
        <v>0</v>
      </c>
      <c r="E8834" s="124" t="s">
        <v>8367</v>
      </c>
      <c r="F8834" s="126">
        <v>11</v>
      </c>
      <c r="G8834" s="128">
        <v>10504.8</v>
      </c>
      <c r="H8834" s="124" t="s">
        <v>8368</v>
      </c>
      <c r="I8834" s="128">
        <v>35280</v>
      </c>
      <c r="J8834" s="128">
        <v>176400</v>
      </c>
    </row>
    <row r="8835" spans="1:10" hidden="1" x14ac:dyDescent="0.25">
      <c r="A8835" s="124" t="s">
        <v>11014</v>
      </c>
      <c r="B8835" s="124" t="s">
        <v>11736</v>
      </c>
      <c r="C8835" s="132"/>
      <c r="D8835" s="125">
        <f t="shared" si="166"/>
        <v>0</v>
      </c>
      <c r="E8835" s="124" t="s">
        <v>8367</v>
      </c>
      <c r="F8835" s="126">
        <v>3</v>
      </c>
      <c r="G8835" s="128">
        <v>3576</v>
      </c>
      <c r="H8835" s="124" t="s">
        <v>8368</v>
      </c>
      <c r="I8835" s="128">
        <v>2250</v>
      </c>
      <c r="J8835" s="128">
        <v>11250</v>
      </c>
    </row>
    <row r="8836" spans="1:10" hidden="1" x14ac:dyDescent="0.25">
      <c r="A8836" s="124" t="s">
        <v>11015</v>
      </c>
      <c r="B8836" s="124" t="s">
        <v>11736</v>
      </c>
      <c r="C8836" s="132"/>
      <c r="D8836" s="125">
        <f t="shared" si="166"/>
        <v>0</v>
      </c>
      <c r="E8836" s="124" t="s">
        <v>8367</v>
      </c>
      <c r="F8836" s="126">
        <v>4</v>
      </c>
      <c r="G8836" s="128">
        <v>314820</v>
      </c>
      <c r="H8836" s="124" t="s">
        <v>8368</v>
      </c>
      <c r="I8836" s="127">
        <v>47.2</v>
      </c>
      <c r="J8836" s="127">
        <v>236</v>
      </c>
    </row>
    <row r="8837" spans="1:10" hidden="1" x14ac:dyDescent="0.25">
      <c r="A8837" s="124" t="s">
        <v>11016</v>
      </c>
      <c r="B8837" s="124" t="s">
        <v>11736</v>
      </c>
      <c r="C8837" s="132"/>
      <c r="D8837" s="125">
        <f t="shared" si="166"/>
        <v>0</v>
      </c>
      <c r="E8837" s="124" t="s">
        <v>8367</v>
      </c>
      <c r="F8837" s="126">
        <v>8</v>
      </c>
      <c r="G8837" s="128">
        <v>211680</v>
      </c>
      <c r="H8837" s="124" t="s">
        <v>8368</v>
      </c>
      <c r="I8837" s="127">
        <v>26.24</v>
      </c>
      <c r="J8837" s="127">
        <v>131.19999999999999</v>
      </c>
    </row>
    <row r="8838" spans="1:10" hidden="1" x14ac:dyDescent="0.25">
      <c r="A8838" s="124" t="s">
        <v>11017</v>
      </c>
      <c r="B8838" s="124" t="s">
        <v>11736</v>
      </c>
      <c r="C8838" s="132"/>
      <c r="D8838" s="125">
        <f t="shared" si="166"/>
        <v>0</v>
      </c>
      <c r="E8838" s="124" t="s">
        <v>8367</v>
      </c>
      <c r="F8838" s="126">
        <v>20</v>
      </c>
      <c r="G8838" s="128">
        <v>13500</v>
      </c>
      <c r="H8838" s="124" t="s">
        <v>8368</v>
      </c>
      <c r="I8838" s="127">
        <v>86.02</v>
      </c>
      <c r="J8838" s="127">
        <v>430.1</v>
      </c>
    </row>
    <row r="8839" spans="1:10" hidden="1" x14ac:dyDescent="0.25">
      <c r="A8839" s="124" t="s">
        <v>11018</v>
      </c>
      <c r="B8839" s="124" t="s">
        <v>11736</v>
      </c>
      <c r="C8839" s="132"/>
      <c r="D8839" s="125">
        <f t="shared" si="166"/>
        <v>0</v>
      </c>
      <c r="E8839" s="124" t="s">
        <v>8367</v>
      </c>
      <c r="F8839" s="126">
        <v>8</v>
      </c>
      <c r="G8839" s="127">
        <v>283.2</v>
      </c>
      <c r="H8839" s="124" t="s">
        <v>8368</v>
      </c>
      <c r="I8839" s="127">
        <v>541.32000000000005</v>
      </c>
      <c r="J8839" s="128">
        <v>2706.6</v>
      </c>
    </row>
    <row r="8840" spans="1:10" hidden="1" x14ac:dyDescent="0.25">
      <c r="A8840" s="124" t="s">
        <v>11019</v>
      </c>
      <c r="B8840" s="124" t="s">
        <v>11736</v>
      </c>
      <c r="C8840" s="132"/>
      <c r="D8840" s="125">
        <f t="shared" si="166"/>
        <v>0</v>
      </c>
      <c r="E8840" s="124" t="s">
        <v>8367</v>
      </c>
      <c r="F8840" s="126">
        <v>10</v>
      </c>
      <c r="G8840" s="127">
        <v>157.44</v>
      </c>
      <c r="H8840" s="124" t="s">
        <v>8368</v>
      </c>
      <c r="I8840" s="127">
        <v>25.67</v>
      </c>
      <c r="J8840" s="127">
        <v>128.35</v>
      </c>
    </row>
    <row r="8841" spans="1:10" hidden="1" x14ac:dyDescent="0.25">
      <c r="A8841" s="124" t="s">
        <v>433</v>
      </c>
      <c r="B8841" s="124" t="s">
        <v>11736</v>
      </c>
      <c r="C8841" s="132"/>
      <c r="D8841" s="125">
        <f t="shared" si="166"/>
        <v>0</v>
      </c>
      <c r="E8841" s="124" t="s">
        <v>8367</v>
      </c>
      <c r="F8841" s="126">
        <v>110</v>
      </c>
      <c r="G8841" s="127">
        <v>516.12</v>
      </c>
      <c r="H8841" s="124" t="s">
        <v>8368</v>
      </c>
      <c r="I8841" s="127">
        <v>25.57</v>
      </c>
      <c r="J8841" s="127">
        <v>127.85</v>
      </c>
    </row>
    <row r="8842" spans="1:10" hidden="1" x14ac:dyDescent="0.25">
      <c r="A8842" s="124" t="s">
        <v>11020</v>
      </c>
      <c r="B8842" s="124" t="s">
        <v>11736</v>
      </c>
      <c r="C8842" s="132"/>
      <c r="D8842" s="125">
        <f t="shared" si="166"/>
        <v>0</v>
      </c>
      <c r="E8842" s="124" t="s">
        <v>8367</v>
      </c>
      <c r="F8842" s="126">
        <v>4</v>
      </c>
      <c r="G8842" s="128">
        <v>3247.92</v>
      </c>
      <c r="H8842" s="124" t="s">
        <v>8368</v>
      </c>
      <c r="I8842" s="127">
        <v>25.67</v>
      </c>
      <c r="J8842" s="127">
        <v>128.35</v>
      </c>
    </row>
    <row r="8843" spans="1:10" hidden="1" x14ac:dyDescent="0.25">
      <c r="A8843" s="124" t="s">
        <v>1334</v>
      </c>
      <c r="B8843" s="124" t="s">
        <v>11736</v>
      </c>
      <c r="C8843" s="132"/>
      <c r="D8843" s="125">
        <f t="shared" si="166"/>
        <v>0</v>
      </c>
      <c r="E8843" s="124" t="s">
        <v>8367</v>
      </c>
      <c r="F8843" s="126">
        <v>5</v>
      </c>
      <c r="G8843" s="127">
        <v>154.02000000000001</v>
      </c>
      <c r="H8843" s="124" t="s">
        <v>8368</v>
      </c>
      <c r="I8843" s="127">
        <v>25.67</v>
      </c>
      <c r="J8843" s="127">
        <v>128.35</v>
      </c>
    </row>
    <row r="8844" spans="1:10" hidden="1" x14ac:dyDescent="0.25">
      <c r="A8844" s="124" t="s">
        <v>11021</v>
      </c>
      <c r="B8844" s="124" t="s">
        <v>11736</v>
      </c>
      <c r="C8844" s="132"/>
      <c r="D8844" s="125">
        <f t="shared" si="166"/>
        <v>0</v>
      </c>
      <c r="E8844" s="124" t="s">
        <v>8367</v>
      </c>
      <c r="F8844" s="126">
        <v>5</v>
      </c>
      <c r="G8844" s="127">
        <v>153.41999999999999</v>
      </c>
      <c r="H8844" s="124" t="s">
        <v>8368</v>
      </c>
      <c r="I8844" s="127">
        <v>25.67</v>
      </c>
      <c r="J8844" s="127">
        <v>128.35</v>
      </c>
    </row>
    <row r="8845" spans="1:10" hidden="1" x14ac:dyDescent="0.25">
      <c r="A8845" s="124" t="s">
        <v>11022</v>
      </c>
      <c r="B8845" s="124" t="s">
        <v>11736</v>
      </c>
      <c r="C8845" s="132"/>
      <c r="D8845" s="125">
        <f t="shared" si="166"/>
        <v>0</v>
      </c>
      <c r="E8845" s="124" t="s">
        <v>8367</v>
      </c>
      <c r="F8845" s="126">
        <v>5</v>
      </c>
      <c r="G8845" s="127">
        <v>154.02000000000001</v>
      </c>
      <c r="H8845" s="124" t="s">
        <v>8368</v>
      </c>
      <c r="I8845" s="127">
        <v>25.67</v>
      </c>
      <c r="J8845" s="127">
        <v>128.35</v>
      </c>
    </row>
    <row r="8846" spans="1:10" hidden="1" x14ac:dyDescent="0.25">
      <c r="A8846" s="124" t="s">
        <v>11023</v>
      </c>
      <c r="B8846" s="124" t="s">
        <v>11736</v>
      </c>
      <c r="C8846" s="132"/>
      <c r="D8846" s="125">
        <f t="shared" si="166"/>
        <v>0</v>
      </c>
      <c r="E8846" s="124" t="s">
        <v>8367</v>
      </c>
      <c r="F8846" s="126">
        <v>5</v>
      </c>
      <c r="G8846" s="127">
        <v>154.02000000000001</v>
      </c>
      <c r="H8846" s="124" t="s">
        <v>8368</v>
      </c>
      <c r="I8846" s="127">
        <v>26.54</v>
      </c>
      <c r="J8846" s="127">
        <v>132.69999999999999</v>
      </c>
    </row>
    <row r="8847" spans="1:10" hidden="1" x14ac:dyDescent="0.25">
      <c r="A8847" s="124" t="s">
        <v>11024</v>
      </c>
      <c r="B8847" s="124" t="s">
        <v>11736</v>
      </c>
      <c r="C8847" s="132"/>
      <c r="D8847" s="125">
        <f t="shared" si="166"/>
        <v>0</v>
      </c>
      <c r="E8847" s="124" t="s">
        <v>8367</v>
      </c>
      <c r="F8847" s="126">
        <v>5</v>
      </c>
      <c r="G8847" s="127">
        <v>154.02000000000001</v>
      </c>
      <c r="H8847" s="124" t="s">
        <v>8368</v>
      </c>
      <c r="I8847" s="128">
        <v>11184</v>
      </c>
      <c r="J8847" s="128">
        <v>55920</v>
      </c>
    </row>
    <row r="8848" spans="1:10" hidden="1" x14ac:dyDescent="0.25">
      <c r="A8848" s="124" t="s">
        <v>11025</v>
      </c>
      <c r="B8848" s="124" t="s">
        <v>11736</v>
      </c>
      <c r="C8848" s="132"/>
      <c r="D8848" s="125">
        <f t="shared" si="166"/>
        <v>0</v>
      </c>
      <c r="E8848" s="124" t="s">
        <v>8367</v>
      </c>
      <c r="F8848" s="126">
        <v>5</v>
      </c>
      <c r="G8848" s="127">
        <v>154.02000000000001</v>
      </c>
      <c r="H8848" s="124" t="s">
        <v>8368</v>
      </c>
      <c r="I8848" s="127">
        <v>771.2</v>
      </c>
      <c r="J8848" s="128">
        <v>3856</v>
      </c>
    </row>
    <row r="8849" spans="1:10" hidden="1" x14ac:dyDescent="0.25">
      <c r="A8849" s="124" t="s">
        <v>11026</v>
      </c>
      <c r="B8849" s="124" t="s">
        <v>11736</v>
      </c>
      <c r="C8849" s="132"/>
      <c r="D8849" s="125">
        <f t="shared" si="166"/>
        <v>0</v>
      </c>
      <c r="E8849" s="124" t="s">
        <v>8367</v>
      </c>
      <c r="F8849" s="126">
        <v>5</v>
      </c>
      <c r="G8849" s="127">
        <v>159.24</v>
      </c>
      <c r="H8849" s="124" t="s">
        <v>8368</v>
      </c>
      <c r="I8849" s="127">
        <v>233.6</v>
      </c>
      <c r="J8849" s="128">
        <v>1168</v>
      </c>
    </row>
    <row r="8850" spans="1:10" hidden="1" x14ac:dyDescent="0.25">
      <c r="A8850" s="124" t="s">
        <v>11027</v>
      </c>
      <c r="B8850" s="124" t="s">
        <v>11736</v>
      </c>
      <c r="C8850" s="132"/>
      <c r="D8850" s="125">
        <f t="shared" si="166"/>
        <v>0</v>
      </c>
      <c r="E8850" s="124" t="s">
        <v>8367</v>
      </c>
      <c r="F8850" s="129">
        <v>2000</v>
      </c>
      <c r="G8850" s="128">
        <v>67104</v>
      </c>
      <c r="H8850" s="124" t="s">
        <v>8368</v>
      </c>
      <c r="I8850" s="127">
        <v>803</v>
      </c>
      <c r="J8850" s="128">
        <v>4015</v>
      </c>
    </row>
    <row r="8851" spans="1:10" hidden="1" x14ac:dyDescent="0.25">
      <c r="A8851" s="124" t="s">
        <v>400</v>
      </c>
      <c r="B8851" s="124" t="s">
        <v>11736</v>
      </c>
      <c r="C8851" s="132"/>
      <c r="D8851" s="125">
        <f t="shared" si="166"/>
        <v>0</v>
      </c>
      <c r="E8851" s="124" t="s">
        <v>8367</v>
      </c>
      <c r="F8851" s="129">
        <v>19500</v>
      </c>
      <c r="G8851" s="128">
        <v>4627.2</v>
      </c>
      <c r="H8851" s="124" t="s">
        <v>8368</v>
      </c>
      <c r="I8851" s="127">
        <v>300</v>
      </c>
      <c r="J8851" s="128">
        <v>1500</v>
      </c>
    </row>
    <row r="8852" spans="1:10" hidden="1" x14ac:dyDescent="0.25">
      <c r="A8852" s="124" t="s">
        <v>401</v>
      </c>
      <c r="B8852" s="124" t="s">
        <v>11736</v>
      </c>
      <c r="C8852" s="132"/>
      <c r="D8852" s="125">
        <f t="shared" si="166"/>
        <v>0</v>
      </c>
      <c r="E8852" s="124" t="s">
        <v>8367</v>
      </c>
      <c r="F8852" s="129">
        <v>3000</v>
      </c>
      <c r="G8852" s="128">
        <v>1401.6</v>
      </c>
      <c r="H8852" s="124" t="s">
        <v>8368</v>
      </c>
      <c r="I8852" s="127">
        <v>66.67</v>
      </c>
      <c r="J8852" s="127">
        <v>333.33</v>
      </c>
    </row>
    <row r="8853" spans="1:10" hidden="1" x14ac:dyDescent="0.25">
      <c r="A8853" s="124" t="s">
        <v>829</v>
      </c>
      <c r="B8853" s="124" t="s">
        <v>11736</v>
      </c>
      <c r="C8853" s="132"/>
      <c r="D8853" s="125">
        <f t="shared" si="166"/>
        <v>0</v>
      </c>
      <c r="E8853" s="124" t="s">
        <v>8367</v>
      </c>
      <c r="F8853" s="129">
        <v>10000</v>
      </c>
      <c r="G8853" s="128">
        <v>4818</v>
      </c>
      <c r="H8853" s="124" t="s">
        <v>8368</v>
      </c>
      <c r="I8853" s="128">
        <v>3511.2</v>
      </c>
      <c r="J8853" s="128">
        <v>17556</v>
      </c>
    </row>
    <row r="8854" spans="1:10" hidden="1" x14ac:dyDescent="0.25">
      <c r="A8854" s="124" t="s">
        <v>11028</v>
      </c>
      <c r="B8854" s="124" t="s">
        <v>11736</v>
      </c>
      <c r="C8854" s="132"/>
      <c r="D8854" s="125">
        <f t="shared" si="166"/>
        <v>0</v>
      </c>
      <c r="E8854" s="124" t="s">
        <v>8367</v>
      </c>
      <c r="F8854" s="129">
        <v>20000</v>
      </c>
      <c r="G8854" s="128">
        <v>1800</v>
      </c>
      <c r="H8854" s="124" t="s">
        <v>8368</v>
      </c>
      <c r="I8854" s="128">
        <v>53249.4</v>
      </c>
      <c r="J8854" s="128">
        <v>266247</v>
      </c>
    </row>
    <row r="8855" spans="1:10" hidden="1" x14ac:dyDescent="0.25">
      <c r="A8855" s="124" t="s">
        <v>11029</v>
      </c>
      <c r="B8855" s="124" t="s">
        <v>11736</v>
      </c>
      <c r="C8855" s="132"/>
      <c r="D8855" s="125">
        <f t="shared" si="166"/>
        <v>0</v>
      </c>
      <c r="E8855" s="124" t="s">
        <v>8367</v>
      </c>
      <c r="F8855" s="129">
        <v>10000</v>
      </c>
      <c r="G8855" s="127">
        <v>400</v>
      </c>
      <c r="H8855" s="124" t="s">
        <v>8368</v>
      </c>
      <c r="I8855" s="128">
        <v>13829.6</v>
      </c>
      <c r="J8855" s="128">
        <v>69148</v>
      </c>
    </row>
    <row r="8856" spans="1:10" hidden="1" x14ac:dyDescent="0.25">
      <c r="A8856" s="124" t="s">
        <v>830</v>
      </c>
      <c r="B8856" s="124" t="s">
        <v>11736</v>
      </c>
      <c r="C8856" s="132"/>
      <c r="D8856" s="125">
        <f t="shared" si="166"/>
        <v>0</v>
      </c>
      <c r="E8856" s="124" t="s">
        <v>8367</v>
      </c>
      <c r="F8856" s="129">
        <v>12000</v>
      </c>
      <c r="G8856" s="128">
        <v>21067.200000000001</v>
      </c>
      <c r="H8856" s="124" t="s">
        <v>8368</v>
      </c>
      <c r="I8856" s="128">
        <v>56926</v>
      </c>
      <c r="J8856" s="128">
        <v>284630</v>
      </c>
    </row>
    <row r="8857" spans="1:10" hidden="1" x14ac:dyDescent="0.25">
      <c r="A8857" s="124" t="s">
        <v>987</v>
      </c>
      <c r="B8857" s="124" t="s">
        <v>11736</v>
      </c>
      <c r="C8857" s="132"/>
      <c r="D8857" s="125">
        <f t="shared" si="166"/>
        <v>0</v>
      </c>
      <c r="E8857" s="124" t="s">
        <v>8367</v>
      </c>
      <c r="F8857" s="126">
        <v>500</v>
      </c>
      <c r="G8857" s="128">
        <v>319496.40000000002</v>
      </c>
      <c r="H8857" s="124" t="s">
        <v>8368</v>
      </c>
      <c r="I8857" s="128">
        <v>4269.3999999999996</v>
      </c>
      <c r="J8857" s="128">
        <v>21347</v>
      </c>
    </row>
    <row r="8858" spans="1:10" hidden="1" x14ac:dyDescent="0.25">
      <c r="A8858" s="124" t="s">
        <v>1421</v>
      </c>
      <c r="B8858" s="124" t="s">
        <v>11736</v>
      </c>
      <c r="C8858" s="132"/>
      <c r="D8858" s="125">
        <f t="shared" si="166"/>
        <v>0</v>
      </c>
      <c r="E8858" s="124" t="s">
        <v>8367</v>
      </c>
      <c r="F8858" s="126">
        <v>600</v>
      </c>
      <c r="G8858" s="128">
        <v>82977.600000000006</v>
      </c>
      <c r="H8858" s="124" t="s">
        <v>8368</v>
      </c>
      <c r="I8858" s="128">
        <v>1819.8</v>
      </c>
      <c r="J8858" s="128">
        <v>9099</v>
      </c>
    </row>
    <row r="8859" spans="1:10" hidden="1" x14ac:dyDescent="0.25">
      <c r="A8859" s="124" t="s">
        <v>1593</v>
      </c>
      <c r="B8859" s="124" t="s">
        <v>11736</v>
      </c>
      <c r="C8859" s="132"/>
      <c r="D8859" s="125">
        <f t="shared" si="166"/>
        <v>0</v>
      </c>
      <c r="E8859" s="124" t="s">
        <v>8367</v>
      </c>
      <c r="F8859" s="129">
        <v>5000</v>
      </c>
      <c r="G8859" s="128">
        <v>341556</v>
      </c>
      <c r="H8859" s="124" t="s">
        <v>8368</v>
      </c>
      <c r="I8859" s="128">
        <v>1384.6</v>
      </c>
      <c r="J8859" s="128">
        <v>6923</v>
      </c>
    </row>
    <row r="8860" spans="1:10" hidden="1" x14ac:dyDescent="0.25">
      <c r="A8860" s="124" t="s">
        <v>1068</v>
      </c>
      <c r="B8860" s="124" t="s">
        <v>11736</v>
      </c>
      <c r="C8860" s="132"/>
      <c r="D8860" s="125">
        <f t="shared" si="166"/>
        <v>0</v>
      </c>
      <c r="E8860" s="124" t="s">
        <v>8367</v>
      </c>
      <c r="F8860" s="129">
        <v>3000</v>
      </c>
      <c r="G8860" s="128">
        <v>25616.400000000001</v>
      </c>
      <c r="H8860" s="124" t="s">
        <v>8368</v>
      </c>
      <c r="I8860" s="128">
        <v>3557.8</v>
      </c>
      <c r="J8860" s="128">
        <v>17789</v>
      </c>
    </row>
    <row r="8861" spans="1:10" hidden="1" x14ac:dyDescent="0.25">
      <c r="A8861" s="124" t="s">
        <v>1596</v>
      </c>
      <c r="B8861" s="124" t="s">
        <v>11736</v>
      </c>
      <c r="C8861" s="132"/>
      <c r="D8861" s="125">
        <f t="shared" si="166"/>
        <v>0</v>
      </c>
      <c r="E8861" s="124" t="s">
        <v>8367</v>
      </c>
      <c r="F8861" s="126">
        <v>250</v>
      </c>
      <c r="G8861" s="128">
        <v>10918.8</v>
      </c>
      <c r="H8861" s="124" t="s">
        <v>8368</v>
      </c>
      <c r="I8861" s="128">
        <v>10002</v>
      </c>
      <c r="J8861" s="128">
        <v>50010</v>
      </c>
    </row>
    <row r="8862" spans="1:10" hidden="1" x14ac:dyDescent="0.25">
      <c r="A8862" s="124" t="s">
        <v>1597</v>
      </c>
      <c r="B8862" s="124" t="s">
        <v>11736</v>
      </c>
      <c r="C8862" s="132"/>
      <c r="D8862" s="125">
        <f t="shared" si="166"/>
        <v>0</v>
      </c>
      <c r="E8862" s="124" t="s">
        <v>8367</v>
      </c>
      <c r="F8862" s="126">
        <v>250</v>
      </c>
      <c r="G8862" s="128">
        <v>8307.6</v>
      </c>
      <c r="H8862" s="124" t="s">
        <v>8368</v>
      </c>
      <c r="I8862" s="128">
        <v>2234</v>
      </c>
      <c r="J8862" s="128">
        <v>11170</v>
      </c>
    </row>
    <row r="8863" spans="1:10" hidden="1" x14ac:dyDescent="0.25">
      <c r="A8863" s="124" t="s">
        <v>1591</v>
      </c>
      <c r="B8863" s="124" t="s">
        <v>11736</v>
      </c>
      <c r="C8863" s="132"/>
      <c r="D8863" s="125">
        <f t="shared" si="166"/>
        <v>0</v>
      </c>
      <c r="E8863" s="124" t="s">
        <v>8367</v>
      </c>
      <c r="F8863" s="129">
        <v>3000</v>
      </c>
      <c r="G8863" s="128">
        <v>21346.799999999999</v>
      </c>
      <c r="H8863" s="124" t="s">
        <v>8368</v>
      </c>
      <c r="I8863" s="128">
        <v>7440</v>
      </c>
      <c r="J8863" s="128">
        <v>37200</v>
      </c>
    </row>
    <row r="8864" spans="1:10" hidden="1" x14ac:dyDescent="0.25">
      <c r="A8864" s="124" t="s">
        <v>11030</v>
      </c>
      <c r="B8864" s="124" t="s">
        <v>11736</v>
      </c>
      <c r="C8864" s="132"/>
      <c r="D8864" s="125">
        <f t="shared" si="166"/>
        <v>0</v>
      </c>
      <c r="E8864" s="124" t="s">
        <v>8367</v>
      </c>
      <c r="F8864" s="129">
        <v>3000</v>
      </c>
      <c r="G8864" s="128">
        <v>60012</v>
      </c>
      <c r="H8864" s="124" t="s">
        <v>8368</v>
      </c>
      <c r="I8864" s="127">
        <v>301.60000000000002</v>
      </c>
      <c r="J8864" s="128">
        <v>1508</v>
      </c>
    </row>
    <row r="8865" spans="1:10" hidden="1" x14ac:dyDescent="0.25">
      <c r="A8865" s="124" t="s">
        <v>1081</v>
      </c>
      <c r="B8865" s="124" t="s">
        <v>11736</v>
      </c>
      <c r="C8865" s="132"/>
      <c r="D8865" s="125">
        <f t="shared" ref="D8865:D8896" si="167">COUNTIF(A4619:A8864,A8865)</f>
        <v>0</v>
      </c>
      <c r="E8865" s="124" t="s">
        <v>8367</v>
      </c>
      <c r="F8865" s="129">
        <v>3000</v>
      </c>
      <c r="G8865" s="128">
        <v>13404</v>
      </c>
      <c r="H8865" s="124" t="s">
        <v>8368</v>
      </c>
      <c r="I8865" s="128">
        <v>36502.800000000003</v>
      </c>
      <c r="J8865" s="128">
        <v>182514</v>
      </c>
    </row>
    <row r="8866" spans="1:10" hidden="1" x14ac:dyDescent="0.25">
      <c r="A8866" s="124" t="s">
        <v>11031</v>
      </c>
      <c r="B8866" s="124" t="s">
        <v>11736</v>
      </c>
      <c r="C8866" s="132"/>
      <c r="D8866" s="125">
        <f t="shared" si="167"/>
        <v>0</v>
      </c>
      <c r="E8866" s="124" t="s">
        <v>8367</v>
      </c>
      <c r="F8866" s="129">
        <v>4000</v>
      </c>
      <c r="G8866" s="128">
        <v>44640</v>
      </c>
      <c r="H8866" s="124" t="s">
        <v>8368</v>
      </c>
      <c r="I8866" s="128">
        <v>3557.8</v>
      </c>
      <c r="J8866" s="128">
        <v>17789</v>
      </c>
    </row>
    <row r="8867" spans="1:10" hidden="1" x14ac:dyDescent="0.25">
      <c r="A8867" s="124" t="s">
        <v>11032</v>
      </c>
      <c r="B8867" s="124" t="s">
        <v>11736</v>
      </c>
      <c r="C8867" s="132"/>
      <c r="D8867" s="125">
        <f t="shared" si="167"/>
        <v>0</v>
      </c>
      <c r="E8867" s="124" t="s">
        <v>8367</v>
      </c>
      <c r="F8867" s="126">
        <v>1</v>
      </c>
      <c r="G8867" s="128">
        <v>1809.6</v>
      </c>
      <c r="H8867" s="124" t="s">
        <v>8368</v>
      </c>
      <c r="I8867" s="128">
        <v>7329.8</v>
      </c>
      <c r="J8867" s="128">
        <v>36649</v>
      </c>
    </row>
    <row r="8868" spans="1:10" hidden="1" x14ac:dyDescent="0.25">
      <c r="A8868" s="124" t="s">
        <v>351</v>
      </c>
      <c r="B8868" s="124" t="s">
        <v>11736</v>
      </c>
      <c r="C8868" s="132"/>
      <c r="D8868" s="125">
        <f t="shared" si="167"/>
        <v>0</v>
      </c>
      <c r="E8868" s="124" t="s">
        <v>8367</v>
      </c>
      <c r="F8868" s="129">
        <v>1000</v>
      </c>
      <c r="G8868" s="128">
        <v>219016.8</v>
      </c>
      <c r="H8868" s="124" t="s">
        <v>8368</v>
      </c>
      <c r="I8868" s="127">
        <v>188.6</v>
      </c>
      <c r="J8868" s="127">
        <v>943</v>
      </c>
    </row>
    <row r="8869" spans="1:10" hidden="1" x14ac:dyDescent="0.25">
      <c r="A8869" s="124" t="s">
        <v>462</v>
      </c>
      <c r="B8869" s="124" t="s">
        <v>11736</v>
      </c>
      <c r="C8869" s="132"/>
      <c r="D8869" s="125">
        <f t="shared" si="167"/>
        <v>0</v>
      </c>
      <c r="E8869" s="124" t="s">
        <v>8367</v>
      </c>
      <c r="F8869" s="129">
        <v>3000</v>
      </c>
      <c r="G8869" s="128">
        <v>21346.799999999999</v>
      </c>
      <c r="H8869" s="124" t="s">
        <v>8368</v>
      </c>
      <c r="I8869" s="128">
        <v>1339.6</v>
      </c>
      <c r="J8869" s="128">
        <v>6698</v>
      </c>
    </row>
    <row r="8870" spans="1:10" hidden="1" x14ac:dyDescent="0.25">
      <c r="A8870" s="124" t="s">
        <v>1055</v>
      </c>
      <c r="B8870" s="124" t="s">
        <v>11736</v>
      </c>
      <c r="C8870" s="132"/>
      <c r="D8870" s="125">
        <f t="shared" si="167"/>
        <v>0</v>
      </c>
      <c r="E8870" s="124" t="s">
        <v>8367</v>
      </c>
      <c r="F8870" s="129">
        <v>3000</v>
      </c>
      <c r="G8870" s="128">
        <v>43978.8</v>
      </c>
      <c r="H8870" s="124" t="s">
        <v>8368</v>
      </c>
      <c r="I8870" s="128">
        <v>359569.4</v>
      </c>
      <c r="J8870" s="128">
        <v>1797847</v>
      </c>
    </row>
    <row r="8871" spans="1:10" hidden="1" x14ac:dyDescent="0.25">
      <c r="A8871" s="124" t="s">
        <v>2603</v>
      </c>
      <c r="B8871" s="124" t="s">
        <v>11736</v>
      </c>
      <c r="C8871" s="132"/>
      <c r="D8871" s="125">
        <f t="shared" si="167"/>
        <v>0</v>
      </c>
      <c r="E8871" s="124" t="s">
        <v>10387</v>
      </c>
      <c r="F8871" s="126">
        <v>2</v>
      </c>
      <c r="G8871" s="128">
        <v>1131.5999999999999</v>
      </c>
      <c r="H8871" s="124" t="s">
        <v>8368</v>
      </c>
      <c r="I8871" s="128">
        <v>18604.2</v>
      </c>
      <c r="J8871" s="128">
        <v>93021</v>
      </c>
    </row>
    <row r="8872" spans="1:10" hidden="1" x14ac:dyDescent="0.25">
      <c r="A8872" s="124" t="s">
        <v>1590</v>
      </c>
      <c r="B8872" s="124" t="s">
        <v>11736</v>
      </c>
      <c r="C8872" s="132"/>
      <c r="D8872" s="125">
        <f t="shared" si="167"/>
        <v>0</v>
      </c>
      <c r="E8872" s="124" t="s">
        <v>8367</v>
      </c>
      <c r="F8872" s="126">
        <v>750</v>
      </c>
      <c r="G8872" s="128">
        <v>8037.6</v>
      </c>
      <c r="H8872" s="124" t="s">
        <v>8368</v>
      </c>
      <c r="I8872" s="128">
        <v>2874.6</v>
      </c>
      <c r="J8872" s="128">
        <v>14373</v>
      </c>
    </row>
    <row r="8873" spans="1:10" hidden="1" x14ac:dyDescent="0.25">
      <c r="A8873" s="124" t="s">
        <v>1420</v>
      </c>
      <c r="B8873" s="124" t="s">
        <v>11736</v>
      </c>
      <c r="C8873" s="132"/>
      <c r="D8873" s="125">
        <f t="shared" si="167"/>
        <v>0</v>
      </c>
      <c r="E8873" s="124" t="s">
        <v>8367</v>
      </c>
      <c r="F8873" s="126">
        <v>600</v>
      </c>
      <c r="G8873" s="128">
        <v>2157416.4</v>
      </c>
      <c r="H8873" s="124" t="s">
        <v>8368</v>
      </c>
      <c r="I8873" s="128">
        <v>45500.4</v>
      </c>
      <c r="J8873" s="128">
        <v>227502</v>
      </c>
    </row>
    <row r="8874" spans="1:10" hidden="1" x14ac:dyDescent="0.25">
      <c r="A8874" s="124" t="s">
        <v>1437</v>
      </c>
      <c r="B8874" s="124" t="s">
        <v>11736</v>
      </c>
      <c r="C8874" s="132"/>
      <c r="D8874" s="125">
        <f t="shared" si="167"/>
        <v>0</v>
      </c>
      <c r="E8874" s="124" t="s">
        <v>8367</v>
      </c>
      <c r="F8874" s="129">
        <v>5000</v>
      </c>
      <c r="G8874" s="128">
        <v>111625.2</v>
      </c>
      <c r="H8874" s="124" t="s">
        <v>8368</v>
      </c>
      <c r="I8874" s="128">
        <v>8366</v>
      </c>
      <c r="J8874" s="128">
        <v>41830</v>
      </c>
    </row>
    <row r="8875" spans="1:10" hidden="1" x14ac:dyDescent="0.25">
      <c r="A8875" s="124" t="s">
        <v>244</v>
      </c>
      <c r="B8875" s="124" t="s">
        <v>11736</v>
      </c>
      <c r="C8875" s="132"/>
      <c r="D8875" s="125">
        <f t="shared" si="167"/>
        <v>0</v>
      </c>
      <c r="E8875" s="124" t="s">
        <v>8367</v>
      </c>
      <c r="F8875" s="126">
        <v>250</v>
      </c>
      <c r="G8875" s="128">
        <v>17247.599999999999</v>
      </c>
      <c r="H8875" s="124" t="s">
        <v>8368</v>
      </c>
      <c r="I8875" s="128">
        <v>8605</v>
      </c>
      <c r="J8875" s="128">
        <v>43025</v>
      </c>
    </row>
    <row r="8876" spans="1:10" hidden="1" x14ac:dyDescent="0.25">
      <c r="A8876" s="124" t="s">
        <v>255</v>
      </c>
      <c r="B8876" s="124" t="s">
        <v>11736</v>
      </c>
      <c r="C8876" s="132"/>
      <c r="D8876" s="125">
        <f t="shared" si="167"/>
        <v>0</v>
      </c>
      <c r="E8876" s="124" t="s">
        <v>8367</v>
      </c>
      <c r="F8876" s="126">
        <v>250</v>
      </c>
      <c r="G8876" s="128">
        <v>273002.40000000002</v>
      </c>
      <c r="H8876" s="124" t="s">
        <v>8368</v>
      </c>
      <c r="I8876" s="128">
        <v>3960.6</v>
      </c>
      <c r="J8876" s="128">
        <v>19803</v>
      </c>
    </row>
    <row r="8877" spans="1:10" hidden="1" x14ac:dyDescent="0.25">
      <c r="A8877" s="124" t="s">
        <v>1439</v>
      </c>
      <c r="B8877" s="124" t="s">
        <v>11736</v>
      </c>
      <c r="C8877" s="132"/>
      <c r="D8877" s="125">
        <f t="shared" si="167"/>
        <v>0</v>
      </c>
      <c r="E8877" s="124" t="s">
        <v>8367</v>
      </c>
      <c r="F8877" s="126">
        <v>490</v>
      </c>
      <c r="G8877" s="128">
        <v>50196</v>
      </c>
      <c r="H8877" s="124" t="s">
        <v>8368</v>
      </c>
      <c r="I8877" s="128">
        <v>1343.4</v>
      </c>
      <c r="J8877" s="128">
        <v>6717</v>
      </c>
    </row>
    <row r="8878" spans="1:10" hidden="1" x14ac:dyDescent="0.25">
      <c r="A8878" s="124" t="s">
        <v>1581</v>
      </c>
      <c r="B8878" s="124" t="s">
        <v>11736</v>
      </c>
      <c r="C8878" s="132"/>
      <c r="D8878" s="125">
        <f t="shared" si="167"/>
        <v>0</v>
      </c>
      <c r="E8878" s="124" t="s">
        <v>8367</v>
      </c>
      <c r="F8878" s="126">
        <v>250</v>
      </c>
      <c r="G8878" s="128">
        <v>51630</v>
      </c>
      <c r="H8878" s="124" t="s">
        <v>8368</v>
      </c>
      <c r="I8878" s="128">
        <v>3296.2</v>
      </c>
      <c r="J8878" s="128">
        <v>16481</v>
      </c>
    </row>
    <row r="8879" spans="1:10" hidden="1" x14ac:dyDescent="0.25">
      <c r="A8879" s="124" t="s">
        <v>442</v>
      </c>
      <c r="B8879" s="124" t="s">
        <v>11736</v>
      </c>
      <c r="C8879" s="132"/>
      <c r="D8879" s="125">
        <f t="shared" si="167"/>
        <v>0</v>
      </c>
      <c r="E8879" s="124" t="s">
        <v>8367</v>
      </c>
      <c r="F8879" s="129">
        <v>2500</v>
      </c>
      <c r="G8879" s="128">
        <v>23763.599999999999</v>
      </c>
      <c r="H8879" s="124" t="s">
        <v>8368</v>
      </c>
      <c r="I8879" s="128">
        <v>3967.5</v>
      </c>
      <c r="J8879" s="128">
        <v>19837.5</v>
      </c>
    </row>
    <row r="8880" spans="1:10" hidden="1" x14ac:dyDescent="0.25">
      <c r="A8880" s="124" t="s">
        <v>1138</v>
      </c>
      <c r="B8880" s="124" t="s">
        <v>11736</v>
      </c>
      <c r="C8880" s="132"/>
      <c r="D8880" s="125">
        <f t="shared" si="167"/>
        <v>0</v>
      </c>
      <c r="E8880" s="124" t="s">
        <v>8367</v>
      </c>
      <c r="F8880" s="129">
        <v>3000</v>
      </c>
      <c r="G8880" s="128">
        <v>8060.4</v>
      </c>
      <c r="H8880" s="124" t="s">
        <v>8368</v>
      </c>
      <c r="I8880" s="128">
        <v>26353.33</v>
      </c>
      <c r="J8880" s="128">
        <v>131766.67000000001</v>
      </c>
    </row>
    <row r="8881" spans="1:10" hidden="1" x14ac:dyDescent="0.25">
      <c r="A8881" s="124" t="s">
        <v>367</v>
      </c>
      <c r="B8881" s="124" t="s">
        <v>11736</v>
      </c>
      <c r="C8881" s="132"/>
      <c r="D8881" s="125">
        <f t="shared" si="167"/>
        <v>0</v>
      </c>
      <c r="E8881" s="124" t="s">
        <v>8367</v>
      </c>
      <c r="F8881" s="129">
        <v>3500</v>
      </c>
      <c r="G8881" s="128">
        <v>19777.2</v>
      </c>
      <c r="H8881" s="124" t="s">
        <v>8368</v>
      </c>
      <c r="I8881" s="127">
        <v>910</v>
      </c>
      <c r="J8881" s="128">
        <v>4550</v>
      </c>
    </row>
    <row r="8882" spans="1:10" hidden="1" x14ac:dyDescent="0.25">
      <c r="A8882" s="124" t="s">
        <v>11033</v>
      </c>
      <c r="B8882" s="124" t="s">
        <v>11736</v>
      </c>
      <c r="C8882" s="132"/>
      <c r="D8882" s="125">
        <f t="shared" si="167"/>
        <v>0</v>
      </c>
      <c r="E8882" s="124" t="s">
        <v>8367</v>
      </c>
      <c r="F8882" s="126">
        <v>500</v>
      </c>
      <c r="G8882" s="128">
        <v>23805</v>
      </c>
      <c r="H8882" s="124" t="s">
        <v>8368</v>
      </c>
      <c r="I8882" s="128">
        <v>3314.4</v>
      </c>
      <c r="J8882" s="128">
        <v>16572</v>
      </c>
    </row>
    <row r="8883" spans="1:10" hidden="1" x14ac:dyDescent="0.25">
      <c r="A8883" s="124" t="s">
        <v>11034</v>
      </c>
      <c r="B8883" s="124" t="s">
        <v>11736</v>
      </c>
      <c r="C8883" s="132"/>
      <c r="D8883" s="125">
        <f t="shared" si="167"/>
        <v>0</v>
      </c>
      <c r="E8883" s="124" t="s">
        <v>8367</v>
      </c>
      <c r="F8883" s="129">
        <v>2000</v>
      </c>
      <c r="G8883" s="128">
        <v>158120</v>
      </c>
      <c r="H8883" s="124" t="s">
        <v>8368</v>
      </c>
      <c r="I8883" s="127">
        <v>608.4</v>
      </c>
      <c r="J8883" s="128">
        <v>3042</v>
      </c>
    </row>
    <row r="8884" spans="1:10" hidden="1" x14ac:dyDescent="0.25">
      <c r="A8884" s="124" t="s">
        <v>11035</v>
      </c>
      <c r="B8884" s="124" t="s">
        <v>11736</v>
      </c>
      <c r="C8884" s="132"/>
      <c r="D8884" s="125">
        <f t="shared" si="167"/>
        <v>0</v>
      </c>
      <c r="E8884" s="124" t="s">
        <v>8367</v>
      </c>
      <c r="F8884" s="126">
        <v>500</v>
      </c>
      <c r="G8884" s="128">
        <v>5460</v>
      </c>
      <c r="H8884" s="124" t="s">
        <v>8368</v>
      </c>
      <c r="I8884" s="128">
        <v>2650</v>
      </c>
      <c r="J8884" s="128">
        <v>13250</v>
      </c>
    </row>
    <row r="8885" spans="1:10" hidden="1" x14ac:dyDescent="0.25">
      <c r="A8885" s="124" t="s">
        <v>1099</v>
      </c>
      <c r="B8885" s="124" t="s">
        <v>11736</v>
      </c>
      <c r="C8885" s="132"/>
      <c r="D8885" s="125">
        <f t="shared" si="167"/>
        <v>0</v>
      </c>
      <c r="E8885" s="124" t="s">
        <v>8367</v>
      </c>
      <c r="F8885" s="129">
        <v>3000</v>
      </c>
      <c r="G8885" s="128">
        <v>19886.400000000001</v>
      </c>
      <c r="H8885" s="124" t="s">
        <v>8368</v>
      </c>
      <c r="I8885" s="127">
        <v>256.60000000000002</v>
      </c>
      <c r="J8885" s="128">
        <v>1283</v>
      </c>
    </row>
    <row r="8886" spans="1:10" hidden="1" x14ac:dyDescent="0.25">
      <c r="A8886" s="124" t="s">
        <v>247</v>
      </c>
      <c r="B8886" s="124" t="s">
        <v>11736</v>
      </c>
      <c r="C8886" s="132"/>
      <c r="D8886" s="125">
        <f t="shared" si="167"/>
        <v>0</v>
      </c>
      <c r="E8886" s="124" t="s">
        <v>8367</v>
      </c>
      <c r="F8886" s="126">
        <v>250</v>
      </c>
      <c r="G8886" s="128">
        <v>3650.4</v>
      </c>
      <c r="H8886" s="124" t="s">
        <v>8368</v>
      </c>
      <c r="I8886" s="127">
        <v>330</v>
      </c>
      <c r="J8886" s="128">
        <v>1650</v>
      </c>
    </row>
    <row r="8887" spans="1:10" hidden="1" x14ac:dyDescent="0.25">
      <c r="A8887" s="124" t="s">
        <v>11036</v>
      </c>
      <c r="B8887" s="124" t="s">
        <v>11736</v>
      </c>
      <c r="C8887" s="132"/>
      <c r="D8887" s="125">
        <f t="shared" si="167"/>
        <v>0</v>
      </c>
      <c r="E8887" s="124" t="s">
        <v>8367</v>
      </c>
      <c r="F8887" s="126">
        <v>10</v>
      </c>
      <c r="G8887" s="128">
        <v>15900</v>
      </c>
      <c r="H8887" s="124" t="s">
        <v>8368</v>
      </c>
      <c r="I8887" s="128">
        <v>1800</v>
      </c>
      <c r="J8887" s="128">
        <v>9000</v>
      </c>
    </row>
    <row r="8888" spans="1:10" hidden="1" x14ac:dyDescent="0.25">
      <c r="A8888" s="124" t="s">
        <v>6495</v>
      </c>
      <c r="B8888" s="124" t="s">
        <v>11736</v>
      </c>
      <c r="C8888" s="132"/>
      <c r="D8888" s="125">
        <f t="shared" si="167"/>
        <v>0</v>
      </c>
      <c r="E8888" s="124" t="s">
        <v>8367</v>
      </c>
      <c r="F8888" s="126">
        <v>1</v>
      </c>
      <c r="G8888" s="128">
        <v>1539.6</v>
      </c>
      <c r="H8888" s="124" t="s">
        <v>8368</v>
      </c>
      <c r="I8888" s="128">
        <v>1483.34</v>
      </c>
      <c r="J8888" s="128">
        <v>7416.7</v>
      </c>
    </row>
    <row r="8889" spans="1:10" hidden="1" x14ac:dyDescent="0.25">
      <c r="A8889" s="124" t="s">
        <v>11037</v>
      </c>
      <c r="B8889" s="124" t="s">
        <v>11736</v>
      </c>
      <c r="C8889" s="132"/>
      <c r="D8889" s="125">
        <f t="shared" si="167"/>
        <v>0</v>
      </c>
      <c r="E8889" s="124" t="s">
        <v>8367</v>
      </c>
      <c r="F8889" s="126">
        <v>3</v>
      </c>
      <c r="G8889" s="128">
        <v>1980</v>
      </c>
      <c r="H8889" s="124" t="s">
        <v>8368</v>
      </c>
      <c r="I8889" s="128">
        <v>29908.400000000001</v>
      </c>
      <c r="J8889" s="128">
        <v>149542</v>
      </c>
    </row>
    <row r="8890" spans="1:10" hidden="1" x14ac:dyDescent="0.25">
      <c r="A8890" s="124" t="s">
        <v>11038</v>
      </c>
      <c r="B8890" s="124" t="s">
        <v>11736</v>
      </c>
      <c r="C8890" s="132"/>
      <c r="D8890" s="125">
        <f t="shared" si="167"/>
        <v>0</v>
      </c>
      <c r="E8890" s="124" t="s">
        <v>8367</v>
      </c>
      <c r="F8890" s="129">
        <v>4000</v>
      </c>
      <c r="G8890" s="128">
        <v>10800</v>
      </c>
      <c r="H8890" s="124" t="s">
        <v>8368</v>
      </c>
      <c r="I8890" s="127">
        <v>0.8</v>
      </c>
      <c r="J8890" s="127">
        <v>4</v>
      </c>
    </row>
    <row r="8891" spans="1:10" hidden="1" x14ac:dyDescent="0.25">
      <c r="A8891" s="124" t="s">
        <v>11039</v>
      </c>
      <c r="B8891" s="124" t="s">
        <v>11736</v>
      </c>
      <c r="C8891" s="132"/>
      <c r="D8891" s="125">
        <f t="shared" si="167"/>
        <v>0</v>
      </c>
      <c r="E8891" s="124" t="s">
        <v>8367</v>
      </c>
      <c r="F8891" s="126">
        <v>10</v>
      </c>
      <c r="G8891" s="128">
        <v>8900.0400000000009</v>
      </c>
      <c r="H8891" s="124" t="s">
        <v>8368</v>
      </c>
      <c r="I8891" s="127">
        <v>460</v>
      </c>
      <c r="J8891" s="128">
        <v>2300</v>
      </c>
    </row>
    <row r="8892" spans="1:10" hidden="1" x14ac:dyDescent="0.25">
      <c r="A8892" s="124" t="s">
        <v>477</v>
      </c>
      <c r="B8892" s="124" t="s">
        <v>11736</v>
      </c>
      <c r="C8892" s="132"/>
      <c r="D8892" s="125">
        <f t="shared" si="167"/>
        <v>0</v>
      </c>
      <c r="E8892" s="124" t="s">
        <v>8367</v>
      </c>
      <c r="F8892" s="126">
        <v>5</v>
      </c>
      <c r="G8892" s="128">
        <v>179450.4</v>
      </c>
      <c r="H8892" s="124" t="s">
        <v>8368</v>
      </c>
      <c r="I8892" s="127">
        <v>0.8</v>
      </c>
      <c r="J8892" s="127">
        <v>4</v>
      </c>
    </row>
    <row r="8893" spans="1:10" hidden="1" x14ac:dyDescent="0.25">
      <c r="A8893" s="124" t="s">
        <v>4459</v>
      </c>
      <c r="B8893" s="124" t="s">
        <v>11736</v>
      </c>
      <c r="C8893" s="132"/>
      <c r="D8893" s="125">
        <f t="shared" si="167"/>
        <v>0</v>
      </c>
      <c r="E8893" s="124" t="s">
        <v>8367</v>
      </c>
      <c r="F8893" s="126">
        <v>5</v>
      </c>
      <c r="G8893" s="127">
        <v>4.8</v>
      </c>
      <c r="H8893" s="124" t="s">
        <v>8368</v>
      </c>
      <c r="I8893" s="127">
        <v>0.8</v>
      </c>
      <c r="J8893" s="127">
        <v>4</v>
      </c>
    </row>
    <row r="8894" spans="1:10" hidden="1" x14ac:dyDescent="0.25">
      <c r="A8894" s="124" t="s">
        <v>11040</v>
      </c>
      <c r="B8894" s="124" t="s">
        <v>11736</v>
      </c>
      <c r="C8894" s="132"/>
      <c r="D8894" s="125">
        <f t="shared" si="167"/>
        <v>0</v>
      </c>
      <c r="E8894" s="124" t="s">
        <v>8367</v>
      </c>
      <c r="F8894" s="129">
        <v>10000</v>
      </c>
      <c r="G8894" s="128">
        <v>2760</v>
      </c>
      <c r="H8894" s="124" t="s">
        <v>8368</v>
      </c>
      <c r="I8894" s="127">
        <v>195.4</v>
      </c>
      <c r="J8894" s="127">
        <v>977</v>
      </c>
    </row>
    <row r="8895" spans="1:10" hidden="1" x14ac:dyDescent="0.25">
      <c r="A8895" s="124" t="s">
        <v>4130</v>
      </c>
      <c r="B8895" s="124" t="s">
        <v>11736</v>
      </c>
      <c r="C8895" s="132"/>
      <c r="D8895" s="125">
        <f t="shared" si="167"/>
        <v>0</v>
      </c>
      <c r="E8895" s="124" t="s">
        <v>8367</v>
      </c>
      <c r="F8895" s="126">
        <v>5</v>
      </c>
      <c r="G8895" s="127">
        <v>4.8</v>
      </c>
      <c r="H8895" s="124" t="s">
        <v>8368</v>
      </c>
      <c r="I8895" s="128">
        <v>5344</v>
      </c>
      <c r="J8895" s="128">
        <v>26720</v>
      </c>
    </row>
    <row r="8896" spans="1:10" hidden="1" x14ac:dyDescent="0.25">
      <c r="A8896" s="124" t="s">
        <v>11041</v>
      </c>
      <c r="B8896" s="124" t="s">
        <v>11736</v>
      </c>
      <c r="C8896" s="132"/>
      <c r="D8896" s="125">
        <f t="shared" si="167"/>
        <v>0</v>
      </c>
      <c r="E8896" s="124" t="s">
        <v>8367</v>
      </c>
      <c r="F8896" s="126">
        <v>5</v>
      </c>
      <c r="G8896" s="127">
        <v>4.8</v>
      </c>
      <c r="H8896" s="124" t="s">
        <v>8368</v>
      </c>
      <c r="I8896" s="127">
        <v>2.97</v>
      </c>
      <c r="J8896" s="127">
        <v>14.84</v>
      </c>
    </row>
    <row r="8897" spans="1:10" hidden="1" x14ac:dyDescent="0.25">
      <c r="A8897" s="124" t="s">
        <v>950</v>
      </c>
      <c r="B8897" s="124" t="s">
        <v>11736</v>
      </c>
      <c r="C8897" s="132"/>
      <c r="D8897" s="125">
        <f t="shared" ref="D8897:D8928" si="168">COUNTIF(A4651:A8896,A8897)</f>
        <v>0</v>
      </c>
      <c r="E8897" s="124" t="s">
        <v>8367</v>
      </c>
      <c r="F8897" s="129">
        <v>1000</v>
      </c>
      <c r="G8897" s="128">
        <v>1172.4000000000001</v>
      </c>
      <c r="H8897" s="124" t="s">
        <v>8368</v>
      </c>
      <c r="I8897" s="127">
        <v>408.8</v>
      </c>
      <c r="J8897" s="128">
        <v>2044</v>
      </c>
    </row>
    <row r="8898" spans="1:10" hidden="1" x14ac:dyDescent="0.25">
      <c r="A8898" s="124" t="s">
        <v>609</v>
      </c>
      <c r="B8898" s="124" t="s">
        <v>11736</v>
      </c>
      <c r="C8898" s="132"/>
      <c r="D8898" s="125">
        <f t="shared" si="168"/>
        <v>0</v>
      </c>
      <c r="E8898" s="124" t="s">
        <v>8367</v>
      </c>
      <c r="F8898" s="129">
        <v>9000</v>
      </c>
      <c r="G8898" s="128">
        <v>32064</v>
      </c>
      <c r="H8898" s="124" t="s">
        <v>8368</v>
      </c>
      <c r="I8898" s="128">
        <v>70602.600000000006</v>
      </c>
      <c r="J8898" s="128">
        <v>353013</v>
      </c>
    </row>
    <row r="8899" spans="1:10" hidden="1" x14ac:dyDescent="0.25">
      <c r="A8899" s="124" t="s">
        <v>4894</v>
      </c>
      <c r="B8899" s="124" t="s">
        <v>11736</v>
      </c>
      <c r="C8899" s="132"/>
      <c r="D8899" s="125">
        <f t="shared" si="168"/>
        <v>0</v>
      </c>
      <c r="E8899" s="124" t="s">
        <v>8367</v>
      </c>
      <c r="F8899" s="126">
        <v>5</v>
      </c>
      <c r="G8899" s="127">
        <v>17.809999999999999</v>
      </c>
      <c r="H8899" s="124" t="s">
        <v>8368</v>
      </c>
      <c r="I8899" s="127">
        <v>0.8</v>
      </c>
      <c r="J8899" s="127">
        <v>4</v>
      </c>
    </row>
    <row r="8900" spans="1:10" hidden="1" x14ac:dyDescent="0.25">
      <c r="A8900" s="124" t="s">
        <v>135</v>
      </c>
      <c r="B8900" s="124" t="s">
        <v>11736</v>
      </c>
      <c r="C8900" s="132"/>
      <c r="D8900" s="125">
        <f t="shared" si="168"/>
        <v>0</v>
      </c>
      <c r="E8900" s="124" t="s">
        <v>8367</v>
      </c>
      <c r="F8900" s="129">
        <v>3000</v>
      </c>
      <c r="G8900" s="128">
        <v>2452.8000000000002</v>
      </c>
      <c r="H8900" s="124" t="s">
        <v>8368</v>
      </c>
      <c r="I8900" s="128">
        <v>11926.67</v>
      </c>
      <c r="J8900" s="128">
        <v>59633.33</v>
      </c>
    </row>
    <row r="8901" spans="1:10" hidden="1" x14ac:dyDescent="0.25">
      <c r="A8901" s="124" t="s">
        <v>608</v>
      </c>
      <c r="B8901" s="124" t="s">
        <v>11736</v>
      </c>
      <c r="C8901" s="132"/>
      <c r="D8901" s="125">
        <f t="shared" si="168"/>
        <v>0</v>
      </c>
      <c r="E8901" s="124" t="s">
        <v>8367</v>
      </c>
      <c r="F8901" s="129">
        <v>51000</v>
      </c>
      <c r="G8901" s="128">
        <v>423615.6</v>
      </c>
      <c r="H8901" s="124" t="s">
        <v>8368</v>
      </c>
      <c r="I8901" s="128">
        <v>3718.4</v>
      </c>
      <c r="J8901" s="128">
        <v>18592</v>
      </c>
    </row>
    <row r="8902" spans="1:10" hidden="1" x14ac:dyDescent="0.25">
      <c r="A8902" s="124" t="s">
        <v>3963</v>
      </c>
      <c r="B8902" s="124" t="s">
        <v>11736</v>
      </c>
      <c r="C8902" s="132"/>
      <c r="D8902" s="125">
        <f t="shared" si="168"/>
        <v>0</v>
      </c>
      <c r="E8902" s="124" t="s">
        <v>8367</v>
      </c>
      <c r="F8902" s="126">
        <v>5</v>
      </c>
      <c r="G8902" s="127">
        <v>4.8</v>
      </c>
      <c r="H8902" s="124" t="s">
        <v>8368</v>
      </c>
      <c r="I8902" s="127">
        <v>565</v>
      </c>
      <c r="J8902" s="128">
        <v>2825</v>
      </c>
    </row>
    <row r="8903" spans="1:10" hidden="1" x14ac:dyDescent="0.25">
      <c r="A8903" s="124" t="s">
        <v>11042</v>
      </c>
      <c r="B8903" s="124" t="s">
        <v>11736</v>
      </c>
      <c r="C8903" s="132"/>
      <c r="D8903" s="125">
        <f t="shared" si="168"/>
        <v>0</v>
      </c>
      <c r="E8903" s="124" t="s">
        <v>8367</v>
      </c>
      <c r="F8903" s="129">
        <v>4000</v>
      </c>
      <c r="G8903" s="128">
        <v>71560</v>
      </c>
      <c r="H8903" s="124" t="s">
        <v>8368</v>
      </c>
      <c r="I8903" s="128">
        <v>2949.4</v>
      </c>
      <c r="J8903" s="128">
        <v>14747</v>
      </c>
    </row>
    <row r="8904" spans="1:10" hidden="1" x14ac:dyDescent="0.25">
      <c r="A8904" s="124" t="s">
        <v>610</v>
      </c>
      <c r="B8904" s="124" t="s">
        <v>11736</v>
      </c>
      <c r="C8904" s="132"/>
      <c r="D8904" s="125">
        <f t="shared" si="168"/>
        <v>0</v>
      </c>
      <c r="E8904" s="124" t="s">
        <v>8367</v>
      </c>
      <c r="F8904" s="129">
        <v>8000</v>
      </c>
      <c r="G8904" s="128">
        <v>22310.400000000001</v>
      </c>
      <c r="H8904" s="124" t="s">
        <v>8368</v>
      </c>
      <c r="I8904" s="128">
        <v>1146.2</v>
      </c>
      <c r="J8904" s="128">
        <v>5731</v>
      </c>
    </row>
    <row r="8905" spans="1:10" hidden="1" x14ac:dyDescent="0.25">
      <c r="A8905" s="124" t="s">
        <v>11043</v>
      </c>
      <c r="B8905" s="124" t="s">
        <v>11736</v>
      </c>
      <c r="C8905" s="132"/>
      <c r="D8905" s="125">
        <f t="shared" si="168"/>
        <v>0</v>
      </c>
      <c r="E8905" s="124" t="s">
        <v>8367</v>
      </c>
      <c r="F8905" s="126">
        <v>10</v>
      </c>
      <c r="G8905" s="128">
        <v>3390</v>
      </c>
      <c r="H8905" s="124" t="s">
        <v>8368</v>
      </c>
      <c r="I8905" s="127">
        <v>808.33</v>
      </c>
      <c r="J8905" s="128">
        <v>4041.65</v>
      </c>
    </row>
    <row r="8906" spans="1:10" hidden="1" x14ac:dyDescent="0.25">
      <c r="A8906" s="124" t="s">
        <v>1353</v>
      </c>
      <c r="B8906" s="124" t="s">
        <v>11736</v>
      </c>
      <c r="C8906" s="132"/>
      <c r="D8906" s="125">
        <f t="shared" si="168"/>
        <v>0</v>
      </c>
      <c r="E8906" s="124" t="s">
        <v>8367</v>
      </c>
      <c r="F8906" s="129">
        <v>3000</v>
      </c>
      <c r="G8906" s="128">
        <v>17696.400000000001</v>
      </c>
      <c r="H8906" s="124" t="s">
        <v>8368</v>
      </c>
      <c r="I8906" s="128">
        <v>2419.4</v>
      </c>
      <c r="J8906" s="128">
        <v>12097</v>
      </c>
    </row>
    <row r="8907" spans="1:10" hidden="1" x14ac:dyDescent="0.25">
      <c r="A8907" s="124" t="s">
        <v>1552</v>
      </c>
      <c r="B8907" s="124" t="s">
        <v>11736</v>
      </c>
      <c r="C8907" s="132"/>
      <c r="D8907" s="125">
        <f t="shared" si="168"/>
        <v>0</v>
      </c>
      <c r="E8907" s="124" t="s">
        <v>8367</v>
      </c>
      <c r="F8907" s="129">
        <v>3000</v>
      </c>
      <c r="G8907" s="128">
        <v>6877.2</v>
      </c>
      <c r="H8907" s="124" t="s">
        <v>8368</v>
      </c>
      <c r="I8907" s="127">
        <v>118.33</v>
      </c>
      <c r="J8907" s="127">
        <v>591.66999999999996</v>
      </c>
    </row>
    <row r="8908" spans="1:10" hidden="1" x14ac:dyDescent="0.25">
      <c r="A8908" s="124" t="s">
        <v>11044</v>
      </c>
      <c r="B8908" s="124" t="s">
        <v>11736</v>
      </c>
      <c r="C8908" s="132"/>
      <c r="D8908" s="125">
        <f t="shared" si="168"/>
        <v>0</v>
      </c>
      <c r="E8908" s="124" t="s">
        <v>8367</v>
      </c>
      <c r="F8908" s="126">
        <v>5</v>
      </c>
      <c r="G8908" s="128">
        <v>4849.9799999999996</v>
      </c>
      <c r="H8908" s="124" t="s">
        <v>8368</v>
      </c>
      <c r="I8908" s="127">
        <v>795</v>
      </c>
      <c r="J8908" s="128">
        <v>3975</v>
      </c>
    </row>
    <row r="8909" spans="1:10" hidden="1" x14ac:dyDescent="0.25">
      <c r="A8909" s="124" t="s">
        <v>312</v>
      </c>
      <c r="B8909" s="124" t="s">
        <v>11736</v>
      </c>
      <c r="C8909" s="132"/>
      <c r="D8909" s="125">
        <f t="shared" si="168"/>
        <v>0</v>
      </c>
      <c r="E8909" s="124" t="s">
        <v>8367</v>
      </c>
      <c r="F8909" s="129">
        <v>3000</v>
      </c>
      <c r="G8909" s="128">
        <v>14516.4</v>
      </c>
      <c r="H8909" s="124" t="s">
        <v>8368</v>
      </c>
      <c r="I8909" s="127">
        <v>226</v>
      </c>
      <c r="J8909" s="128">
        <v>1130</v>
      </c>
    </row>
    <row r="8910" spans="1:10" hidden="1" x14ac:dyDescent="0.25">
      <c r="A8910" s="124" t="s">
        <v>11045</v>
      </c>
      <c r="B8910" s="124" t="s">
        <v>11736</v>
      </c>
      <c r="C8910" s="132"/>
      <c r="D8910" s="125">
        <f t="shared" si="168"/>
        <v>0</v>
      </c>
      <c r="E8910" s="124" t="s">
        <v>8367</v>
      </c>
      <c r="F8910" s="126">
        <v>1</v>
      </c>
      <c r="G8910" s="127">
        <v>710</v>
      </c>
      <c r="H8910" s="124" t="s">
        <v>8368</v>
      </c>
      <c r="I8910" s="127">
        <v>181.67</v>
      </c>
      <c r="J8910" s="127">
        <v>908.33</v>
      </c>
    </row>
    <row r="8911" spans="1:10" hidden="1" x14ac:dyDescent="0.25">
      <c r="A8911" s="124" t="s">
        <v>3775</v>
      </c>
      <c r="B8911" s="124" t="s">
        <v>11736</v>
      </c>
      <c r="C8911" s="132"/>
      <c r="D8911" s="125">
        <f t="shared" si="168"/>
        <v>0</v>
      </c>
      <c r="E8911" s="124" t="s">
        <v>8367</v>
      </c>
      <c r="F8911" s="126">
        <v>3</v>
      </c>
      <c r="G8911" s="128">
        <v>4770</v>
      </c>
      <c r="H8911" s="124" t="s">
        <v>8368</v>
      </c>
      <c r="I8911" s="128">
        <v>2204.8000000000002</v>
      </c>
      <c r="J8911" s="128">
        <v>11024</v>
      </c>
    </row>
    <row r="8912" spans="1:10" hidden="1" x14ac:dyDescent="0.25">
      <c r="A8912" s="124" t="s">
        <v>11046</v>
      </c>
      <c r="B8912" s="124" t="s">
        <v>11736</v>
      </c>
      <c r="C8912" s="132"/>
      <c r="D8912" s="125">
        <f t="shared" si="168"/>
        <v>0</v>
      </c>
      <c r="E8912" s="124" t="s">
        <v>8367</v>
      </c>
      <c r="F8912" s="126">
        <v>4</v>
      </c>
      <c r="G8912" s="128">
        <v>1356</v>
      </c>
      <c r="H8912" s="124" t="s">
        <v>8368</v>
      </c>
      <c r="I8912" s="128">
        <v>2474.8000000000002</v>
      </c>
      <c r="J8912" s="128">
        <v>12374</v>
      </c>
    </row>
    <row r="8913" spans="1:10" hidden="1" x14ac:dyDescent="0.25">
      <c r="A8913" s="124" t="s">
        <v>11047</v>
      </c>
      <c r="B8913" s="124" t="s">
        <v>11736</v>
      </c>
      <c r="C8913" s="132"/>
      <c r="D8913" s="125">
        <f t="shared" si="168"/>
        <v>0</v>
      </c>
      <c r="E8913" s="124" t="s">
        <v>8367</v>
      </c>
      <c r="F8913" s="126">
        <v>1</v>
      </c>
      <c r="G8913" s="128">
        <v>1090</v>
      </c>
      <c r="H8913" s="124" t="s">
        <v>8368</v>
      </c>
      <c r="I8913" s="128">
        <v>9658.6</v>
      </c>
      <c r="J8913" s="128">
        <v>48293</v>
      </c>
    </row>
    <row r="8914" spans="1:10" hidden="1" x14ac:dyDescent="0.25">
      <c r="A8914" s="124" t="s">
        <v>452</v>
      </c>
      <c r="B8914" s="124" t="s">
        <v>11736</v>
      </c>
      <c r="C8914" s="132"/>
      <c r="D8914" s="125">
        <f t="shared" si="168"/>
        <v>0</v>
      </c>
      <c r="E8914" s="124" t="s">
        <v>8367</v>
      </c>
      <c r="F8914" s="129">
        <v>3000</v>
      </c>
      <c r="G8914" s="128">
        <v>13228.8</v>
      </c>
      <c r="H8914" s="124" t="s">
        <v>8368</v>
      </c>
      <c r="I8914" s="128">
        <v>2467.6</v>
      </c>
      <c r="J8914" s="128">
        <v>12338</v>
      </c>
    </row>
    <row r="8915" spans="1:10" hidden="1" x14ac:dyDescent="0.25">
      <c r="A8915" s="124" t="s">
        <v>540</v>
      </c>
      <c r="B8915" s="124" t="s">
        <v>11736</v>
      </c>
      <c r="C8915" s="132"/>
      <c r="D8915" s="125">
        <f t="shared" si="168"/>
        <v>0</v>
      </c>
      <c r="E8915" s="124" t="s">
        <v>8367</v>
      </c>
      <c r="F8915" s="129">
        <v>3000</v>
      </c>
      <c r="G8915" s="128">
        <v>14848.8</v>
      </c>
      <c r="H8915" s="124" t="s">
        <v>8368</v>
      </c>
      <c r="I8915" s="128">
        <v>13825</v>
      </c>
      <c r="J8915" s="128">
        <v>69125</v>
      </c>
    </row>
    <row r="8916" spans="1:10" hidden="1" x14ac:dyDescent="0.25">
      <c r="A8916" s="124" t="s">
        <v>1230</v>
      </c>
      <c r="B8916" s="124" t="s">
        <v>11736</v>
      </c>
      <c r="C8916" s="132"/>
      <c r="D8916" s="125">
        <f t="shared" si="168"/>
        <v>0</v>
      </c>
      <c r="E8916" s="124" t="s">
        <v>8367</v>
      </c>
      <c r="F8916" s="129">
        <v>3000</v>
      </c>
      <c r="G8916" s="128">
        <v>57951.6</v>
      </c>
      <c r="H8916" s="124" t="s">
        <v>8368</v>
      </c>
      <c r="I8916" s="128">
        <v>13827.2</v>
      </c>
      <c r="J8916" s="128">
        <v>69136</v>
      </c>
    </row>
    <row r="8917" spans="1:10" hidden="1" x14ac:dyDescent="0.25">
      <c r="A8917" s="124" t="s">
        <v>148</v>
      </c>
      <c r="B8917" s="124" t="s">
        <v>11736</v>
      </c>
      <c r="C8917" s="132"/>
      <c r="D8917" s="125">
        <f t="shared" si="168"/>
        <v>0</v>
      </c>
      <c r="E8917" s="124" t="s">
        <v>8367</v>
      </c>
      <c r="F8917" s="129">
        <v>6000</v>
      </c>
      <c r="G8917" s="128">
        <v>14805.6</v>
      </c>
      <c r="H8917" s="124" t="s">
        <v>8368</v>
      </c>
      <c r="I8917" s="127">
        <v>110.8</v>
      </c>
      <c r="J8917" s="127">
        <v>554</v>
      </c>
    </row>
    <row r="8918" spans="1:10" hidden="1" x14ac:dyDescent="0.25">
      <c r="A8918" s="124" t="s">
        <v>11048</v>
      </c>
      <c r="B8918" s="124" t="s">
        <v>11736</v>
      </c>
      <c r="C8918" s="132"/>
      <c r="D8918" s="125">
        <f t="shared" si="168"/>
        <v>0</v>
      </c>
      <c r="E8918" s="124" t="s">
        <v>8367</v>
      </c>
      <c r="F8918" s="129">
        <v>3000</v>
      </c>
      <c r="G8918" s="128">
        <v>82950</v>
      </c>
      <c r="H8918" s="124" t="s">
        <v>8368</v>
      </c>
      <c r="I8918" s="127">
        <v>228.33</v>
      </c>
      <c r="J8918" s="128">
        <v>1141.67</v>
      </c>
    </row>
    <row r="8919" spans="1:10" hidden="1" x14ac:dyDescent="0.25">
      <c r="A8919" s="124" t="s">
        <v>1509</v>
      </c>
      <c r="B8919" s="124" t="s">
        <v>11736</v>
      </c>
      <c r="C8919" s="132"/>
      <c r="D8919" s="125">
        <f t="shared" si="168"/>
        <v>0</v>
      </c>
      <c r="E8919" s="124" t="s">
        <v>8367</v>
      </c>
      <c r="F8919" s="129">
        <v>3000</v>
      </c>
      <c r="G8919" s="128">
        <v>82963.199999999997</v>
      </c>
      <c r="H8919" s="124" t="s">
        <v>8368</v>
      </c>
      <c r="I8919" s="127">
        <v>722.4</v>
      </c>
      <c r="J8919" s="128">
        <v>3612</v>
      </c>
    </row>
    <row r="8920" spans="1:10" hidden="1" x14ac:dyDescent="0.25">
      <c r="A8920" s="124" t="s">
        <v>1257</v>
      </c>
      <c r="B8920" s="124" t="s">
        <v>11736</v>
      </c>
      <c r="C8920" s="132"/>
      <c r="D8920" s="125">
        <f t="shared" si="168"/>
        <v>0</v>
      </c>
      <c r="E8920" s="124" t="s">
        <v>8367</v>
      </c>
      <c r="F8920" s="126">
        <v>260</v>
      </c>
      <c r="G8920" s="127">
        <v>664.8</v>
      </c>
      <c r="H8920" s="124" t="s">
        <v>8368</v>
      </c>
      <c r="I8920" s="128">
        <v>2787.5</v>
      </c>
      <c r="J8920" s="128">
        <v>13937.5</v>
      </c>
    </row>
    <row r="8921" spans="1:10" hidden="1" x14ac:dyDescent="0.25">
      <c r="A8921" s="124" t="s">
        <v>11049</v>
      </c>
      <c r="B8921" s="124" t="s">
        <v>11736</v>
      </c>
      <c r="C8921" s="132"/>
      <c r="D8921" s="125">
        <f t="shared" si="168"/>
        <v>0</v>
      </c>
      <c r="E8921" s="124" t="s">
        <v>8367</v>
      </c>
      <c r="F8921" s="126">
        <v>250</v>
      </c>
      <c r="G8921" s="128">
        <v>1370</v>
      </c>
      <c r="H8921" s="124" t="s">
        <v>8368</v>
      </c>
      <c r="I8921" s="128">
        <v>1157.2</v>
      </c>
      <c r="J8921" s="128">
        <v>5786</v>
      </c>
    </row>
    <row r="8922" spans="1:10" hidden="1" x14ac:dyDescent="0.25">
      <c r="A8922" s="124" t="s">
        <v>11050</v>
      </c>
      <c r="B8922" s="124" t="s">
        <v>11736</v>
      </c>
      <c r="C8922" s="132"/>
      <c r="D8922" s="125">
        <f t="shared" si="168"/>
        <v>0</v>
      </c>
      <c r="E8922" s="124" t="s">
        <v>8367</v>
      </c>
      <c r="F8922" s="126">
        <v>252</v>
      </c>
      <c r="G8922" s="128">
        <v>4334.3999999999996</v>
      </c>
      <c r="H8922" s="124" t="s">
        <v>8368</v>
      </c>
      <c r="I8922" s="128">
        <v>7930</v>
      </c>
      <c r="J8922" s="128">
        <v>39650</v>
      </c>
    </row>
    <row r="8923" spans="1:10" hidden="1" x14ac:dyDescent="0.25">
      <c r="A8923" s="124" t="s">
        <v>11051</v>
      </c>
      <c r="B8923" s="124" t="s">
        <v>11736</v>
      </c>
      <c r="C8923" s="132"/>
      <c r="D8923" s="125">
        <f t="shared" si="168"/>
        <v>0</v>
      </c>
      <c r="E8923" s="124" t="s">
        <v>8367</v>
      </c>
      <c r="F8923" s="126">
        <v>250</v>
      </c>
      <c r="G8923" s="128">
        <v>16725</v>
      </c>
      <c r="H8923" s="124" t="s">
        <v>8368</v>
      </c>
      <c r="I8923" s="128">
        <v>12408.33</v>
      </c>
      <c r="J8923" s="128">
        <v>62041.67</v>
      </c>
    </row>
    <row r="8924" spans="1:10" hidden="1" x14ac:dyDescent="0.25">
      <c r="A8924" s="124" t="s">
        <v>1225</v>
      </c>
      <c r="B8924" s="124" t="s">
        <v>11736</v>
      </c>
      <c r="C8924" s="132"/>
      <c r="D8924" s="125">
        <f t="shared" si="168"/>
        <v>0</v>
      </c>
      <c r="E8924" s="124" t="s">
        <v>8367</v>
      </c>
      <c r="F8924" s="126">
        <v>250</v>
      </c>
      <c r="G8924" s="128">
        <v>6943.2</v>
      </c>
      <c r="H8924" s="124" t="s">
        <v>8368</v>
      </c>
      <c r="I8924" s="127">
        <v>220.2</v>
      </c>
      <c r="J8924" s="128">
        <v>1101</v>
      </c>
    </row>
    <row r="8925" spans="1:10" hidden="1" x14ac:dyDescent="0.25">
      <c r="A8925" s="124" t="s">
        <v>11052</v>
      </c>
      <c r="B8925" s="124" t="s">
        <v>11736</v>
      </c>
      <c r="C8925" s="132"/>
      <c r="D8925" s="125">
        <f t="shared" si="168"/>
        <v>0</v>
      </c>
      <c r="E8925" s="124" t="s">
        <v>8367</v>
      </c>
      <c r="F8925" s="129">
        <v>3000</v>
      </c>
      <c r="G8925" s="128">
        <v>47580</v>
      </c>
      <c r="H8925" s="124" t="s">
        <v>8368</v>
      </c>
      <c r="I8925" s="128">
        <v>3641.67</v>
      </c>
      <c r="J8925" s="128">
        <v>18208.330000000002</v>
      </c>
    </row>
    <row r="8926" spans="1:10" hidden="1" x14ac:dyDescent="0.25">
      <c r="A8926" s="124" t="s">
        <v>11053</v>
      </c>
      <c r="B8926" s="124" t="s">
        <v>11736</v>
      </c>
      <c r="C8926" s="132"/>
      <c r="D8926" s="125">
        <f t="shared" si="168"/>
        <v>0</v>
      </c>
      <c r="E8926" s="124" t="s">
        <v>8367</v>
      </c>
      <c r="F8926" s="126">
        <v>250</v>
      </c>
      <c r="G8926" s="128">
        <v>74450</v>
      </c>
      <c r="H8926" s="124" t="s">
        <v>8368</v>
      </c>
      <c r="I8926" s="128">
        <v>10674</v>
      </c>
      <c r="J8926" s="128">
        <v>53370</v>
      </c>
    </row>
    <row r="8927" spans="1:10" hidden="1" x14ac:dyDescent="0.25">
      <c r="A8927" s="124" t="s">
        <v>201</v>
      </c>
      <c r="B8927" s="124" t="s">
        <v>11736</v>
      </c>
      <c r="C8927" s="132"/>
      <c r="D8927" s="125">
        <f t="shared" si="168"/>
        <v>0</v>
      </c>
      <c r="E8927" s="124" t="s">
        <v>8367</v>
      </c>
      <c r="F8927" s="126">
        <v>250</v>
      </c>
      <c r="G8927" s="128">
        <v>1321.2</v>
      </c>
      <c r="H8927" s="124" t="s">
        <v>8368</v>
      </c>
      <c r="I8927" s="128">
        <v>5365.2</v>
      </c>
      <c r="J8927" s="128">
        <v>26826</v>
      </c>
    </row>
    <row r="8928" spans="1:10" hidden="1" x14ac:dyDescent="0.25">
      <c r="A8928" s="124" t="s">
        <v>11054</v>
      </c>
      <c r="B8928" s="124" t="s">
        <v>11736</v>
      </c>
      <c r="C8928" s="132"/>
      <c r="D8928" s="125">
        <f t="shared" si="168"/>
        <v>0</v>
      </c>
      <c r="E8928" s="124" t="s">
        <v>8367</v>
      </c>
      <c r="F8928" s="126">
        <v>250</v>
      </c>
      <c r="G8928" s="128">
        <v>21850</v>
      </c>
      <c r="H8928" s="124" t="s">
        <v>8368</v>
      </c>
      <c r="I8928" s="128">
        <v>5110.3999999999996</v>
      </c>
      <c r="J8928" s="128">
        <v>25552</v>
      </c>
    </row>
    <row r="8929" spans="1:10" hidden="1" x14ac:dyDescent="0.25">
      <c r="A8929" s="124" t="s">
        <v>11055</v>
      </c>
      <c r="B8929" s="124" t="s">
        <v>11736</v>
      </c>
      <c r="C8929" s="132"/>
      <c r="D8929" s="125">
        <f t="shared" ref="D8929:D8960" si="169">COUNTIF(A4683:A8928,A8929)</f>
        <v>0</v>
      </c>
      <c r="E8929" s="124" t="s">
        <v>8367</v>
      </c>
      <c r="F8929" s="129">
        <v>3000</v>
      </c>
      <c r="G8929" s="128">
        <v>64044</v>
      </c>
      <c r="H8929" s="124" t="s">
        <v>8368</v>
      </c>
      <c r="I8929" s="128">
        <v>5991.8</v>
      </c>
      <c r="J8929" s="128">
        <v>29959</v>
      </c>
    </row>
    <row r="8930" spans="1:10" hidden="1" x14ac:dyDescent="0.25">
      <c r="A8930" s="124" t="s">
        <v>1666</v>
      </c>
      <c r="B8930" s="124" t="s">
        <v>11736</v>
      </c>
      <c r="C8930" s="132"/>
      <c r="D8930" s="125">
        <f t="shared" si="169"/>
        <v>0</v>
      </c>
      <c r="E8930" s="124" t="s">
        <v>8367</v>
      </c>
      <c r="F8930" s="129">
        <v>1000</v>
      </c>
      <c r="G8930" s="128">
        <v>32191.200000000001</v>
      </c>
      <c r="H8930" s="124" t="s">
        <v>8368</v>
      </c>
      <c r="I8930" s="128">
        <v>123368.1</v>
      </c>
      <c r="J8930" s="128">
        <v>616840.5</v>
      </c>
    </row>
    <row r="8931" spans="1:10" hidden="1" x14ac:dyDescent="0.25">
      <c r="A8931" s="124" t="s">
        <v>1605</v>
      </c>
      <c r="B8931" s="124" t="s">
        <v>11736</v>
      </c>
      <c r="C8931" s="132"/>
      <c r="D8931" s="125">
        <f t="shared" si="169"/>
        <v>0</v>
      </c>
      <c r="E8931" s="124" t="s">
        <v>8367</v>
      </c>
      <c r="F8931" s="129">
        <v>3000</v>
      </c>
      <c r="G8931" s="128">
        <v>30662.400000000001</v>
      </c>
      <c r="H8931" s="124" t="s">
        <v>8368</v>
      </c>
      <c r="I8931" s="127">
        <v>960</v>
      </c>
      <c r="J8931" s="128">
        <v>4800</v>
      </c>
    </row>
    <row r="8932" spans="1:10" hidden="1" x14ac:dyDescent="0.25">
      <c r="A8932" s="124" t="s">
        <v>1778</v>
      </c>
      <c r="B8932" s="124" t="s">
        <v>11736</v>
      </c>
      <c r="C8932" s="132"/>
      <c r="D8932" s="125">
        <f t="shared" si="169"/>
        <v>0</v>
      </c>
      <c r="E8932" s="124" t="s">
        <v>8367</v>
      </c>
      <c r="F8932" s="129">
        <v>9000</v>
      </c>
      <c r="G8932" s="128">
        <v>35950.800000000003</v>
      </c>
      <c r="H8932" s="124" t="s">
        <v>8368</v>
      </c>
      <c r="I8932" s="128">
        <v>61999.01</v>
      </c>
      <c r="J8932" s="128">
        <v>309995.03999999998</v>
      </c>
    </row>
    <row r="8933" spans="1:10" hidden="1" x14ac:dyDescent="0.25">
      <c r="A8933" s="124" t="s">
        <v>3288</v>
      </c>
      <c r="B8933" s="124" t="s">
        <v>11736</v>
      </c>
      <c r="C8933" s="132"/>
      <c r="D8933" s="125">
        <f t="shared" si="169"/>
        <v>0</v>
      </c>
      <c r="E8933" s="124" t="s">
        <v>8367</v>
      </c>
      <c r="F8933" s="129">
        <v>24000</v>
      </c>
      <c r="G8933" s="128">
        <v>740208.6</v>
      </c>
      <c r="H8933" s="124" t="s">
        <v>8368</v>
      </c>
      <c r="I8933" s="128">
        <v>1000</v>
      </c>
      <c r="J8933" s="128">
        <v>5000</v>
      </c>
    </row>
    <row r="8934" spans="1:10" hidden="1" x14ac:dyDescent="0.25">
      <c r="A8934" s="124" t="s">
        <v>11056</v>
      </c>
      <c r="B8934" s="124" t="s">
        <v>11736</v>
      </c>
      <c r="C8934" s="132"/>
      <c r="D8934" s="125">
        <f t="shared" si="169"/>
        <v>0</v>
      </c>
      <c r="E8934" s="124" t="s">
        <v>8367</v>
      </c>
      <c r="F8934" s="129">
        <v>4000</v>
      </c>
      <c r="G8934" s="128">
        <v>5760</v>
      </c>
      <c r="H8934" s="124" t="s">
        <v>8368</v>
      </c>
      <c r="I8934" s="127">
        <v>140</v>
      </c>
      <c r="J8934" s="127">
        <v>700</v>
      </c>
    </row>
    <row r="8935" spans="1:10" hidden="1" x14ac:dyDescent="0.25">
      <c r="A8935" s="124" t="s">
        <v>11057</v>
      </c>
      <c r="B8935" s="124" t="s">
        <v>11736</v>
      </c>
      <c r="C8935" s="132"/>
      <c r="D8935" s="125">
        <f t="shared" si="169"/>
        <v>0</v>
      </c>
      <c r="E8935" s="124" t="s">
        <v>8367</v>
      </c>
      <c r="F8935" s="129">
        <v>1488</v>
      </c>
      <c r="G8935" s="128">
        <v>371994.05</v>
      </c>
      <c r="H8935" s="124" t="s">
        <v>8368</v>
      </c>
      <c r="I8935" s="127">
        <v>100</v>
      </c>
      <c r="J8935" s="127">
        <v>500</v>
      </c>
    </row>
    <row r="8936" spans="1:10" hidden="1" x14ac:dyDescent="0.25">
      <c r="A8936" s="124" t="s">
        <v>11058</v>
      </c>
      <c r="B8936" s="124" t="s">
        <v>11736</v>
      </c>
      <c r="C8936" s="132"/>
      <c r="D8936" s="125">
        <f t="shared" si="169"/>
        <v>0</v>
      </c>
      <c r="E8936" s="124" t="s">
        <v>8367</v>
      </c>
      <c r="F8936" s="129">
        <v>10000</v>
      </c>
      <c r="G8936" s="128">
        <v>6000</v>
      </c>
      <c r="H8936" s="124" t="s">
        <v>8368</v>
      </c>
      <c r="I8936" s="128">
        <v>458320</v>
      </c>
      <c r="J8936" s="128">
        <v>2291600</v>
      </c>
    </row>
    <row r="8937" spans="1:10" hidden="1" x14ac:dyDescent="0.25">
      <c r="A8937" s="124" t="s">
        <v>11059</v>
      </c>
      <c r="B8937" s="124" t="s">
        <v>11736</v>
      </c>
      <c r="C8937" s="132"/>
      <c r="D8937" s="125">
        <f t="shared" si="169"/>
        <v>0</v>
      </c>
      <c r="E8937" s="124" t="s">
        <v>8367</v>
      </c>
      <c r="F8937" s="129">
        <v>10000</v>
      </c>
      <c r="G8937" s="127">
        <v>840</v>
      </c>
      <c r="H8937" s="124" t="s">
        <v>8368</v>
      </c>
      <c r="I8937" s="128">
        <v>4464</v>
      </c>
      <c r="J8937" s="128">
        <v>22320</v>
      </c>
    </row>
    <row r="8938" spans="1:10" hidden="1" x14ac:dyDescent="0.25">
      <c r="A8938" s="124" t="s">
        <v>11060</v>
      </c>
      <c r="B8938" s="124" t="s">
        <v>11736</v>
      </c>
      <c r="C8938" s="132"/>
      <c r="D8938" s="125">
        <f t="shared" si="169"/>
        <v>0</v>
      </c>
      <c r="E8938" s="124" t="s">
        <v>8367</v>
      </c>
      <c r="F8938" s="129">
        <v>10000</v>
      </c>
      <c r="G8938" s="127">
        <v>600</v>
      </c>
      <c r="H8938" s="124" t="s">
        <v>8368</v>
      </c>
      <c r="I8938" s="128">
        <v>44640</v>
      </c>
      <c r="J8938" s="128">
        <v>223200</v>
      </c>
    </row>
    <row r="8939" spans="1:10" hidden="1" x14ac:dyDescent="0.25">
      <c r="A8939" s="124" t="s">
        <v>11061</v>
      </c>
      <c r="B8939" s="124" t="s">
        <v>11736</v>
      </c>
      <c r="C8939" s="132"/>
      <c r="D8939" s="125">
        <f t="shared" si="169"/>
        <v>0</v>
      </c>
      <c r="E8939" s="124" t="s">
        <v>8367</v>
      </c>
      <c r="F8939" s="129">
        <v>2016</v>
      </c>
      <c r="G8939" s="128">
        <v>2749920</v>
      </c>
      <c r="H8939" s="124" t="s">
        <v>8368</v>
      </c>
      <c r="I8939" s="128">
        <v>85560</v>
      </c>
      <c r="J8939" s="128">
        <v>427800</v>
      </c>
    </row>
    <row r="8940" spans="1:10" hidden="1" x14ac:dyDescent="0.25">
      <c r="A8940" s="124" t="s">
        <v>11062</v>
      </c>
      <c r="B8940" s="124" t="s">
        <v>11736</v>
      </c>
      <c r="C8940" s="132"/>
      <c r="D8940" s="125">
        <f t="shared" si="169"/>
        <v>0</v>
      </c>
      <c r="E8940" s="124" t="s">
        <v>8367</v>
      </c>
      <c r="F8940" s="129">
        <v>2000</v>
      </c>
      <c r="G8940" s="128">
        <v>26784</v>
      </c>
      <c r="H8940" s="124" t="s">
        <v>8368</v>
      </c>
      <c r="I8940" s="128">
        <v>31620</v>
      </c>
      <c r="J8940" s="128">
        <v>158100</v>
      </c>
    </row>
    <row r="8941" spans="1:10" hidden="1" x14ac:dyDescent="0.25">
      <c r="A8941" s="124" t="s">
        <v>11063</v>
      </c>
      <c r="B8941" s="124" t="s">
        <v>11736</v>
      </c>
      <c r="C8941" s="132"/>
      <c r="D8941" s="125">
        <f t="shared" si="169"/>
        <v>0</v>
      </c>
      <c r="E8941" s="124" t="s">
        <v>8367</v>
      </c>
      <c r="F8941" s="129">
        <v>2000</v>
      </c>
      <c r="G8941" s="128">
        <v>267840</v>
      </c>
      <c r="H8941" s="124" t="s">
        <v>8368</v>
      </c>
      <c r="I8941" s="128">
        <v>26784</v>
      </c>
      <c r="J8941" s="128">
        <v>133920</v>
      </c>
    </row>
    <row r="8942" spans="1:10" hidden="1" x14ac:dyDescent="0.25">
      <c r="A8942" s="124" t="s">
        <v>11064</v>
      </c>
      <c r="B8942" s="124" t="s">
        <v>11736</v>
      </c>
      <c r="C8942" s="132"/>
      <c r="D8942" s="125">
        <f t="shared" si="169"/>
        <v>0</v>
      </c>
      <c r="E8942" s="124" t="s">
        <v>8367</v>
      </c>
      <c r="F8942" s="129">
        <v>2000</v>
      </c>
      <c r="G8942" s="128">
        <v>513360</v>
      </c>
      <c r="H8942" s="124" t="s">
        <v>8368</v>
      </c>
      <c r="I8942" s="128">
        <v>11936</v>
      </c>
      <c r="J8942" s="128">
        <v>59680</v>
      </c>
    </row>
    <row r="8943" spans="1:10" hidden="1" x14ac:dyDescent="0.25">
      <c r="A8943" s="124" t="s">
        <v>11065</v>
      </c>
      <c r="B8943" s="124" t="s">
        <v>11736</v>
      </c>
      <c r="C8943" s="132"/>
      <c r="D8943" s="125">
        <f t="shared" si="169"/>
        <v>0</v>
      </c>
      <c r="E8943" s="124" t="s">
        <v>8367</v>
      </c>
      <c r="F8943" s="129">
        <v>2000</v>
      </c>
      <c r="G8943" s="128">
        <v>189720</v>
      </c>
      <c r="H8943" s="124" t="s">
        <v>8368</v>
      </c>
      <c r="I8943" s="127">
        <v>160.47999999999999</v>
      </c>
      <c r="J8943" s="127">
        <v>802.4</v>
      </c>
    </row>
    <row r="8944" spans="1:10" hidden="1" x14ac:dyDescent="0.25">
      <c r="A8944" s="124" t="s">
        <v>11066</v>
      </c>
      <c r="B8944" s="124" t="s">
        <v>11736</v>
      </c>
      <c r="C8944" s="132"/>
      <c r="D8944" s="125">
        <f t="shared" si="169"/>
        <v>0</v>
      </c>
      <c r="E8944" s="124" t="s">
        <v>8367</v>
      </c>
      <c r="F8944" s="129">
        <v>6000</v>
      </c>
      <c r="G8944" s="128">
        <v>160704</v>
      </c>
      <c r="H8944" s="124" t="s">
        <v>8368</v>
      </c>
      <c r="I8944" s="127">
        <v>39.270000000000003</v>
      </c>
      <c r="J8944" s="127">
        <v>196.35</v>
      </c>
    </row>
    <row r="8945" spans="1:10" hidden="1" x14ac:dyDescent="0.25">
      <c r="A8945" s="124" t="s">
        <v>11067</v>
      </c>
      <c r="B8945" s="124" t="s">
        <v>11736</v>
      </c>
      <c r="C8945" s="132"/>
      <c r="D8945" s="125">
        <f t="shared" si="169"/>
        <v>0</v>
      </c>
      <c r="E8945" s="124" t="s">
        <v>8367</v>
      </c>
      <c r="F8945" s="129">
        <v>8000</v>
      </c>
      <c r="G8945" s="128">
        <v>71616</v>
      </c>
      <c r="H8945" s="124" t="s">
        <v>8368</v>
      </c>
      <c r="I8945" s="127">
        <v>242.76</v>
      </c>
      <c r="J8945" s="128">
        <v>1213.8</v>
      </c>
    </row>
    <row r="8946" spans="1:10" hidden="1" x14ac:dyDescent="0.25">
      <c r="A8946" s="124" t="s">
        <v>11068</v>
      </c>
      <c r="B8946" s="124" t="s">
        <v>11736</v>
      </c>
      <c r="C8946" s="132"/>
      <c r="D8946" s="125">
        <f t="shared" si="169"/>
        <v>0</v>
      </c>
      <c r="E8946" s="124" t="s">
        <v>8367</v>
      </c>
      <c r="F8946" s="129">
        <v>10030</v>
      </c>
      <c r="G8946" s="127">
        <v>962.88</v>
      </c>
      <c r="H8946" s="124" t="s">
        <v>8368</v>
      </c>
      <c r="I8946" s="127">
        <v>550</v>
      </c>
      <c r="J8946" s="128">
        <v>2750</v>
      </c>
    </row>
    <row r="8947" spans="1:10" hidden="1" x14ac:dyDescent="0.25">
      <c r="A8947" s="124" t="s">
        <v>11069</v>
      </c>
      <c r="B8947" s="124" t="s">
        <v>11736</v>
      </c>
      <c r="C8947" s="132"/>
      <c r="D8947" s="125">
        <f t="shared" si="169"/>
        <v>0</v>
      </c>
      <c r="E8947" s="124" t="s">
        <v>8367</v>
      </c>
      <c r="F8947" s="126">
        <v>357</v>
      </c>
      <c r="G8947" s="127">
        <v>235.62</v>
      </c>
      <c r="H8947" s="124" t="s">
        <v>8368</v>
      </c>
      <c r="I8947" s="127">
        <v>904.2</v>
      </c>
      <c r="J8947" s="128">
        <v>4521</v>
      </c>
    </row>
    <row r="8948" spans="1:10" hidden="1" x14ac:dyDescent="0.25">
      <c r="A8948" s="124" t="s">
        <v>11070</v>
      </c>
      <c r="B8948" s="124" t="s">
        <v>11736</v>
      </c>
      <c r="C8948" s="132"/>
      <c r="D8948" s="125">
        <f t="shared" si="169"/>
        <v>0</v>
      </c>
      <c r="E8948" s="124" t="s">
        <v>8367</v>
      </c>
      <c r="F8948" s="126">
        <v>20</v>
      </c>
      <c r="G8948" s="128">
        <v>1456.56</v>
      </c>
      <c r="H8948" s="124" t="s">
        <v>8368</v>
      </c>
      <c r="I8948" s="128">
        <v>3569</v>
      </c>
      <c r="J8948" s="128">
        <v>17845</v>
      </c>
    </row>
    <row r="8949" spans="1:10" hidden="1" x14ac:dyDescent="0.25">
      <c r="A8949" s="124" t="s">
        <v>11071</v>
      </c>
      <c r="B8949" s="124" t="s">
        <v>11736</v>
      </c>
      <c r="C8949" s="132"/>
      <c r="D8949" s="125">
        <f t="shared" si="169"/>
        <v>0</v>
      </c>
      <c r="E8949" s="124" t="s">
        <v>8367</v>
      </c>
      <c r="F8949" s="126">
        <v>220</v>
      </c>
      <c r="G8949" s="128">
        <v>3300</v>
      </c>
      <c r="H8949" s="124" t="s">
        <v>8368</v>
      </c>
      <c r="I8949" s="127">
        <v>192.78</v>
      </c>
      <c r="J8949" s="127">
        <v>963.9</v>
      </c>
    </row>
    <row r="8950" spans="1:10" hidden="1" x14ac:dyDescent="0.25">
      <c r="A8950" s="124" t="s">
        <v>3968</v>
      </c>
      <c r="B8950" s="124" t="s">
        <v>11736</v>
      </c>
      <c r="C8950" s="132"/>
      <c r="D8950" s="125">
        <f t="shared" si="169"/>
        <v>0</v>
      </c>
      <c r="E8950" s="124" t="s">
        <v>8367</v>
      </c>
      <c r="F8950" s="126">
        <v>220</v>
      </c>
      <c r="G8950" s="128">
        <v>5425.2</v>
      </c>
      <c r="H8950" s="124" t="s">
        <v>8368</v>
      </c>
      <c r="I8950" s="128">
        <v>7080</v>
      </c>
      <c r="J8950" s="128">
        <v>35400</v>
      </c>
    </row>
    <row r="8951" spans="1:10" hidden="1" x14ac:dyDescent="0.25">
      <c r="A8951" s="124" t="s">
        <v>1557</v>
      </c>
      <c r="B8951" s="124" t="s">
        <v>11736</v>
      </c>
      <c r="C8951" s="132"/>
      <c r="D8951" s="125">
        <f t="shared" si="169"/>
        <v>0</v>
      </c>
      <c r="E8951" s="124" t="s">
        <v>8367</v>
      </c>
      <c r="F8951" s="129">
        <v>8300</v>
      </c>
      <c r="G8951" s="128">
        <v>21414</v>
      </c>
      <c r="H8951" s="124" t="s">
        <v>8368</v>
      </c>
      <c r="I8951" s="128">
        <v>43232</v>
      </c>
      <c r="J8951" s="128">
        <v>216160</v>
      </c>
    </row>
    <row r="8952" spans="1:10" hidden="1" x14ac:dyDescent="0.25">
      <c r="A8952" s="124" t="s">
        <v>11072</v>
      </c>
      <c r="B8952" s="124" t="s">
        <v>11736</v>
      </c>
      <c r="C8952" s="132"/>
      <c r="D8952" s="125">
        <f t="shared" si="169"/>
        <v>0</v>
      </c>
      <c r="E8952" s="124" t="s">
        <v>8367</v>
      </c>
      <c r="F8952" s="129">
        <v>2142</v>
      </c>
      <c r="G8952" s="128">
        <v>1156.68</v>
      </c>
      <c r="H8952" s="124" t="s">
        <v>8368</v>
      </c>
      <c r="I8952" s="128">
        <v>7440</v>
      </c>
      <c r="J8952" s="128">
        <v>37200</v>
      </c>
    </row>
    <row r="8953" spans="1:10" hidden="1" x14ac:dyDescent="0.25">
      <c r="A8953" s="124" t="s">
        <v>11073</v>
      </c>
      <c r="B8953" s="124" t="s">
        <v>11736</v>
      </c>
      <c r="C8953" s="132"/>
      <c r="D8953" s="125">
        <f t="shared" si="169"/>
        <v>0</v>
      </c>
      <c r="E8953" s="124" t="s">
        <v>8367</v>
      </c>
      <c r="F8953" s="129">
        <v>4000</v>
      </c>
      <c r="G8953" s="128">
        <v>42480</v>
      </c>
      <c r="H8953" s="124" t="s">
        <v>8368</v>
      </c>
      <c r="I8953" s="128">
        <v>11160</v>
      </c>
      <c r="J8953" s="128">
        <v>55800</v>
      </c>
    </row>
    <row r="8954" spans="1:10" hidden="1" x14ac:dyDescent="0.25">
      <c r="A8954" s="124" t="s">
        <v>11074</v>
      </c>
      <c r="B8954" s="124" t="s">
        <v>11736</v>
      </c>
      <c r="C8954" s="132"/>
      <c r="D8954" s="125">
        <f t="shared" si="169"/>
        <v>0</v>
      </c>
      <c r="E8954" s="124" t="s">
        <v>8367</v>
      </c>
      <c r="F8954" s="129">
        <v>16000</v>
      </c>
      <c r="G8954" s="128">
        <v>259392</v>
      </c>
      <c r="H8954" s="124" t="s">
        <v>8368</v>
      </c>
      <c r="I8954" s="128">
        <v>11904</v>
      </c>
      <c r="J8954" s="128">
        <v>59520</v>
      </c>
    </row>
    <row r="8955" spans="1:10" hidden="1" x14ac:dyDescent="0.25">
      <c r="A8955" s="124" t="s">
        <v>11075</v>
      </c>
      <c r="B8955" s="124" t="s">
        <v>11736</v>
      </c>
      <c r="C8955" s="132"/>
      <c r="D8955" s="125">
        <f t="shared" si="169"/>
        <v>0</v>
      </c>
      <c r="E8955" s="124" t="s">
        <v>8367</v>
      </c>
      <c r="F8955" s="129">
        <v>4000</v>
      </c>
      <c r="G8955" s="128">
        <v>44640</v>
      </c>
      <c r="H8955" s="124" t="s">
        <v>8368</v>
      </c>
      <c r="I8955" s="128">
        <v>3700</v>
      </c>
      <c r="J8955" s="128">
        <v>18500</v>
      </c>
    </row>
    <row r="8956" spans="1:10" hidden="1" x14ac:dyDescent="0.25">
      <c r="A8956" s="124" t="s">
        <v>11076</v>
      </c>
      <c r="B8956" s="124" t="s">
        <v>11736</v>
      </c>
      <c r="C8956" s="132"/>
      <c r="D8956" s="125">
        <f t="shared" si="169"/>
        <v>0</v>
      </c>
      <c r="E8956" s="124" t="s">
        <v>8367</v>
      </c>
      <c r="F8956" s="129">
        <v>5000</v>
      </c>
      <c r="G8956" s="128">
        <v>66960</v>
      </c>
      <c r="H8956" s="124" t="s">
        <v>8368</v>
      </c>
      <c r="I8956" s="128">
        <v>3200</v>
      </c>
      <c r="J8956" s="128">
        <v>16000</v>
      </c>
    </row>
    <row r="8957" spans="1:10" hidden="1" x14ac:dyDescent="0.25">
      <c r="A8957" s="124" t="s">
        <v>11077</v>
      </c>
      <c r="B8957" s="124" t="s">
        <v>11736</v>
      </c>
      <c r="C8957" s="132"/>
      <c r="D8957" s="125">
        <f t="shared" si="169"/>
        <v>0</v>
      </c>
      <c r="E8957" s="124" t="s">
        <v>8367</v>
      </c>
      <c r="F8957" s="129">
        <v>4000</v>
      </c>
      <c r="G8957" s="128">
        <v>71424</v>
      </c>
      <c r="H8957" s="124" t="s">
        <v>8368</v>
      </c>
      <c r="I8957" s="128">
        <v>3400</v>
      </c>
      <c r="J8957" s="128">
        <v>17000</v>
      </c>
    </row>
    <row r="8958" spans="1:10" hidden="1" x14ac:dyDescent="0.25">
      <c r="A8958" s="124" t="s">
        <v>11078</v>
      </c>
      <c r="B8958" s="124" t="s">
        <v>11736</v>
      </c>
      <c r="C8958" s="132"/>
      <c r="D8958" s="125">
        <f t="shared" si="169"/>
        <v>0</v>
      </c>
      <c r="E8958" s="124" t="s">
        <v>8367</v>
      </c>
      <c r="F8958" s="129">
        <v>1000</v>
      </c>
      <c r="G8958" s="128">
        <v>22200</v>
      </c>
      <c r="H8958" s="124" t="s">
        <v>8368</v>
      </c>
      <c r="I8958" s="128">
        <v>3420</v>
      </c>
      <c r="J8958" s="128">
        <v>17100</v>
      </c>
    </row>
    <row r="8959" spans="1:10" hidden="1" x14ac:dyDescent="0.25">
      <c r="A8959" s="124" t="s">
        <v>11079</v>
      </c>
      <c r="B8959" s="124" t="s">
        <v>11736</v>
      </c>
      <c r="C8959" s="132"/>
      <c r="D8959" s="125">
        <f t="shared" si="169"/>
        <v>0</v>
      </c>
      <c r="E8959" s="124" t="s">
        <v>8367</v>
      </c>
      <c r="F8959" s="129">
        <v>2000</v>
      </c>
      <c r="G8959" s="128">
        <v>19200</v>
      </c>
      <c r="H8959" s="124" t="s">
        <v>8368</v>
      </c>
      <c r="I8959" s="127">
        <v>26.8</v>
      </c>
      <c r="J8959" s="127">
        <v>134</v>
      </c>
    </row>
    <row r="8960" spans="1:10" hidden="1" x14ac:dyDescent="0.25">
      <c r="A8960" s="124" t="s">
        <v>11080</v>
      </c>
      <c r="B8960" s="124" t="s">
        <v>11736</v>
      </c>
      <c r="C8960" s="132"/>
      <c r="D8960" s="125">
        <f t="shared" si="169"/>
        <v>0</v>
      </c>
      <c r="E8960" s="124" t="s">
        <v>8367</v>
      </c>
      <c r="F8960" s="129">
        <v>2000</v>
      </c>
      <c r="G8960" s="128">
        <v>20400</v>
      </c>
      <c r="H8960" s="124" t="s">
        <v>8368</v>
      </c>
      <c r="I8960" s="128">
        <v>11160</v>
      </c>
      <c r="J8960" s="128">
        <v>55800</v>
      </c>
    </row>
    <row r="8961" spans="1:10" hidden="1" x14ac:dyDescent="0.25">
      <c r="A8961" s="124" t="s">
        <v>11081</v>
      </c>
      <c r="B8961" s="124" t="s">
        <v>11736</v>
      </c>
      <c r="C8961" s="132"/>
      <c r="D8961" s="125">
        <f t="shared" ref="D8961:D8982" si="170">COUNTIF(A4715:A8960,A8961)</f>
        <v>0</v>
      </c>
      <c r="E8961" s="124" t="s">
        <v>8367</v>
      </c>
      <c r="F8961" s="129">
        <v>3000</v>
      </c>
      <c r="G8961" s="128">
        <v>20520</v>
      </c>
      <c r="H8961" s="124" t="s">
        <v>8368</v>
      </c>
      <c r="I8961" s="128">
        <v>4611.8</v>
      </c>
      <c r="J8961" s="128">
        <v>23059</v>
      </c>
    </row>
    <row r="8962" spans="1:10" hidden="1" x14ac:dyDescent="0.25">
      <c r="A8962" s="124" t="s">
        <v>11082</v>
      </c>
      <c r="B8962" s="124" t="s">
        <v>11736</v>
      </c>
      <c r="C8962" s="132"/>
      <c r="D8962" s="125">
        <f t="shared" si="170"/>
        <v>0</v>
      </c>
      <c r="E8962" s="124" t="s">
        <v>8367</v>
      </c>
      <c r="F8962" s="126">
        <v>100</v>
      </c>
      <c r="G8962" s="127">
        <v>160.80000000000001</v>
      </c>
      <c r="H8962" s="124" t="s">
        <v>8368</v>
      </c>
      <c r="I8962" s="128">
        <v>2240</v>
      </c>
      <c r="J8962" s="128">
        <v>11200</v>
      </c>
    </row>
    <row r="8963" spans="1:10" hidden="1" x14ac:dyDescent="0.25">
      <c r="A8963" s="124" t="s">
        <v>11083</v>
      </c>
      <c r="B8963" s="124" t="s">
        <v>11736</v>
      </c>
      <c r="C8963" s="132"/>
      <c r="D8963" s="125">
        <f t="shared" si="170"/>
        <v>0</v>
      </c>
      <c r="E8963" s="124" t="s">
        <v>8367</v>
      </c>
      <c r="F8963" s="129">
        <v>2500</v>
      </c>
      <c r="G8963" s="128">
        <v>66960</v>
      </c>
      <c r="H8963" s="124" t="s">
        <v>8368</v>
      </c>
      <c r="I8963" s="128">
        <v>1480</v>
      </c>
      <c r="J8963" s="128">
        <v>7400</v>
      </c>
    </row>
    <row r="8964" spans="1:10" hidden="1" x14ac:dyDescent="0.25">
      <c r="A8964" s="124" t="s">
        <v>1058</v>
      </c>
      <c r="B8964" s="124" t="s">
        <v>11736</v>
      </c>
      <c r="C8964" s="132"/>
      <c r="D8964" s="125">
        <f t="shared" si="170"/>
        <v>0</v>
      </c>
      <c r="E8964" s="124" t="s">
        <v>8367</v>
      </c>
      <c r="F8964" s="129">
        <v>1000</v>
      </c>
      <c r="G8964" s="128">
        <v>27670.799999999999</v>
      </c>
      <c r="H8964" s="124" t="s">
        <v>8368</v>
      </c>
      <c r="I8964" s="127">
        <v>360.6</v>
      </c>
      <c r="J8964" s="128">
        <v>1803</v>
      </c>
    </row>
    <row r="8965" spans="1:10" hidden="1" x14ac:dyDescent="0.25">
      <c r="A8965" s="124" t="s">
        <v>1006</v>
      </c>
      <c r="B8965" s="124" t="s">
        <v>11736</v>
      </c>
      <c r="C8965" s="132"/>
      <c r="D8965" s="125">
        <f t="shared" si="170"/>
        <v>0</v>
      </c>
      <c r="E8965" s="124" t="s">
        <v>8367</v>
      </c>
      <c r="F8965" s="129">
        <v>20000</v>
      </c>
      <c r="G8965" s="128">
        <v>13440</v>
      </c>
      <c r="H8965" s="124" t="s">
        <v>8368</v>
      </c>
      <c r="I8965" s="128">
        <v>6066</v>
      </c>
      <c r="J8965" s="128">
        <v>30330</v>
      </c>
    </row>
    <row r="8966" spans="1:10" hidden="1" x14ac:dyDescent="0.25">
      <c r="A8966" s="124" t="s">
        <v>11084</v>
      </c>
      <c r="B8966" s="124" t="s">
        <v>11736</v>
      </c>
      <c r="C8966" s="132"/>
      <c r="D8966" s="125">
        <f t="shared" si="170"/>
        <v>0</v>
      </c>
      <c r="E8966" s="124" t="s">
        <v>8367</v>
      </c>
      <c r="F8966" s="129">
        <v>10000</v>
      </c>
      <c r="G8966" s="128">
        <v>8880</v>
      </c>
      <c r="H8966" s="124" t="s">
        <v>8368</v>
      </c>
      <c r="I8966" s="128">
        <v>4108.33</v>
      </c>
      <c r="J8966" s="128">
        <v>20541.650000000001</v>
      </c>
    </row>
    <row r="8967" spans="1:10" hidden="1" x14ac:dyDescent="0.25">
      <c r="A8967" s="124" t="s">
        <v>1005</v>
      </c>
      <c r="B8967" s="124" t="s">
        <v>11736</v>
      </c>
      <c r="C8967" s="132"/>
      <c r="D8967" s="125">
        <f t="shared" si="170"/>
        <v>0</v>
      </c>
      <c r="E8967" s="124" t="s">
        <v>8367</v>
      </c>
      <c r="F8967" s="129">
        <v>5000</v>
      </c>
      <c r="G8967" s="128">
        <v>2163.6</v>
      </c>
      <c r="H8967" s="124" t="s">
        <v>8368</v>
      </c>
      <c r="I8967" s="127">
        <v>299.16000000000003</v>
      </c>
      <c r="J8967" s="128">
        <v>1495.8</v>
      </c>
    </row>
    <row r="8968" spans="1:10" hidden="1" x14ac:dyDescent="0.25">
      <c r="A8968" s="124" t="s">
        <v>11085</v>
      </c>
      <c r="B8968" s="124" t="s">
        <v>11736</v>
      </c>
      <c r="C8968" s="132"/>
      <c r="D8968" s="125">
        <f t="shared" si="170"/>
        <v>0</v>
      </c>
      <c r="E8968" s="124" t="s">
        <v>8367</v>
      </c>
      <c r="F8968" s="129">
        <v>3000</v>
      </c>
      <c r="G8968" s="128">
        <v>36396</v>
      </c>
      <c r="H8968" s="124" t="s">
        <v>8368</v>
      </c>
      <c r="I8968" s="128">
        <v>3750.48</v>
      </c>
      <c r="J8968" s="128">
        <v>18752.400000000001</v>
      </c>
    </row>
    <row r="8969" spans="1:10" hidden="1" x14ac:dyDescent="0.25">
      <c r="A8969" s="124" t="s">
        <v>11086</v>
      </c>
      <c r="B8969" s="124" t="s">
        <v>11736</v>
      </c>
      <c r="C8969" s="132"/>
      <c r="D8969" s="125">
        <f t="shared" si="170"/>
        <v>0</v>
      </c>
      <c r="E8969" s="124" t="s">
        <v>8367</v>
      </c>
      <c r="F8969" s="126">
        <v>5</v>
      </c>
      <c r="G8969" s="128">
        <v>24649.98</v>
      </c>
      <c r="H8969" s="124" t="s">
        <v>8368</v>
      </c>
      <c r="I8969" s="127">
        <v>930.7</v>
      </c>
      <c r="J8969" s="128">
        <v>4653.5</v>
      </c>
    </row>
    <row r="8970" spans="1:10" hidden="1" x14ac:dyDescent="0.25">
      <c r="A8970" s="124" t="s">
        <v>11087</v>
      </c>
      <c r="B8970" s="124" t="s">
        <v>11736</v>
      </c>
      <c r="C8970" s="132"/>
      <c r="D8970" s="125">
        <f t="shared" si="170"/>
        <v>0</v>
      </c>
      <c r="E8970" s="124" t="s">
        <v>8367</v>
      </c>
      <c r="F8970" s="126">
        <v>60</v>
      </c>
      <c r="G8970" s="128">
        <v>1794.96</v>
      </c>
      <c r="H8970" s="124" t="s">
        <v>8368</v>
      </c>
      <c r="I8970" s="128">
        <v>25574.880000000001</v>
      </c>
      <c r="J8970" s="128">
        <v>127874.4</v>
      </c>
    </row>
    <row r="8971" spans="1:10" hidden="1" x14ac:dyDescent="0.25">
      <c r="A8971" s="124" t="s">
        <v>11088</v>
      </c>
      <c r="B8971" s="124" t="s">
        <v>11736</v>
      </c>
      <c r="C8971" s="132"/>
      <c r="D8971" s="125">
        <f t="shared" si="170"/>
        <v>0</v>
      </c>
      <c r="E8971" s="124" t="s">
        <v>8367</v>
      </c>
      <c r="F8971" s="126">
        <v>72</v>
      </c>
      <c r="G8971" s="128">
        <v>22502.880000000001</v>
      </c>
      <c r="H8971" s="124" t="s">
        <v>8368</v>
      </c>
      <c r="I8971" s="127">
        <v>248.4</v>
      </c>
      <c r="J8971" s="128">
        <v>1242</v>
      </c>
    </row>
    <row r="8972" spans="1:10" hidden="1" x14ac:dyDescent="0.25">
      <c r="A8972" s="124" t="s">
        <v>11089</v>
      </c>
      <c r="B8972" s="124" t="s">
        <v>11736</v>
      </c>
      <c r="C8972" s="132"/>
      <c r="D8972" s="125">
        <f t="shared" si="170"/>
        <v>0</v>
      </c>
      <c r="E8972" s="124" t="s">
        <v>8367</v>
      </c>
      <c r="F8972" s="126">
        <v>10</v>
      </c>
      <c r="G8972" s="128">
        <v>5584.2</v>
      </c>
      <c r="H8972" s="124" t="s">
        <v>8368</v>
      </c>
      <c r="I8972" s="128">
        <v>1658.4</v>
      </c>
      <c r="J8972" s="128">
        <v>8292</v>
      </c>
    </row>
    <row r="8973" spans="1:10" hidden="1" x14ac:dyDescent="0.25">
      <c r="A8973" s="124" t="s">
        <v>11090</v>
      </c>
      <c r="B8973" s="124" t="s">
        <v>11736</v>
      </c>
      <c r="C8973" s="132"/>
      <c r="D8973" s="125">
        <f t="shared" si="170"/>
        <v>0</v>
      </c>
      <c r="E8973" s="124" t="s">
        <v>8367</v>
      </c>
      <c r="F8973" s="126">
        <v>60</v>
      </c>
      <c r="G8973" s="128">
        <v>153449.28</v>
      </c>
      <c r="H8973" s="124" t="s">
        <v>8368</v>
      </c>
      <c r="I8973" s="128">
        <v>2811.4</v>
      </c>
      <c r="J8973" s="128">
        <v>14057</v>
      </c>
    </row>
    <row r="8974" spans="1:10" hidden="1" x14ac:dyDescent="0.25">
      <c r="A8974" s="124" t="s">
        <v>3731</v>
      </c>
      <c r="B8974" s="124" t="s">
        <v>11736</v>
      </c>
      <c r="C8974" s="132"/>
      <c r="D8974" s="125">
        <f t="shared" si="170"/>
        <v>0</v>
      </c>
      <c r="E8974" s="124" t="s">
        <v>8367</v>
      </c>
      <c r="F8974" s="126">
        <v>10</v>
      </c>
      <c r="G8974" s="128">
        <v>1490.4</v>
      </c>
      <c r="H8974" s="124" t="s">
        <v>8368</v>
      </c>
      <c r="I8974" s="127">
        <v>232.4</v>
      </c>
      <c r="J8974" s="128">
        <v>1162</v>
      </c>
    </row>
    <row r="8975" spans="1:10" hidden="1" x14ac:dyDescent="0.25">
      <c r="A8975" s="124" t="s">
        <v>11091</v>
      </c>
      <c r="B8975" s="124" t="s">
        <v>11736</v>
      </c>
      <c r="C8975" s="132"/>
      <c r="D8975" s="125">
        <f t="shared" si="170"/>
        <v>0</v>
      </c>
      <c r="E8975" s="124" t="s">
        <v>8367</v>
      </c>
      <c r="F8975" s="126">
        <v>5</v>
      </c>
      <c r="G8975" s="128">
        <v>9950.4</v>
      </c>
      <c r="H8975" s="124" t="s">
        <v>8368</v>
      </c>
      <c r="I8975" s="127">
        <v>30</v>
      </c>
      <c r="J8975" s="127">
        <v>150</v>
      </c>
    </row>
    <row r="8976" spans="1:10" hidden="1" x14ac:dyDescent="0.25">
      <c r="A8976" s="124" t="s">
        <v>11092</v>
      </c>
      <c r="B8976" s="124" t="s">
        <v>11736</v>
      </c>
      <c r="C8976" s="132"/>
      <c r="D8976" s="125">
        <f t="shared" si="170"/>
        <v>0</v>
      </c>
      <c r="E8976" s="124" t="s">
        <v>8367</v>
      </c>
      <c r="F8976" s="126">
        <v>1</v>
      </c>
      <c r="G8976" s="128">
        <v>16868.400000000001</v>
      </c>
      <c r="H8976" s="124" t="s">
        <v>8368</v>
      </c>
      <c r="I8976" s="127">
        <v>38</v>
      </c>
      <c r="J8976" s="127">
        <v>190</v>
      </c>
    </row>
    <row r="8977" spans="1:10" hidden="1" x14ac:dyDescent="0.25">
      <c r="A8977" s="124" t="s">
        <v>11093</v>
      </c>
      <c r="B8977" s="124" t="s">
        <v>11736</v>
      </c>
      <c r="C8977" s="132"/>
      <c r="D8977" s="125">
        <f t="shared" si="170"/>
        <v>0</v>
      </c>
      <c r="E8977" s="124" t="s">
        <v>8367</v>
      </c>
      <c r="F8977" s="126">
        <v>1</v>
      </c>
      <c r="G8977" s="128">
        <v>1394.4</v>
      </c>
      <c r="H8977" s="124" t="s">
        <v>8368</v>
      </c>
      <c r="I8977" s="127">
        <v>97</v>
      </c>
      <c r="J8977" s="127">
        <v>485</v>
      </c>
    </row>
    <row r="8978" spans="1:10" hidden="1" x14ac:dyDescent="0.25">
      <c r="A8978" s="124" t="s">
        <v>11094</v>
      </c>
      <c r="B8978" s="124" t="s">
        <v>11736</v>
      </c>
      <c r="C8978" s="132"/>
      <c r="D8978" s="125">
        <f t="shared" si="170"/>
        <v>0</v>
      </c>
      <c r="E8978" s="124" t="s">
        <v>8367</v>
      </c>
      <c r="F8978" s="126">
        <v>1</v>
      </c>
      <c r="G8978" s="127">
        <v>180</v>
      </c>
      <c r="H8978" s="124" t="s">
        <v>8368</v>
      </c>
      <c r="I8978" s="127">
        <v>30</v>
      </c>
      <c r="J8978" s="127">
        <v>150</v>
      </c>
    </row>
    <row r="8979" spans="1:10" hidden="1" x14ac:dyDescent="0.25">
      <c r="A8979" s="124" t="s">
        <v>11095</v>
      </c>
      <c r="B8979" s="124" t="s">
        <v>11736</v>
      </c>
      <c r="C8979" s="132"/>
      <c r="D8979" s="125">
        <f t="shared" si="170"/>
        <v>0</v>
      </c>
      <c r="E8979" s="124" t="s">
        <v>8367</v>
      </c>
      <c r="F8979" s="126">
        <v>1</v>
      </c>
      <c r="G8979" s="127">
        <v>228</v>
      </c>
      <c r="H8979" s="124" t="s">
        <v>8368</v>
      </c>
      <c r="I8979" s="128">
        <v>2780</v>
      </c>
      <c r="J8979" s="128">
        <v>13900</v>
      </c>
    </row>
    <row r="8980" spans="1:10" hidden="1" x14ac:dyDescent="0.25">
      <c r="A8980" s="124" t="s">
        <v>11096</v>
      </c>
      <c r="B8980" s="124" t="s">
        <v>11736</v>
      </c>
      <c r="C8980" s="132"/>
      <c r="D8980" s="125">
        <f t="shared" si="170"/>
        <v>0</v>
      </c>
      <c r="E8980" s="124" t="s">
        <v>8367</v>
      </c>
      <c r="F8980" s="126">
        <v>1</v>
      </c>
      <c r="G8980" s="127">
        <v>582</v>
      </c>
      <c r="H8980" s="124" t="s">
        <v>8368</v>
      </c>
      <c r="I8980" s="127">
        <v>107.6</v>
      </c>
      <c r="J8980" s="127">
        <v>538</v>
      </c>
    </row>
    <row r="8981" spans="1:10" hidden="1" x14ac:dyDescent="0.25">
      <c r="A8981" s="124" t="s">
        <v>11097</v>
      </c>
      <c r="B8981" s="124" t="s">
        <v>11736</v>
      </c>
      <c r="C8981" s="132"/>
      <c r="D8981" s="125">
        <f t="shared" si="170"/>
        <v>0</v>
      </c>
      <c r="E8981" s="124" t="s">
        <v>8367</v>
      </c>
      <c r="F8981" s="126">
        <v>1</v>
      </c>
      <c r="G8981" s="127">
        <v>180</v>
      </c>
      <c r="H8981" s="124" t="s">
        <v>8368</v>
      </c>
      <c r="I8981" s="127">
        <v>266.60000000000002</v>
      </c>
      <c r="J8981" s="128">
        <v>1333</v>
      </c>
    </row>
    <row r="8982" spans="1:10" hidden="1" x14ac:dyDescent="0.25">
      <c r="A8982" s="124" t="s">
        <v>11098</v>
      </c>
      <c r="B8982" s="124" t="s">
        <v>11736</v>
      </c>
      <c r="C8982" s="132"/>
      <c r="D8982" s="125">
        <f t="shared" si="170"/>
        <v>0</v>
      </c>
      <c r="E8982" s="124" t="s">
        <v>8367</v>
      </c>
      <c r="F8982" s="126">
        <v>3</v>
      </c>
      <c r="G8982" s="128">
        <v>16680</v>
      </c>
      <c r="H8982" s="124" t="s">
        <v>8368</v>
      </c>
      <c r="I8982" s="128">
        <v>2126.6</v>
      </c>
      <c r="J8982" s="128">
        <v>10633</v>
      </c>
    </row>
    <row r="8983" spans="1:10" hidden="1" x14ac:dyDescent="0.25">
      <c r="A8983" s="124" t="s">
        <v>3112</v>
      </c>
      <c r="B8983" s="124" t="s">
        <v>11736</v>
      </c>
      <c r="C8983" s="132"/>
      <c r="D8983" s="125">
        <f>COUNTIF(A4738:A8982,A8983)</f>
        <v>0</v>
      </c>
      <c r="E8983" s="124" t="s">
        <v>8367</v>
      </c>
      <c r="F8983" s="126">
        <v>2</v>
      </c>
      <c r="G8983" s="127">
        <v>645.6</v>
      </c>
      <c r="H8983" s="124" t="s">
        <v>8368</v>
      </c>
      <c r="I8983" s="127">
        <v>30.6</v>
      </c>
      <c r="J8983" s="127">
        <v>153</v>
      </c>
    </row>
    <row r="8984" spans="1:10" hidden="1" x14ac:dyDescent="0.25">
      <c r="A8984" s="124" t="s">
        <v>11099</v>
      </c>
      <c r="B8984" s="124" t="s">
        <v>11736</v>
      </c>
      <c r="C8984" s="132"/>
      <c r="D8984" s="125">
        <f>COUNTIF(A4739:A8983,A8984)</f>
        <v>0</v>
      </c>
      <c r="E8984" s="124" t="s">
        <v>8367</v>
      </c>
      <c r="F8984" s="126">
        <v>50</v>
      </c>
      <c r="G8984" s="128">
        <v>1599.6</v>
      </c>
      <c r="H8984" s="124" t="s">
        <v>8368</v>
      </c>
      <c r="I8984" s="128">
        <v>1612</v>
      </c>
      <c r="J8984" s="128">
        <v>8060</v>
      </c>
    </row>
    <row r="8985" spans="1:10" hidden="1" x14ac:dyDescent="0.25">
      <c r="A8985" s="124" t="s">
        <v>11100</v>
      </c>
      <c r="B8985" s="124" t="s">
        <v>11736</v>
      </c>
      <c r="C8985" s="132"/>
      <c r="D8985" s="125">
        <f>COUNTIF(A4740:A8984,A8985)</f>
        <v>0</v>
      </c>
      <c r="E8985" s="124" t="s">
        <v>8367</v>
      </c>
      <c r="F8985" s="126">
        <v>5</v>
      </c>
      <c r="G8985" s="128">
        <v>12759.6</v>
      </c>
      <c r="H8985" s="124" t="s">
        <v>8368</v>
      </c>
      <c r="I8985" s="127">
        <v>787.6</v>
      </c>
      <c r="J8985" s="128">
        <v>3938</v>
      </c>
    </row>
    <row r="8986" spans="1:10" hidden="1" x14ac:dyDescent="0.25">
      <c r="A8986" s="124" t="s">
        <v>11101</v>
      </c>
      <c r="B8986" s="124" t="s">
        <v>11736</v>
      </c>
      <c r="C8986" s="132"/>
      <c r="D8986" s="125">
        <f>COUNTIF(A4741:A8985,A8986)</f>
        <v>0</v>
      </c>
      <c r="E8986" s="124" t="s">
        <v>8367</v>
      </c>
      <c r="F8986" s="126">
        <v>1</v>
      </c>
      <c r="G8986" s="127">
        <v>183.6</v>
      </c>
      <c r="H8986" s="124" t="s">
        <v>8368</v>
      </c>
      <c r="I8986" s="127">
        <v>31.8</v>
      </c>
      <c r="J8986" s="127">
        <v>159</v>
      </c>
    </row>
    <row r="8987" spans="1:10" hidden="1" x14ac:dyDescent="0.25">
      <c r="A8987" s="124" t="s">
        <v>11102</v>
      </c>
      <c r="B8987" s="124" t="s">
        <v>11736</v>
      </c>
      <c r="C8987" s="132"/>
      <c r="D8987" s="125">
        <f>COUNTIF(A4742:A8986,A8987)</f>
        <v>0</v>
      </c>
      <c r="E8987" s="124" t="s">
        <v>8367</v>
      </c>
      <c r="F8987" s="126">
        <v>4</v>
      </c>
      <c r="G8987" s="128">
        <v>9672</v>
      </c>
      <c r="H8987" s="124" t="s">
        <v>8368</v>
      </c>
      <c r="I8987" s="127">
        <v>317</v>
      </c>
      <c r="J8987" s="128">
        <v>1585</v>
      </c>
    </row>
    <row r="8988" spans="1:10" hidden="1" x14ac:dyDescent="0.25">
      <c r="A8988" s="124" t="s">
        <v>1905</v>
      </c>
      <c r="B8988" s="124" t="s">
        <v>11736</v>
      </c>
      <c r="C8988" s="132"/>
      <c r="D8988" s="125">
        <f t="shared" ref="D8988:D9008" si="171">COUNTIF(A4744:A8987,A8988)</f>
        <v>0</v>
      </c>
      <c r="E8988" s="124" t="s">
        <v>8367</v>
      </c>
      <c r="F8988" s="126">
        <v>5</v>
      </c>
      <c r="G8988" s="128">
        <v>4725.6000000000004</v>
      </c>
      <c r="H8988" s="124" t="s">
        <v>8368</v>
      </c>
      <c r="I8988" s="127">
        <v>485</v>
      </c>
      <c r="J8988" s="128">
        <v>2425</v>
      </c>
    </row>
    <row r="8989" spans="1:10" hidden="1" x14ac:dyDescent="0.25">
      <c r="A8989" s="124" t="s">
        <v>11103</v>
      </c>
      <c r="B8989" s="124" t="s">
        <v>11736</v>
      </c>
      <c r="C8989" s="132"/>
      <c r="D8989" s="125">
        <f t="shared" si="171"/>
        <v>0</v>
      </c>
      <c r="E8989" s="124" t="s">
        <v>8367</v>
      </c>
      <c r="F8989" s="126">
        <v>1</v>
      </c>
      <c r="G8989" s="127">
        <v>190.8</v>
      </c>
      <c r="H8989" s="124" t="s">
        <v>8368</v>
      </c>
      <c r="I8989" s="127">
        <v>35.6</v>
      </c>
      <c r="J8989" s="127">
        <v>178</v>
      </c>
    </row>
    <row r="8990" spans="1:10" hidden="1" x14ac:dyDescent="0.25">
      <c r="A8990" s="124" t="s">
        <v>3446</v>
      </c>
      <c r="B8990" s="124" t="s">
        <v>11736</v>
      </c>
      <c r="C8990" s="132"/>
      <c r="D8990" s="125">
        <f t="shared" si="171"/>
        <v>0</v>
      </c>
      <c r="E8990" s="124" t="s">
        <v>8531</v>
      </c>
      <c r="F8990" s="126">
        <v>6</v>
      </c>
      <c r="G8990" s="128">
        <v>1902</v>
      </c>
      <c r="H8990" s="124" t="s">
        <v>8368</v>
      </c>
      <c r="I8990" s="127">
        <v>333.4</v>
      </c>
      <c r="J8990" s="128">
        <v>1667</v>
      </c>
    </row>
    <row r="8991" spans="1:10" hidden="1" x14ac:dyDescent="0.25">
      <c r="A8991" s="124" t="s">
        <v>11104</v>
      </c>
      <c r="B8991" s="124" t="s">
        <v>11736</v>
      </c>
      <c r="C8991" s="132"/>
      <c r="D8991" s="125">
        <f t="shared" si="171"/>
        <v>0</v>
      </c>
      <c r="E8991" s="124" t="s">
        <v>8367</v>
      </c>
      <c r="F8991" s="126">
        <v>5</v>
      </c>
      <c r="G8991" s="128">
        <v>2910</v>
      </c>
      <c r="H8991" s="124" t="s">
        <v>8368</v>
      </c>
      <c r="I8991" s="127">
        <v>73.599999999999994</v>
      </c>
      <c r="J8991" s="127">
        <v>368</v>
      </c>
    </row>
    <row r="8992" spans="1:10" hidden="1" x14ac:dyDescent="0.25">
      <c r="A8992" s="124" t="s">
        <v>11105</v>
      </c>
      <c r="B8992" s="124" t="s">
        <v>11736</v>
      </c>
      <c r="C8992" s="132"/>
      <c r="D8992" s="125">
        <f t="shared" si="171"/>
        <v>0</v>
      </c>
      <c r="E8992" s="124" t="s">
        <v>8367</v>
      </c>
      <c r="F8992" s="126">
        <v>1</v>
      </c>
      <c r="G8992" s="127">
        <v>213.6</v>
      </c>
      <c r="H8992" s="124" t="s">
        <v>8368</v>
      </c>
      <c r="I8992" s="127">
        <v>233.4</v>
      </c>
      <c r="J8992" s="128">
        <v>1167</v>
      </c>
    </row>
    <row r="8993" spans="1:10" hidden="1" x14ac:dyDescent="0.25">
      <c r="A8993" s="124" t="s">
        <v>1578</v>
      </c>
      <c r="B8993" s="124" t="s">
        <v>11736</v>
      </c>
      <c r="C8993" s="132"/>
      <c r="D8993" s="125">
        <f t="shared" si="171"/>
        <v>0</v>
      </c>
      <c r="E8993" s="124" t="s">
        <v>8367</v>
      </c>
      <c r="F8993" s="126">
        <v>2</v>
      </c>
      <c r="G8993" s="128">
        <v>2000.4</v>
      </c>
      <c r="H8993" s="124" t="s">
        <v>8368</v>
      </c>
      <c r="I8993" s="127">
        <v>150</v>
      </c>
      <c r="J8993" s="127">
        <v>750</v>
      </c>
    </row>
    <row r="8994" spans="1:10" hidden="1" x14ac:dyDescent="0.25">
      <c r="A8994" s="124" t="s">
        <v>11106</v>
      </c>
      <c r="B8994" s="124" t="s">
        <v>11736</v>
      </c>
      <c r="C8994" s="132"/>
      <c r="D8994" s="125">
        <f t="shared" si="171"/>
        <v>0</v>
      </c>
      <c r="E8994" s="124" t="s">
        <v>8367</v>
      </c>
      <c r="F8994" s="126">
        <v>2</v>
      </c>
      <c r="G8994" s="127">
        <v>441.6</v>
      </c>
      <c r="H8994" s="124" t="s">
        <v>8368</v>
      </c>
      <c r="I8994" s="127">
        <v>345</v>
      </c>
      <c r="J8994" s="128">
        <v>1725</v>
      </c>
    </row>
    <row r="8995" spans="1:10" hidden="1" x14ac:dyDescent="0.25">
      <c r="A8995" s="124" t="s">
        <v>11107</v>
      </c>
      <c r="B8995" s="124" t="s">
        <v>11736</v>
      </c>
      <c r="C8995" s="132"/>
      <c r="D8995" s="125">
        <f t="shared" si="171"/>
        <v>0</v>
      </c>
      <c r="E8995" s="124" t="s">
        <v>8367</v>
      </c>
      <c r="F8995" s="126">
        <v>100</v>
      </c>
      <c r="G8995" s="128">
        <v>1400.4</v>
      </c>
      <c r="H8995" s="124" t="s">
        <v>8368</v>
      </c>
      <c r="I8995" s="127">
        <v>26.72</v>
      </c>
      <c r="J8995" s="127">
        <v>133.6</v>
      </c>
    </row>
    <row r="8996" spans="1:10" hidden="1" x14ac:dyDescent="0.25">
      <c r="A8996" s="124" t="s">
        <v>11108</v>
      </c>
      <c r="B8996" s="124" t="s">
        <v>11736</v>
      </c>
      <c r="C8996" s="132"/>
      <c r="D8996" s="125">
        <f t="shared" si="171"/>
        <v>0</v>
      </c>
      <c r="E8996" s="124" t="s">
        <v>8367</v>
      </c>
      <c r="F8996" s="126">
        <v>100</v>
      </c>
      <c r="G8996" s="127">
        <v>900</v>
      </c>
      <c r="H8996" s="124" t="s">
        <v>8368</v>
      </c>
      <c r="I8996" s="127">
        <v>66.72</v>
      </c>
      <c r="J8996" s="127">
        <v>333.6</v>
      </c>
    </row>
    <row r="8997" spans="1:10" hidden="1" x14ac:dyDescent="0.25">
      <c r="A8997" s="124" t="s">
        <v>11109</v>
      </c>
      <c r="B8997" s="124" t="s">
        <v>11736</v>
      </c>
      <c r="C8997" s="132"/>
      <c r="D8997" s="125">
        <f t="shared" si="171"/>
        <v>0</v>
      </c>
      <c r="E8997" s="124" t="s">
        <v>8367</v>
      </c>
      <c r="F8997" s="126">
        <v>230</v>
      </c>
      <c r="G8997" s="128">
        <v>2070</v>
      </c>
      <c r="H8997" s="124" t="s">
        <v>8368</v>
      </c>
      <c r="I8997" s="128">
        <v>2718</v>
      </c>
      <c r="J8997" s="128">
        <v>13590</v>
      </c>
    </row>
    <row r="8998" spans="1:10" hidden="1" x14ac:dyDescent="0.25">
      <c r="A8998" s="124" t="s">
        <v>11110</v>
      </c>
      <c r="B8998" s="124" t="s">
        <v>11736</v>
      </c>
      <c r="C8998" s="132"/>
      <c r="D8998" s="125">
        <f t="shared" si="171"/>
        <v>0</v>
      </c>
      <c r="E8998" s="124" t="s">
        <v>8367</v>
      </c>
      <c r="F8998" s="126">
        <v>80</v>
      </c>
      <c r="G8998" s="127">
        <v>160.32</v>
      </c>
      <c r="H8998" s="124" t="s">
        <v>8368</v>
      </c>
      <c r="I8998" s="128">
        <v>19344</v>
      </c>
      <c r="J8998" s="128">
        <v>96720</v>
      </c>
    </row>
    <row r="8999" spans="1:10" hidden="1" x14ac:dyDescent="0.25">
      <c r="A8999" s="124" t="s">
        <v>11111</v>
      </c>
      <c r="B8999" s="124" t="s">
        <v>11736</v>
      </c>
      <c r="C8999" s="132"/>
      <c r="D8999" s="125">
        <f t="shared" si="171"/>
        <v>0</v>
      </c>
      <c r="E8999" s="124" t="s">
        <v>8367</v>
      </c>
      <c r="F8999" s="126">
        <v>80</v>
      </c>
      <c r="G8999" s="127">
        <v>400.32</v>
      </c>
      <c r="H8999" s="124" t="s">
        <v>8368</v>
      </c>
      <c r="I8999" s="128">
        <v>5580</v>
      </c>
      <c r="J8999" s="128">
        <v>27900</v>
      </c>
    </row>
    <row r="9000" spans="1:10" hidden="1" x14ac:dyDescent="0.25">
      <c r="A9000" s="124" t="s">
        <v>11112</v>
      </c>
      <c r="B9000" s="124" t="s">
        <v>11736</v>
      </c>
      <c r="C9000" s="132"/>
      <c r="D9000" s="125">
        <f t="shared" si="171"/>
        <v>0</v>
      </c>
      <c r="E9000" s="124" t="s">
        <v>8367</v>
      </c>
      <c r="F9000" s="129">
        <v>3000</v>
      </c>
      <c r="G9000" s="128">
        <v>16308</v>
      </c>
      <c r="H9000" s="124" t="s">
        <v>8368</v>
      </c>
      <c r="I9000" s="128">
        <v>5580</v>
      </c>
      <c r="J9000" s="128">
        <v>27900</v>
      </c>
    </row>
    <row r="9001" spans="1:10" hidden="1" x14ac:dyDescent="0.25">
      <c r="A9001" s="124" t="s">
        <v>11113</v>
      </c>
      <c r="B9001" s="124" t="s">
        <v>11736</v>
      </c>
      <c r="C9001" s="132"/>
      <c r="D9001" s="125">
        <f t="shared" si="171"/>
        <v>0</v>
      </c>
      <c r="E9001" s="124" t="s">
        <v>8367</v>
      </c>
      <c r="F9001" s="129">
        <v>2000</v>
      </c>
      <c r="G9001" s="128">
        <v>116064</v>
      </c>
      <c r="H9001" s="124" t="s">
        <v>8368</v>
      </c>
      <c r="I9001" s="128">
        <v>19344</v>
      </c>
      <c r="J9001" s="128">
        <v>96720</v>
      </c>
    </row>
    <row r="9002" spans="1:10" hidden="1" x14ac:dyDescent="0.25">
      <c r="A9002" s="124" t="s">
        <v>11114</v>
      </c>
      <c r="B9002" s="124" t="s">
        <v>11736</v>
      </c>
      <c r="C9002" s="132"/>
      <c r="D9002" s="125">
        <f t="shared" si="171"/>
        <v>0</v>
      </c>
      <c r="E9002" s="124" t="s">
        <v>8367</v>
      </c>
      <c r="F9002" s="129">
        <v>2000</v>
      </c>
      <c r="G9002" s="128">
        <v>33480</v>
      </c>
      <c r="H9002" s="124" t="s">
        <v>8368</v>
      </c>
      <c r="I9002" s="128">
        <v>5208</v>
      </c>
      <c r="J9002" s="128">
        <v>26040</v>
      </c>
    </row>
    <row r="9003" spans="1:10" hidden="1" x14ac:dyDescent="0.25">
      <c r="A9003" s="124" t="s">
        <v>11115</v>
      </c>
      <c r="B9003" s="124" t="s">
        <v>11736</v>
      </c>
      <c r="C9003" s="132"/>
      <c r="D9003" s="125">
        <f t="shared" si="171"/>
        <v>0</v>
      </c>
      <c r="E9003" s="124" t="s">
        <v>8367</v>
      </c>
      <c r="F9003" s="129">
        <v>2000</v>
      </c>
      <c r="G9003" s="128">
        <v>33480</v>
      </c>
      <c r="H9003" s="124" t="s">
        <v>8368</v>
      </c>
      <c r="I9003" s="128">
        <v>5952</v>
      </c>
      <c r="J9003" s="128">
        <v>29760</v>
      </c>
    </row>
    <row r="9004" spans="1:10" hidden="1" x14ac:dyDescent="0.25">
      <c r="A9004" s="124" t="s">
        <v>11116</v>
      </c>
      <c r="B9004" s="124" t="s">
        <v>11736</v>
      </c>
      <c r="C9004" s="132"/>
      <c r="D9004" s="125">
        <f t="shared" si="171"/>
        <v>0</v>
      </c>
      <c r="E9004" s="124" t="s">
        <v>8367</v>
      </c>
      <c r="F9004" s="129">
        <v>8000</v>
      </c>
      <c r="G9004" s="128">
        <v>116064</v>
      </c>
      <c r="H9004" s="124" t="s">
        <v>8368</v>
      </c>
      <c r="I9004" s="128">
        <v>80724</v>
      </c>
      <c r="J9004" s="128">
        <v>403620</v>
      </c>
    </row>
    <row r="9005" spans="1:10" hidden="1" x14ac:dyDescent="0.25">
      <c r="A9005" s="124" t="s">
        <v>11117</v>
      </c>
      <c r="B9005" s="124" t="s">
        <v>11736</v>
      </c>
      <c r="C9005" s="132"/>
      <c r="D9005" s="125">
        <f t="shared" si="171"/>
        <v>0</v>
      </c>
      <c r="E9005" s="124" t="s">
        <v>8367</v>
      </c>
      <c r="F9005" s="129">
        <v>2000</v>
      </c>
      <c r="G9005" s="128">
        <v>31248</v>
      </c>
      <c r="H9005" s="124" t="s">
        <v>8368</v>
      </c>
      <c r="I9005" s="128">
        <v>31620</v>
      </c>
      <c r="J9005" s="128">
        <v>158100</v>
      </c>
    </row>
    <row r="9006" spans="1:10" hidden="1" x14ac:dyDescent="0.25">
      <c r="A9006" s="124" t="s">
        <v>11118</v>
      </c>
      <c r="B9006" s="124" t="s">
        <v>11736</v>
      </c>
      <c r="C9006" s="132"/>
      <c r="D9006" s="125">
        <f t="shared" si="171"/>
        <v>0</v>
      </c>
      <c r="E9006" s="124" t="s">
        <v>8367</v>
      </c>
      <c r="F9006" s="129">
        <v>2000</v>
      </c>
      <c r="G9006" s="128">
        <v>35712</v>
      </c>
      <c r="H9006" s="124" t="s">
        <v>8368</v>
      </c>
      <c r="I9006" s="128">
        <v>14842.16</v>
      </c>
      <c r="J9006" s="128">
        <v>74210.820000000007</v>
      </c>
    </row>
    <row r="9007" spans="1:10" hidden="1" x14ac:dyDescent="0.25">
      <c r="A9007" s="124" t="s">
        <v>11119</v>
      </c>
      <c r="B9007" s="124" t="s">
        <v>11736</v>
      </c>
      <c r="C9007" s="132"/>
      <c r="D9007" s="125">
        <f t="shared" si="171"/>
        <v>0</v>
      </c>
      <c r="E9007" s="124" t="s">
        <v>8367</v>
      </c>
      <c r="F9007" s="129">
        <v>2000</v>
      </c>
      <c r="G9007" s="128">
        <v>484344</v>
      </c>
      <c r="H9007" s="124" t="s">
        <v>8368</v>
      </c>
      <c r="I9007" s="128">
        <v>2880.32</v>
      </c>
      <c r="J9007" s="128">
        <v>14401.61</v>
      </c>
    </row>
    <row r="9008" spans="1:10" hidden="1" x14ac:dyDescent="0.25">
      <c r="A9008" s="124" t="s">
        <v>11120</v>
      </c>
      <c r="B9008" s="124" t="s">
        <v>11736</v>
      </c>
      <c r="C9008" s="132"/>
      <c r="D9008" s="125">
        <f t="shared" si="171"/>
        <v>0</v>
      </c>
      <c r="E9008" s="124" t="s">
        <v>8367</v>
      </c>
      <c r="F9008" s="129">
        <v>2000</v>
      </c>
      <c r="G9008" s="128">
        <v>189720</v>
      </c>
      <c r="H9008" s="124" t="s">
        <v>8368</v>
      </c>
      <c r="I9008" s="128">
        <v>3124.6</v>
      </c>
      <c r="J9008" s="128">
        <v>15623</v>
      </c>
    </row>
    <row r="9009" spans="1:10" hidden="1" x14ac:dyDescent="0.25">
      <c r="A9009" s="124" t="s">
        <v>11121</v>
      </c>
      <c r="B9009" s="124" t="s">
        <v>11736</v>
      </c>
      <c r="C9009" s="132"/>
      <c r="D9009" s="125">
        <f>COUNTIF(A4766:A9008,A9009)</f>
        <v>0</v>
      </c>
      <c r="E9009" s="124" t="s">
        <v>8579</v>
      </c>
      <c r="F9009" s="126">
        <v>246</v>
      </c>
      <c r="G9009" s="128">
        <v>89052.98</v>
      </c>
      <c r="H9009" s="124" t="s">
        <v>8368</v>
      </c>
      <c r="I9009" s="127">
        <v>291.67</v>
      </c>
      <c r="J9009" s="128">
        <v>1458.35</v>
      </c>
    </row>
    <row r="9010" spans="1:10" hidden="1" x14ac:dyDescent="0.25">
      <c r="A9010" s="124" t="s">
        <v>11122</v>
      </c>
      <c r="B9010" s="124" t="s">
        <v>11736</v>
      </c>
      <c r="C9010" s="132"/>
      <c r="D9010" s="125">
        <f t="shared" ref="D9010:D9049" si="172">COUNTIF(A4768:A9009,A9010)</f>
        <v>0</v>
      </c>
      <c r="E9010" s="124" t="s">
        <v>8579</v>
      </c>
      <c r="F9010" s="129">
        <v>2322.84</v>
      </c>
      <c r="G9010" s="128">
        <v>17281.93</v>
      </c>
      <c r="H9010" s="124" t="s">
        <v>8368</v>
      </c>
      <c r="I9010" s="128">
        <v>11700</v>
      </c>
      <c r="J9010" s="128">
        <v>58500</v>
      </c>
    </row>
    <row r="9011" spans="1:10" hidden="1" x14ac:dyDescent="0.25">
      <c r="A9011" s="124" t="s">
        <v>1712</v>
      </c>
      <c r="B9011" s="124" t="s">
        <v>11736</v>
      </c>
      <c r="C9011" s="132"/>
      <c r="D9011" s="125">
        <f t="shared" si="172"/>
        <v>0</v>
      </c>
      <c r="E9011" s="124" t="s">
        <v>8367</v>
      </c>
      <c r="F9011" s="126">
        <v>2</v>
      </c>
      <c r="G9011" s="128">
        <v>18747.599999999999</v>
      </c>
      <c r="H9011" s="124" t="s">
        <v>8368</v>
      </c>
      <c r="I9011" s="128">
        <v>3164.11</v>
      </c>
      <c r="J9011" s="128">
        <v>15820.57</v>
      </c>
    </row>
    <row r="9012" spans="1:10" hidden="1" x14ac:dyDescent="0.25">
      <c r="A9012" s="124" t="s">
        <v>11123</v>
      </c>
      <c r="B9012" s="124" t="s">
        <v>11736</v>
      </c>
      <c r="C9012" s="132"/>
      <c r="D9012" s="125">
        <f t="shared" si="172"/>
        <v>0</v>
      </c>
      <c r="E9012" s="124" t="s">
        <v>8367</v>
      </c>
      <c r="F9012" s="126">
        <v>5</v>
      </c>
      <c r="G9012" s="128">
        <v>1750.02</v>
      </c>
      <c r="H9012" s="124" t="s">
        <v>8368</v>
      </c>
      <c r="I9012" s="128">
        <v>50358.33</v>
      </c>
      <c r="J9012" s="128">
        <v>251791.65</v>
      </c>
    </row>
    <row r="9013" spans="1:10" hidden="1" x14ac:dyDescent="0.25">
      <c r="A9013" s="124" t="s">
        <v>11124</v>
      </c>
      <c r="B9013" s="124" t="s">
        <v>11736</v>
      </c>
      <c r="C9013" s="132"/>
      <c r="D9013" s="125">
        <f t="shared" si="172"/>
        <v>0</v>
      </c>
      <c r="E9013" s="124" t="s">
        <v>1</v>
      </c>
      <c r="F9013" s="126">
        <v>7.5</v>
      </c>
      <c r="G9013" s="128">
        <v>70200</v>
      </c>
      <c r="H9013" s="124" t="s">
        <v>8368</v>
      </c>
      <c r="I9013" s="128">
        <v>2853.34</v>
      </c>
      <c r="J9013" s="128">
        <v>14266.68</v>
      </c>
    </row>
    <row r="9014" spans="1:10" hidden="1" x14ac:dyDescent="0.25">
      <c r="A9014" s="124" t="s">
        <v>5460</v>
      </c>
      <c r="B9014" s="124" t="s">
        <v>11736</v>
      </c>
      <c r="C9014" s="132"/>
      <c r="D9014" s="125">
        <f t="shared" si="172"/>
        <v>0</v>
      </c>
      <c r="E9014" s="124" t="s">
        <v>1</v>
      </c>
      <c r="F9014" s="126">
        <v>14.102</v>
      </c>
      <c r="G9014" s="128">
        <v>18984.68</v>
      </c>
      <c r="H9014" s="124" t="s">
        <v>8368</v>
      </c>
      <c r="I9014" s="127">
        <v>231.66</v>
      </c>
      <c r="J9014" s="128">
        <v>1158.3</v>
      </c>
    </row>
    <row r="9015" spans="1:10" hidden="1" x14ac:dyDescent="0.25">
      <c r="A9015" s="124" t="s">
        <v>5453</v>
      </c>
      <c r="B9015" s="124" t="s">
        <v>11736</v>
      </c>
      <c r="C9015" s="132"/>
      <c r="D9015" s="125">
        <f t="shared" si="172"/>
        <v>0</v>
      </c>
      <c r="E9015" s="124" t="s">
        <v>8367</v>
      </c>
      <c r="F9015" s="126">
        <v>5</v>
      </c>
      <c r="G9015" s="128">
        <v>302149.98</v>
      </c>
      <c r="H9015" s="124" t="s">
        <v>8368</v>
      </c>
      <c r="I9015" s="127">
        <v>450</v>
      </c>
      <c r="J9015" s="128">
        <v>2250</v>
      </c>
    </row>
    <row r="9016" spans="1:10" hidden="1" x14ac:dyDescent="0.25">
      <c r="A9016" s="124" t="s">
        <v>11125</v>
      </c>
      <c r="B9016" s="124" t="s">
        <v>11736</v>
      </c>
      <c r="C9016" s="132"/>
      <c r="D9016" s="125">
        <f t="shared" si="172"/>
        <v>0</v>
      </c>
      <c r="E9016" s="124" t="s">
        <v>8367</v>
      </c>
      <c r="F9016" s="126">
        <v>4</v>
      </c>
      <c r="G9016" s="128">
        <v>17120.02</v>
      </c>
      <c r="H9016" s="124" t="s">
        <v>8368</v>
      </c>
      <c r="I9016" s="128">
        <v>1030</v>
      </c>
      <c r="J9016" s="128">
        <v>5150</v>
      </c>
    </row>
    <row r="9017" spans="1:10" hidden="1" x14ac:dyDescent="0.25">
      <c r="A9017" s="124" t="s">
        <v>11126</v>
      </c>
      <c r="B9017" s="124" t="s">
        <v>11736</v>
      </c>
      <c r="C9017" s="132"/>
      <c r="D9017" s="125">
        <f t="shared" si="172"/>
        <v>0</v>
      </c>
      <c r="E9017" s="124" t="s">
        <v>8367</v>
      </c>
      <c r="F9017" s="126">
        <v>10</v>
      </c>
      <c r="G9017" s="128">
        <v>1389.96</v>
      </c>
      <c r="H9017" s="124" t="s">
        <v>8368</v>
      </c>
      <c r="I9017" s="127">
        <v>176.6</v>
      </c>
      <c r="J9017" s="127">
        <v>883</v>
      </c>
    </row>
    <row r="9018" spans="1:10" hidden="1" x14ac:dyDescent="0.25">
      <c r="A9018" s="124" t="s">
        <v>11127</v>
      </c>
      <c r="B9018" s="124" t="s">
        <v>11736</v>
      </c>
      <c r="C9018" s="132"/>
      <c r="D9018" s="125">
        <f t="shared" si="172"/>
        <v>0</v>
      </c>
      <c r="E9018" s="124" t="s">
        <v>8367</v>
      </c>
      <c r="F9018" s="126">
        <v>100</v>
      </c>
      <c r="G9018" s="128">
        <v>2700</v>
      </c>
      <c r="H9018" s="124" t="s">
        <v>8368</v>
      </c>
      <c r="I9018" s="127">
        <v>306.60000000000002</v>
      </c>
      <c r="J9018" s="128">
        <v>1533</v>
      </c>
    </row>
    <row r="9019" spans="1:10" hidden="1" x14ac:dyDescent="0.25">
      <c r="A9019" s="124" t="s">
        <v>11128</v>
      </c>
      <c r="B9019" s="124" t="s">
        <v>11736</v>
      </c>
      <c r="C9019" s="132"/>
      <c r="D9019" s="125">
        <f t="shared" si="172"/>
        <v>0</v>
      </c>
      <c r="E9019" s="124" t="s">
        <v>8367</v>
      </c>
      <c r="F9019" s="126">
        <v>100</v>
      </c>
      <c r="G9019" s="128">
        <v>6180</v>
      </c>
      <c r="H9019" s="124" t="s">
        <v>8368</v>
      </c>
      <c r="I9019" s="127">
        <v>997.34</v>
      </c>
      <c r="J9019" s="128">
        <v>4986.72</v>
      </c>
    </row>
    <row r="9020" spans="1:10" hidden="1" x14ac:dyDescent="0.25">
      <c r="A9020" s="124" t="s">
        <v>11129</v>
      </c>
      <c r="B9020" s="124" t="s">
        <v>11736</v>
      </c>
      <c r="C9020" s="132"/>
      <c r="D9020" s="125">
        <f t="shared" si="172"/>
        <v>0</v>
      </c>
      <c r="E9020" s="124" t="s">
        <v>8367</v>
      </c>
      <c r="F9020" s="126">
        <v>100</v>
      </c>
      <c r="G9020" s="128">
        <v>1059.5999999999999</v>
      </c>
      <c r="H9020" s="124" t="s">
        <v>8368</v>
      </c>
      <c r="I9020" s="127">
        <v>881.67</v>
      </c>
      <c r="J9020" s="128">
        <v>4408.33</v>
      </c>
    </row>
    <row r="9021" spans="1:10" hidden="1" x14ac:dyDescent="0.25">
      <c r="A9021" s="124" t="s">
        <v>11130</v>
      </c>
      <c r="B9021" s="124" t="s">
        <v>11736</v>
      </c>
      <c r="C9021" s="132"/>
      <c r="D9021" s="125">
        <f t="shared" si="172"/>
        <v>0</v>
      </c>
      <c r="E9021" s="124" t="s">
        <v>8367</v>
      </c>
      <c r="F9021" s="126">
        <v>100</v>
      </c>
      <c r="G9021" s="128">
        <v>1839.6</v>
      </c>
      <c r="H9021" s="124" t="s">
        <v>8368</v>
      </c>
      <c r="I9021" s="127">
        <v>220.33</v>
      </c>
      <c r="J9021" s="128">
        <v>1101.67</v>
      </c>
    </row>
    <row r="9022" spans="1:10" hidden="1" x14ac:dyDescent="0.25">
      <c r="A9022" s="124" t="s">
        <v>11131</v>
      </c>
      <c r="B9022" s="124" t="s">
        <v>11736</v>
      </c>
      <c r="C9022" s="132"/>
      <c r="D9022" s="125">
        <f t="shared" si="172"/>
        <v>0</v>
      </c>
      <c r="E9022" s="124" t="s">
        <v>8367</v>
      </c>
      <c r="F9022" s="126">
        <v>16</v>
      </c>
      <c r="G9022" s="128">
        <v>5984.06</v>
      </c>
      <c r="H9022" s="124" t="s">
        <v>8368</v>
      </c>
      <c r="I9022" s="127">
        <v>479.17</v>
      </c>
      <c r="J9022" s="128">
        <v>2395.83</v>
      </c>
    </row>
    <row r="9023" spans="1:10" hidden="1" x14ac:dyDescent="0.25">
      <c r="A9023" s="124" t="s">
        <v>11132</v>
      </c>
      <c r="B9023" s="124" t="s">
        <v>11736</v>
      </c>
      <c r="C9023" s="132"/>
      <c r="D9023" s="125">
        <f t="shared" si="172"/>
        <v>0</v>
      </c>
      <c r="E9023" s="124" t="s">
        <v>8367</v>
      </c>
      <c r="F9023" s="126">
        <v>1</v>
      </c>
      <c r="G9023" s="128">
        <v>5290</v>
      </c>
      <c r="H9023" s="124" t="s">
        <v>8368</v>
      </c>
      <c r="I9023" s="127">
        <v>479.17</v>
      </c>
      <c r="J9023" s="128">
        <v>2395.83</v>
      </c>
    </row>
    <row r="9024" spans="1:10" hidden="1" x14ac:dyDescent="0.25">
      <c r="A9024" s="124" t="s">
        <v>11133</v>
      </c>
      <c r="B9024" s="124" t="s">
        <v>11736</v>
      </c>
      <c r="C9024" s="132"/>
      <c r="D9024" s="125">
        <f t="shared" si="172"/>
        <v>0</v>
      </c>
      <c r="E9024" s="124" t="s">
        <v>8367</v>
      </c>
      <c r="F9024" s="126">
        <v>1</v>
      </c>
      <c r="G9024" s="128">
        <v>1322</v>
      </c>
      <c r="H9024" s="124" t="s">
        <v>8368</v>
      </c>
      <c r="I9024" s="127">
        <v>498.4</v>
      </c>
      <c r="J9024" s="128">
        <v>2492</v>
      </c>
    </row>
    <row r="9025" spans="1:10" hidden="1" x14ac:dyDescent="0.25">
      <c r="A9025" s="124" t="s">
        <v>11134</v>
      </c>
      <c r="B9025" s="124" t="s">
        <v>11736</v>
      </c>
      <c r="C9025" s="132"/>
      <c r="D9025" s="125">
        <f t="shared" si="172"/>
        <v>0</v>
      </c>
      <c r="E9025" s="124" t="s">
        <v>8367</v>
      </c>
      <c r="F9025" s="126">
        <v>1</v>
      </c>
      <c r="G9025" s="128">
        <v>2875</v>
      </c>
      <c r="H9025" s="124" t="s">
        <v>8368</v>
      </c>
      <c r="I9025" s="127">
        <v>632.5</v>
      </c>
      <c r="J9025" s="128">
        <v>3162.5</v>
      </c>
    </row>
    <row r="9026" spans="1:10" hidden="1" x14ac:dyDescent="0.25">
      <c r="A9026" s="124" t="s">
        <v>11135</v>
      </c>
      <c r="B9026" s="124" t="s">
        <v>11736</v>
      </c>
      <c r="C9026" s="132"/>
      <c r="D9026" s="125">
        <f t="shared" si="172"/>
        <v>0</v>
      </c>
      <c r="E9026" s="124" t="s">
        <v>8367</v>
      </c>
      <c r="F9026" s="126">
        <v>1</v>
      </c>
      <c r="G9026" s="128">
        <v>2875</v>
      </c>
      <c r="H9026" s="124" t="s">
        <v>8368</v>
      </c>
      <c r="I9026" s="127">
        <v>114.66</v>
      </c>
      <c r="J9026" s="127">
        <v>573.28</v>
      </c>
    </row>
    <row r="9027" spans="1:10" hidden="1" x14ac:dyDescent="0.25">
      <c r="A9027" s="124" t="s">
        <v>365</v>
      </c>
      <c r="B9027" s="124" t="s">
        <v>11736</v>
      </c>
      <c r="C9027" s="132"/>
      <c r="D9027" s="125">
        <f t="shared" si="172"/>
        <v>0</v>
      </c>
      <c r="E9027" s="124" t="s">
        <v>8367</v>
      </c>
      <c r="F9027" s="126">
        <v>1</v>
      </c>
      <c r="G9027" s="128">
        <v>2990.4</v>
      </c>
      <c r="H9027" s="124" t="s">
        <v>8368</v>
      </c>
      <c r="I9027" s="127">
        <v>61.33</v>
      </c>
      <c r="J9027" s="127">
        <v>306.64</v>
      </c>
    </row>
    <row r="9028" spans="1:10" hidden="1" x14ac:dyDescent="0.25">
      <c r="A9028" s="124" t="s">
        <v>11136</v>
      </c>
      <c r="B9028" s="124" t="s">
        <v>11736</v>
      </c>
      <c r="C9028" s="132"/>
      <c r="D9028" s="125">
        <f t="shared" si="172"/>
        <v>0</v>
      </c>
      <c r="E9028" s="124" t="s">
        <v>8367</v>
      </c>
      <c r="F9028" s="126">
        <v>1</v>
      </c>
      <c r="G9028" s="128">
        <v>3795</v>
      </c>
      <c r="H9028" s="124" t="s">
        <v>8368</v>
      </c>
      <c r="I9028" s="127">
        <v>243.9</v>
      </c>
      <c r="J9028" s="128">
        <v>1219.5</v>
      </c>
    </row>
    <row r="9029" spans="1:10" hidden="1" x14ac:dyDescent="0.25">
      <c r="A9029" s="124" t="s">
        <v>11137</v>
      </c>
      <c r="B9029" s="124" t="s">
        <v>11736</v>
      </c>
      <c r="C9029" s="132"/>
      <c r="D9029" s="125">
        <f t="shared" si="172"/>
        <v>0</v>
      </c>
      <c r="E9029" s="124" t="s">
        <v>8367</v>
      </c>
      <c r="F9029" s="126">
        <v>16</v>
      </c>
      <c r="G9029" s="127">
        <v>687.94</v>
      </c>
      <c r="H9029" s="124" t="s">
        <v>8368</v>
      </c>
      <c r="I9029" s="127">
        <v>580</v>
      </c>
      <c r="J9029" s="128">
        <v>2900</v>
      </c>
    </row>
    <row r="9030" spans="1:10" hidden="1" x14ac:dyDescent="0.25">
      <c r="A9030" s="124" t="s">
        <v>11138</v>
      </c>
      <c r="B9030" s="124" t="s">
        <v>11736</v>
      </c>
      <c r="C9030" s="132"/>
      <c r="D9030" s="125">
        <f t="shared" si="172"/>
        <v>0</v>
      </c>
      <c r="E9030" s="124" t="s">
        <v>8367</v>
      </c>
      <c r="F9030" s="126">
        <v>8</v>
      </c>
      <c r="G9030" s="127">
        <v>367.97</v>
      </c>
      <c r="H9030" s="124" t="s">
        <v>8368</v>
      </c>
      <c r="I9030" s="127">
        <v>271.83</v>
      </c>
      <c r="J9030" s="128">
        <v>1359.17</v>
      </c>
    </row>
    <row r="9031" spans="1:10" hidden="1" x14ac:dyDescent="0.25">
      <c r="A9031" s="124" t="s">
        <v>11139</v>
      </c>
      <c r="B9031" s="124" t="s">
        <v>11736</v>
      </c>
      <c r="C9031" s="132"/>
      <c r="D9031" s="125">
        <f t="shared" si="172"/>
        <v>0</v>
      </c>
      <c r="E9031" s="124" t="s">
        <v>8367</v>
      </c>
      <c r="F9031" s="126">
        <v>225</v>
      </c>
      <c r="G9031" s="128">
        <v>1463.4</v>
      </c>
      <c r="H9031" s="124" t="s">
        <v>8368</v>
      </c>
      <c r="I9031" s="127">
        <v>252.66</v>
      </c>
      <c r="J9031" s="128">
        <v>1263.32</v>
      </c>
    </row>
    <row r="9032" spans="1:10" hidden="1" x14ac:dyDescent="0.25">
      <c r="A9032" s="124" t="s">
        <v>11140</v>
      </c>
      <c r="B9032" s="124" t="s">
        <v>11736</v>
      </c>
      <c r="C9032" s="132"/>
      <c r="D9032" s="125">
        <f t="shared" si="172"/>
        <v>0</v>
      </c>
      <c r="E9032" s="124" t="s">
        <v>8367</v>
      </c>
      <c r="F9032" s="126">
        <v>2</v>
      </c>
      <c r="G9032" s="128">
        <v>3480</v>
      </c>
      <c r="H9032" s="124" t="s">
        <v>8368</v>
      </c>
      <c r="I9032" s="127">
        <v>250.5</v>
      </c>
      <c r="J9032" s="128">
        <v>1252.5</v>
      </c>
    </row>
    <row r="9033" spans="1:10" hidden="1" x14ac:dyDescent="0.25">
      <c r="A9033" s="124" t="s">
        <v>11141</v>
      </c>
      <c r="B9033" s="124" t="s">
        <v>11736</v>
      </c>
      <c r="C9033" s="132"/>
      <c r="D9033" s="125">
        <f t="shared" si="172"/>
        <v>0</v>
      </c>
      <c r="E9033" s="124" t="s">
        <v>8367</v>
      </c>
      <c r="F9033" s="126">
        <v>1</v>
      </c>
      <c r="G9033" s="128">
        <v>1631</v>
      </c>
      <c r="H9033" s="124" t="s">
        <v>8368</v>
      </c>
      <c r="I9033" s="127">
        <v>178</v>
      </c>
      <c r="J9033" s="127">
        <v>889.98</v>
      </c>
    </row>
    <row r="9034" spans="1:10" hidden="1" x14ac:dyDescent="0.25">
      <c r="A9034" s="124" t="s">
        <v>11142</v>
      </c>
      <c r="B9034" s="124" t="s">
        <v>11736</v>
      </c>
      <c r="C9034" s="132"/>
      <c r="D9034" s="125">
        <f t="shared" si="172"/>
        <v>0</v>
      </c>
      <c r="E9034" s="124" t="s">
        <v>8367</v>
      </c>
      <c r="F9034" s="126">
        <v>4</v>
      </c>
      <c r="G9034" s="128">
        <v>1515.98</v>
      </c>
      <c r="H9034" s="124" t="s">
        <v>8368</v>
      </c>
      <c r="I9034" s="127">
        <v>75.02</v>
      </c>
      <c r="J9034" s="127">
        <v>375.1</v>
      </c>
    </row>
    <row r="9035" spans="1:10" hidden="1" x14ac:dyDescent="0.25">
      <c r="A9035" s="124" t="s">
        <v>11143</v>
      </c>
      <c r="B9035" s="124" t="s">
        <v>11736</v>
      </c>
      <c r="C9035" s="132"/>
      <c r="D9035" s="125">
        <f t="shared" si="172"/>
        <v>0</v>
      </c>
      <c r="E9035" s="124" t="s">
        <v>8367</v>
      </c>
      <c r="F9035" s="126">
        <v>3</v>
      </c>
      <c r="G9035" s="128">
        <v>1503</v>
      </c>
      <c r="H9035" s="124" t="s">
        <v>8368</v>
      </c>
      <c r="I9035" s="127">
        <v>565.6</v>
      </c>
      <c r="J9035" s="128">
        <v>2828</v>
      </c>
    </row>
    <row r="9036" spans="1:10" hidden="1" x14ac:dyDescent="0.25">
      <c r="A9036" s="124" t="s">
        <v>11144</v>
      </c>
      <c r="B9036" s="124" t="s">
        <v>11736</v>
      </c>
      <c r="C9036" s="132"/>
      <c r="D9036" s="125">
        <f t="shared" si="172"/>
        <v>0</v>
      </c>
      <c r="E9036" s="124" t="s">
        <v>8367</v>
      </c>
      <c r="F9036" s="126">
        <v>6</v>
      </c>
      <c r="G9036" s="128">
        <v>1067.98</v>
      </c>
      <c r="H9036" s="124" t="s">
        <v>8368</v>
      </c>
      <c r="I9036" s="128">
        <v>2055.4</v>
      </c>
      <c r="J9036" s="128">
        <v>10277</v>
      </c>
    </row>
    <row r="9037" spans="1:10" hidden="1" x14ac:dyDescent="0.25">
      <c r="A9037" s="124" t="s">
        <v>11145</v>
      </c>
      <c r="B9037" s="124" t="s">
        <v>11736</v>
      </c>
      <c r="C9037" s="132"/>
      <c r="D9037" s="125">
        <f t="shared" si="172"/>
        <v>0</v>
      </c>
      <c r="E9037" s="124" t="s">
        <v>8367</v>
      </c>
      <c r="F9037" s="126">
        <v>22</v>
      </c>
      <c r="G9037" s="127">
        <v>450.12</v>
      </c>
      <c r="H9037" s="124" t="s">
        <v>8368</v>
      </c>
      <c r="I9037" s="128">
        <v>1950.6</v>
      </c>
      <c r="J9037" s="128">
        <v>9753</v>
      </c>
    </row>
    <row r="9038" spans="1:10" hidden="1" x14ac:dyDescent="0.25">
      <c r="A9038" s="124" t="s">
        <v>11146</v>
      </c>
      <c r="B9038" s="124" t="s">
        <v>11736</v>
      </c>
      <c r="C9038" s="132"/>
      <c r="D9038" s="125">
        <f t="shared" si="172"/>
        <v>0</v>
      </c>
      <c r="E9038" s="124" t="s">
        <v>8367</v>
      </c>
      <c r="F9038" s="126">
        <v>1</v>
      </c>
      <c r="G9038" s="128">
        <v>3393.6</v>
      </c>
      <c r="H9038" s="124" t="s">
        <v>8368</v>
      </c>
      <c r="I9038" s="128">
        <v>74400</v>
      </c>
      <c r="J9038" s="128">
        <v>372000</v>
      </c>
    </row>
    <row r="9039" spans="1:10" hidden="1" x14ac:dyDescent="0.25">
      <c r="A9039" s="124" t="s">
        <v>11147</v>
      </c>
      <c r="B9039" s="124" t="s">
        <v>11736</v>
      </c>
      <c r="C9039" s="132"/>
      <c r="D9039" s="125">
        <f t="shared" si="172"/>
        <v>0</v>
      </c>
      <c r="E9039" s="124" t="s">
        <v>8367</v>
      </c>
      <c r="F9039" s="126">
        <v>2</v>
      </c>
      <c r="G9039" s="128">
        <v>12332.4</v>
      </c>
      <c r="H9039" s="124" t="s">
        <v>8368</v>
      </c>
      <c r="I9039" s="128">
        <v>8928</v>
      </c>
      <c r="J9039" s="128">
        <v>44640</v>
      </c>
    </row>
    <row r="9040" spans="1:10" hidden="1" x14ac:dyDescent="0.25">
      <c r="A9040" s="124" t="s">
        <v>591</v>
      </c>
      <c r="B9040" s="124" t="s">
        <v>11736</v>
      </c>
      <c r="C9040" s="132"/>
      <c r="D9040" s="125">
        <f t="shared" si="172"/>
        <v>0</v>
      </c>
      <c r="E9040" s="124" t="s">
        <v>8367</v>
      </c>
      <c r="F9040" s="126">
        <v>2</v>
      </c>
      <c r="G9040" s="128">
        <v>11703.6</v>
      </c>
      <c r="H9040" s="124" t="s">
        <v>8368</v>
      </c>
      <c r="I9040" s="128">
        <v>146940</v>
      </c>
      <c r="J9040" s="128">
        <v>734700</v>
      </c>
    </row>
    <row r="9041" spans="1:10" hidden="1" x14ac:dyDescent="0.25">
      <c r="A9041" s="124" t="s">
        <v>11148</v>
      </c>
      <c r="B9041" s="124" t="s">
        <v>11736</v>
      </c>
      <c r="C9041" s="132"/>
      <c r="D9041" s="125">
        <f t="shared" si="172"/>
        <v>0</v>
      </c>
      <c r="E9041" s="124" t="s">
        <v>8367</v>
      </c>
      <c r="F9041" s="129">
        <v>2000</v>
      </c>
      <c r="G9041" s="128">
        <v>446400</v>
      </c>
      <c r="H9041" s="124" t="s">
        <v>8368</v>
      </c>
      <c r="I9041" s="127">
        <v>606.17999999999995</v>
      </c>
      <c r="J9041" s="128">
        <v>3030.88</v>
      </c>
    </row>
    <row r="9042" spans="1:10" hidden="1" x14ac:dyDescent="0.25">
      <c r="A9042" s="124" t="s">
        <v>11149</v>
      </c>
      <c r="B9042" s="124" t="s">
        <v>11736</v>
      </c>
      <c r="C9042" s="132"/>
      <c r="D9042" s="125">
        <f t="shared" si="172"/>
        <v>0</v>
      </c>
      <c r="E9042" s="124" t="s">
        <v>8367</v>
      </c>
      <c r="F9042" s="129">
        <v>2000</v>
      </c>
      <c r="G9042" s="128">
        <v>53568</v>
      </c>
      <c r="H9042" s="124" t="s">
        <v>8368</v>
      </c>
      <c r="I9042" s="128">
        <v>496950</v>
      </c>
      <c r="J9042" s="128">
        <v>2484750</v>
      </c>
    </row>
    <row r="9043" spans="1:10" hidden="1" x14ac:dyDescent="0.25">
      <c r="A9043" s="124" t="s">
        <v>11150</v>
      </c>
      <c r="B9043" s="124" t="s">
        <v>11736</v>
      </c>
      <c r="C9043" s="132"/>
      <c r="D9043" s="125">
        <f t="shared" si="172"/>
        <v>0</v>
      </c>
      <c r="E9043" s="124" t="s">
        <v>8367</v>
      </c>
      <c r="F9043" s="129">
        <v>2000</v>
      </c>
      <c r="G9043" s="128">
        <v>881640</v>
      </c>
      <c r="H9043" s="124" t="s">
        <v>8368</v>
      </c>
      <c r="I9043" s="127">
        <v>277.60000000000002</v>
      </c>
      <c r="J9043" s="128">
        <v>1388</v>
      </c>
    </row>
    <row r="9044" spans="1:10" hidden="1" x14ac:dyDescent="0.25">
      <c r="A9044" s="124" t="s">
        <v>11151</v>
      </c>
      <c r="B9044" s="124" t="s">
        <v>11736</v>
      </c>
      <c r="C9044" s="132"/>
      <c r="D9044" s="125">
        <f t="shared" si="172"/>
        <v>0</v>
      </c>
      <c r="E9044" s="124" t="s">
        <v>1</v>
      </c>
      <c r="F9044" s="126">
        <v>19</v>
      </c>
      <c r="G9044" s="128">
        <v>3637.06</v>
      </c>
      <c r="H9044" s="124" t="s">
        <v>8368</v>
      </c>
      <c r="I9044" s="127">
        <v>370</v>
      </c>
      <c r="J9044" s="128">
        <v>1850</v>
      </c>
    </row>
    <row r="9045" spans="1:10" hidden="1" x14ac:dyDescent="0.25">
      <c r="A9045" s="124" t="s">
        <v>11152</v>
      </c>
      <c r="B9045" s="124" t="s">
        <v>11736</v>
      </c>
      <c r="C9045" s="132"/>
      <c r="D9045" s="125">
        <f t="shared" si="172"/>
        <v>0</v>
      </c>
      <c r="E9045" s="124" t="s">
        <v>8367</v>
      </c>
      <c r="F9045" s="126">
        <v>150</v>
      </c>
      <c r="G9045" s="128">
        <v>2981700</v>
      </c>
      <c r="H9045" s="124" t="s">
        <v>8368</v>
      </c>
      <c r="I9045" s="128">
        <v>2691.4</v>
      </c>
      <c r="J9045" s="128">
        <v>13457</v>
      </c>
    </row>
    <row r="9046" spans="1:10" hidden="1" x14ac:dyDescent="0.25">
      <c r="A9046" s="124" t="s">
        <v>2137</v>
      </c>
      <c r="B9046" s="124" t="s">
        <v>11736</v>
      </c>
      <c r="C9046" s="132"/>
      <c r="D9046" s="125">
        <f t="shared" si="172"/>
        <v>0</v>
      </c>
      <c r="E9046" s="124" t="s">
        <v>8367</v>
      </c>
      <c r="F9046" s="126">
        <v>15</v>
      </c>
      <c r="G9046" s="128">
        <v>1665.6</v>
      </c>
      <c r="H9046" s="124" t="s">
        <v>8368</v>
      </c>
      <c r="I9046" s="127">
        <v>36.67</v>
      </c>
      <c r="J9046" s="127">
        <v>183.34</v>
      </c>
    </row>
    <row r="9047" spans="1:10" hidden="1" x14ac:dyDescent="0.25">
      <c r="A9047" s="124" t="s">
        <v>11153</v>
      </c>
      <c r="B9047" s="124" t="s">
        <v>11736</v>
      </c>
      <c r="C9047" s="132"/>
      <c r="D9047" s="125">
        <f t="shared" si="172"/>
        <v>0</v>
      </c>
      <c r="E9047" s="124" t="s">
        <v>8367</v>
      </c>
      <c r="F9047" s="126">
        <v>20</v>
      </c>
      <c r="G9047" s="128">
        <v>2220</v>
      </c>
      <c r="H9047" s="124" t="s">
        <v>8368</v>
      </c>
      <c r="I9047" s="127">
        <v>85.43</v>
      </c>
      <c r="J9047" s="127">
        <v>427.16</v>
      </c>
    </row>
    <row r="9048" spans="1:10" hidden="1" x14ac:dyDescent="0.25">
      <c r="A9048" s="124" t="s">
        <v>1453</v>
      </c>
      <c r="B9048" s="124" t="s">
        <v>11736</v>
      </c>
      <c r="C9048" s="132"/>
      <c r="D9048" s="125">
        <f t="shared" si="172"/>
        <v>0</v>
      </c>
      <c r="E9048" s="124" t="s">
        <v>8367</v>
      </c>
      <c r="F9048" s="126">
        <v>2</v>
      </c>
      <c r="G9048" s="128">
        <v>16148.4</v>
      </c>
      <c r="H9048" s="124" t="s">
        <v>8368</v>
      </c>
      <c r="I9048" s="128">
        <v>2042.5</v>
      </c>
      <c r="J9048" s="128">
        <v>10212.5</v>
      </c>
    </row>
    <row r="9049" spans="1:10" hidden="1" x14ac:dyDescent="0.25">
      <c r="A9049" s="124" t="s">
        <v>11154</v>
      </c>
      <c r="B9049" s="124" t="s">
        <v>11736</v>
      </c>
      <c r="C9049" s="132"/>
      <c r="D9049" s="125">
        <f t="shared" si="172"/>
        <v>0</v>
      </c>
      <c r="E9049" s="124" t="s">
        <v>8367</v>
      </c>
      <c r="F9049" s="126">
        <v>2</v>
      </c>
      <c r="G9049" s="127">
        <v>220.01</v>
      </c>
      <c r="H9049" s="124" t="s">
        <v>8368</v>
      </c>
      <c r="I9049" s="128">
        <v>3375</v>
      </c>
      <c r="J9049" s="128">
        <v>16875</v>
      </c>
    </row>
    <row r="9050" spans="1:10" hidden="1" x14ac:dyDescent="0.25">
      <c r="A9050" s="124" t="s">
        <v>4583</v>
      </c>
      <c r="B9050" s="124" t="s">
        <v>11736</v>
      </c>
      <c r="C9050" s="132"/>
      <c r="D9050" s="125">
        <f>COUNTIF(A4809:A9049,A9050)</f>
        <v>0</v>
      </c>
      <c r="E9050" s="124" t="s">
        <v>8367</v>
      </c>
      <c r="F9050" s="126">
        <v>6</v>
      </c>
      <c r="G9050" s="127">
        <v>512.59</v>
      </c>
      <c r="H9050" s="124" t="s">
        <v>8368</v>
      </c>
      <c r="I9050" s="127">
        <v>250</v>
      </c>
      <c r="J9050" s="128">
        <v>1250</v>
      </c>
    </row>
    <row r="9051" spans="1:10" hidden="1" x14ac:dyDescent="0.25">
      <c r="A9051" s="124" t="s">
        <v>11155</v>
      </c>
      <c r="B9051" s="124" t="s">
        <v>11736</v>
      </c>
      <c r="C9051" s="132"/>
      <c r="D9051" s="125">
        <f t="shared" ref="D9051:D9081" si="173">COUNTIF(A4811:A9050,A9051)</f>
        <v>0</v>
      </c>
      <c r="E9051" s="124" t="s">
        <v>8367</v>
      </c>
      <c r="F9051" s="126">
        <v>5</v>
      </c>
      <c r="G9051" s="128">
        <v>12255</v>
      </c>
      <c r="H9051" s="124" t="s">
        <v>8368</v>
      </c>
      <c r="I9051" s="127">
        <v>40</v>
      </c>
      <c r="J9051" s="127">
        <v>200</v>
      </c>
    </row>
    <row r="9052" spans="1:10" hidden="1" x14ac:dyDescent="0.25">
      <c r="A9052" s="124" t="s">
        <v>2882</v>
      </c>
      <c r="B9052" s="124" t="s">
        <v>11736</v>
      </c>
      <c r="C9052" s="132"/>
      <c r="D9052" s="125">
        <f t="shared" si="173"/>
        <v>0</v>
      </c>
      <c r="E9052" s="124" t="s">
        <v>8367</v>
      </c>
      <c r="F9052" s="126">
        <v>30</v>
      </c>
      <c r="G9052" s="128">
        <v>20250</v>
      </c>
      <c r="H9052" s="124" t="s">
        <v>8368</v>
      </c>
      <c r="I9052" s="127">
        <v>283.39999999999998</v>
      </c>
      <c r="J9052" s="128">
        <v>1417</v>
      </c>
    </row>
    <row r="9053" spans="1:10" hidden="1" x14ac:dyDescent="0.25">
      <c r="A9053" s="124" t="s">
        <v>11156</v>
      </c>
      <c r="B9053" s="124" t="s">
        <v>11736</v>
      </c>
      <c r="C9053" s="132"/>
      <c r="D9053" s="125">
        <f t="shared" si="173"/>
        <v>0</v>
      </c>
      <c r="E9053" s="124" t="s">
        <v>8367</v>
      </c>
      <c r="F9053" s="126">
        <v>10</v>
      </c>
      <c r="G9053" s="128">
        <v>1500</v>
      </c>
      <c r="H9053" s="124" t="s">
        <v>8368</v>
      </c>
      <c r="I9053" s="127">
        <v>542.6</v>
      </c>
      <c r="J9053" s="128">
        <v>2713</v>
      </c>
    </row>
    <row r="9054" spans="1:10" hidden="1" x14ac:dyDescent="0.25">
      <c r="A9054" s="124" t="s">
        <v>11157</v>
      </c>
      <c r="B9054" s="124" t="s">
        <v>11736</v>
      </c>
      <c r="C9054" s="132"/>
      <c r="D9054" s="125">
        <f t="shared" si="173"/>
        <v>0</v>
      </c>
      <c r="E9054" s="124" t="s">
        <v>8367</v>
      </c>
      <c r="F9054" s="126">
        <v>20</v>
      </c>
      <c r="G9054" s="127">
        <v>240</v>
      </c>
      <c r="H9054" s="124" t="s">
        <v>8368</v>
      </c>
      <c r="I9054" s="127">
        <v>141.6</v>
      </c>
      <c r="J9054" s="127">
        <v>708</v>
      </c>
    </row>
    <row r="9055" spans="1:10" hidden="1" x14ac:dyDescent="0.25">
      <c r="A9055" s="124" t="s">
        <v>3330</v>
      </c>
      <c r="B9055" s="124" t="s">
        <v>11736</v>
      </c>
      <c r="C9055" s="132"/>
      <c r="D9055" s="125">
        <f t="shared" si="173"/>
        <v>0</v>
      </c>
      <c r="E9055" s="124" t="s">
        <v>8367</v>
      </c>
      <c r="F9055" s="126">
        <v>10</v>
      </c>
      <c r="G9055" s="128">
        <v>1700.4</v>
      </c>
      <c r="H9055" s="124" t="s">
        <v>8368</v>
      </c>
      <c r="I9055" s="127">
        <v>366.6</v>
      </c>
      <c r="J9055" s="128">
        <v>1833</v>
      </c>
    </row>
    <row r="9056" spans="1:10" hidden="1" x14ac:dyDescent="0.25">
      <c r="A9056" s="124" t="s">
        <v>3435</v>
      </c>
      <c r="B9056" s="124" t="s">
        <v>11736</v>
      </c>
      <c r="C9056" s="132"/>
      <c r="D9056" s="125">
        <f t="shared" si="173"/>
        <v>0</v>
      </c>
      <c r="E9056" s="124" t="s">
        <v>8579</v>
      </c>
      <c r="F9056" s="126">
        <v>25</v>
      </c>
      <c r="G9056" s="128">
        <v>3255.6</v>
      </c>
      <c r="H9056" s="124" t="s">
        <v>8368</v>
      </c>
      <c r="I9056" s="128">
        <v>1858.71</v>
      </c>
      <c r="J9056" s="128">
        <v>9293.5300000000007</v>
      </c>
    </row>
    <row r="9057" spans="1:10" hidden="1" x14ac:dyDescent="0.25">
      <c r="A9057" s="124" t="s">
        <v>11158</v>
      </c>
      <c r="B9057" s="124" t="s">
        <v>11736</v>
      </c>
      <c r="C9057" s="132"/>
      <c r="D9057" s="125">
        <f t="shared" si="173"/>
        <v>0</v>
      </c>
      <c r="E9057" s="124" t="s">
        <v>8367</v>
      </c>
      <c r="F9057" s="126">
        <v>5</v>
      </c>
      <c r="G9057" s="127">
        <v>849.6</v>
      </c>
      <c r="H9057" s="124" t="s">
        <v>8368</v>
      </c>
      <c r="I9057" s="128">
        <v>8948</v>
      </c>
      <c r="J9057" s="128">
        <v>44740</v>
      </c>
    </row>
    <row r="9058" spans="1:10" hidden="1" x14ac:dyDescent="0.25">
      <c r="A9058" s="124" t="s">
        <v>167</v>
      </c>
      <c r="B9058" s="124" t="s">
        <v>11736</v>
      </c>
      <c r="C9058" s="132"/>
      <c r="D9058" s="125">
        <f t="shared" si="173"/>
        <v>0</v>
      </c>
      <c r="E9058" s="124" t="s">
        <v>8367</v>
      </c>
      <c r="F9058" s="126">
        <v>5</v>
      </c>
      <c r="G9058" s="128">
        <v>2199.6</v>
      </c>
      <c r="H9058" s="124" t="s">
        <v>8368</v>
      </c>
      <c r="I9058" s="128">
        <v>130944</v>
      </c>
      <c r="J9058" s="128">
        <v>654720</v>
      </c>
    </row>
    <row r="9059" spans="1:10" hidden="1" x14ac:dyDescent="0.25">
      <c r="A9059" s="124" t="s">
        <v>11159</v>
      </c>
      <c r="B9059" s="124" t="s">
        <v>11736</v>
      </c>
      <c r="C9059" s="132"/>
      <c r="D9059" s="125">
        <f t="shared" si="173"/>
        <v>0</v>
      </c>
      <c r="E9059" s="124" t="s">
        <v>8367</v>
      </c>
      <c r="F9059" s="126">
        <v>305</v>
      </c>
      <c r="G9059" s="128">
        <v>11152.24</v>
      </c>
      <c r="H9059" s="124" t="s">
        <v>8368</v>
      </c>
      <c r="I9059" s="128">
        <v>12648</v>
      </c>
      <c r="J9059" s="128">
        <v>63240</v>
      </c>
    </row>
    <row r="9060" spans="1:10" hidden="1" x14ac:dyDescent="0.25">
      <c r="A9060" s="124" t="s">
        <v>11160</v>
      </c>
      <c r="B9060" s="124" t="s">
        <v>11736</v>
      </c>
      <c r="C9060" s="132"/>
      <c r="D9060" s="125">
        <f t="shared" si="173"/>
        <v>0</v>
      </c>
      <c r="E9060" s="124" t="s">
        <v>8367</v>
      </c>
      <c r="F9060" s="129">
        <v>2000</v>
      </c>
      <c r="G9060" s="128">
        <v>53688</v>
      </c>
      <c r="H9060" s="124" t="s">
        <v>8368</v>
      </c>
      <c r="I9060" s="128">
        <v>5580</v>
      </c>
      <c r="J9060" s="128">
        <v>27900</v>
      </c>
    </row>
    <row r="9061" spans="1:10" hidden="1" x14ac:dyDescent="0.25">
      <c r="A9061" s="124" t="s">
        <v>11161</v>
      </c>
      <c r="B9061" s="124" t="s">
        <v>11736</v>
      </c>
      <c r="C9061" s="132"/>
      <c r="D9061" s="125">
        <f t="shared" si="173"/>
        <v>0</v>
      </c>
      <c r="E9061" s="124" t="s">
        <v>8367</v>
      </c>
      <c r="F9061" s="129">
        <v>2000</v>
      </c>
      <c r="G9061" s="128">
        <v>785664</v>
      </c>
      <c r="H9061" s="124" t="s">
        <v>8368</v>
      </c>
      <c r="I9061" s="128">
        <v>2280</v>
      </c>
      <c r="J9061" s="128">
        <v>11400</v>
      </c>
    </row>
    <row r="9062" spans="1:10" hidden="1" x14ac:dyDescent="0.25">
      <c r="A9062" s="124" t="s">
        <v>11162</v>
      </c>
      <c r="B9062" s="124" t="s">
        <v>11736</v>
      </c>
      <c r="C9062" s="132"/>
      <c r="D9062" s="125">
        <f t="shared" si="173"/>
        <v>0</v>
      </c>
      <c r="E9062" s="124" t="s">
        <v>8367</v>
      </c>
      <c r="F9062" s="129">
        <v>2000</v>
      </c>
      <c r="G9062" s="128">
        <v>75888</v>
      </c>
      <c r="H9062" s="124" t="s">
        <v>8368</v>
      </c>
      <c r="I9062" s="127">
        <v>600</v>
      </c>
      <c r="J9062" s="128">
        <v>3000</v>
      </c>
    </row>
    <row r="9063" spans="1:10" hidden="1" x14ac:dyDescent="0.25">
      <c r="A9063" s="124" t="s">
        <v>11163</v>
      </c>
      <c r="B9063" s="124" t="s">
        <v>11736</v>
      </c>
      <c r="C9063" s="132"/>
      <c r="D9063" s="125">
        <f t="shared" si="173"/>
        <v>0</v>
      </c>
      <c r="E9063" s="124" t="s">
        <v>8367</v>
      </c>
      <c r="F9063" s="129">
        <v>2000</v>
      </c>
      <c r="G9063" s="128">
        <v>33480</v>
      </c>
      <c r="H9063" s="124" t="s">
        <v>8368</v>
      </c>
      <c r="I9063" s="128">
        <v>1440</v>
      </c>
      <c r="J9063" s="128">
        <v>7200</v>
      </c>
    </row>
    <row r="9064" spans="1:10" hidden="1" x14ac:dyDescent="0.25">
      <c r="A9064" s="124" t="s">
        <v>11164</v>
      </c>
      <c r="B9064" s="124" t="s">
        <v>11736</v>
      </c>
      <c r="C9064" s="132"/>
      <c r="D9064" s="125">
        <f t="shared" si="173"/>
        <v>0</v>
      </c>
      <c r="E9064" s="124" t="s">
        <v>8367</v>
      </c>
      <c r="F9064" s="126">
        <v>2</v>
      </c>
      <c r="G9064" s="128">
        <v>13680</v>
      </c>
      <c r="H9064" s="124" t="s">
        <v>8368</v>
      </c>
      <c r="I9064" s="128">
        <v>1440</v>
      </c>
      <c r="J9064" s="128">
        <v>7200</v>
      </c>
    </row>
    <row r="9065" spans="1:10" hidden="1" x14ac:dyDescent="0.25">
      <c r="A9065" s="124" t="s">
        <v>11165</v>
      </c>
      <c r="B9065" s="124" t="s">
        <v>11736</v>
      </c>
      <c r="C9065" s="132"/>
      <c r="D9065" s="125">
        <f t="shared" si="173"/>
        <v>0</v>
      </c>
      <c r="E9065" s="124" t="s">
        <v>8367</v>
      </c>
      <c r="F9065" s="126">
        <v>0.5</v>
      </c>
      <c r="G9065" s="128">
        <v>3600</v>
      </c>
      <c r="H9065" s="124" t="s">
        <v>8368</v>
      </c>
      <c r="I9065" s="128">
        <v>6883.31</v>
      </c>
      <c r="J9065" s="128">
        <v>34416.550000000003</v>
      </c>
    </row>
    <row r="9066" spans="1:10" hidden="1" x14ac:dyDescent="0.25">
      <c r="A9066" s="124" t="s">
        <v>11166</v>
      </c>
      <c r="B9066" s="124" t="s">
        <v>11736</v>
      </c>
      <c r="C9066" s="132"/>
      <c r="D9066" s="125">
        <f t="shared" si="173"/>
        <v>0</v>
      </c>
      <c r="E9066" s="124" t="s">
        <v>8367</v>
      </c>
      <c r="F9066" s="126">
        <v>2</v>
      </c>
      <c r="G9066" s="128">
        <v>8640</v>
      </c>
      <c r="H9066" s="124" t="s">
        <v>8368</v>
      </c>
      <c r="I9066" s="128">
        <v>6366.66</v>
      </c>
      <c r="J9066" s="128">
        <v>31833.3</v>
      </c>
    </row>
    <row r="9067" spans="1:10" hidden="1" x14ac:dyDescent="0.25">
      <c r="A9067" s="124" t="s">
        <v>11167</v>
      </c>
      <c r="B9067" s="124" t="s">
        <v>11736</v>
      </c>
      <c r="C9067" s="132"/>
      <c r="D9067" s="125">
        <f t="shared" si="173"/>
        <v>0</v>
      </c>
      <c r="E9067" s="124" t="s">
        <v>8367</v>
      </c>
      <c r="F9067" s="126">
        <v>2</v>
      </c>
      <c r="G9067" s="128">
        <v>8640</v>
      </c>
      <c r="H9067" s="124" t="s">
        <v>8368</v>
      </c>
      <c r="I9067" s="128">
        <v>9350</v>
      </c>
      <c r="J9067" s="128">
        <v>46750</v>
      </c>
    </row>
    <row r="9068" spans="1:10" hidden="1" x14ac:dyDescent="0.25">
      <c r="A9068" s="124" t="s">
        <v>11168</v>
      </c>
      <c r="B9068" s="124" t="s">
        <v>11736</v>
      </c>
      <c r="C9068" s="132"/>
      <c r="D9068" s="125">
        <f t="shared" si="173"/>
        <v>0</v>
      </c>
      <c r="E9068" s="124" t="s">
        <v>1</v>
      </c>
      <c r="F9068" s="126">
        <v>35</v>
      </c>
      <c r="G9068" s="128">
        <v>41299.86</v>
      </c>
      <c r="H9068" s="124" t="s">
        <v>8368</v>
      </c>
      <c r="I9068" s="128">
        <v>3582</v>
      </c>
      <c r="J9068" s="128">
        <v>17910</v>
      </c>
    </row>
    <row r="9069" spans="1:10" hidden="1" x14ac:dyDescent="0.25">
      <c r="A9069" s="124" t="s">
        <v>11169</v>
      </c>
      <c r="B9069" s="124" t="s">
        <v>11736</v>
      </c>
      <c r="C9069" s="132"/>
      <c r="D9069" s="125">
        <f t="shared" si="173"/>
        <v>0</v>
      </c>
      <c r="E9069" s="124" t="s">
        <v>1</v>
      </c>
      <c r="F9069" s="126">
        <v>10</v>
      </c>
      <c r="G9069" s="128">
        <v>38199.96</v>
      </c>
      <c r="H9069" s="124" t="s">
        <v>8368</v>
      </c>
      <c r="I9069" s="127">
        <v>339.6</v>
      </c>
      <c r="J9069" s="128">
        <v>1698</v>
      </c>
    </row>
    <row r="9070" spans="1:10" hidden="1" x14ac:dyDescent="0.25">
      <c r="A9070" s="124" t="s">
        <v>11170</v>
      </c>
      <c r="B9070" s="124" t="s">
        <v>11736</v>
      </c>
      <c r="C9070" s="132"/>
      <c r="D9070" s="125">
        <f t="shared" si="173"/>
        <v>0</v>
      </c>
      <c r="E9070" s="124" t="s">
        <v>8367</v>
      </c>
      <c r="F9070" s="126">
        <v>30</v>
      </c>
      <c r="G9070" s="128">
        <v>56100</v>
      </c>
      <c r="H9070" s="124" t="s">
        <v>8368</v>
      </c>
      <c r="I9070" s="128">
        <v>5202.3999999999996</v>
      </c>
      <c r="J9070" s="128">
        <v>26012</v>
      </c>
    </row>
    <row r="9071" spans="1:10" hidden="1" x14ac:dyDescent="0.25">
      <c r="A9071" s="124" t="s">
        <v>11171</v>
      </c>
      <c r="B9071" s="124" t="s">
        <v>11736</v>
      </c>
      <c r="C9071" s="132"/>
      <c r="D9071" s="125">
        <f t="shared" si="173"/>
        <v>0</v>
      </c>
      <c r="E9071" s="124" t="s">
        <v>8451</v>
      </c>
      <c r="F9071" s="126">
        <v>79.599999999999994</v>
      </c>
      <c r="G9071" s="128">
        <v>21492</v>
      </c>
      <c r="H9071" s="124" t="s">
        <v>8368</v>
      </c>
      <c r="I9071" s="127">
        <v>51.5</v>
      </c>
      <c r="J9071" s="127">
        <v>257.5</v>
      </c>
    </row>
    <row r="9072" spans="1:10" hidden="1" x14ac:dyDescent="0.25">
      <c r="A9072" s="124" t="s">
        <v>11172</v>
      </c>
      <c r="B9072" s="124" t="s">
        <v>11736</v>
      </c>
      <c r="C9072" s="132"/>
      <c r="D9072" s="125">
        <f t="shared" si="173"/>
        <v>0</v>
      </c>
      <c r="E9072" s="124" t="s">
        <v>8367</v>
      </c>
      <c r="F9072" s="126">
        <v>1</v>
      </c>
      <c r="G9072" s="128">
        <v>2037.6</v>
      </c>
      <c r="H9072" s="124" t="s">
        <v>8368</v>
      </c>
      <c r="I9072" s="127">
        <v>46.83</v>
      </c>
      <c r="J9072" s="127">
        <v>234.17</v>
      </c>
    </row>
    <row r="9073" spans="1:10" hidden="1" x14ac:dyDescent="0.25">
      <c r="A9073" s="124" t="s">
        <v>5285</v>
      </c>
      <c r="B9073" s="124" t="s">
        <v>11736</v>
      </c>
      <c r="C9073" s="132"/>
      <c r="D9073" s="125">
        <f t="shared" si="173"/>
        <v>0</v>
      </c>
      <c r="E9073" s="124" t="s">
        <v>1</v>
      </c>
      <c r="F9073" s="126">
        <v>1</v>
      </c>
      <c r="G9073" s="128">
        <v>31214.400000000001</v>
      </c>
      <c r="H9073" s="124" t="s">
        <v>8368</v>
      </c>
      <c r="I9073" s="127">
        <v>51.5</v>
      </c>
      <c r="J9073" s="127">
        <v>257.5</v>
      </c>
    </row>
    <row r="9074" spans="1:10" hidden="1" x14ac:dyDescent="0.25">
      <c r="A9074" s="124" t="s">
        <v>11173</v>
      </c>
      <c r="B9074" s="124" t="s">
        <v>11736</v>
      </c>
      <c r="C9074" s="132"/>
      <c r="D9074" s="125">
        <f t="shared" si="173"/>
        <v>0</v>
      </c>
      <c r="E9074" s="124" t="s">
        <v>8367</v>
      </c>
      <c r="F9074" s="126">
        <v>1</v>
      </c>
      <c r="G9074" s="127">
        <v>309</v>
      </c>
      <c r="H9074" s="124" t="s">
        <v>8368</v>
      </c>
      <c r="I9074" s="127">
        <v>51.5</v>
      </c>
      <c r="J9074" s="127">
        <v>257.5</v>
      </c>
    </row>
    <row r="9075" spans="1:10" hidden="1" x14ac:dyDescent="0.25">
      <c r="A9075" s="124" t="s">
        <v>11174</v>
      </c>
      <c r="B9075" s="124" t="s">
        <v>11736</v>
      </c>
      <c r="C9075" s="132"/>
      <c r="D9075" s="125">
        <f t="shared" si="173"/>
        <v>0</v>
      </c>
      <c r="E9075" s="124" t="s">
        <v>8367</v>
      </c>
      <c r="F9075" s="126">
        <v>1</v>
      </c>
      <c r="G9075" s="127">
        <v>281</v>
      </c>
      <c r="H9075" s="124" t="s">
        <v>8368</v>
      </c>
      <c r="I9075" s="127">
        <v>51.5</v>
      </c>
      <c r="J9075" s="127">
        <v>257.5</v>
      </c>
    </row>
    <row r="9076" spans="1:10" hidden="1" x14ac:dyDescent="0.25">
      <c r="A9076" s="124" t="s">
        <v>11175</v>
      </c>
      <c r="B9076" s="124" t="s">
        <v>11736</v>
      </c>
      <c r="C9076" s="132"/>
      <c r="D9076" s="125">
        <f t="shared" si="173"/>
        <v>0</v>
      </c>
      <c r="E9076" s="124" t="s">
        <v>8367</v>
      </c>
      <c r="F9076" s="126">
        <v>1</v>
      </c>
      <c r="G9076" s="127">
        <v>309</v>
      </c>
      <c r="H9076" s="124" t="s">
        <v>8368</v>
      </c>
      <c r="I9076" s="127">
        <v>51.5</v>
      </c>
      <c r="J9076" s="127">
        <v>257.5</v>
      </c>
    </row>
    <row r="9077" spans="1:10" hidden="1" x14ac:dyDescent="0.25">
      <c r="A9077" s="124" t="s">
        <v>11176</v>
      </c>
      <c r="B9077" s="124" t="s">
        <v>11736</v>
      </c>
      <c r="C9077" s="132"/>
      <c r="D9077" s="125">
        <f t="shared" si="173"/>
        <v>0</v>
      </c>
      <c r="E9077" s="124" t="s">
        <v>8367</v>
      </c>
      <c r="F9077" s="126">
        <v>1</v>
      </c>
      <c r="G9077" s="127">
        <v>309</v>
      </c>
      <c r="H9077" s="124" t="s">
        <v>8368</v>
      </c>
      <c r="I9077" s="127">
        <v>48.8</v>
      </c>
      <c r="J9077" s="127">
        <v>244</v>
      </c>
    </row>
    <row r="9078" spans="1:10" hidden="1" x14ac:dyDescent="0.25">
      <c r="A9078" s="124" t="s">
        <v>11177</v>
      </c>
      <c r="B9078" s="124" t="s">
        <v>11736</v>
      </c>
      <c r="C9078" s="132"/>
      <c r="D9078" s="125">
        <f t="shared" si="173"/>
        <v>0</v>
      </c>
      <c r="E9078" s="124" t="s">
        <v>8367</v>
      </c>
      <c r="F9078" s="126">
        <v>1</v>
      </c>
      <c r="G9078" s="127">
        <v>309</v>
      </c>
      <c r="H9078" s="124" t="s">
        <v>8368</v>
      </c>
      <c r="I9078" s="127">
        <v>62</v>
      </c>
      <c r="J9078" s="127">
        <v>310</v>
      </c>
    </row>
    <row r="9079" spans="1:10" hidden="1" x14ac:dyDescent="0.25">
      <c r="A9079" s="124" t="s">
        <v>11178</v>
      </c>
      <c r="B9079" s="124" t="s">
        <v>11736</v>
      </c>
      <c r="C9079" s="132"/>
      <c r="D9079" s="125">
        <f t="shared" si="173"/>
        <v>0</v>
      </c>
      <c r="E9079" s="124" t="s">
        <v>8367</v>
      </c>
      <c r="F9079" s="126">
        <v>1</v>
      </c>
      <c r="G9079" s="127">
        <v>309</v>
      </c>
      <c r="H9079" s="124" t="s">
        <v>8368</v>
      </c>
      <c r="I9079" s="127">
        <v>360</v>
      </c>
      <c r="J9079" s="128">
        <v>1800</v>
      </c>
    </row>
    <row r="9080" spans="1:10" hidden="1" x14ac:dyDescent="0.25">
      <c r="A9080" s="124" t="s">
        <v>11179</v>
      </c>
      <c r="B9080" s="124" t="s">
        <v>11736</v>
      </c>
      <c r="C9080" s="132"/>
      <c r="D9080" s="125">
        <f t="shared" si="173"/>
        <v>0</v>
      </c>
      <c r="E9080" s="124" t="s">
        <v>8367</v>
      </c>
      <c r="F9080" s="126">
        <v>1</v>
      </c>
      <c r="G9080" s="127">
        <v>292.8</v>
      </c>
      <c r="H9080" s="124" t="s">
        <v>8368</v>
      </c>
      <c r="I9080" s="127">
        <v>247</v>
      </c>
      <c r="J9080" s="128">
        <v>1235.01</v>
      </c>
    </row>
    <row r="9081" spans="1:10" hidden="1" x14ac:dyDescent="0.25">
      <c r="A9081" s="124" t="s">
        <v>11180</v>
      </c>
      <c r="B9081" s="124" t="s">
        <v>11736</v>
      </c>
      <c r="C9081" s="132"/>
      <c r="D9081" s="125">
        <f t="shared" si="173"/>
        <v>0</v>
      </c>
      <c r="E9081" s="124" t="s">
        <v>8367</v>
      </c>
      <c r="F9081" s="126">
        <v>4</v>
      </c>
      <c r="G9081" s="127">
        <v>372</v>
      </c>
      <c r="H9081" s="124" t="s">
        <v>8368</v>
      </c>
      <c r="I9081" s="127">
        <v>509.17</v>
      </c>
      <c r="J9081" s="128">
        <v>2545.85</v>
      </c>
    </row>
    <row r="9082" spans="1:10" hidden="1" x14ac:dyDescent="0.25">
      <c r="A9082" s="124" t="s">
        <v>11181</v>
      </c>
      <c r="B9082" s="124" t="s">
        <v>11736</v>
      </c>
      <c r="C9082" s="132"/>
      <c r="D9082" s="125">
        <f t="shared" ref="D9082:D9093" si="174">COUNTIF(A4843:A9081,A9082)</f>
        <v>0</v>
      </c>
      <c r="E9082" s="124" t="s">
        <v>8367</v>
      </c>
      <c r="F9082" s="126">
        <v>2</v>
      </c>
      <c r="G9082" s="128">
        <v>2160</v>
      </c>
      <c r="H9082" s="124" t="s">
        <v>8368</v>
      </c>
      <c r="I9082" s="127">
        <v>231.83</v>
      </c>
      <c r="J9082" s="128">
        <v>1159.17</v>
      </c>
    </row>
    <row r="9083" spans="1:10" hidden="1" x14ac:dyDescent="0.25">
      <c r="A9083" s="124" t="s">
        <v>11182</v>
      </c>
      <c r="B9083" s="124" t="s">
        <v>11736</v>
      </c>
      <c r="C9083" s="132"/>
      <c r="D9083" s="125">
        <f t="shared" si="174"/>
        <v>0</v>
      </c>
      <c r="E9083" s="124" t="s">
        <v>8367</v>
      </c>
      <c r="F9083" s="126">
        <v>3</v>
      </c>
      <c r="G9083" s="128">
        <v>1482.01</v>
      </c>
      <c r="H9083" s="124" t="s">
        <v>8368</v>
      </c>
      <c r="I9083" s="128">
        <v>1118.6600000000001</v>
      </c>
      <c r="J9083" s="128">
        <v>5593.32</v>
      </c>
    </row>
    <row r="9084" spans="1:10" hidden="1" x14ac:dyDescent="0.25">
      <c r="A9084" s="124" t="s">
        <v>11183</v>
      </c>
      <c r="B9084" s="124" t="s">
        <v>11736</v>
      </c>
      <c r="C9084" s="132"/>
      <c r="D9084" s="125">
        <f t="shared" si="174"/>
        <v>0</v>
      </c>
      <c r="E9084" s="124" t="s">
        <v>8367</v>
      </c>
      <c r="F9084" s="126">
        <v>5</v>
      </c>
      <c r="G9084" s="128">
        <v>3055.02</v>
      </c>
      <c r="H9084" s="124" t="s">
        <v>8368</v>
      </c>
      <c r="I9084" s="127">
        <v>239.34</v>
      </c>
      <c r="J9084" s="128">
        <v>1196.68</v>
      </c>
    </row>
    <row r="9085" spans="1:10" hidden="1" x14ac:dyDescent="0.25">
      <c r="A9085" s="124" t="s">
        <v>11184</v>
      </c>
      <c r="B9085" s="124" t="s">
        <v>11736</v>
      </c>
      <c r="C9085" s="132"/>
      <c r="D9085" s="125">
        <f t="shared" si="174"/>
        <v>0</v>
      </c>
      <c r="E9085" s="124" t="s">
        <v>8367</v>
      </c>
      <c r="F9085" s="126">
        <v>1</v>
      </c>
      <c r="G9085" s="128">
        <v>1391</v>
      </c>
      <c r="H9085" s="124" t="s">
        <v>8368</v>
      </c>
      <c r="I9085" s="127">
        <v>403.33</v>
      </c>
      <c r="J9085" s="128">
        <v>2016.66</v>
      </c>
    </row>
    <row r="9086" spans="1:10" hidden="1" x14ac:dyDescent="0.25">
      <c r="A9086" s="124" t="s">
        <v>11185</v>
      </c>
      <c r="B9086" s="124" t="s">
        <v>11736</v>
      </c>
      <c r="C9086" s="132"/>
      <c r="D9086" s="125">
        <f t="shared" si="174"/>
        <v>0</v>
      </c>
      <c r="E9086" s="124" t="s">
        <v>8367</v>
      </c>
      <c r="F9086" s="126">
        <v>4</v>
      </c>
      <c r="G9086" s="128">
        <v>6711.98</v>
      </c>
      <c r="H9086" s="124" t="s">
        <v>8368</v>
      </c>
      <c r="I9086" s="127">
        <v>441.34</v>
      </c>
      <c r="J9086" s="128">
        <v>2206.6799999999998</v>
      </c>
    </row>
    <row r="9087" spans="1:10" hidden="1" x14ac:dyDescent="0.25">
      <c r="A9087" s="124" t="s">
        <v>11186</v>
      </c>
      <c r="B9087" s="124" t="s">
        <v>11736</v>
      </c>
      <c r="C9087" s="132"/>
      <c r="D9087" s="125">
        <f t="shared" si="174"/>
        <v>0</v>
      </c>
      <c r="E9087" s="124" t="s">
        <v>8367</v>
      </c>
      <c r="F9087" s="126">
        <v>4</v>
      </c>
      <c r="G9087" s="128">
        <v>1436.02</v>
      </c>
      <c r="H9087" s="124" t="s">
        <v>8368</v>
      </c>
      <c r="I9087" s="127">
        <v>164.67</v>
      </c>
      <c r="J9087" s="127">
        <v>823.34</v>
      </c>
    </row>
    <row r="9088" spans="1:10" hidden="1" x14ac:dyDescent="0.25">
      <c r="A9088" s="124" t="s">
        <v>11187</v>
      </c>
      <c r="B9088" s="124" t="s">
        <v>11736</v>
      </c>
      <c r="C9088" s="132"/>
      <c r="D9088" s="125">
        <f t="shared" si="174"/>
        <v>0</v>
      </c>
      <c r="E9088" s="124" t="s">
        <v>8367</v>
      </c>
      <c r="F9088" s="126">
        <v>2</v>
      </c>
      <c r="G9088" s="128">
        <v>2419.9899999999998</v>
      </c>
      <c r="H9088" s="124" t="s">
        <v>8368</v>
      </c>
      <c r="I9088" s="127">
        <v>340</v>
      </c>
      <c r="J9088" s="128">
        <v>1700</v>
      </c>
    </row>
    <row r="9089" spans="1:10" hidden="1" x14ac:dyDescent="0.25">
      <c r="A9089" s="124" t="s">
        <v>11188</v>
      </c>
      <c r="B9089" s="124" t="s">
        <v>11736</v>
      </c>
      <c r="C9089" s="132"/>
      <c r="D9089" s="125">
        <f t="shared" si="174"/>
        <v>0</v>
      </c>
      <c r="E9089" s="124" t="s">
        <v>8367</v>
      </c>
      <c r="F9089" s="126">
        <v>4</v>
      </c>
      <c r="G9089" s="128">
        <v>2648.02</v>
      </c>
      <c r="H9089" s="124" t="s">
        <v>8368</v>
      </c>
      <c r="I9089" s="127">
        <v>240.5</v>
      </c>
      <c r="J9089" s="128">
        <v>1202.49</v>
      </c>
    </row>
    <row r="9090" spans="1:10" hidden="1" x14ac:dyDescent="0.25">
      <c r="A9090" s="124" t="s">
        <v>11189</v>
      </c>
      <c r="B9090" s="124" t="s">
        <v>11736</v>
      </c>
      <c r="C9090" s="132"/>
      <c r="D9090" s="125">
        <f t="shared" si="174"/>
        <v>0</v>
      </c>
      <c r="E9090" s="124" t="s">
        <v>8367</v>
      </c>
      <c r="F9090" s="126">
        <v>2</v>
      </c>
      <c r="G9090" s="127">
        <v>988.01</v>
      </c>
      <c r="H9090" s="124" t="s">
        <v>8368</v>
      </c>
      <c r="I9090" s="127">
        <v>125.83</v>
      </c>
      <c r="J9090" s="127">
        <v>629.15</v>
      </c>
    </row>
    <row r="9091" spans="1:10" hidden="1" x14ac:dyDescent="0.25">
      <c r="A9091" s="124" t="s">
        <v>1386</v>
      </c>
      <c r="B9091" s="124" t="s">
        <v>11736</v>
      </c>
      <c r="C9091" s="132"/>
      <c r="D9091" s="125">
        <f t="shared" si="174"/>
        <v>0</v>
      </c>
      <c r="E9091" s="124" t="s">
        <v>8367</v>
      </c>
      <c r="F9091" s="126">
        <v>6</v>
      </c>
      <c r="G9091" s="128">
        <v>2040</v>
      </c>
      <c r="H9091" s="124" t="s">
        <v>8368</v>
      </c>
      <c r="I9091" s="127">
        <v>126.67</v>
      </c>
      <c r="J9091" s="127">
        <v>633.35</v>
      </c>
    </row>
    <row r="9092" spans="1:10" hidden="1" x14ac:dyDescent="0.25">
      <c r="A9092" s="124" t="s">
        <v>11190</v>
      </c>
      <c r="B9092" s="124" t="s">
        <v>11736</v>
      </c>
      <c r="C9092" s="132"/>
      <c r="D9092" s="125">
        <f t="shared" si="174"/>
        <v>0</v>
      </c>
      <c r="E9092" s="124" t="s">
        <v>8367</v>
      </c>
      <c r="F9092" s="126">
        <v>3</v>
      </c>
      <c r="G9092" s="128">
        <v>1442.99</v>
      </c>
      <c r="H9092" s="124" t="s">
        <v>8368</v>
      </c>
      <c r="I9092" s="127">
        <v>425</v>
      </c>
      <c r="J9092" s="128">
        <v>2124.9899999999998</v>
      </c>
    </row>
    <row r="9093" spans="1:10" hidden="1" x14ac:dyDescent="0.25">
      <c r="A9093" s="124" t="s">
        <v>11191</v>
      </c>
      <c r="B9093" s="124" t="s">
        <v>11736</v>
      </c>
      <c r="C9093" s="132"/>
      <c r="D9093" s="125">
        <f t="shared" si="174"/>
        <v>0</v>
      </c>
      <c r="E9093" s="124" t="s">
        <v>8367</v>
      </c>
      <c r="F9093" s="126">
        <v>5</v>
      </c>
      <c r="G9093" s="127">
        <v>754.98</v>
      </c>
      <c r="H9093" s="124" t="s">
        <v>8368</v>
      </c>
      <c r="I9093" s="127">
        <v>91</v>
      </c>
      <c r="J9093" s="127">
        <v>455</v>
      </c>
    </row>
    <row r="9094" spans="1:10" hidden="1" x14ac:dyDescent="0.25">
      <c r="A9094" s="124" t="s">
        <v>11192</v>
      </c>
      <c r="B9094" s="124" t="s">
        <v>11736</v>
      </c>
      <c r="C9094" s="132"/>
      <c r="D9094" s="125">
        <f>COUNTIF(A4856:A9093,A9094)</f>
        <v>0</v>
      </c>
      <c r="E9094" s="124" t="s">
        <v>8367</v>
      </c>
      <c r="F9094" s="126">
        <v>5</v>
      </c>
      <c r="G9094" s="127">
        <v>760.02</v>
      </c>
      <c r="H9094" s="124" t="s">
        <v>8368</v>
      </c>
      <c r="I9094" s="127">
        <v>31.67</v>
      </c>
      <c r="J9094" s="127">
        <v>158.35</v>
      </c>
    </row>
    <row r="9095" spans="1:10" hidden="1" x14ac:dyDescent="0.25">
      <c r="A9095" s="124" t="s">
        <v>11193</v>
      </c>
      <c r="B9095" s="124" t="s">
        <v>11736</v>
      </c>
      <c r="C9095" s="132"/>
      <c r="D9095" s="125">
        <f t="shared" ref="D9095:D9102" si="175">COUNTIF(A4858:A9094,A9095)</f>
        <v>0</v>
      </c>
      <c r="E9095" s="124" t="s">
        <v>8367</v>
      </c>
      <c r="F9095" s="126">
        <v>3</v>
      </c>
      <c r="G9095" s="128">
        <v>2549.9899999999998</v>
      </c>
      <c r="H9095" s="124" t="s">
        <v>8368</v>
      </c>
      <c r="I9095" s="128">
        <v>2165</v>
      </c>
      <c r="J9095" s="128">
        <v>10825</v>
      </c>
    </row>
    <row r="9096" spans="1:10" hidden="1" x14ac:dyDescent="0.25">
      <c r="A9096" s="124" t="s">
        <v>11194</v>
      </c>
      <c r="B9096" s="124" t="s">
        <v>11736</v>
      </c>
      <c r="C9096" s="132"/>
      <c r="D9096" s="125">
        <f t="shared" si="175"/>
        <v>0</v>
      </c>
      <c r="E9096" s="124" t="s">
        <v>8367</v>
      </c>
      <c r="F9096" s="126">
        <v>2</v>
      </c>
      <c r="G9096" s="127">
        <v>546</v>
      </c>
      <c r="H9096" s="124" t="s">
        <v>8368</v>
      </c>
      <c r="I9096" s="127">
        <v>647</v>
      </c>
      <c r="J9096" s="128">
        <v>3235</v>
      </c>
    </row>
    <row r="9097" spans="1:10" hidden="1" x14ac:dyDescent="0.25">
      <c r="A9097" s="124" t="s">
        <v>11195</v>
      </c>
      <c r="B9097" s="124" t="s">
        <v>11736</v>
      </c>
      <c r="C9097" s="132"/>
      <c r="D9097" s="125">
        <f t="shared" si="175"/>
        <v>0</v>
      </c>
      <c r="E9097" s="124" t="s">
        <v>8367</v>
      </c>
      <c r="F9097" s="126">
        <v>5</v>
      </c>
      <c r="G9097" s="127">
        <v>190.02</v>
      </c>
      <c r="H9097" s="124" t="s">
        <v>8368</v>
      </c>
      <c r="I9097" s="127">
        <v>656</v>
      </c>
      <c r="J9097" s="128">
        <v>3279.97</v>
      </c>
    </row>
    <row r="9098" spans="1:10" hidden="1" x14ac:dyDescent="0.25">
      <c r="A9098" s="124" t="s">
        <v>11196</v>
      </c>
      <c r="B9098" s="124" t="s">
        <v>11736</v>
      </c>
      <c r="C9098" s="132"/>
      <c r="D9098" s="125">
        <f t="shared" si="175"/>
        <v>0</v>
      </c>
      <c r="E9098" s="124" t="s">
        <v>8367</v>
      </c>
      <c r="F9098" s="126">
        <v>100</v>
      </c>
      <c r="G9098" s="128">
        <v>12990</v>
      </c>
      <c r="H9098" s="124" t="s">
        <v>8368</v>
      </c>
      <c r="I9098" s="127">
        <v>119.67</v>
      </c>
      <c r="J9098" s="127">
        <v>598.34</v>
      </c>
    </row>
    <row r="9099" spans="1:10" hidden="1" x14ac:dyDescent="0.25">
      <c r="A9099" s="124" t="s">
        <v>1660</v>
      </c>
      <c r="B9099" s="124" t="s">
        <v>11736</v>
      </c>
      <c r="C9099" s="132"/>
      <c r="D9099" s="125">
        <f t="shared" si="175"/>
        <v>0</v>
      </c>
      <c r="E9099" s="124" t="s">
        <v>8367</v>
      </c>
      <c r="F9099" s="126">
        <v>6</v>
      </c>
      <c r="G9099" s="128">
        <v>3882</v>
      </c>
      <c r="H9099" s="124" t="s">
        <v>8368</v>
      </c>
      <c r="I9099" s="127">
        <v>7.33</v>
      </c>
      <c r="J9099" s="127">
        <v>36.67</v>
      </c>
    </row>
    <row r="9100" spans="1:10" hidden="1" x14ac:dyDescent="0.25">
      <c r="A9100" s="124" t="s">
        <v>1661</v>
      </c>
      <c r="B9100" s="124" t="s">
        <v>11736</v>
      </c>
      <c r="C9100" s="132"/>
      <c r="D9100" s="125">
        <f t="shared" si="175"/>
        <v>0</v>
      </c>
      <c r="E9100" s="124" t="s">
        <v>8367</v>
      </c>
      <c r="F9100" s="126">
        <v>6</v>
      </c>
      <c r="G9100" s="128">
        <v>3935.97</v>
      </c>
      <c r="H9100" s="124" t="s">
        <v>8368</v>
      </c>
      <c r="I9100" s="127">
        <v>122.5</v>
      </c>
      <c r="J9100" s="127">
        <v>612.5</v>
      </c>
    </row>
    <row r="9101" spans="1:10" hidden="1" x14ac:dyDescent="0.25">
      <c r="A9101" s="124" t="s">
        <v>11197</v>
      </c>
      <c r="B9101" s="124" t="s">
        <v>11736</v>
      </c>
      <c r="C9101" s="132"/>
      <c r="D9101" s="125">
        <f t="shared" si="175"/>
        <v>0</v>
      </c>
      <c r="E9101" s="124" t="s">
        <v>8367</v>
      </c>
      <c r="F9101" s="126">
        <v>2</v>
      </c>
      <c r="G9101" s="127">
        <v>718.01</v>
      </c>
      <c r="H9101" s="124" t="s">
        <v>8368</v>
      </c>
      <c r="I9101" s="127">
        <v>94.5</v>
      </c>
      <c r="J9101" s="127">
        <v>472.5</v>
      </c>
    </row>
    <row r="9102" spans="1:10" hidden="1" x14ac:dyDescent="0.25">
      <c r="A9102" s="124" t="s">
        <v>11198</v>
      </c>
      <c r="B9102" s="124" t="s">
        <v>11736</v>
      </c>
      <c r="C9102" s="132"/>
      <c r="D9102" s="125">
        <f t="shared" si="175"/>
        <v>0</v>
      </c>
      <c r="E9102" s="124" t="s">
        <v>8367</v>
      </c>
      <c r="F9102" s="126">
        <v>1</v>
      </c>
      <c r="G9102" s="127">
        <v>44</v>
      </c>
      <c r="H9102" s="124" t="s">
        <v>8368</v>
      </c>
      <c r="I9102" s="127">
        <v>235.67</v>
      </c>
      <c r="J9102" s="128">
        <v>1178.33</v>
      </c>
    </row>
    <row r="9103" spans="1:10" hidden="1" x14ac:dyDescent="0.25">
      <c r="A9103" s="124" t="s">
        <v>11199</v>
      </c>
      <c r="B9103" s="124" t="s">
        <v>11736</v>
      </c>
      <c r="C9103" s="132"/>
      <c r="D9103" s="125">
        <f>COUNTIF(A4867:A9102,A9103)</f>
        <v>0</v>
      </c>
      <c r="E9103" s="124" t="s">
        <v>8367</v>
      </c>
      <c r="F9103" s="126">
        <v>5</v>
      </c>
      <c r="G9103" s="127">
        <v>735</v>
      </c>
      <c r="H9103" s="124" t="s">
        <v>8368</v>
      </c>
      <c r="I9103" s="128">
        <v>3837.6</v>
      </c>
      <c r="J9103" s="128">
        <v>19188</v>
      </c>
    </row>
    <row r="9104" spans="1:10" hidden="1" x14ac:dyDescent="0.25">
      <c r="A9104" s="124" t="s">
        <v>11200</v>
      </c>
      <c r="B9104" s="124" t="s">
        <v>11736</v>
      </c>
      <c r="C9104" s="132"/>
      <c r="D9104" s="125">
        <f>COUNTIF(A4868:A9103,A9104)</f>
        <v>0</v>
      </c>
      <c r="E9104" s="124" t="s">
        <v>8367</v>
      </c>
      <c r="F9104" s="126">
        <v>3</v>
      </c>
      <c r="G9104" s="127">
        <v>567</v>
      </c>
      <c r="H9104" s="124" t="s">
        <v>8368</v>
      </c>
      <c r="I9104" s="128">
        <v>5166.8</v>
      </c>
      <c r="J9104" s="128">
        <v>25834</v>
      </c>
    </row>
    <row r="9105" spans="1:10" hidden="1" x14ac:dyDescent="0.25">
      <c r="A9105" s="124" t="s">
        <v>11201</v>
      </c>
      <c r="B9105" s="124" t="s">
        <v>11736</v>
      </c>
      <c r="C9105" s="132"/>
      <c r="D9105" s="125">
        <f>COUNTIF(A4869:A9104,A9105)</f>
        <v>0</v>
      </c>
      <c r="E9105" s="124" t="s">
        <v>8367</v>
      </c>
      <c r="F9105" s="126">
        <v>7</v>
      </c>
      <c r="G9105" s="128">
        <v>1414</v>
      </c>
      <c r="H9105" s="124" t="s">
        <v>8368</v>
      </c>
      <c r="I9105" s="128">
        <v>1080</v>
      </c>
      <c r="J9105" s="128">
        <v>5400</v>
      </c>
    </row>
    <row r="9106" spans="1:10" hidden="1" x14ac:dyDescent="0.25">
      <c r="A9106" s="124" t="s">
        <v>4548</v>
      </c>
      <c r="B9106" s="124" t="s">
        <v>11736</v>
      </c>
      <c r="C9106" s="132"/>
      <c r="D9106" s="125">
        <f t="shared" ref="D9106:D9114" si="176">COUNTIF(A4871:A9105,A9106)</f>
        <v>0</v>
      </c>
      <c r="E9106" s="124" t="s">
        <v>8451</v>
      </c>
      <c r="F9106" s="126">
        <v>25</v>
      </c>
      <c r="G9106" s="128">
        <v>23025.599999999999</v>
      </c>
      <c r="H9106" s="124" t="s">
        <v>8368</v>
      </c>
      <c r="I9106" s="127">
        <v>64.67</v>
      </c>
      <c r="J9106" s="127">
        <v>323.33999999999997</v>
      </c>
    </row>
    <row r="9107" spans="1:10" hidden="1" x14ac:dyDescent="0.25">
      <c r="A9107" s="124" t="s">
        <v>4553</v>
      </c>
      <c r="B9107" s="124" t="s">
        <v>11736</v>
      </c>
      <c r="C9107" s="132"/>
      <c r="D9107" s="125">
        <f t="shared" si="176"/>
        <v>0</v>
      </c>
      <c r="E9107" s="124" t="s">
        <v>8457</v>
      </c>
      <c r="F9107" s="126">
        <v>200</v>
      </c>
      <c r="G9107" s="128">
        <v>31000.799999999999</v>
      </c>
      <c r="H9107" s="124" t="s">
        <v>8368</v>
      </c>
      <c r="I9107" s="128">
        <v>1878.4</v>
      </c>
      <c r="J9107" s="128">
        <v>9392</v>
      </c>
    </row>
    <row r="9108" spans="1:10" hidden="1" x14ac:dyDescent="0.25">
      <c r="A9108" s="124" t="s">
        <v>11202</v>
      </c>
      <c r="B9108" s="124" t="s">
        <v>11736</v>
      </c>
      <c r="C9108" s="132"/>
      <c r="D9108" s="125">
        <f t="shared" si="176"/>
        <v>0</v>
      </c>
      <c r="E9108" s="124" t="s">
        <v>8367</v>
      </c>
      <c r="F9108" s="126">
        <v>2</v>
      </c>
      <c r="G9108" s="128">
        <v>6480</v>
      </c>
      <c r="H9108" s="124" t="s">
        <v>8368</v>
      </c>
      <c r="I9108" s="127">
        <v>130.66</v>
      </c>
      <c r="J9108" s="127">
        <v>653.32000000000005</v>
      </c>
    </row>
    <row r="9109" spans="1:10" hidden="1" x14ac:dyDescent="0.25">
      <c r="A9109" s="124" t="s">
        <v>11203</v>
      </c>
      <c r="B9109" s="124" t="s">
        <v>11736</v>
      </c>
      <c r="C9109" s="132"/>
      <c r="D9109" s="125">
        <f t="shared" si="176"/>
        <v>0</v>
      </c>
      <c r="E9109" s="124" t="s">
        <v>8367</v>
      </c>
      <c r="F9109" s="126">
        <v>2</v>
      </c>
      <c r="G9109" s="127">
        <v>388.01</v>
      </c>
      <c r="H9109" s="124" t="s">
        <v>8368</v>
      </c>
      <c r="I9109" s="127">
        <v>204.66</v>
      </c>
      <c r="J9109" s="128">
        <v>1023.32</v>
      </c>
    </row>
    <row r="9110" spans="1:10" hidden="1" x14ac:dyDescent="0.25">
      <c r="A9110" s="124" t="s">
        <v>4493</v>
      </c>
      <c r="B9110" s="124" t="s">
        <v>11736</v>
      </c>
      <c r="C9110" s="132"/>
      <c r="D9110" s="125">
        <f t="shared" si="176"/>
        <v>0</v>
      </c>
      <c r="E9110" s="124" t="s">
        <v>8367</v>
      </c>
      <c r="F9110" s="126">
        <v>1</v>
      </c>
      <c r="G9110" s="128">
        <v>11270.4</v>
      </c>
      <c r="H9110" s="124" t="s">
        <v>8368</v>
      </c>
      <c r="I9110" s="128">
        <v>1165.33</v>
      </c>
      <c r="J9110" s="128">
        <v>5826.67</v>
      </c>
    </row>
    <row r="9111" spans="1:10" hidden="1" x14ac:dyDescent="0.25">
      <c r="A9111" s="124" t="s">
        <v>11204</v>
      </c>
      <c r="B9111" s="124" t="s">
        <v>11736</v>
      </c>
      <c r="C9111" s="132"/>
      <c r="D9111" s="125">
        <f t="shared" si="176"/>
        <v>0</v>
      </c>
      <c r="E9111" s="124" t="s">
        <v>8367</v>
      </c>
      <c r="F9111" s="126">
        <v>4</v>
      </c>
      <c r="G9111" s="127">
        <v>783.98</v>
      </c>
      <c r="H9111" s="124" t="s">
        <v>8368</v>
      </c>
      <c r="I9111" s="128">
        <v>1124</v>
      </c>
      <c r="J9111" s="128">
        <v>5620</v>
      </c>
    </row>
    <row r="9112" spans="1:10" hidden="1" x14ac:dyDescent="0.25">
      <c r="A9112" s="124" t="s">
        <v>11205</v>
      </c>
      <c r="B9112" s="124" t="s">
        <v>11736</v>
      </c>
      <c r="C9112" s="132"/>
      <c r="D9112" s="125">
        <f t="shared" si="176"/>
        <v>0</v>
      </c>
      <c r="E9112" s="124" t="s">
        <v>8367</v>
      </c>
      <c r="F9112" s="126">
        <v>4</v>
      </c>
      <c r="G9112" s="128">
        <v>1227.98</v>
      </c>
      <c r="H9112" s="124" t="s">
        <v>8368</v>
      </c>
      <c r="I9112" s="127">
        <v>598</v>
      </c>
      <c r="J9112" s="128">
        <v>2990</v>
      </c>
    </row>
    <row r="9113" spans="1:10" hidden="1" x14ac:dyDescent="0.25">
      <c r="A9113" s="124" t="s">
        <v>11206</v>
      </c>
      <c r="B9113" s="124" t="s">
        <v>11736</v>
      </c>
      <c r="C9113" s="132"/>
      <c r="D9113" s="125">
        <f t="shared" si="176"/>
        <v>0</v>
      </c>
      <c r="E9113" s="124" t="s">
        <v>8367</v>
      </c>
      <c r="F9113" s="126">
        <v>1</v>
      </c>
      <c r="G9113" s="128">
        <v>6992</v>
      </c>
      <c r="H9113" s="124" t="s">
        <v>8368</v>
      </c>
      <c r="I9113" s="127">
        <v>133.66999999999999</v>
      </c>
      <c r="J9113" s="127">
        <v>668.33</v>
      </c>
    </row>
    <row r="9114" spans="1:10" hidden="1" x14ac:dyDescent="0.25">
      <c r="A9114" s="124" t="s">
        <v>11207</v>
      </c>
      <c r="B9114" s="124" t="s">
        <v>11736</v>
      </c>
      <c r="C9114" s="132"/>
      <c r="D9114" s="125">
        <f t="shared" si="176"/>
        <v>0</v>
      </c>
      <c r="E9114" s="124" t="s">
        <v>8367</v>
      </c>
      <c r="F9114" s="126">
        <v>8</v>
      </c>
      <c r="G9114" s="128">
        <v>6744</v>
      </c>
      <c r="H9114" s="124" t="s">
        <v>8368</v>
      </c>
      <c r="I9114" s="128">
        <v>4733.2</v>
      </c>
      <c r="J9114" s="128">
        <v>23666</v>
      </c>
    </row>
    <row r="9115" spans="1:10" hidden="1" x14ac:dyDescent="0.25">
      <c r="A9115" s="124" t="s">
        <v>11208</v>
      </c>
      <c r="B9115" s="124" t="s">
        <v>11736</v>
      </c>
      <c r="C9115" s="132"/>
      <c r="D9115" s="125">
        <f t="shared" ref="D9115:D9140" si="177">COUNTIF(A4882:A9114,A9115)</f>
        <v>0</v>
      </c>
      <c r="E9115" s="124" t="s">
        <v>8367</v>
      </c>
      <c r="F9115" s="126">
        <v>1</v>
      </c>
      <c r="G9115" s="128">
        <v>3588</v>
      </c>
      <c r="H9115" s="124" t="s">
        <v>8368</v>
      </c>
      <c r="I9115" s="128">
        <v>34758.720000000001</v>
      </c>
      <c r="J9115" s="128">
        <v>173793.6</v>
      </c>
    </row>
    <row r="9116" spans="1:10" hidden="1" x14ac:dyDescent="0.25">
      <c r="A9116" s="124" t="s">
        <v>11209</v>
      </c>
      <c r="B9116" s="124" t="s">
        <v>11736</v>
      </c>
      <c r="C9116" s="132"/>
      <c r="D9116" s="125">
        <f t="shared" si="177"/>
        <v>0</v>
      </c>
      <c r="E9116" s="124" t="s">
        <v>8367</v>
      </c>
      <c r="F9116" s="126">
        <v>1</v>
      </c>
      <c r="G9116" s="127">
        <v>802</v>
      </c>
      <c r="H9116" s="124" t="s">
        <v>8368</v>
      </c>
      <c r="I9116" s="128">
        <v>384000</v>
      </c>
      <c r="J9116" s="128">
        <v>1920000</v>
      </c>
    </row>
    <row r="9117" spans="1:10" hidden="1" x14ac:dyDescent="0.25">
      <c r="A9117" s="124" t="s">
        <v>11210</v>
      </c>
      <c r="B9117" s="124" t="s">
        <v>11736</v>
      </c>
      <c r="C9117" s="132"/>
      <c r="D9117" s="125">
        <f t="shared" si="177"/>
        <v>0</v>
      </c>
      <c r="E9117" s="124" t="s">
        <v>9134</v>
      </c>
      <c r="F9117" s="126">
        <v>200</v>
      </c>
      <c r="G9117" s="128">
        <v>28399.200000000001</v>
      </c>
      <c r="H9117" s="124" t="s">
        <v>8368</v>
      </c>
      <c r="I9117" s="128">
        <v>160680.35</v>
      </c>
      <c r="J9117" s="128">
        <v>803401.72</v>
      </c>
    </row>
    <row r="9118" spans="1:10" hidden="1" x14ac:dyDescent="0.25">
      <c r="A9118" s="124" t="s">
        <v>11211</v>
      </c>
      <c r="B9118" s="124" t="s">
        <v>11736</v>
      </c>
      <c r="C9118" s="132"/>
      <c r="D9118" s="125">
        <f t="shared" si="177"/>
        <v>0</v>
      </c>
      <c r="E9118" s="124" t="s">
        <v>8</v>
      </c>
      <c r="F9118" s="126">
        <v>596</v>
      </c>
      <c r="G9118" s="128">
        <v>208552.32000000001</v>
      </c>
      <c r="H9118" s="124" t="s">
        <v>8368</v>
      </c>
      <c r="I9118" s="128">
        <v>86800</v>
      </c>
      <c r="J9118" s="128">
        <v>434000</v>
      </c>
    </row>
    <row r="9119" spans="1:10" hidden="1" x14ac:dyDescent="0.25">
      <c r="A9119" s="124" t="s">
        <v>5487</v>
      </c>
      <c r="B9119" s="124" t="s">
        <v>11736</v>
      </c>
      <c r="C9119" s="132"/>
      <c r="D9119" s="125">
        <f t="shared" si="177"/>
        <v>0</v>
      </c>
      <c r="E9119" s="124" t="s">
        <v>8367</v>
      </c>
      <c r="F9119" s="129">
        <v>1600</v>
      </c>
      <c r="G9119" s="128">
        <v>2304000</v>
      </c>
      <c r="H9119" s="124" t="s">
        <v>8368</v>
      </c>
      <c r="I9119" s="128">
        <v>43567.69</v>
      </c>
      <c r="J9119" s="128">
        <v>217838.47</v>
      </c>
    </row>
    <row r="9120" spans="1:10" hidden="1" x14ac:dyDescent="0.25">
      <c r="A9120" s="124" t="s">
        <v>11212</v>
      </c>
      <c r="B9120" s="124" t="s">
        <v>11736</v>
      </c>
      <c r="C9120" s="132"/>
      <c r="D9120" s="125">
        <f t="shared" si="177"/>
        <v>0</v>
      </c>
      <c r="E9120" s="124" t="s">
        <v>8</v>
      </c>
      <c r="F9120" s="126">
        <v>422</v>
      </c>
      <c r="G9120" s="128">
        <v>964082.07</v>
      </c>
      <c r="H9120" s="124" t="s">
        <v>8368</v>
      </c>
      <c r="I9120" s="128">
        <v>9779</v>
      </c>
      <c r="J9120" s="128">
        <v>48895</v>
      </c>
    </row>
    <row r="9121" spans="1:10" hidden="1" x14ac:dyDescent="0.25">
      <c r="A9121" s="124" t="s">
        <v>11213</v>
      </c>
      <c r="B9121" s="124" t="s">
        <v>11736</v>
      </c>
      <c r="C9121" s="132"/>
      <c r="D9121" s="125">
        <f t="shared" si="177"/>
        <v>0</v>
      </c>
      <c r="E9121" s="124" t="s">
        <v>9134</v>
      </c>
      <c r="F9121" s="126">
        <v>400</v>
      </c>
      <c r="G9121" s="128">
        <v>520800</v>
      </c>
      <c r="H9121" s="124" t="s">
        <v>8368</v>
      </c>
      <c r="I9121" s="128">
        <v>5500.2</v>
      </c>
      <c r="J9121" s="128">
        <v>27501</v>
      </c>
    </row>
    <row r="9122" spans="1:10" hidden="1" x14ac:dyDescent="0.25">
      <c r="A9122" s="124" t="s">
        <v>11214</v>
      </c>
      <c r="B9122" s="124" t="s">
        <v>11736</v>
      </c>
      <c r="C9122" s="132"/>
      <c r="D9122" s="125">
        <f t="shared" si="177"/>
        <v>0</v>
      </c>
      <c r="E9122" s="124" t="s">
        <v>8</v>
      </c>
      <c r="F9122" s="126">
        <v>21.875</v>
      </c>
      <c r="G9122" s="128">
        <v>261406.16</v>
      </c>
      <c r="H9122" s="124" t="s">
        <v>8368</v>
      </c>
      <c r="I9122" s="128">
        <v>5083.3999999999996</v>
      </c>
      <c r="J9122" s="128">
        <v>25417</v>
      </c>
    </row>
    <row r="9123" spans="1:10" hidden="1" x14ac:dyDescent="0.25">
      <c r="A9123" s="124" t="s">
        <v>11215</v>
      </c>
      <c r="B9123" s="124" t="s">
        <v>11736</v>
      </c>
      <c r="C9123" s="132"/>
      <c r="D9123" s="125">
        <f t="shared" si="177"/>
        <v>0</v>
      </c>
      <c r="E9123" s="124" t="s">
        <v>8</v>
      </c>
      <c r="F9123" s="126">
        <v>254</v>
      </c>
      <c r="G9123" s="128">
        <v>58674</v>
      </c>
      <c r="H9123" s="124" t="s">
        <v>8368</v>
      </c>
      <c r="I9123" s="128">
        <v>3555</v>
      </c>
      <c r="J9123" s="128">
        <v>17775</v>
      </c>
    </row>
    <row r="9124" spans="1:10" hidden="1" x14ac:dyDescent="0.25">
      <c r="A9124" s="124" t="s">
        <v>11216</v>
      </c>
      <c r="B9124" s="124" t="s">
        <v>11736</v>
      </c>
      <c r="C9124" s="132"/>
      <c r="D9124" s="125">
        <f t="shared" si="177"/>
        <v>0</v>
      </c>
      <c r="E9124" s="124" t="s">
        <v>8</v>
      </c>
      <c r="F9124" s="126">
        <v>300</v>
      </c>
      <c r="G9124" s="128">
        <v>33001.199999999997</v>
      </c>
      <c r="H9124" s="124" t="s">
        <v>8368</v>
      </c>
      <c r="I9124" s="128">
        <v>3764.43</v>
      </c>
      <c r="J9124" s="128">
        <v>18822.150000000001</v>
      </c>
    </row>
    <row r="9125" spans="1:10" hidden="1" x14ac:dyDescent="0.25">
      <c r="A9125" s="124" t="s">
        <v>5619</v>
      </c>
      <c r="B9125" s="124" t="s">
        <v>11736</v>
      </c>
      <c r="C9125" s="132"/>
      <c r="D9125" s="125">
        <f t="shared" si="177"/>
        <v>0</v>
      </c>
      <c r="E9125" s="124" t="s">
        <v>1</v>
      </c>
      <c r="F9125" s="126">
        <v>100</v>
      </c>
      <c r="G9125" s="128">
        <v>30500.400000000001</v>
      </c>
      <c r="H9125" s="124" t="s">
        <v>8368</v>
      </c>
      <c r="I9125" s="128">
        <v>3952.4</v>
      </c>
      <c r="J9125" s="128">
        <v>19762</v>
      </c>
    </row>
    <row r="9126" spans="1:10" hidden="1" x14ac:dyDescent="0.25">
      <c r="A9126" s="124" t="s">
        <v>11217</v>
      </c>
      <c r="B9126" s="124" t="s">
        <v>11736</v>
      </c>
      <c r="C9126" s="132"/>
      <c r="D9126" s="125">
        <f t="shared" si="177"/>
        <v>0</v>
      </c>
      <c r="E9126" s="124" t="s">
        <v>8367</v>
      </c>
      <c r="F9126" s="126">
        <v>18</v>
      </c>
      <c r="G9126" s="128">
        <v>21330</v>
      </c>
      <c r="H9126" s="124" t="s">
        <v>8368</v>
      </c>
      <c r="I9126" s="128">
        <v>2688</v>
      </c>
      <c r="J9126" s="128">
        <v>13440</v>
      </c>
    </row>
    <row r="9127" spans="1:10" hidden="1" x14ac:dyDescent="0.25">
      <c r="A9127" s="124" t="s">
        <v>11218</v>
      </c>
      <c r="B9127" s="124" t="s">
        <v>11736</v>
      </c>
      <c r="C9127" s="132"/>
      <c r="D9127" s="125">
        <f t="shared" si="177"/>
        <v>0</v>
      </c>
      <c r="E9127" s="124" t="s">
        <v>8367</v>
      </c>
      <c r="F9127" s="126">
        <v>45</v>
      </c>
      <c r="G9127" s="128">
        <v>22586.58</v>
      </c>
      <c r="H9127" s="124" t="s">
        <v>8368</v>
      </c>
      <c r="I9127" s="127">
        <v>131.6</v>
      </c>
      <c r="J9127" s="127">
        <v>658</v>
      </c>
    </row>
    <row r="9128" spans="1:10" hidden="1" x14ac:dyDescent="0.25">
      <c r="A9128" s="124" t="s">
        <v>11219</v>
      </c>
      <c r="B9128" s="124" t="s">
        <v>11736</v>
      </c>
      <c r="C9128" s="132"/>
      <c r="D9128" s="125">
        <f t="shared" si="177"/>
        <v>0</v>
      </c>
      <c r="E9128" s="124" t="s">
        <v>8367</v>
      </c>
      <c r="F9128" s="126">
        <v>2</v>
      </c>
      <c r="G9128" s="128">
        <v>23714.400000000001</v>
      </c>
      <c r="H9128" s="124" t="s">
        <v>8368</v>
      </c>
      <c r="I9128" s="127">
        <v>243.32</v>
      </c>
      <c r="J9128" s="128">
        <v>1216.5999999999999</v>
      </c>
    </row>
    <row r="9129" spans="1:10" hidden="1" x14ac:dyDescent="0.25">
      <c r="A9129" s="124" t="s">
        <v>11220</v>
      </c>
      <c r="B9129" s="124" t="s">
        <v>11736</v>
      </c>
      <c r="C9129" s="132"/>
      <c r="D9129" s="125">
        <f t="shared" si="177"/>
        <v>0</v>
      </c>
      <c r="E9129" s="124" t="s">
        <v>8367</v>
      </c>
      <c r="F9129" s="126">
        <v>1</v>
      </c>
      <c r="G9129" s="128">
        <v>16128</v>
      </c>
      <c r="H9129" s="124" t="s">
        <v>8368</v>
      </c>
      <c r="I9129" s="127">
        <v>129.15</v>
      </c>
      <c r="J9129" s="127">
        <v>645.75</v>
      </c>
    </row>
    <row r="9130" spans="1:10" hidden="1" x14ac:dyDescent="0.25">
      <c r="A9130" s="124" t="s">
        <v>287</v>
      </c>
      <c r="B9130" s="124" t="s">
        <v>11736</v>
      </c>
      <c r="C9130" s="132"/>
      <c r="D9130" s="125">
        <f t="shared" si="177"/>
        <v>0</v>
      </c>
      <c r="E9130" s="124" t="s">
        <v>8367</v>
      </c>
      <c r="F9130" s="126">
        <v>10</v>
      </c>
      <c r="G9130" s="127">
        <v>789.6</v>
      </c>
      <c r="H9130" s="124" t="s">
        <v>8368</v>
      </c>
      <c r="I9130" s="127">
        <v>666</v>
      </c>
      <c r="J9130" s="128">
        <v>3330</v>
      </c>
    </row>
    <row r="9131" spans="1:10" hidden="1" x14ac:dyDescent="0.25">
      <c r="A9131" s="124" t="s">
        <v>11221</v>
      </c>
      <c r="B9131" s="124" t="s">
        <v>11736</v>
      </c>
      <c r="C9131" s="132"/>
      <c r="D9131" s="125">
        <f t="shared" si="177"/>
        <v>0</v>
      </c>
      <c r="E9131" s="124" t="s">
        <v>8367</v>
      </c>
      <c r="F9131" s="126">
        <v>20</v>
      </c>
      <c r="G9131" s="128">
        <v>1459.92</v>
      </c>
      <c r="H9131" s="124" t="s">
        <v>8368</v>
      </c>
      <c r="I9131" s="127">
        <v>570.05999999999995</v>
      </c>
      <c r="J9131" s="128">
        <v>2850.3</v>
      </c>
    </row>
    <row r="9132" spans="1:10" hidden="1" x14ac:dyDescent="0.25">
      <c r="A9132" s="124" t="s">
        <v>11222</v>
      </c>
      <c r="B9132" s="124" t="s">
        <v>11736</v>
      </c>
      <c r="C9132" s="132"/>
      <c r="D9132" s="125">
        <f t="shared" si="177"/>
        <v>0</v>
      </c>
      <c r="E9132" s="124" t="s">
        <v>8367</v>
      </c>
      <c r="F9132" s="126">
        <v>25</v>
      </c>
      <c r="G9132" s="127">
        <v>774.9</v>
      </c>
      <c r="H9132" s="124" t="s">
        <v>8368</v>
      </c>
      <c r="I9132" s="128">
        <v>1125</v>
      </c>
      <c r="J9132" s="128">
        <v>5625</v>
      </c>
    </row>
    <row r="9133" spans="1:10" hidden="1" x14ac:dyDescent="0.25">
      <c r="A9133" s="124" t="s">
        <v>11223</v>
      </c>
      <c r="B9133" s="124" t="s">
        <v>11736</v>
      </c>
      <c r="C9133" s="132"/>
      <c r="D9133" s="125">
        <f t="shared" si="177"/>
        <v>0</v>
      </c>
      <c r="E9133" s="124" t="s">
        <v>8367</v>
      </c>
      <c r="F9133" s="129">
        <v>1000</v>
      </c>
      <c r="G9133" s="128">
        <v>3996</v>
      </c>
      <c r="H9133" s="124" t="s">
        <v>8368</v>
      </c>
      <c r="I9133" s="127">
        <v>183.86</v>
      </c>
      <c r="J9133" s="127">
        <v>919.3</v>
      </c>
    </row>
    <row r="9134" spans="1:10" hidden="1" x14ac:dyDescent="0.25">
      <c r="A9134" s="124" t="s">
        <v>11224</v>
      </c>
      <c r="B9134" s="124" t="s">
        <v>11736</v>
      </c>
      <c r="C9134" s="132"/>
      <c r="D9134" s="125">
        <f t="shared" si="177"/>
        <v>0</v>
      </c>
      <c r="E9134" s="124" t="s">
        <v>8367</v>
      </c>
      <c r="F9134" s="126">
        <v>90</v>
      </c>
      <c r="G9134" s="128">
        <v>3420.36</v>
      </c>
      <c r="H9134" s="124" t="s">
        <v>8368</v>
      </c>
      <c r="I9134" s="127">
        <v>870</v>
      </c>
      <c r="J9134" s="128">
        <v>4350</v>
      </c>
    </row>
    <row r="9135" spans="1:10" hidden="1" x14ac:dyDescent="0.25">
      <c r="A9135" s="124" t="s">
        <v>2559</v>
      </c>
      <c r="B9135" s="124" t="s">
        <v>11736</v>
      </c>
      <c r="C9135" s="132"/>
      <c r="D9135" s="125">
        <f t="shared" si="177"/>
        <v>0</v>
      </c>
      <c r="E9135" s="124" t="s">
        <v>8367</v>
      </c>
      <c r="F9135" s="126">
        <v>150</v>
      </c>
      <c r="G9135" s="128">
        <v>6750</v>
      </c>
      <c r="H9135" s="124" t="s">
        <v>8368</v>
      </c>
      <c r="I9135" s="128">
        <v>5391490.3700000001</v>
      </c>
      <c r="J9135" s="128">
        <v>26957451.870000001</v>
      </c>
    </row>
    <row r="9136" spans="1:10" hidden="1" x14ac:dyDescent="0.25">
      <c r="A9136" s="124" t="s">
        <v>11225</v>
      </c>
      <c r="B9136" s="124" t="s">
        <v>11736</v>
      </c>
      <c r="C9136" s="132"/>
      <c r="D9136" s="125">
        <f t="shared" si="177"/>
        <v>0</v>
      </c>
      <c r="E9136" s="124" t="s">
        <v>8367</v>
      </c>
      <c r="F9136" s="126">
        <v>290</v>
      </c>
      <c r="G9136" s="128">
        <v>1103.1600000000001</v>
      </c>
      <c r="H9136" s="124" t="s">
        <v>8368</v>
      </c>
      <c r="I9136" s="128">
        <v>22140</v>
      </c>
      <c r="J9136" s="128">
        <v>110700</v>
      </c>
    </row>
    <row r="9137" spans="1:10" hidden="1" x14ac:dyDescent="0.25">
      <c r="A9137" s="124" t="s">
        <v>11226</v>
      </c>
      <c r="B9137" s="124" t="s">
        <v>11736</v>
      </c>
      <c r="C9137" s="132"/>
      <c r="D9137" s="125">
        <f t="shared" si="177"/>
        <v>0</v>
      </c>
      <c r="E9137" s="124" t="s">
        <v>8367</v>
      </c>
      <c r="F9137" s="126">
        <v>580</v>
      </c>
      <c r="G9137" s="128">
        <v>5220</v>
      </c>
      <c r="H9137" s="124" t="s">
        <v>8368</v>
      </c>
      <c r="I9137" s="128">
        <v>184500</v>
      </c>
      <c r="J9137" s="128">
        <v>922500</v>
      </c>
    </row>
    <row r="9138" spans="1:10" hidden="1" x14ac:dyDescent="0.25">
      <c r="A9138" s="124" t="s">
        <v>11227</v>
      </c>
      <c r="B9138" s="124" t="s">
        <v>11736</v>
      </c>
      <c r="C9138" s="132"/>
      <c r="D9138" s="125">
        <f t="shared" si="177"/>
        <v>0</v>
      </c>
      <c r="E9138" s="124" t="s">
        <v>8367</v>
      </c>
      <c r="F9138" s="129">
        <v>6635</v>
      </c>
      <c r="G9138" s="128">
        <v>32348942.239999998</v>
      </c>
      <c r="H9138" s="124" t="s">
        <v>8368</v>
      </c>
      <c r="I9138" s="128">
        <v>700000</v>
      </c>
      <c r="J9138" s="128">
        <v>3500000</v>
      </c>
    </row>
    <row r="9139" spans="1:10" hidden="1" x14ac:dyDescent="0.25">
      <c r="A9139" s="124" t="s">
        <v>11228</v>
      </c>
      <c r="B9139" s="124" t="s">
        <v>11736</v>
      </c>
      <c r="C9139" s="132"/>
      <c r="D9139" s="125">
        <f t="shared" si="177"/>
        <v>0</v>
      </c>
      <c r="E9139" s="124" t="s">
        <v>8367</v>
      </c>
      <c r="F9139" s="129">
        <v>15000</v>
      </c>
      <c r="G9139" s="128">
        <v>132840</v>
      </c>
      <c r="H9139" s="124" t="s">
        <v>8368</v>
      </c>
      <c r="I9139" s="128">
        <v>1658333.27</v>
      </c>
      <c r="J9139" s="128">
        <v>8291666.3300000001</v>
      </c>
    </row>
    <row r="9140" spans="1:10" hidden="1" x14ac:dyDescent="0.25">
      <c r="A9140" s="124" t="s">
        <v>11229</v>
      </c>
      <c r="B9140" s="124" t="s">
        <v>11736</v>
      </c>
      <c r="C9140" s="132"/>
      <c r="D9140" s="125">
        <f t="shared" si="177"/>
        <v>0</v>
      </c>
      <c r="E9140" s="124" t="s">
        <v>8367</v>
      </c>
      <c r="F9140" s="126">
        <v>41</v>
      </c>
      <c r="G9140" s="128">
        <v>1107000</v>
      </c>
      <c r="H9140" s="124" t="s">
        <v>8368</v>
      </c>
      <c r="I9140" s="128">
        <v>993333.33</v>
      </c>
      <c r="J9140" s="128">
        <v>4966666.67</v>
      </c>
    </row>
    <row r="9141" spans="1:10" hidden="1" x14ac:dyDescent="0.25">
      <c r="A9141" s="124" t="s">
        <v>5800</v>
      </c>
      <c r="B9141" s="124" t="s">
        <v>11736</v>
      </c>
      <c r="C9141" s="132"/>
      <c r="D9141" s="125">
        <f t="shared" ref="D9141:D9150" si="178">COUNTIF(A4909:A9140,A9141)</f>
        <v>0</v>
      </c>
      <c r="E9141" s="124" t="s">
        <v>8367</v>
      </c>
      <c r="F9141" s="129">
        <v>1500</v>
      </c>
      <c r="G9141" s="128">
        <v>4200000</v>
      </c>
      <c r="H9141" s="124" t="s">
        <v>8368</v>
      </c>
      <c r="I9141" s="128">
        <v>1873.6</v>
      </c>
      <c r="J9141" s="128">
        <v>9368</v>
      </c>
    </row>
    <row r="9142" spans="1:10" hidden="1" x14ac:dyDescent="0.25">
      <c r="A9142" s="124" t="s">
        <v>11230</v>
      </c>
      <c r="B9142" s="124" t="s">
        <v>11736</v>
      </c>
      <c r="C9142" s="132"/>
      <c r="D9142" s="125">
        <f t="shared" si="178"/>
        <v>0</v>
      </c>
      <c r="E9142" s="124" t="s">
        <v>8367</v>
      </c>
      <c r="F9142" s="129">
        <v>1990</v>
      </c>
      <c r="G9142" s="128">
        <v>9949999.5999999996</v>
      </c>
      <c r="H9142" s="124" t="s">
        <v>8368</v>
      </c>
      <c r="I9142" s="128">
        <v>1273.4000000000001</v>
      </c>
      <c r="J9142" s="128">
        <v>6367</v>
      </c>
    </row>
    <row r="9143" spans="1:10" hidden="1" x14ac:dyDescent="0.25">
      <c r="A9143" s="124" t="s">
        <v>11231</v>
      </c>
      <c r="B9143" s="124" t="s">
        <v>11736</v>
      </c>
      <c r="C9143" s="132"/>
      <c r="D9143" s="125">
        <f t="shared" si="178"/>
        <v>0</v>
      </c>
      <c r="E9143" s="124" t="s">
        <v>8367</v>
      </c>
      <c r="F9143" s="129">
        <v>1490</v>
      </c>
      <c r="G9143" s="128">
        <v>5960000</v>
      </c>
      <c r="H9143" s="124" t="s">
        <v>8368</v>
      </c>
      <c r="I9143" s="128">
        <v>2755.4</v>
      </c>
      <c r="J9143" s="128">
        <v>13777</v>
      </c>
    </row>
    <row r="9144" spans="1:10" hidden="1" x14ac:dyDescent="0.25">
      <c r="A9144" s="124" t="s">
        <v>1531</v>
      </c>
      <c r="B9144" s="124" t="s">
        <v>11736</v>
      </c>
      <c r="C9144" s="132"/>
      <c r="D9144" s="125">
        <f t="shared" si="178"/>
        <v>0</v>
      </c>
      <c r="E9144" s="124" t="s">
        <v>8367</v>
      </c>
      <c r="F9144" s="129">
        <v>3000</v>
      </c>
      <c r="G9144" s="128">
        <v>11241.6</v>
      </c>
      <c r="H9144" s="124" t="s">
        <v>8368</v>
      </c>
      <c r="I9144" s="127">
        <v>92</v>
      </c>
      <c r="J9144" s="127">
        <v>460</v>
      </c>
    </row>
    <row r="9145" spans="1:10" hidden="1" x14ac:dyDescent="0.25">
      <c r="A9145" s="124" t="s">
        <v>11232</v>
      </c>
      <c r="B9145" s="124" t="s">
        <v>11736</v>
      </c>
      <c r="C9145" s="132"/>
      <c r="D9145" s="125">
        <f t="shared" si="178"/>
        <v>0</v>
      </c>
      <c r="E9145" s="124" t="s">
        <v>8367</v>
      </c>
      <c r="F9145" s="129">
        <v>10000</v>
      </c>
      <c r="G9145" s="128">
        <v>7640.4</v>
      </c>
      <c r="H9145" s="124" t="s">
        <v>8368</v>
      </c>
      <c r="I9145" s="127">
        <v>92</v>
      </c>
      <c r="J9145" s="127">
        <v>460</v>
      </c>
    </row>
    <row r="9146" spans="1:10" hidden="1" x14ac:dyDescent="0.25">
      <c r="A9146" s="124" t="s">
        <v>122</v>
      </c>
      <c r="B9146" s="124" t="s">
        <v>11736</v>
      </c>
      <c r="C9146" s="132"/>
      <c r="D9146" s="125">
        <f t="shared" si="178"/>
        <v>0</v>
      </c>
      <c r="E9146" s="124" t="s">
        <v>8367</v>
      </c>
      <c r="F9146" s="129">
        <v>1000</v>
      </c>
      <c r="G9146" s="128">
        <v>16532.400000000001</v>
      </c>
      <c r="H9146" s="124" t="s">
        <v>8368</v>
      </c>
      <c r="I9146" s="128">
        <v>1063.3399999999999</v>
      </c>
      <c r="J9146" s="128">
        <v>5316.7</v>
      </c>
    </row>
    <row r="9147" spans="1:10" hidden="1" x14ac:dyDescent="0.25">
      <c r="A9147" s="124" t="s">
        <v>11233</v>
      </c>
      <c r="B9147" s="124" t="s">
        <v>11736</v>
      </c>
      <c r="C9147" s="132"/>
      <c r="D9147" s="125">
        <f t="shared" si="178"/>
        <v>0</v>
      </c>
      <c r="E9147" s="124" t="s">
        <v>8367</v>
      </c>
      <c r="F9147" s="129">
        <v>10000</v>
      </c>
      <c r="G9147" s="127">
        <v>552</v>
      </c>
      <c r="H9147" s="124" t="s">
        <v>8368</v>
      </c>
      <c r="I9147" s="128">
        <v>7733.5</v>
      </c>
      <c r="J9147" s="128">
        <v>38667.47</v>
      </c>
    </row>
    <row r="9148" spans="1:10" hidden="1" x14ac:dyDescent="0.25">
      <c r="A9148" s="124" t="s">
        <v>11234</v>
      </c>
      <c r="B9148" s="124" t="s">
        <v>11736</v>
      </c>
      <c r="C9148" s="132"/>
      <c r="D9148" s="125">
        <f t="shared" si="178"/>
        <v>0</v>
      </c>
      <c r="E9148" s="124" t="s">
        <v>8367</v>
      </c>
      <c r="F9148" s="129">
        <v>10000</v>
      </c>
      <c r="G9148" s="127">
        <v>552</v>
      </c>
      <c r="H9148" s="124" t="s">
        <v>8368</v>
      </c>
      <c r="I9148" s="128">
        <v>65594.52</v>
      </c>
      <c r="J9148" s="128">
        <v>327972.57</v>
      </c>
    </row>
    <row r="9149" spans="1:10" hidden="1" x14ac:dyDescent="0.25">
      <c r="A9149" s="124" t="s">
        <v>11235</v>
      </c>
      <c r="B9149" s="124" t="s">
        <v>11736</v>
      </c>
      <c r="C9149" s="132"/>
      <c r="D9149" s="125">
        <f t="shared" si="178"/>
        <v>0</v>
      </c>
      <c r="E9149" s="124" t="s">
        <v>8367</v>
      </c>
      <c r="F9149" s="126">
        <v>10</v>
      </c>
      <c r="G9149" s="128">
        <v>6380.04</v>
      </c>
      <c r="H9149" s="124" t="s">
        <v>8368</v>
      </c>
      <c r="I9149" s="128">
        <v>371666.6</v>
      </c>
      <c r="J9149" s="128">
        <v>1858333</v>
      </c>
    </row>
    <row r="9150" spans="1:10" hidden="1" x14ac:dyDescent="0.25">
      <c r="A9150" s="124" t="s">
        <v>11236</v>
      </c>
      <c r="B9150" s="124" t="s">
        <v>11736</v>
      </c>
      <c r="C9150" s="132"/>
      <c r="D9150" s="125">
        <f t="shared" si="178"/>
        <v>0</v>
      </c>
      <c r="E9150" s="124" t="s">
        <v>8367</v>
      </c>
      <c r="F9150" s="126">
        <v>583</v>
      </c>
      <c r="G9150" s="128">
        <v>46400.97</v>
      </c>
      <c r="H9150" s="124" t="s">
        <v>8368</v>
      </c>
      <c r="I9150" s="128">
        <v>1705869.4</v>
      </c>
      <c r="J9150" s="128">
        <v>8529347</v>
      </c>
    </row>
    <row r="9151" spans="1:10" hidden="1" x14ac:dyDescent="0.25">
      <c r="A9151" s="124" t="s">
        <v>11237</v>
      </c>
      <c r="B9151" s="124" t="s">
        <v>11736</v>
      </c>
      <c r="C9151" s="132"/>
      <c r="D9151" s="125">
        <f>COUNTIF(A4920:A9150,A9151)</f>
        <v>0</v>
      </c>
      <c r="E9151" s="124" t="s">
        <v>8367</v>
      </c>
      <c r="F9151" s="126">
        <v>325</v>
      </c>
      <c r="G9151" s="128">
        <v>393567.09</v>
      </c>
      <c r="H9151" s="124" t="s">
        <v>8368</v>
      </c>
      <c r="I9151" s="127">
        <v>43.2</v>
      </c>
      <c r="J9151" s="127">
        <v>216</v>
      </c>
    </row>
    <row r="9152" spans="1:10" hidden="1" x14ac:dyDescent="0.25">
      <c r="A9152" s="124" t="s">
        <v>11238</v>
      </c>
      <c r="B9152" s="124" t="s">
        <v>11736</v>
      </c>
      <c r="C9152" s="132"/>
      <c r="D9152" s="125">
        <f>COUNTIF(A4922:A9151,A9152)</f>
        <v>0</v>
      </c>
      <c r="E9152" s="124" t="s">
        <v>8367</v>
      </c>
      <c r="F9152" s="129">
        <v>2230</v>
      </c>
      <c r="G9152" s="128">
        <v>2229999.6</v>
      </c>
      <c r="H9152" s="124" t="s">
        <v>8368</v>
      </c>
      <c r="I9152" s="127">
        <v>177</v>
      </c>
      <c r="J9152" s="127">
        <v>885</v>
      </c>
    </row>
    <row r="9153" spans="1:10" hidden="1" x14ac:dyDescent="0.25">
      <c r="A9153" s="124" t="s">
        <v>4322</v>
      </c>
      <c r="B9153" s="124" t="s">
        <v>11736</v>
      </c>
      <c r="C9153" s="132"/>
      <c r="D9153" s="125">
        <f>COUNTIF(A4923:A9152,A9153)</f>
        <v>0</v>
      </c>
      <c r="E9153" s="124" t="s">
        <v>8367</v>
      </c>
      <c r="F9153" s="126">
        <v>361</v>
      </c>
      <c r="G9153" s="128">
        <v>10235216.4</v>
      </c>
      <c r="H9153" s="124" t="s">
        <v>8368</v>
      </c>
      <c r="I9153" s="128">
        <v>39267.5</v>
      </c>
      <c r="J9153" s="128">
        <v>196337.5</v>
      </c>
    </row>
    <row r="9154" spans="1:10" hidden="1" x14ac:dyDescent="0.25">
      <c r="A9154" s="124" t="s">
        <v>11239</v>
      </c>
      <c r="B9154" s="124" t="s">
        <v>11736</v>
      </c>
      <c r="C9154" s="132"/>
      <c r="D9154" s="125">
        <f>COUNTIF(A4924:A9153,A9154)</f>
        <v>0</v>
      </c>
      <c r="E9154" s="124" t="s">
        <v>8367</v>
      </c>
      <c r="F9154" s="126">
        <v>1</v>
      </c>
      <c r="G9154" s="127">
        <v>259.2</v>
      </c>
      <c r="H9154" s="124" t="s">
        <v>8368</v>
      </c>
      <c r="I9154" s="127">
        <v>330</v>
      </c>
      <c r="J9154" s="128">
        <v>1650</v>
      </c>
    </row>
    <row r="9155" spans="1:10" hidden="1" x14ac:dyDescent="0.25">
      <c r="A9155" s="124" t="s">
        <v>11240</v>
      </c>
      <c r="B9155" s="124" t="s">
        <v>11736</v>
      </c>
      <c r="C9155" s="132"/>
      <c r="D9155" s="125">
        <f>COUNTIF(A4925:A9154,A9155)</f>
        <v>0</v>
      </c>
      <c r="E9155" s="124" t="s">
        <v>8367</v>
      </c>
      <c r="F9155" s="126">
        <v>2</v>
      </c>
      <c r="G9155" s="128">
        <v>1062</v>
      </c>
      <c r="H9155" s="124" t="s">
        <v>8368</v>
      </c>
      <c r="I9155" s="128">
        <v>1292.5999999999999</v>
      </c>
      <c r="J9155" s="128">
        <v>6463</v>
      </c>
    </row>
    <row r="9156" spans="1:10" hidden="1" x14ac:dyDescent="0.25">
      <c r="A9156" s="124" t="s">
        <v>3631</v>
      </c>
      <c r="B9156" s="124" t="s">
        <v>11736</v>
      </c>
      <c r="C9156" s="132"/>
      <c r="D9156" s="125">
        <f>COUNTIF(A4926:A9155,A9156)</f>
        <v>0</v>
      </c>
      <c r="E9156" s="124" t="s">
        <v>8367</v>
      </c>
      <c r="F9156" s="126">
        <v>695</v>
      </c>
      <c r="G9156" s="128">
        <v>235605</v>
      </c>
      <c r="H9156" s="124" t="s">
        <v>8368</v>
      </c>
      <c r="I9156" s="127">
        <v>99.6</v>
      </c>
      <c r="J9156" s="127">
        <v>498</v>
      </c>
    </row>
    <row r="9157" spans="1:10" hidden="1" x14ac:dyDescent="0.25">
      <c r="A9157" s="124" t="s">
        <v>11241</v>
      </c>
      <c r="B9157" s="124" t="s">
        <v>11736</v>
      </c>
      <c r="C9157" s="132"/>
      <c r="D9157" s="125">
        <f t="shared" ref="D9157:D9200" si="179">COUNTIF(A4929:A9156,A9157)</f>
        <v>0</v>
      </c>
      <c r="E9157" s="124" t="s">
        <v>8367</v>
      </c>
      <c r="F9157" s="126">
        <v>12</v>
      </c>
      <c r="G9157" s="128">
        <v>1980</v>
      </c>
      <c r="H9157" s="124" t="s">
        <v>8368</v>
      </c>
      <c r="I9157" s="127">
        <v>19.600000000000001</v>
      </c>
      <c r="J9157" s="127">
        <v>98</v>
      </c>
    </row>
    <row r="9158" spans="1:10" hidden="1" x14ac:dyDescent="0.25">
      <c r="A9158" s="124" t="s">
        <v>11242</v>
      </c>
      <c r="B9158" s="124" t="s">
        <v>11736</v>
      </c>
      <c r="C9158" s="132"/>
      <c r="D9158" s="125">
        <f t="shared" si="179"/>
        <v>0</v>
      </c>
      <c r="E9158" s="124" t="s">
        <v>8367</v>
      </c>
      <c r="F9158" s="126">
        <v>1</v>
      </c>
      <c r="G9158" s="128">
        <v>7755.6</v>
      </c>
      <c r="H9158" s="124" t="s">
        <v>8368</v>
      </c>
      <c r="I9158" s="127">
        <v>16.600000000000001</v>
      </c>
      <c r="J9158" s="127">
        <v>83</v>
      </c>
    </row>
    <row r="9159" spans="1:10" hidden="1" x14ac:dyDescent="0.25">
      <c r="A9159" s="124" t="s">
        <v>11243</v>
      </c>
      <c r="B9159" s="124" t="s">
        <v>11736</v>
      </c>
      <c r="C9159" s="132"/>
      <c r="D9159" s="125">
        <f t="shared" si="179"/>
        <v>0</v>
      </c>
      <c r="E9159" s="124" t="s">
        <v>8367</v>
      </c>
      <c r="F9159" s="126">
        <v>2</v>
      </c>
      <c r="G9159" s="127">
        <v>597.6</v>
      </c>
      <c r="H9159" s="124" t="s">
        <v>8368</v>
      </c>
      <c r="I9159" s="128">
        <v>1226</v>
      </c>
      <c r="J9159" s="128">
        <v>6130</v>
      </c>
    </row>
    <row r="9160" spans="1:10" hidden="1" x14ac:dyDescent="0.25">
      <c r="A9160" s="124" t="s">
        <v>11244</v>
      </c>
      <c r="B9160" s="124" t="s">
        <v>11736</v>
      </c>
      <c r="C9160" s="132"/>
      <c r="D9160" s="125">
        <f t="shared" si="179"/>
        <v>0</v>
      </c>
      <c r="E9160" s="124" t="s">
        <v>8367</v>
      </c>
      <c r="F9160" s="126">
        <v>2</v>
      </c>
      <c r="G9160" s="127">
        <v>117.6</v>
      </c>
      <c r="H9160" s="124" t="s">
        <v>8368</v>
      </c>
      <c r="I9160" s="128">
        <v>8760</v>
      </c>
      <c r="J9160" s="128">
        <v>43800</v>
      </c>
    </row>
    <row r="9161" spans="1:10" hidden="1" x14ac:dyDescent="0.25">
      <c r="A9161" s="124" t="s">
        <v>11245</v>
      </c>
      <c r="B9161" s="124" t="s">
        <v>11736</v>
      </c>
      <c r="C9161" s="132"/>
      <c r="D9161" s="125">
        <f t="shared" si="179"/>
        <v>0</v>
      </c>
      <c r="E9161" s="124" t="s">
        <v>8367</v>
      </c>
      <c r="F9161" s="126">
        <v>2</v>
      </c>
      <c r="G9161" s="127">
        <v>99.6</v>
      </c>
      <c r="H9161" s="124" t="s">
        <v>8368</v>
      </c>
      <c r="I9161" s="127">
        <v>82.8</v>
      </c>
      <c r="J9161" s="127">
        <v>414</v>
      </c>
    </row>
    <row r="9162" spans="1:10" hidden="1" x14ac:dyDescent="0.25">
      <c r="A9162" s="124" t="s">
        <v>11246</v>
      </c>
      <c r="B9162" s="124" t="s">
        <v>11736</v>
      </c>
      <c r="C9162" s="132"/>
      <c r="D9162" s="125">
        <f t="shared" si="179"/>
        <v>0</v>
      </c>
      <c r="E9162" s="124" t="s">
        <v>8367</v>
      </c>
      <c r="F9162" s="126">
        <v>12</v>
      </c>
      <c r="G9162" s="128">
        <v>7356</v>
      </c>
      <c r="H9162" s="124" t="s">
        <v>8368</v>
      </c>
      <c r="I9162" s="128">
        <v>1025</v>
      </c>
      <c r="J9162" s="128">
        <v>5124.99</v>
      </c>
    </row>
    <row r="9163" spans="1:10" hidden="1" x14ac:dyDescent="0.25">
      <c r="A9163" s="124" t="s">
        <v>11247</v>
      </c>
      <c r="B9163" s="124" t="s">
        <v>11736</v>
      </c>
      <c r="C9163" s="132"/>
      <c r="D9163" s="125">
        <f t="shared" si="179"/>
        <v>0</v>
      </c>
      <c r="E9163" s="124" t="s">
        <v>8367</v>
      </c>
      <c r="F9163" s="126">
        <v>1</v>
      </c>
      <c r="G9163" s="128">
        <v>52560</v>
      </c>
      <c r="H9163" s="124" t="s">
        <v>8368</v>
      </c>
      <c r="I9163" s="127">
        <v>355.67</v>
      </c>
      <c r="J9163" s="128">
        <v>1778.33</v>
      </c>
    </row>
    <row r="9164" spans="1:10" hidden="1" x14ac:dyDescent="0.25">
      <c r="A9164" s="124" t="s">
        <v>6193</v>
      </c>
      <c r="B9164" s="124" t="s">
        <v>11736</v>
      </c>
      <c r="C9164" s="132"/>
      <c r="D9164" s="125">
        <f t="shared" si="179"/>
        <v>0</v>
      </c>
      <c r="E9164" s="124" t="s">
        <v>8367</v>
      </c>
      <c r="F9164" s="126">
        <v>1</v>
      </c>
      <c r="G9164" s="127">
        <v>496.8</v>
      </c>
      <c r="H9164" s="124" t="s">
        <v>8368</v>
      </c>
      <c r="I9164" s="127">
        <v>342.67</v>
      </c>
      <c r="J9164" s="128">
        <v>1713.33</v>
      </c>
    </row>
    <row r="9165" spans="1:10" hidden="1" x14ac:dyDescent="0.25">
      <c r="A9165" s="124" t="s">
        <v>11248</v>
      </c>
      <c r="B9165" s="124" t="s">
        <v>11736</v>
      </c>
      <c r="C9165" s="132"/>
      <c r="D9165" s="125">
        <f t="shared" si="179"/>
        <v>0</v>
      </c>
      <c r="E9165" s="124" t="s">
        <v>8531</v>
      </c>
      <c r="F9165" s="126">
        <v>3</v>
      </c>
      <c r="G9165" s="128">
        <v>6149.99</v>
      </c>
      <c r="H9165" s="124" t="s">
        <v>8368</v>
      </c>
      <c r="I9165" s="128">
        <v>553611</v>
      </c>
      <c r="J9165" s="128">
        <v>2768055</v>
      </c>
    </row>
    <row r="9166" spans="1:10" hidden="1" x14ac:dyDescent="0.25">
      <c r="A9166" s="124" t="s">
        <v>11249</v>
      </c>
      <c r="B9166" s="124" t="s">
        <v>11736</v>
      </c>
      <c r="C9166" s="132"/>
      <c r="D9166" s="125">
        <f t="shared" si="179"/>
        <v>0</v>
      </c>
      <c r="E9166" s="124" t="s">
        <v>8367</v>
      </c>
      <c r="F9166" s="126">
        <v>5</v>
      </c>
      <c r="G9166" s="128">
        <v>2134</v>
      </c>
      <c r="H9166" s="124" t="s">
        <v>8368</v>
      </c>
      <c r="I9166" s="127">
        <v>798.2</v>
      </c>
      <c r="J9166" s="128">
        <v>3991</v>
      </c>
    </row>
    <row r="9167" spans="1:10" hidden="1" x14ac:dyDescent="0.25">
      <c r="A9167" s="124" t="s">
        <v>11250</v>
      </c>
      <c r="B9167" s="124" t="s">
        <v>11736</v>
      </c>
      <c r="C9167" s="132"/>
      <c r="D9167" s="125">
        <f t="shared" si="179"/>
        <v>0</v>
      </c>
      <c r="E9167" s="124" t="s">
        <v>8367</v>
      </c>
      <c r="F9167" s="126">
        <v>1</v>
      </c>
      <c r="G9167" s="128">
        <v>2056</v>
      </c>
      <c r="H9167" s="124" t="s">
        <v>8368</v>
      </c>
      <c r="I9167" s="128">
        <v>2816</v>
      </c>
      <c r="J9167" s="128">
        <v>14080</v>
      </c>
    </row>
    <row r="9168" spans="1:10" hidden="1" x14ac:dyDescent="0.25">
      <c r="A9168" s="124" t="s">
        <v>11251</v>
      </c>
      <c r="B9168" s="124" t="s">
        <v>11736</v>
      </c>
      <c r="C9168" s="132"/>
      <c r="D9168" s="125">
        <f t="shared" si="179"/>
        <v>0</v>
      </c>
      <c r="E9168" s="124" t="s">
        <v>8367</v>
      </c>
      <c r="F9168" s="126">
        <v>327</v>
      </c>
      <c r="G9168" s="128">
        <v>3321666</v>
      </c>
      <c r="H9168" s="124" t="s">
        <v>8368</v>
      </c>
      <c r="I9168" s="128">
        <v>7328</v>
      </c>
      <c r="J9168" s="128">
        <v>36640</v>
      </c>
    </row>
    <row r="9169" spans="1:10" hidden="1" x14ac:dyDescent="0.25">
      <c r="A9169" s="124" t="s">
        <v>11252</v>
      </c>
      <c r="B9169" s="124" t="s">
        <v>11736</v>
      </c>
      <c r="C9169" s="132"/>
      <c r="D9169" s="125">
        <f t="shared" si="179"/>
        <v>0</v>
      </c>
      <c r="E9169" s="124" t="s">
        <v>8367</v>
      </c>
      <c r="F9169" s="126">
        <v>500</v>
      </c>
      <c r="G9169" s="128">
        <v>4789.2</v>
      </c>
      <c r="H9169" s="124" t="s">
        <v>8368</v>
      </c>
      <c r="I9169" s="128">
        <v>1966</v>
      </c>
      <c r="J9169" s="128">
        <v>9830</v>
      </c>
    </row>
    <row r="9170" spans="1:10" hidden="1" x14ac:dyDescent="0.25">
      <c r="A9170" s="124" t="s">
        <v>852</v>
      </c>
      <c r="B9170" s="124" t="s">
        <v>11736</v>
      </c>
      <c r="C9170" s="132"/>
      <c r="D9170" s="125">
        <f t="shared" si="179"/>
        <v>0</v>
      </c>
      <c r="E9170" s="124" t="s">
        <v>8367</v>
      </c>
      <c r="F9170" s="129">
        <v>32000</v>
      </c>
      <c r="G9170" s="128">
        <v>16896</v>
      </c>
      <c r="H9170" s="124" t="s">
        <v>8368</v>
      </c>
      <c r="I9170" s="128">
        <v>26703</v>
      </c>
      <c r="J9170" s="128">
        <v>133515</v>
      </c>
    </row>
    <row r="9171" spans="1:10" hidden="1" x14ac:dyDescent="0.25">
      <c r="A9171" s="124" t="s">
        <v>860</v>
      </c>
      <c r="B9171" s="124" t="s">
        <v>11736</v>
      </c>
      <c r="C9171" s="132"/>
      <c r="D9171" s="125">
        <f t="shared" si="179"/>
        <v>0</v>
      </c>
      <c r="E9171" s="124" t="s">
        <v>8367</v>
      </c>
      <c r="F9171" s="129">
        <v>16000</v>
      </c>
      <c r="G9171" s="128">
        <v>43968</v>
      </c>
      <c r="H9171" s="124" t="s">
        <v>8368</v>
      </c>
      <c r="I9171" s="128">
        <v>3594</v>
      </c>
      <c r="J9171" s="128">
        <v>17970</v>
      </c>
    </row>
    <row r="9172" spans="1:10" hidden="1" x14ac:dyDescent="0.25">
      <c r="A9172" s="124" t="s">
        <v>636</v>
      </c>
      <c r="B9172" s="124" t="s">
        <v>11736</v>
      </c>
      <c r="C9172" s="132"/>
      <c r="D9172" s="125">
        <f t="shared" si="179"/>
        <v>0</v>
      </c>
      <c r="E9172" s="124" t="s">
        <v>8367</v>
      </c>
      <c r="F9172" s="126">
        <v>270</v>
      </c>
      <c r="G9172" s="128">
        <v>11796</v>
      </c>
      <c r="H9172" s="124" t="s">
        <v>8368</v>
      </c>
      <c r="I9172" s="128">
        <v>1849</v>
      </c>
      <c r="J9172" s="128">
        <v>9245</v>
      </c>
    </row>
    <row r="9173" spans="1:10" hidden="1" x14ac:dyDescent="0.25">
      <c r="A9173" s="124" t="s">
        <v>1606</v>
      </c>
      <c r="B9173" s="124" t="s">
        <v>11736</v>
      </c>
      <c r="C9173" s="132"/>
      <c r="D9173" s="125">
        <f t="shared" si="179"/>
        <v>0</v>
      </c>
      <c r="E9173" s="124" t="s">
        <v>8367</v>
      </c>
      <c r="F9173" s="129">
        <v>1000</v>
      </c>
      <c r="G9173" s="128">
        <v>160218</v>
      </c>
      <c r="H9173" s="124" t="s">
        <v>8368</v>
      </c>
      <c r="I9173" s="128">
        <v>6712</v>
      </c>
      <c r="J9173" s="128">
        <v>33560</v>
      </c>
    </row>
    <row r="9174" spans="1:10" hidden="1" x14ac:dyDescent="0.25">
      <c r="A9174" s="124" t="s">
        <v>11253</v>
      </c>
      <c r="B9174" s="124" t="s">
        <v>11736</v>
      </c>
      <c r="C9174" s="132"/>
      <c r="D9174" s="125">
        <f t="shared" si="179"/>
        <v>0</v>
      </c>
      <c r="E9174" s="124" t="s">
        <v>8367</v>
      </c>
      <c r="F9174" s="129">
        <v>1000</v>
      </c>
      <c r="G9174" s="128">
        <v>21564</v>
      </c>
      <c r="H9174" s="124" t="s">
        <v>8368</v>
      </c>
      <c r="I9174" s="128">
        <v>14912</v>
      </c>
      <c r="J9174" s="128">
        <v>74560</v>
      </c>
    </row>
    <row r="9175" spans="1:10" hidden="1" x14ac:dyDescent="0.25">
      <c r="A9175" s="124" t="s">
        <v>11254</v>
      </c>
      <c r="B9175" s="124" t="s">
        <v>11736</v>
      </c>
      <c r="C9175" s="132"/>
      <c r="D9175" s="125">
        <f t="shared" si="179"/>
        <v>0</v>
      </c>
      <c r="E9175" s="124" t="s">
        <v>8367</v>
      </c>
      <c r="F9175" s="126">
        <v>250</v>
      </c>
      <c r="G9175" s="128">
        <v>11094</v>
      </c>
      <c r="H9175" s="124" t="s">
        <v>8368</v>
      </c>
      <c r="I9175" s="128">
        <v>13893</v>
      </c>
      <c r="J9175" s="128">
        <v>69465</v>
      </c>
    </row>
    <row r="9176" spans="1:10" hidden="1" x14ac:dyDescent="0.25">
      <c r="A9176" s="124" t="s">
        <v>11255</v>
      </c>
      <c r="B9176" s="124" t="s">
        <v>11736</v>
      </c>
      <c r="C9176" s="132"/>
      <c r="D9176" s="125">
        <f t="shared" si="179"/>
        <v>0</v>
      </c>
      <c r="E9176" s="124" t="s">
        <v>8367</v>
      </c>
      <c r="F9176" s="129">
        <v>2000</v>
      </c>
      <c r="G9176" s="128">
        <v>40272</v>
      </c>
      <c r="H9176" s="124" t="s">
        <v>8368</v>
      </c>
      <c r="I9176" s="128">
        <v>8176.6</v>
      </c>
      <c r="J9176" s="128">
        <v>40883</v>
      </c>
    </row>
    <row r="9177" spans="1:10" hidden="1" x14ac:dyDescent="0.25">
      <c r="A9177" s="124" t="s">
        <v>1255</v>
      </c>
      <c r="B9177" s="124" t="s">
        <v>11736</v>
      </c>
      <c r="C9177" s="132"/>
      <c r="D9177" s="125">
        <f t="shared" si="179"/>
        <v>0</v>
      </c>
      <c r="E9177" s="124" t="s">
        <v>8367</v>
      </c>
      <c r="F9177" s="129">
        <v>5000</v>
      </c>
      <c r="G9177" s="128">
        <v>89472</v>
      </c>
      <c r="H9177" s="124" t="s">
        <v>8368</v>
      </c>
      <c r="I9177" s="128">
        <v>4296</v>
      </c>
      <c r="J9177" s="128">
        <v>21480</v>
      </c>
    </row>
    <row r="9178" spans="1:10" hidden="1" x14ac:dyDescent="0.25">
      <c r="A9178" s="124" t="s">
        <v>631</v>
      </c>
      <c r="B9178" s="124" t="s">
        <v>11736</v>
      </c>
      <c r="C9178" s="132"/>
      <c r="D9178" s="125">
        <f t="shared" si="179"/>
        <v>0</v>
      </c>
      <c r="E9178" s="124" t="s">
        <v>8367</v>
      </c>
      <c r="F9178" s="129">
        <v>3000</v>
      </c>
      <c r="G9178" s="128">
        <v>83358</v>
      </c>
      <c r="H9178" s="124" t="s">
        <v>8368</v>
      </c>
      <c r="I9178" s="128">
        <v>2010</v>
      </c>
      <c r="J9178" s="128">
        <v>10050</v>
      </c>
    </row>
    <row r="9179" spans="1:10" hidden="1" x14ac:dyDescent="0.25">
      <c r="A9179" s="124" t="s">
        <v>1592</v>
      </c>
      <c r="B9179" s="124" t="s">
        <v>11736</v>
      </c>
      <c r="C9179" s="132"/>
      <c r="D9179" s="125">
        <f t="shared" si="179"/>
        <v>0</v>
      </c>
      <c r="E9179" s="124" t="s">
        <v>8367</v>
      </c>
      <c r="F9179" s="129">
        <v>3000</v>
      </c>
      <c r="G9179" s="128">
        <v>49059.6</v>
      </c>
      <c r="H9179" s="124" t="s">
        <v>8368</v>
      </c>
      <c r="I9179" s="128">
        <v>2820</v>
      </c>
      <c r="J9179" s="128">
        <v>14100</v>
      </c>
    </row>
    <row r="9180" spans="1:10" hidden="1" x14ac:dyDescent="0.25">
      <c r="A9180" s="124" t="s">
        <v>11256</v>
      </c>
      <c r="B9180" s="124" t="s">
        <v>11736</v>
      </c>
      <c r="C9180" s="132"/>
      <c r="D9180" s="125">
        <f t="shared" si="179"/>
        <v>0</v>
      </c>
      <c r="E9180" s="124" t="s">
        <v>8367</v>
      </c>
      <c r="F9180" s="129">
        <v>2000</v>
      </c>
      <c r="G9180" s="128">
        <v>25776</v>
      </c>
      <c r="H9180" s="124" t="s">
        <v>8368</v>
      </c>
      <c r="I9180" s="127">
        <v>898</v>
      </c>
      <c r="J9180" s="128">
        <v>4490</v>
      </c>
    </row>
    <row r="9181" spans="1:10" hidden="1" x14ac:dyDescent="0.25">
      <c r="A9181" s="124" t="s">
        <v>567</v>
      </c>
      <c r="B9181" s="124" t="s">
        <v>11736</v>
      </c>
      <c r="C9181" s="132"/>
      <c r="D9181" s="125">
        <f t="shared" si="179"/>
        <v>0</v>
      </c>
      <c r="E9181" s="124" t="s">
        <v>8367</v>
      </c>
      <c r="F9181" s="129">
        <v>1000</v>
      </c>
      <c r="G9181" s="128">
        <v>12060</v>
      </c>
      <c r="H9181" s="124" t="s">
        <v>8368</v>
      </c>
      <c r="I9181" s="128">
        <v>2920.2</v>
      </c>
      <c r="J9181" s="128">
        <v>14601</v>
      </c>
    </row>
    <row r="9182" spans="1:10" hidden="1" x14ac:dyDescent="0.25">
      <c r="A9182" s="124" t="s">
        <v>11257</v>
      </c>
      <c r="B9182" s="124" t="s">
        <v>11736</v>
      </c>
      <c r="C9182" s="132"/>
      <c r="D9182" s="125">
        <f t="shared" si="179"/>
        <v>0</v>
      </c>
      <c r="E9182" s="124" t="s">
        <v>8367</v>
      </c>
      <c r="F9182" s="129">
        <v>15000</v>
      </c>
      <c r="G9182" s="128">
        <v>16920</v>
      </c>
      <c r="H9182" s="124" t="s">
        <v>8368</v>
      </c>
      <c r="I9182" s="127">
        <v>560</v>
      </c>
      <c r="J9182" s="128">
        <v>2800</v>
      </c>
    </row>
    <row r="9183" spans="1:10" hidden="1" x14ac:dyDescent="0.25">
      <c r="A9183" s="124" t="s">
        <v>1779</v>
      </c>
      <c r="B9183" s="124" t="s">
        <v>11736</v>
      </c>
      <c r="C9183" s="132"/>
      <c r="D9183" s="125">
        <f t="shared" si="179"/>
        <v>0</v>
      </c>
      <c r="E9183" s="124" t="s">
        <v>8367</v>
      </c>
      <c r="F9183" s="129">
        <v>3000</v>
      </c>
      <c r="G9183" s="128">
        <v>5388</v>
      </c>
      <c r="H9183" s="124" t="s">
        <v>8368</v>
      </c>
      <c r="I9183" s="128">
        <v>1260</v>
      </c>
      <c r="J9183" s="128">
        <v>6300</v>
      </c>
    </row>
    <row r="9184" spans="1:10" hidden="1" x14ac:dyDescent="0.25">
      <c r="A9184" s="124" t="s">
        <v>324</v>
      </c>
      <c r="B9184" s="124" t="s">
        <v>11736</v>
      </c>
      <c r="C9184" s="132"/>
      <c r="D9184" s="125">
        <f t="shared" si="179"/>
        <v>0</v>
      </c>
      <c r="E9184" s="124" t="s">
        <v>8367</v>
      </c>
      <c r="F9184" s="129">
        <v>10000</v>
      </c>
      <c r="G9184" s="128">
        <v>17521.2</v>
      </c>
      <c r="H9184" s="124" t="s">
        <v>8368</v>
      </c>
      <c r="I9184" s="128">
        <v>1100</v>
      </c>
      <c r="J9184" s="128">
        <v>5500</v>
      </c>
    </row>
    <row r="9185" spans="1:10" hidden="1" x14ac:dyDescent="0.25">
      <c r="A9185" s="124" t="s">
        <v>11258</v>
      </c>
      <c r="B9185" s="124" t="s">
        <v>11736</v>
      </c>
      <c r="C9185" s="132"/>
      <c r="D9185" s="125">
        <f t="shared" si="179"/>
        <v>0</v>
      </c>
      <c r="E9185" s="124" t="s">
        <v>8367</v>
      </c>
      <c r="F9185" s="129">
        <v>10000</v>
      </c>
      <c r="G9185" s="128">
        <v>3360</v>
      </c>
      <c r="H9185" s="124" t="s">
        <v>8368</v>
      </c>
      <c r="I9185" s="128">
        <v>22320</v>
      </c>
      <c r="J9185" s="128">
        <v>111600</v>
      </c>
    </row>
    <row r="9186" spans="1:10" hidden="1" x14ac:dyDescent="0.25">
      <c r="A9186" s="124" t="s">
        <v>11259</v>
      </c>
      <c r="B9186" s="124" t="s">
        <v>11736</v>
      </c>
      <c r="C9186" s="132"/>
      <c r="D9186" s="125">
        <f t="shared" si="179"/>
        <v>0</v>
      </c>
      <c r="E9186" s="124" t="s">
        <v>8367</v>
      </c>
      <c r="F9186" s="126">
        <v>20</v>
      </c>
      <c r="G9186" s="128">
        <v>7560</v>
      </c>
      <c r="H9186" s="124" t="s">
        <v>8368</v>
      </c>
      <c r="I9186" s="128">
        <v>36802.379999999997</v>
      </c>
      <c r="J9186" s="128">
        <v>184011.92</v>
      </c>
    </row>
    <row r="9187" spans="1:10" hidden="1" x14ac:dyDescent="0.25">
      <c r="A9187" s="124" t="s">
        <v>11260</v>
      </c>
      <c r="B9187" s="124" t="s">
        <v>11736</v>
      </c>
      <c r="C9187" s="132"/>
      <c r="D9187" s="125">
        <f t="shared" si="179"/>
        <v>0</v>
      </c>
      <c r="E9187" s="124" t="s">
        <v>8367</v>
      </c>
      <c r="F9187" s="126">
        <v>30</v>
      </c>
      <c r="G9187" s="128">
        <v>6600</v>
      </c>
      <c r="H9187" s="124" t="s">
        <v>8368</v>
      </c>
      <c r="I9187" s="128">
        <v>22978.42</v>
      </c>
      <c r="J9187" s="128">
        <v>114892.11</v>
      </c>
    </row>
    <row r="9188" spans="1:10" hidden="1" x14ac:dyDescent="0.25">
      <c r="A9188" s="124" t="s">
        <v>11261</v>
      </c>
      <c r="B9188" s="124" t="s">
        <v>11736</v>
      </c>
      <c r="C9188" s="132"/>
      <c r="D9188" s="125">
        <f t="shared" si="179"/>
        <v>0</v>
      </c>
      <c r="E9188" s="124" t="s">
        <v>8367</v>
      </c>
      <c r="F9188" s="129">
        <v>2000</v>
      </c>
      <c r="G9188" s="128">
        <v>133920</v>
      </c>
      <c r="H9188" s="124" t="s">
        <v>8368</v>
      </c>
      <c r="I9188" s="127">
        <v>901.88</v>
      </c>
      <c r="J9188" s="128">
        <v>4509.37</v>
      </c>
    </row>
    <row r="9189" spans="1:10" hidden="1" x14ac:dyDescent="0.25">
      <c r="A9189" s="124" t="s">
        <v>11262</v>
      </c>
      <c r="B9189" s="124" t="s">
        <v>11736</v>
      </c>
      <c r="C9189" s="132"/>
      <c r="D9189" s="125">
        <f t="shared" si="179"/>
        <v>0</v>
      </c>
      <c r="E9189" s="124" t="s">
        <v>8367</v>
      </c>
      <c r="F9189" s="126">
        <v>1</v>
      </c>
      <c r="G9189" s="128">
        <v>220814.3</v>
      </c>
      <c r="H9189" s="124" t="s">
        <v>8368</v>
      </c>
      <c r="I9189" s="127">
        <v>143.80000000000001</v>
      </c>
      <c r="J9189" s="127">
        <v>719</v>
      </c>
    </row>
    <row r="9190" spans="1:10" hidden="1" x14ac:dyDescent="0.25">
      <c r="A9190" s="124" t="s">
        <v>11263</v>
      </c>
      <c r="B9190" s="124" t="s">
        <v>11736</v>
      </c>
      <c r="C9190" s="132"/>
      <c r="D9190" s="125">
        <f t="shared" si="179"/>
        <v>0</v>
      </c>
      <c r="E9190" s="124" t="s">
        <v>8367</v>
      </c>
      <c r="F9190" s="126">
        <v>567</v>
      </c>
      <c r="G9190" s="128">
        <v>137870.53</v>
      </c>
      <c r="H9190" s="124" t="s">
        <v>8368</v>
      </c>
      <c r="I9190" s="127">
        <v>480</v>
      </c>
      <c r="J9190" s="128">
        <v>2400</v>
      </c>
    </row>
    <row r="9191" spans="1:10" hidden="1" x14ac:dyDescent="0.25">
      <c r="A9191" s="124" t="s">
        <v>11264</v>
      </c>
      <c r="B9191" s="124" t="s">
        <v>11736</v>
      </c>
      <c r="C9191" s="132"/>
      <c r="D9191" s="125">
        <f t="shared" si="179"/>
        <v>0</v>
      </c>
      <c r="E9191" s="124" t="s">
        <v>8367</v>
      </c>
      <c r="F9191" s="126">
        <v>555</v>
      </c>
      <c r="G9191" s="128">
        <v>5411.25</v>
      </c>
      <c r="H9191" s="124" t="s">
        <v>8368</v>
      </c>
      <c r="I9191" s="127">
        <v>493.34</v>
      </c>
      <c r="J9191" s="128">
        <v>2466.6799999999998</v>
      </c>
    </row>
    <row r="9192" spans="1:10" hidden="1" x14ac:dyDescent="0.25">
      <c r="A9192" s="124" t="s">
        <v>11265</v>
      </c>
      <c r="B9192" s="124" t="s">
        <v>11736</v>
      </c>
      <c r="C9192" s="132"/>
      <c r="D9192" s="125">
        <f t="shared" si="179"/>
        <v>0</v>
      </c>
      <c r="E9192" s="124" t="s">
        <v>8367</v>
      </c>
      <c r="F9192" s="126">
        <v>1</v>
      </c>
      <c r="G9192" s="127">
        <v>862.8</v>
      </c>
      <c r="H9192" s="124" t="s">
        <v>8368</v>
      </c>
      <c r="I9192" s="127">
        <v>73.400000000000006</v>
      </c>
      <c r="J9192" s="127">
        <v>367</v>
      </c>
    </row>
    <row r="9193" spans="1:10" hidden="1" x14ac:dyDescent="0.25">
      <c r="A9193" s="124" t="s">
        <v>11266</v>
      </c>
      <c r="B9193" s="124" t="s">
        <v>11736</v>
      </c>
      <c r="C9193" s="132"/>
      <c r="D9193" s="125">
        <f t="shared" si="179"/>
        <v>0</v>
      </c>
      <c r="E9193" s="124" t="s">
        <v>8367</v>
      </c>
      <c r="F9193" s="126">
        <v>2</v>
      </c>
      <c r="G9193" s="128">
        <v>2880</v>
      </c>
      <c r="H9193" s="124" t="s">
        <v>8368</v>
      </c>
      <c r="I9193" s="127">
        <v>92.6</v>
      </c>
      <c r="J9193" s="127">
        <v>463</v>
      </c>
    </row>
    <row r="9194" spans="1:10" hidden="1" x14ac:dyDescent="0.25">
      <c r="A9194" s="124" t="s">
        <v>11267</v>
      </c>
      <c r="B9194" s="124" t="s">
        <v>11736</v>
      </c>
      <c r="C9194" s="132"/>
      <c r="D9194" s="125">
        <f t="shared" si="179"/>
        <v>0</v>
      </c>
      <c r="E9194" s="124" t="s">
        <v>8367</v>
      </c>
      <c r="F9194" s="126">
        <v>2</v>
      </c>
      <c r="G9194" s="128">
        <v>2960.02</v>
      </c>
      <c r="H9194" s="124" t="s">
        <v>8368</v>
      </c>
      <c r="I9194" s="127">
        <v>435</v>
      </c>
      <c r="J9194" s="128">
        <v>2175</v>
      </c>
    </row>
    <row r="9195" spans="1:10" hidden="1" x14ac:dyDescent="0.25">
      <c r="A9195" s="124" t="s">
        <v>11268</v>
      </c>
      <c r="B9195" s="124" t="s">
        <v>11736</v>
      </c>
      <c r="C9195" s="132"/>
      <c r="D9195" s="125">
        <f t="shared" si="179"/>
        <v>0</v>
      </c>
      <c r="E9195" s="124" t="s">
        <v>8367</v>
      </c>
      <c r="F9195" s="126">
        <v>10</v>
      </c>
      <c r="G9195" s="127">
        <v>440.4</v>
      </c>
      <c r="H9195" s="124" t="s">
        <v>8368</v>
      </c>
      <c r="I9195" s="127">
        <v>205.4</v>
      </c>
      <c r="J9195" s="128">
        <v>1027</v>
      </c>
    </row>
    <row r="9196" spans="1:10" hidden="1" x14ac:dyDescent="0.25">
      <c r="A9196" s="124" t="s">
        <v>11269</v>
      </c>
      <c r="B9196" s="124" t="s">
        <v>11736</v>
      </c>
      <c r="C9196" s="132"/>
      <c r="D9196" s="125">
        <f t="shared" si="179"/>
        <v>0</v>
      </c>
      <c r="E9196" s="124" t="s">
        <v>8367</v>
      </c>
      <c r="F9196" s="126">
        <v>15</v>
      </c>
      <c r="G9196" s="127">
        <v>555.6</v>
      </c>
      <c r="H9196" s="124" t="s">
        <v>8368</v>
      </c>
      <c r="I9196" s="128">
        <v>4810</v>
      </c>
      <c r="J9196" s="128">
        <v>24050</v>
      </c>
    </row>
    <row r="9197" spans="1:10" hidden="1" x14ac:dyDescent="0.25">
      <c r="A9197" s="124" t="s">
        <v>11270</v>
      </c>
      <c r="B9197" s="124" t="s">
        <v>11736</v>
      </c>
      <c r="C9197" s="132"/>
      <c r="D9197" s="125">
        <f t="shared" si="179"/>
        <v>0</v>
      </c>
      <c r="E9197" s="124" t="s">
        <v>8367</v>
      </c>
      <c r="F9197" s="126">
        <v>30</v>
      </c>
      <c r="G9197" s="128">
        <v>2610</v>
      </c>
      <c r="H9197" s="124" t="s">
        <v>8368</v>
      </c>
      <c r="I9197" s="128">
        <v>15330000</v>
      </c>
      <c r="J9197" s="128">
        <v>76650000</v>
      </c>
    </row>
    <row r="9198" spans="1:10" hidden="1" x14ac:dyDescent="0.25">
      <c r="A9198" s="124" t="s">
        <v>11271</v>
      </c>
      <c r="B9198" s="124" t="s">
        <v>11736</v>
      </c>
      <c r="C9198" s="132"/>
      <c r="D9198" s="125">
        <f t="shared" si="179"/>
        <v>0</v>
      </c>
      <c r="E9198" s="124" t="s">
        <v>8367</v>
      </c>
      <c r="F9198" s="126">
        <v>2</v>
      </c>
      <c r="G9198" s="128">
        <v>1232.4000000000001</v>
      </c>
      <c r="H9198" s="124" t="s">
        <v>8368</v>
      </c>
      <c r="I9198" s="128">
        <v>1968</v>
      </c>
      <c r="J9198" s="128">
        <v>9840</v>
      </c>
    </row>
    <row r="9199" spans="1:10" hidden="1" x14ac:dyDescent="0.25">
      <c r="A9199" s="124" t="s">
        <v>11272</v>
      </c>
      <c r="B9199" s="124" t="s">
        <v>11736</v>
      </c>
      <c r="C9199" s="132"/>
      <c r="D9199" s="125">
        <f t="shared" si="179"/>
        <v>0</v>
      </c>
      <c r="E9199" s="124" t="s">
        <v>8367</v>
      </c>
      <c r="F9199" s="126">
        <v>30</v>
      </c>
      <c r="G9199" s="128">
        <v>28860</v>
      </c>
      <c r="H9199" s="124" t="s">
        <v>8368</v>
      </c>
      <c r="I9199" s="127">
        <v>913.4</v>
      </c>
      <c r="J9199" s="128">
        <v>4567</v>
      </c>
    </row>
    <row r="9200" spans="1:10" hidden="1" x14ac:dyDescent="0.25">
      <c r="A9200" s="124" t="s">
        <v>11273</v>
      </c>
      <c r="B9200" s="124" t="s">
        <v>11736</v>
      </c>
      <c r="C9200" s="132"/>
      <c r="D9200" s="125">
        <f t="shared" si="179"/>
        <v>0</v>
      </c>
      <c r="E9200" s="124" t="s">
        <v>8367</v>
      </c>
      <c r="F9200" s="129">
        <v>15330</v>
      </c>
      <c r="G9200" s="128">
        <v>91980000</v>
      </c>
      <c r="H9200" s="124" t="s">
        <v>8368</v>
      </c>
      <c r="I9200" s="127">
        <v>330.8</v>
      </c>
      <c r="J9200" s="128">
        <v>1654</v>
      </c>
    </row>
    <row r="9201" spans="1:10" hidden="1" x14ac:dyDescent="0.25">
      <c r="A9201" s="124" t="s">
        <v>11274</v>
      </c>
      <c r="B9201" s="124" t="s">
        <v>11736</v>
      </c>
      <c r="C9201" s="132"/>
      <c r="D9201" s="125">
        <f t="shared" ref="D9201:D9215" si="180">COUNTIF(A4974:A9200,A9201)</f>
        <v>0</v>
      </c>
      <c r="E9201" s="124" t="s">
        <v>8367</v>
      </c>
      <c r="F9201" s="126">
        <v>32</v>
      </c>
      <c r="G9201" s="128">
        <v>11808</v>
      </c>
      <c r="H9201" s="124" t="s">
        <v>8368</v>
      </c>
      <c r="I9201" s="127">
        <v>56.68</v>
      </c>
      <c r="J9201" s="127">
        <v>283.39999999999998</v>
      </c>
    </row>
    <row r="9202" spans="1:10" hidden="1" x14ac:dyDescent="0.25">
      <c r="A9202" s="124" t="s">
        <v>11275</v>
      </c>
      <c r="B9202" s="124" t="s">
        <v>11736</v>
      </c>
      <c r="C9202" s="132"/>
      <c r="D9202" s="125">
        <f t="shared" si="180"/>
        <v>0</v>
      </c>
      <c r="E9202" s="124" t="s">
        <v>8367</v>
      </c>
      <c r="F9202" s="126">
        <v>40</v>
      </c>
      <c r="G9202" s="128">
        <v>5480.4</v>
      </c>
      <c r="H9202" s="124" t="s">
        <v>8368</v>
      </c>
      <c r="I9202" s="127">
        <v>100</v>
      </c>
      <c r="J9202" s="127">
        <v>500</v>
      </c>
    </row>
    <row r="9203" spans="1:10" hidden="1" x14ac:dyDescent="0.25">
      <c r="A9203" s="124" t="s">
        <v>11276</v>
      </c>
      <c r="B9203" s="124" t="s">
        <v>11736</v>
      </c>
      <c r="C9203" s="132"/>
      <c r="D9203" s="125">
        <f t="shared" si="180"/>
        <v>0</v>
      </c>
      <c r="E9203" s="124" t="s">
        <v>8367</v>
      </c>
      <c r="F9203" s="126">
        <v>1</v>
      </c>
      <c r="G9203" s="128">
        <v>1984.8</v>
      </c>
      <c r="H9203" s="124" t="s">
        <v>8368</v>
      </c>
      <c r="I9203" s="128">
        <v>8192</v>
      </c>
      <c r="J9203" s="128">
        <v>40960</v>
      </c>
    </row>
    <row r="9204" spans="1:10" hidden="1" x14ac:dyDescent="0.25">
      <c r="A9204" s="124" t="s">
        <v>11277</v>
      </c>
      <c r="B9204" s="124" t="s">
        <v>11736</v>
      </c>
      <c r="C9204" s="132"/>
      <c r="D9204" s="125">
        <f t="shared" si="180"/>
        <v>0</v>
      </c>
      <c r="E9204" s="124" t="s">
        <v>8367</v>
      </c>
      <c r="F9204" s="126">
        <v>20</v>
      </c>
      <c r="G9204" s="127">
        <v>340.08</v>
      </c>
      <c r="H9204" s="124" t="s">
        <v>8368</v>
      </c>
      <c r="I9204" s="128">
        <v>118144</v>
      </c>
      <c r="J9204" s="128">
        <v>590720</v>
      </c>
    </row>
    <row r="9205" spans="1:10" hidden="1" x14ac:dyDescent="0.25">
      <c r="A9205" s="124" t="s">
        <v>11278</v>
      </c>
      <c r="B9205" s="124" t="s">
        <v>11736</v>
      </c>
      <c r="C9205" s="132"/>
      <c r="D9205" s="125">
        <f t="shared" si="180"/>
        <v>0</v>
      </c>
      <c r="E9205" s="124" t="s">
        <v>8367</v>
      </c>
      <c r="F9205" s="126">
        <v>20</v>
      </c>
      <c r="G9205" s="127">
        <v>600</v>
      </c>
      <c r="H9205" s="124" t="s">
        <v>8368</v>
      </c>
      <c r="I9205" s="128">
        <v>257129.82</v>
      </c>
      <c r="J9205" s="128">
        <v>1285649.1200000001</v>
      </c>
    </row>
    <row r="9206" spans="1:10" hidden="1" x14ac:dyDescent="0.25">
      <c r="A9206" s="124" t="s">
        <v>857</v>
      </c>
      <c r="B9206" s="124" t="s">
        <v>11736</v>
      </c>
      <c r="C9206" s="132"/>
      <c r="D9206" s="125">
        <f t="shared" si="180"/>
        <v>0</v>
      </c>
      <c r="E9206" s="124" t="s">
        <v>8367</v>
      </c>
      <c r="F9206" s="129">
        <v>16000</v>
      </c>
      <c r="G9206" s="128">
        <v>49152</v>
      </c>
      <c r="H9206" s="124" t="s">
        <v>8368</v>
      </c>
      <c r="I9206" s="128">
        <v>5600</v>
      </c>
      <c r="J9206" s="128">
        <v>28000</v>
      </c>
    </row>
    <row r="9207" spans="1:10" hidden="1" x14ac:dyDescent="0.25">
      <c r="A9207" s="124" t="s">
        <v>11279</v>
      </c>
      <c r="B9207" s="124" t="s">
        <v>11736</v>
      </c>
      <c r="C9207" s="132"/>
      <c r="D9207" s="125">
        <f t="shared" si="180"/>
        <v>0</v>
      </c>
      <c r="E9207" s="124" t="s">
        <v>8367</v>
      </c>
      <c r="F9207" s="129">
        <v>16000</v>
      </c>
      <c r="G9207" s="128">
        <v>708864</v>
      </c>
      <c r="H9207" s="124" t="s">
        <v>8368</v>
      </c>
      <c r="I9207" s="128">
        <v>3475</v>
      </c>
      <c r="J9207" s="128">
        <v>17375.009999999998</v>
      </c>
    </row>
    <row r="9208" spans="1:10" hidden="1" x14ac:dyDescent="0.25">
      <c r="A9208" s="124" t="s">
        <v>11280</v>
      </c>
      <c r="B9208" s="124" t="s">
        <v>11736</v>
      </c>
      <c r="C9208" s="132"/>
      <c r="D9208" s="125">
        <f t="shared" si="180"/>
        <v>0</v>
      </c>
      <c r="E9208" s="124" t="s">
        <v>8367</v>
      </c>
      <c r="F9208" s="129">
        <v>17416</v>
      </c>
      <c r="G9208" s="128">
        <v>1542778.94</v>
      </c>
      <c r="H9208" s="124" t="s">
        <v>8368</v>
      </c>
      <c r="I9208" s="128">
        <v>4300</v>
      </c>
      <c r="J9208" s="128">
        <v>21500</v>
      </c>
    </row>
    <row r="9209" spans="1:10" hidden="1" x14ac:dyDescent="0.25">
      <c r="A9209" s="124" t="s">
        <v>5710</v>
      </c>
      <c r="B9209" s="124" t="s">
        <v>11736</v>
      </c>
      <c r="C9209" s="132"/>
      <c r="D9209" s="125">
        <f t="shared" si="180"/>
        <v>0</v>
      </c>
      <c r="E9209" s="124" t="s">
        <v>8367</v>
      </c>
      <c r="F9209" s="126">
        <v>2</v>
      </c>
      <c r="G9209" s="128">
        <v>33600</v>
      </c>
      <c r="H9209" s="124" t="s">
        <v>8368</v>
      </c>
      <c r="I9209" s="128">
        <v>20583.330000000002</v>
      </c>
      <c r="J9209" s="128">
        <v>102916.65</v>
      </c>
    </row>
    <row r="9210" spans="1:10" hidden="1" x14ac:dyDescent="0.25">
      <c r="A9210" s="124" t="s">
        <v>11281</v>
      </c>
      <c r="B9210" s="124" t="s">
        <v>11736</v>
      </c>
      <c r="C9210" s="132"/>
      <c r="D9210" s="125">
        <f t="shared" si="180"/>
        <v>0</v>
      </c>
      <c r="E9210" s="124" t="s">
        <v>8367</v>
      </c>
      <c r="F9210" s="126">
        <v>3</v>
      </c>
      <c r="G9210" s="128">
        <v>20850.009999999998</v>
      </c>
      <c r="H9210" s="124" t="s">
        <v>8368</v>
      </c>
      <c r="I9210" s="127">
        <v>30.06</v>
      </c>
      <c r="J9210" s="127">
        <v>150.30000000000001</v>
      </c>
    </row>
    <row r="9211" spans="1:10" hidden="1" x14ac:dyDescent="0.25">
      <c r="A9211" s="124" t="s">
        <v>11282</v>
      </c>
      <c r="B9211" s="124" t="s">
        <v>11736</v>
      </c>
      <c r="C9211" s="132"/>
      <c r="D9211" s="125">
        <f t="shared" si="180"/>
        <v>0</v>
      </c>
      <c r="E9211" s="124" t="s">
        <v>8367</v>
      </c>
      <c r="F9211" s="126">
        <v>40</v>
      </c>
      <c r="G9211" s="128">
        <v>25800</v>
      </c>
      <c r="H9211" s="124" t="s">
        <v>8368</v>
      </c>
      <c r="I9211" s="127">
        <v>300.60000000000002</v>
      </c>
      <c r="J9211" s="128">
        <v>1503</v>
      </c>
    </row>
    <row r="9212" spans="1:10" hidden="1" x14ac:dyDescent="0.25">
      <c r="A9212" s="124" t="s">
        <v>11283</v>
      </c>
      <c r="B9212" s="124" t="s">
        <v>11736</v>
      </c>
      <c r="C9212" s="132"/>
      <c r="D9212" s="125">
        <f t="shared" si="180"/>
        <v>0</v>
      </c>
      <c r="E9212" s="124" t="s">
        <v>8367</v>
      </c>
      <c r="F9212" s="126">
        <v>5</v>
      </c>
      <c r="G9212" s="128">
        <v>123499.98</v>
      </c>
      <c r="H9212" s="124" t="s">
        <v>8368</v>
      </c>
      <c r="I9212" s="127">
        <v>150</v>
      </c>
      <c r="J9212" s="127">
        <v>750</v>
      </c>
    </row>
    <row r="9213" spans="1:10" hidden="1" x14ac:dyDescent="0.25">
      <c r="A9213" s="124" t="s">
        <v>4389</v>
      </c>
      <c r="B9213" s="124" t="s">
        <v>11736</v>
      </c>
      <c r="C9213" s="132"/>
      <c r="D9213" s="125">
        <f t="shared" si="180"/>
        <v>0</v>
      </c>
      <c r="E9213" s="124" t="s">
        <v>8367</v>
      </c>
      <c r="F9213" s="126">
        <v>1</v>
      </c>
      <c r="G9213" s="127">
        <v>180.36</v>
      </c>
      <c r="H9213" s="124" t="s">
        <v>8368</v>
      </c>
      <c r="I9213" s="128">
        <v>1999.83</v>
      </c>
      <c r="J9213" s="128">
        <v>9999.17</v>
      </c>
    </row>
    <row r="9214" spans="1:10" hidden="1" x14ac:dyDescent="0.25">
      <c r="A9214" s="124" t="s">
        <v>4390</v>
      </c>
      <c r="B9214" s="124" t="s">
        <v>11736</v>
      </c>
      <c r="C9214" s="132"/>
      <c r="D9214" s="125">
        <f t="shared" si="180"/>
        <v>0</v>
      </c>
      <c r="E9214" s="124" t="s">
        <v>8367</v>
      </c>
      <c r="F9214" s="126">
        <v>10</v>
      </c>
      <c r="G9214" s="128">
        <v>1803.6</v>
      </c>
      <c r="H9214" s="124" t="s">
        <v>8368</v>
      </c>
      <c r="I9214" s="127">
        <v>310.67</v>
      </c>
      <c r="J9214" s="128">
        <v>1553.33</v>
      </c>
    </row>
    <row r="9215" spans="1:10" hidden="1" x14ac:dyDescent="0.25">
      <c r="A9215" s="124" t="s">
        <v>11284</v>
      </c>
      <c r="B9215" s="124" t="s">
        <v>11736</v>
      </c>
      <c r="C9215" s="132"/>
      <c r="D9215" s="125">
        <f t="shared" si="180"/>
        <v>0</v>
      </c>
      <c r="E9215" s="124" t="s">
        <v>1</v>
      </c>
      <c r="F9215" s="126">
        <v>1</v>
      </c>
      <c r="G9215" s="127">
        <v>900</v>
      </c>
      <c r="H9215" s="124" t="s">
        <v>8368</v>
      </c>
      <c r="I9215" s="128">
        <v>3520</v>
      </c>
      <c r="J9215" s="128">
        <v>17600</v>
      </c>
    </row>
    <row r="9216" spans="1:10" hidden="1" x14ac:dyDescent="0.25">
      <c r="A9216" s="124" t="s">
        <v>11285</v>
      </c>
      <c r="B9216" s="124" t="s">
        <v>11736</v>
      </c>
      <c r="C9216" s="132"/>
      <c r="D9216" s="125">
        <f t="shared" ref="D9216:D9249" si="181">COUNTIF(A4990:A9215,A9216)</f>
        <v>0</v>
      </c>
      <c r="E9216" s="124" t="s">
        <v>8367</v>
      </c>
      <c r="F9216" s="126">
        <v>1</v>
      </c>
      <c r="G9216" s="128">
        <v>11999</v>
      </c>
      <c r="H9216" s="124" t="s">
        <v>8368</v>
      </c>
      <c r="I9216" s="128">
        <v>1743.32</v>
      </c>
      <c r="J9216" s="128">
        <v>8716.6</v>
      </c>
    </row>
    <row r="9217" spans="1:10" hidden="1" x14ac:dyDescent="0.25">
      <c r="A9217" s="124" t="s">
        <v>11286</v>
      </c>
      <c r="B9217" s="124" t="s">
        <v>11736</v>
      </c>
      <c r="C9217" s="132"/>
      <c r="D9217" s="125">
        <f t="shared" si="181"/>
        <v>0</v>
      </c>
      <c r="E9217" s="124" t="s">
        <v>8367</v>
      </c>
      <c r="F9217" s="126">
        <v>1</v>
      </c>
      <c r="G9217" s="128">
        <v>1864</v>
      </c>
      <c r="H9217" s="124" t="s">
        <v>8368</v>
      </c>
      <c r="I9217" s="128">
        <v>8110.08</v>
      </c>
      <c r="J9217" s="128">
        <v>40550.400000000001</v>
      </c>
    </row>
    <row r="9218" spans="1:10" hidden="1" x14ac:dyDescent="0.25">
      <c r="A9218" s="124" t="s">
        <v>11287</v>
      </c>
      <c r="B9218" s="124" t="s">
        <v>11736</v>
      </c>
      <c r="C9218" s="132"/>
      <c r="D9218" s="125">
        <f t="shared" si="181"/>
        <v>0</v>
      </c>
      <c r="E9218" s="124" t="s">
        <v>8367</v>
      </c>
      <c r="F9218" s="126">
        <v>5</v>
      </c>
      <c r="G9218" s="128">
        <v>21120</v>
      </c>
      <c r="H9218" s="124" t="s">
        <v>8368</v>
      </c>
      <c r="I9218" s="127">
        <v>676.25</v>
      </c>
      <c r="J9218" s="128">
        <v>3381.25</v>
      </c>
    </row>
    <row r="9219" spans="1:10" hidden="1" x14ac:dyDescent="0.25">
      <c r="A9219" s="124" t="s">
        <v>11288</v>
      </c>
      <c r="B9219" s="124" t="s">
        <v>11736</v>
      </c>
      <c r="C9219" s="132"/>
      <c r="D9219" s="125">
        <f t="shared" si="181"/>
        <v>0</v>
      </c>
      <c r="E9219" s="124" t="s">
        <v>8367</v>
      </c>
      <c r="F9219" s="126">
        <v>20</v>
      </c>
      <c r="G9219" s="128">
        <v>10459.92</v>
      </c>
      <c r="H9219" s="124" t="s">
        <v>8368</v>
      </c>
      <c r="I9219" s="128">
        <v>30605</v>
      </c>
      <c r="J9219" s="128">
        <v>153025</v>
      </c>
    </row>
    <row r="9220" spans="1:10" hidden="1" x14ac:dyDescent="0.25">
      <c r="A9220" s="124" t="s">
        <v>11289</v>
      </c>
      <c r="B9220" s="124" t="s">
        <v>11736</v>
      </c>
      <c r="C9220" s="132"/>
      <c r="D9220" s="125">
        <f t="shared" si="181"/>
        <v>0</v>
      </c>
      <c r="E9220" s="124" t="s">
        <v>8367</v>
      </c>
      <c r="F9220" s="126">
        <v>1</v>
      </c>
      <c r="G9220" s="128">
        <v>48660.480000000003</v>
      </c>
      <c r="H9220" s="124" t="s">
        <v>8368</v>
      </c>
      <c r="I9220" s="128">
        <v>51932.32</v>
      </c>
      <c r="J9220" s="128">
        <v>259661.57</v>
      </c>
    </row>
    <row r="9221" spans="1:10" hidden="1" x14ac:dyDescent="0.25">
      <c r="A9221" s="124" t="s">
        <v>11290</v>
      </c>
      <c r="B9221" s="124" t="s">
        <v>11736</v>
      </c>
      <c r="C9221" s="132"/>
      <c r="D9221" s="125">
        <f t="shared" si="181"/>
        <v>0</v>
      </c>
      <c r="E9221" s="124" t="s">
        <v>8367</v>
      </c>
      <c r="F9221" s="126">
        <v>5</v>
      </c>
      <c r="G9221" s="128">
        <v>4057.5</v>
      </c>
      <c r="H9221" s="124" t="s">
        <v>8368</v>
      </c>
      <c r="I9221" s="128">
        <v>11077.4</v>
      </c>
      <c r="J9221" s="128">
        <v>55387</v>
      </c>
    </row>
    <row r="9222" spans="1:10" hidden="1" x14ac:dyDescent="0.25">
      <c r="A9222" s="124" t="s">
        <v>11291</v>
      </c>
      <c r="B9222" s="124" t="s">
        <v>11736</v>
      </c>
      <c r="C9222" s="132"/>
      <c r="D9222" s="125">
        <f t="shared" si="181"/>
        <v>0</v>
      </c>
      <c r="E9222" s="124" t="s">
        <v>8367</v>
      </c>
      <c r="F9222" s="126">
        <v>5</v>
      </c>
      <c r="G9222" s="128">
        <v>183630</v>
      </c>
      <c r="H9222" s="124" t="s">
        <v>8368</v>
      </c>
      <c r="I9222" s="128">
        <v>20982.33</v>
      </c>
      <c r="J9222" s="128">
        <v>104911.66</v>
      </c>
    </row>
    <row r="9223" spans="1:10" hidden="1" x14ac:dyDescent="0.25">
      <c r="A9223" s="124" t="s">
        <v>2740</v>
      </c>
      <c r="B9223" s="124" t="s">
        <v>11736</v>
      </c>
      <c r="C9223" s="132"/>
      <c r="D9223" s="125">
        <f t="shared" si="181"/>
        <v>0</v>
      </c>
      <c r="E9223" s="124" t="s">
        <v>8367</v>
      </c>
      <c r="F9223" s="129">
        <v>58424</v>
      </c>
      <c r="G9223" s="128">
        <v>311593.89</v>
      </c>
      <c r="H9223" s="124" t="s">
        <v>8368</v>
      </c>
      <c r="I9223" s="127">
        <v>400</v>
      </c>
      <c r="J9223" s="128">
        <v>2000</v>
      </c>
    </row>
    <row r="9224" spans="1:10" hidden="1" x14ac:dyDescent="0.25">
      <c r="A9224" s="124" t="s">
        <v>11292</v>
      </c>
      <c r="B9224" s="124" t="s">
        <v>11736</v>
      </c>
      <c r="C9224" s="132"/>
      <c r="D9224" s="125">
        <f t="shared" si="181"/>
        <v>0</v>
      </c>
      <c r="E9224" s="124" t="s">
        <v>8367</v>
      </c>
      <c r="F9224" s="126">
        <v>1</v>
      </c>
      <c r="G9224" s="128">
        <v>66464.399999999994</v>
      </c>
      <c r="H9224" s="124" t="s">
        <v>8368</v>
      </c>
      <c r="I9224" s="127">
        <v>165.33</v>
      </c>
      <c r="J9224" s="127">
        <v>826.66</v>
      </c>
    </row>
    <row r="9225" spans="1:10" hidden="1" x14ac:dyDescent="0.25">
      <c r="A9225" s="124" t="s">
        <v>11293</v>
      </c>
      <c r="B9225" s="124" t="s">
        <v>11736</v>
      </c>
      <c r="C9225" s="132"/>
      <c r="D9225" s="125">
        <f t="shared" si="181"/>
        <v>0</v>
      </c>
      <c r="E9225" s="124" t="s">
        <v>8367</v>
      </c>
      <c r="F9225" s="126">
        <v>2</v>
      </c>
      <c r="G9225" s="128">
        <v>125893.99</v>
      </c>
      <c r="H9225" s="124" t="s">
        <v>8368</v>
      </c>
      <c r="I9225" s="127">
        <v>85.67</v>
      </c>
      <c r="J9225" s="127">
        <v>428.34</v>
      </c>
    </row>
    <row r="9226" spans="1:10" hidden="1" x14ac:dyDescent="0.25">
      <c r="A9226" s="124" t="s">
        <v>11294</v>
      </c>
      <c r="B9226" s="124" t="s">
        <v>11736</v>
      </c>
      <c r="C9226" s="132"/>
      <c r="D9226" s="125">
        <f t="shared" si="181"/>
        <v>0</v>
      </c>
      <c r="E9226" s="124" t="s">
        <v>1</v>
      </c>
      <c r="F9226" s="126">
        <v>0.8</v>
      </c>
      <c r="G9226" s="128">
        <v>2400</v>
      </c>
      <c r="H9226" s="124" t="s">
        <v>8368</v>
      </c>
      <c r="I9226" s="128">
        <v>4553010</v>
      </c>
      <c r="J9226" s="128">
        <v>22765050</v>
      </c>
    </row>
    <row r="9227" spans="1:10" hidden="1" x14ac:dyDescent="0.25">
      <c r="A9227" s="124" t="s">
        <v>11295</v>
      </c>
      <c r="B9227" s="124" t="s">
        <v>11736</v>
      </c>
      <c r="C9227" s="132"/>
      <c r="D9227" s="125">
        <f t="shared" si="181"/>
        <v>0</v>
      </c>
      <c r="E9227" s="124" t="s">
        <v>8367</v>
      </c>
      <c r="F9227" s="126">
        <v>2</v>
      </c>
      <c r="G9227" s="127">
        <v>991.99</v>
      </c>
      <c r="H9227" s="124" t="s">
        <v>8368</v>
      </c>
      <c r="I9227" s="128">
        <v>61864</v>
      </c>
      <c r="J9227" s="128">
        <v>309320</v>
      </c>
    </row>
    <row r="9228" spans="1:10" hidden="1" x14ac:dyDescent="0.25">
      <c r="A9228" s="124" t="s">
        <v>11296</v>
      </c>
      <c r="B9228" s="124" t="s">
        <v>11736</v>
      </c>
      <c r="C9228" s="132"/>
      <c r="D9228" s="125">
        <f t="shared" si="181"/>
        <v>0</v>
      </c>
      <c r="E9228" s="124" t="s">
        <v>8367</v>
      </c>
      <c r="F9228" s="126">
        <v>2</v>
      </c>
      <c r="G9228" s="127">
        <v>514.01</v>
      </c>
      <c r="H9228" s="124" t="s">
        <v>8368</v>
      </c>
      <c r="I9228" s="128">
        <v>168630</v>
      </c>
      <c r="J9228" s="128">
        <v>843150</v>
      </c>
    </row>
    <row r="9229" spans="1:10" hidden="1" x14ac:dyDescent="0.25">
      <c r="A9229" s="124" t="s">
        <v>11297</v>
      </c>
      <c r="B9229" s="124" t="s">
        <v>11736</v>
      </c>
      <c r="C9229" s="132"/>
      <c r="D9229" s="125">
        <f t="shared" si="181"/>
        <v>0</v>
      </c>
      <c r="E9229" s="124" t="s">
        <v>8367</v>
      </c>
      <c r="F9229" s="129">
        <v>61320</v>
      </c>
      <c r="G9229" s="128">
        <v>27318060</v>
      </c>
      <c r="H9229" s="124" t="s">
        <v>8368</v>
      </c>
      <c r="I9229" s="128">
        <v>84315</v>
      </c>
      <c r="J9229" s="128">
        <v>421575</v>
      </c>
    </row>
    <row r="9230" spans="1:10" hidden="1" x14ac:dyDescent="0.25">
      <c r="A9230" s="124" t="s">
        <v>11298</v>
      </c>
      <c r="B9230" s="124" t="s">
        <v>11736</v>
      </c>
      <c r="C9230" s="132"/>
      <c r="D9230" s="125">
        <f t="shared" si="181"/>
        <v>0</v>
      </c>
      <c r="E9230" s="124" t="s">
        <v>8367</v>
      </c>
      <c r="F9230" s="126">
        <v>40</v>
      </c>
      <c r="G9230" s="128">
        <v>371184</v>
      </c>
      <c r="H9230" s="124" t="s">
        <v>8368</v>
      </c>
      <c r="I9230" s="128">
        <v>406114.35</v>
      </c>
      <c r="J9230" s="128">
        <v>2030571.76</v>
      </c>
    </row>
    <row r="9231" spans="1:10" hidden="1" x14ac:dyDescent="0.25">
      <c r="A9231" s="124" t="s">
        <v>11299</v>
      </c>
      <c r="B9231" s="124" t="s">
        <v>11736</v>
      </c>
      <c r="C9231" s="132"/>
      <c r="D9231" s="125">
        <f t="shared" si="181"/>
        <v>0</v>
      </c>
      <c r="E9231" s="124" t="s">
        <v>8367</v>
      </c>
      <c r="F9231" s="129">
        <v>15330</v>
      </c>
      <c r="G9231" s="128">
        <v>1011780</v>
      </c>
      <c r="H9231" s="124" t="s">
        <v>8368</v>
      </c>
      <c r="I9231" s="128">
        <v>2400</v>
      </c>
      <c r="J9231" s="128">
        <v>12000</v>
      </c>
    </row>
    <row r="9232" spans="1:10" hidden="1" x14ac:dyDescent="0.25">
      <c r="A9232" s="124" t="s">
        <v>11300</v>
      </c>
      <c r="B9232" s="124" t="s">
        <v>11736</v>
      </c>
      <c r="C9232" s="132"/>
      <c r="D9232" s="125">
        <f t="shared" si="181"/>
        <v>0</v>
      </c>
      <c r="E9232" s="124" t="s">
        <v>8367</v>
      </c>
      <c r="F9232" s="129">
        <v>153300</v>
      </c>
      <c r="G9232" s="128">
        <v>505890</v>
      </c>
      <c r="H9232" s="124" t="s">
        <v>8368</v>
      </c>
      <c r="I9232" s="128">
        <v>57328.99</v>
      </c>
      <c r="J9232" s="128">
        <v>286644.93</v>
      </c>
    </row>
    <row r="9233" spans="1:10" hidden="1" x14ac:dyDescent="0.25">
      <c r="A9233" s="124" t="s">
        <v>11301</v>
      </c>
      <c r="B9233" s="124" t="s">
        <v>11736</v>
      </c>
      <c r="C9233" s="132"/>
      <c r="D9233" s="125">
        <f t="shared" si="181"/>
        <v>0</v>
      </c>
      <c r="E9233" s="124" t="s">
        <v>8367</v>
      </c>
      <c r="F9233" s="126">
        <v>332</v>
      </c>
      <c r="G9233" s="128">
        <v>2436686.11</v>
      </c>
      <c r="H9233" s="124" t="s">
        <v>8368</v>
      </c>
      <c r="I9233" s="127">
        <v>667.4</v>
      </c>
      <c r="J9233" s="128">
        <v>3337</v>
      </c>
    </row>
    <row r="9234" spans="1:10" hidden="1" x14ac:dyDescent="0.25">
      <c r="A9234" s="124" t="s">
        <v>11302</v>
      </c>
      <c r="B9234" s="124" t="s">
        <v>11736</v>
      </c>
      <c r="C9234" s="132"/>
      <c r="D9234" s="125">
        <f t="shared" si="181"/>
        <v>0</v>
      </c>
      <c r="E9234" s="124" t="s">
        <v>8367</v>
      </c>
      <c r="F9234" s="126">
        <v>2</v>
      </c>
      <c r="G9234" s="128">
        <v>14400</v>
      </c>
      <c r="H9234" s="124" t="s">
        <v>8368</v>
      </c>
      <c r="I9234" s="128">
        <v>131474</v>
      </c>
      <c r="J9234" s="128">
        <v>657370</v>
      </c>
    </row>
    <row r="9235" spans="1:10" hidden="1" x14ac:dyDescent="0.25">
      <c r="A9235" s="124" t="s">
        <v>11303</v>
      </c>
      <c r="B9235" s="124" t="s">
        <v>11736</v>
      </c>
      <c r="C9235" s="132"/>
      <c r="D9235" s="125">
        <f t="shared" si="181"/>
        <v>0</v>
      </c>
      <c r="E9235" s="124" t="s">
        <v>8367</v>
      </c>
      <c r="F9235" s="126">
        <v>327</v>
      </c>
      <c r="G9235" s="128">
        <v>343973.92</v>
      </c>
      <c r="H9235" s="124" t="s">
        <v>8368</v>
      </c>
      <c r="I9235" s="128">
        <v>2737.12</v>
      </c>
      <c r="J9235" s="128">
        <v>13685.58</v>
      </c>
    </row>
    <row r="9236" spans="1:10" hidden="1" x14ac:dyDescent="0.25">
      <c r="A9236" s="124" t="s">
        <v>11304</v>
      </c>
      <c r="B9236" s="124" t="s">
        <v>11736</v>
      </c>
      <c r="C9236" s="132"/>
      <c r="D9236" s="125">
        <f t="shared" si="181"/>
        <v>0</v>
      </c>
      <c r="E9236" s="124" t="s">
        <v>9270</v>
      </c>
      <c r="F9236" s="126">
        <v>10</v>
      </c>
      <c r="G9236" s="128">
        <v>4004.4</v>
      </c>
      <c r="H9236" s="124" t="s">
        <v>8368</v>
      </c>
      <c r="I9236" s="128">
        <v>1066.5999999999999</v>
      </c>
      <c r="J9236" s="128">
        <v>5333</v>
      </c>
    </row>
    <row r="9237" spans="1:10" hidden="1" x14ac:dyDescent="0.25">
      <c r="A9237" s="124" t="s">
        <v>11305</v>
      </c>
      <c r="B9237" s="124" t="s">
        <v>11736</v>
      </c>
      <c r="C9237" s="132"/>
      <c r="D9237" s="125">
        <f t="shared" si="181"/>
        <v>0</v>
      </c>
      <c r="E9237" s="124" t="s">
        <v>8367</v>
      </c>
      <c r="F9237" s="126">
        <v>250</v>
      </c>
      <c r="G9237" s="128">
        <v>788844</v>
      </c>
      <c r="H9237" s="124" t="s">
        <v>8368</v>
      </c>
      <c r="I9237" s="128">
        <v>12020.6</v>
      </c>
      <c r="J9237" s="128">
        <v>60103</v>
      </c>
    </row>
    <row r="9238" spans="1:10" hidden="1" x14ac:dyDescent="0.25">
      <c r="A9238" s="124" t="s">
        <v>11306</v>
      </c>
      <c r="B9238" s="124" t="s">
        <v>11736</v>
      </c>
      <c r="C9238" s="132"/>
      <c r="D9238" s="125">
        <f t="shared" si="181"/>
        <v>0</v>
      </c>
      <c r="E9238" s="124" t="s">
        <v>8367</v>
      </c>
      <c r="F9238" s="129">
        <v>11730</v>
      </c>
      <c r="G9238" s="128">
        <v>16422.7</v>
      </c>
      <c r="H9238" s="124" t="s">
        <v>8368</v>
      </c>
      <c r="I9238" s="128">
        <v>1213</v>
      </c>
      <c r="J9238" s="128">
        <v>6065</v>
      </c>
    </row>
    <row r="9239" spans="1:10" hidden="1" x14ac:dyDescent="0.25">
      <c r="A9239" s="124" t="s">
        <v>11307</v>
      </c>
      <c r="B9239" s="124" t="s">
        <v>11736</v>
      </c>
      <c r="C9239" s="132"/>
      <c r="D9239" s="125">
        <f t="shared" si="181"/>
        <v>0</v>
      </c>
      <c r="E9239" s="124" t="s">
        <v>8367</v>
      </c>
      <c r="F9239" s="129">
        <v>16000</v>
      </c>
      <c r="G9239" s="128">
        <v>6399.6</v>
      </c>
      <c r="H9239" s="124" t="s">
        <v>8368</v>
      </c>
      <c r="I9239" s="128">
        <v>2219.1999999999998</v>
      </c>
      <c r="J9239" s="128">
        <v>11096</v>
      </c>
    </row>
    <row r="9240" spans="1:10" hidden="1" x14ac:dyDescent="0.25">
      <c r="A9240" s="124" t="s">
        <v>11308</v>
      </c>
      <c r="B9240" s="124" t="s">
        <v>11736</v>
      </c>
      <c r="C9240" s="132"/>
      <c r="D9240" s="125">
        <f t="shared" si="181"/>
        <v>0</v>
      </c>
      <c r="E9240" s="124" t="s">
        <v>8367</v>
      </c>
      <c r="F9240" s="126">
        <v>1</v>
      </c>
      <c r="G9240" s="128">
        <v>72123.600000000006</v>
      </c>
      <c r="H9240" s="124" t="s">
        <v>8368</v>
      </c>
      <c r="I9240" s="128">
        <v>3571.6</v>
      </c>
      <c r="J9240" s="128">
        <v>17858</v>
      </c>
    </row>
    <row r="9241" spans="1:10" hidden="1" x14ac:dyDescent="0.25">
      <c r="A9241" s="124" t="s">
        <v>1711</v>
      </c>
      <c r="B9241" s="124" t="s">
        <v>11736</v>
      </c>
      <c r="C9241" s="132"/>
      <c r="D9241" s="125">
        <f t="shared" si="181"/>
        <v>0</v>
      </c>
      <c r="E9241" s="124" t="s">
        <v>8367</v>
      </c>
      <c r="F9241" s="126">
        <v>5</v>
      </c>
      <c r="G9241" s="128">
        <v>7278</v>
      </c>
      <c r="H9241" s="124" t="s">
        <v>8368</v>
      </c>
      <c r="I9241" s="128">
        <v>10495</v>
      </c>
      <c r="J9241" s="128">
        <v>52475</v>
      </c>
    </row>
    <row r="9242" spans="1:10" hidden="1" x14ac:dyDescent="0.25">
      <c r="A9242" s="124" t="s">
        <v>11309</v>
      </c>
      <c r="B9242" s="124" t="s">
        <v>11736</v>
      </c>
      <c r="C9242" s="132"/>
      <c r="D9242" s="125">
        <f t="shared" si="181"/>
        <v>0</v>
      </c>
      <c r="E9242" s="124" t="s">
        <v>8367</v>
      </c>
      <c r="F9242" s="126">
        <v>2</v>
      </c>
      <c r="G9242" s="128">
        <v>13315.2</v>
      </c>
      <c r="H9242" s="124" t="s">
        <v>8368</v>
      </c>
      <c r="I9242" s="128">
        <v>3571.6</v>
      </c>
      <c r="J9242" s="128">
        <v>17858</v>
      </c>
    </row>
    <row r="9243" spans="1:10" hidden="1" x14ac:dyDescent="0.25">
      <c r="A9243" s="124" t="s">
        <v>2765</v>
      </c>
      <c r="B9243" s="124" t="s">
        <v>11736</v>
      </c>
      <c r="C9243" s="132"/>
      <c r="D9243" s="125">
        <f t="shared" si="181"/>
        <v>0</v>
      </c>
      <c r="E9243" s="124" t="s">
        <v>8367</v>
      </c>
      <c r="F9243" s="126">
        <v>1</v>
      </c>
      <c r="G9243" s="128">
        <v>21429.599999999999</v>
      </c>
      <c r="H9243" s="124" t="s">
        <v>8368</v>
      </c>
      <c r="I9243" s="127">
        <v>331.67</v>
      </c>
      <c r="J9243" s="128">
        <v>1658.33</v>
      </c>
    </row>
    <row r="9244" spans="1:10" hidden="1" x14ac:dyDescent="0.25">
      <c r="A9244" s="124" t="s">
        <v>11310</v>
      </c>
      <c r="B9244" s="124" t="s">
        <v>11736</v>
      </c>
      <c r="C9244" s="132"/>
      <c r="D9244" s="125">
        <f t="shared" si="181"/>
        <v>0</v>
      </c>
      <c r="E9244" s="124" t="s">
        <v>8367</v>
      </c>
      <c r="F9244" s="126">
        <v>1</v>
      </c>
      <c r="G9244" s="128">
        <v>62970</v>
      </c>
      <c r="H9244" s="124" t="s">
        <v>8368</v>
      </c>
      <c r="I9244" s="128">
        <v>18009.2</v>
      </c>
      <c r="J9244" s="128">
        <v>90045.99</v>
      </c>
    </row>
    <row r="9245" spans="1:10" hidden="1" x14ac:dyDescent="0.25">
      <c r="A9245" s="124" t="s">
        <v>11311</v>
      </c>
      <c r="B9245" s="124" t="s">
        <v>11736</v>
      </c>
      <c r="C9245" s="132"/>
      <c r="D9245" s="125">
        <f t="shared" si="181"/>
        <v>0</v>
      </c>
      <c r="E9245" s="124" t="s">
        <v>8367</v>
      </c>
      <c r="F9245" s="126">
        <v>1</v>
      </c>
      <c r="G9245" s="128">
        <v>21429.599999999999</v>
      </c>
      <c r="H9245" s="124" t="s">
        <v>8368</v>
      </c>
      <c r="I9245" s="128">
        <v>11945</v>
      </c>
      <c r="J9245" s="128">
        <v>59724.99</v>
      </c>
    </row>
    <row r="9246" spans="1:10" hidden="1" x14ac:dyDescent="0.25">
      <c r="A9246" s="124" t="s">
        <v>11312</v>
      </c>
      <c r="B9246" s="124" t="s">
        <v>11736</v>
      </c>
      <c r="C9246" s="132"/>
      <c r="D9246" s="125">
        <f t="shared" si="181"/>
        <v>0</v>
      </c>
      <c r="E9246" s="124" t="s">
        <v>8367</v>
      </c>
      <c r="F9246" s="126">
        <v>1</v>
      </c>
      <c r="G9246" s="128">
        <v>1990</v>
      </c>
      <c r="H9246" s="124" t="s">
        <v>8368</v>
      </c>
      <c r="I9246" s="127">
        <v>476.66</v>
      </c>
      <c r="J9246" s="128">
        <v>2383.3200000000002</v>
      </c>
    </row>
    <row r="9247" spans="1:10" hidden="1" x14ac:dyDescent="0.25">
      <c r="A9247" s="124" t="s">
        <v>11313</v>
      </c>
      <c r="B9247" s="124" t="s">
        <v>11736</v>
      </c>
      <c r="C9247" s="132"/>
      <c r="D9247" s="125">
        <f t="shared" si="181"/>
        <v>0</v>
      </c>
      <c r="E9247" s="124" t="s">
        <v>8367</v>
      </c>
      <c r="F9247" s="126">
        <v>327</v>
      </c>
      <c r="G9247" s="128">
        <v>108055.19</v>
      </c>
      <c r="H9247" s="124" t="s">
        <v>8368</v>
      </c>
      <c r="I9247" s="128">
        <v>1393.33</v>
      </c>
      <c r="J9247" s="128">
        <v>6966.65</v>
      </c>
    </row>
    <row r="9248" spans="1:10" hidden="1" x14ac:dyDescent="0.25">
      <c r="A9248" s="124" t="s">
        <v>11314</v>
      </c>
      <c r="B9248" s="124" t="s">
        <v>11736</v>
      </c>
      <c r="C9248" s="132"/>
      <c r="D9248" s="125">
        <f t="shared" si="181"/>
        <v>0</v>
      </c>
      <c r="E9248" s="124" t="s">
        <v>8367</v>
      </c>
      <c r="F9248" s="126">
        <v>3</v>
      </c>
      <c r="G9248" s="128">
        <v>71669.990000000005</v>
      </c>
      <c r="H9248" s="124" t="s">
        <v>8368</v>
      </c>
      <c r="I9248" s="127">
        <v>71.67</v>
      </c>
      <c r="J9248" s="127">
        <v>358.34</v>
      </c>
    </row>
    <row r="9249" spans="1:10" hidden="1" x14ac:dyDescent="0.25">
      <c r="A9249" s="124" t="s">
        <v>11315</v>
      </c>
      <c r="B9249" s="124" t="s">
        <v>11736</v>
      </c>
      <c r="C9249" s="132"/>
      <c r="D9249" s="125">
        <f t="shared" si="181"/>
        <v>0</v>
      </c>
      <c r="E9249" s="124" t="s">
        <v>8367</v>
      </c>
      <c r="F9249" s="126">
        <v>4</v>
      </c>
      <c r="G9249" s="128">
        <v>2859.98</v>
      </c>
      <c r="H9249" s="124" t="s">
        <v>8368</v>
      </c>
      <c r="I9249" s="128">
        <v>1275</v>
      </c>
      <c r="J9249" s="128">
        <v>6375</v>
      </c>
    </row>
    <row r="9250" spans="1:10" hidden="1" x14ac:dyDescent="0.25">
      <c r="A9250" s="124" t="s">
        <v>11316</v>
      </c>
      <c r="B9250" s="124" t="s">
        <v>11736</v>
      </c>
      <c r="C9250" s="132"/>
      <c r="D9250" s="125">
        <f t="shared" ref="D9250:D9263" si="182">COUNTIF(A5026:A9249,A9250)</f>
        <v>0</v>
      </c>
      <c r="E9250" s="124" t="s">
        <v>8367</v>
      </c>
      <c r="F9250" s="126">
        <v>5</v>
      </c>
      <c r="G9250" s="128">
        <v>8359.98</v>
      </c>
      <c r="H9250" s="124" t="s">
        <v>8368</v>
      </c>
      <c r="I9250" s="127">
        <v>523.34</v>
      </c>
      <c r="J9250" s="128">
        <v>2616.6999999999998</v>
      </c>
    </row>
    <row r="9251" spans="1:10" hidden="1" x14ac:dyDescent="0.25">
      <c r="A9251" s="124" t="s">
        <v>11317</v>
      </c>
      <c r="B9251" s="124" t="s">
        <v>11736</v>
      </c>
      <c r="C9251" s="132"/>
      <c r="D9251" s="125">
        <f t="shared" si="182"/>
        <v>0</v>
      </c>
      <c r="E9251" s="124" t="s">
        <v>8367</v>
      </c>
      <c r="F9251" s="126">
        <v>2</v>
      </c>
      <c r="G9251" s="127">
        <v>430.01</v>
      </c>
      <c r="H9251" s="124" t="s">
        <v>8368</v>
      </c>
      <c r="I9251" s="127">
        <v>210.83</v>
      </c>
      <c r="J9251" s="128">
        <v>1054.1500000000001</v>
      </c>
    </row>
    <row r="9252" spans="1:10" hidden="1" x14ac:dyDescent="0.25">
      <c r="A9252" s="124" t="s">
        <v>4722</v>
      </c>
      <c r="B9252" s="124" t="s">
        <v>11736</v>
      </c>
      <c r="C9252" s="132"/>
      <c r="D9252" s="125">
        <f t="shared" si="182"/>
        <v>0</v>
      </c>
      <c r="E9252" s="124" t="s">
        <v>8367</v>
      </c>
      <c r="F9252" s="126">
        <v>6</v>
      </c>
      <c r="G9252" s="128">
        <v>7650</v>
      </c>
      <c r="H9252" s="124" t="s">
        <v>8368</v>
      </c>
      <c r="I9252" s="127">
        <v>430</v>
      </c>
      <c r="J9252" s="128">
        <v>2150</v>
      </c>
    </row>
    <row r="9253" spans="1:10" hidden="1" x14ac:dyDescent="0.25">
      <c r="A9253" s="124" t="s">
        <v>11318</v>
      </c>
      <c r="B9253" s="124" t="s">
        <v>11736</v>
      </c>
      <c r="C9253" s="132"/>
      <c r="D9253" s="125">
        <f t="shared" si="182"/>
        <v>0</v>
      </c>
      <c r="E9253" s="124" t="s">
        <v>8367</v>
      </c>
      <c r="F9253" s="126">
        <v>10</v>
      </c>
      <c r="G9253" s="128">
        <v>3140.04</v>
      </c>
      <c r="H9253" s="124" t="s">
        <v>8368</v>
      </c>
      <c r="I9253" s="127">
        <v>101.33</v>
      </c>
      <c r="J9253" s="127">
        <v>506.67</v>
      </c>
    </row>
    <row r="9254" spans="1:10" hidden="1" x14ac:dyDescent="0.25">
      <c r="A9254" s="124" t="s">
        <v>11319</v>
      </c>
      <c r="B9254" s="124" t="s">
        <v>11736</v>
      </c>
      <c r="C9254" s="132"/>
      <c r="D9254" s="125">
        <f t="shared" si="182"/>
        <v>0</v>
      </c>
      <c r="E9254" s="124" t="s">
        <v>8367</v>
      </c>
      <c r="F9254" s="126">
        <v>5</v>
      </c>
      <c r="G9254" s="128">
        <v>1264.98</v>
      </c>
      <c r="H9254" s="124" t="s">
        <v>8368</v>
      </c>
      <c r="I9254" s="127">
        <v>432.4</v>
      </c>
      <c r="J9254" s="128">
        <v>2162</v>
      </c>
    </row>
    <row r="9255" spans="1:10" hidden="1" x14ac:dyDescent="0.25">
      <c r="A9255" s="124" t="s">
        <v>746</v>
      </c>
      <c r="B9255" s="124" t="s">
        <v>11736</v>
      </c>
      <c r="C9255" s="132"/>
      <c r="D9255" s="125">
        <f t="shared" si="182"/>
        <v>0</v>
      </c>
      <c r="E9255" s="124" t="s">
        <v>8367</v>
      </c>
      <c r="F9255" s="126">
        <v>4</v>
      </c>
      <c r="G9255" s="128">
        <v>2580</v>
      </c>
      <c r="H9255" s="124" t="s">
        <v>8368</v>
      </c>
      <c r="I9255" s="128">
        <v>4650</v>
      </c>
      <c r="J9255" s="128">
        <v>23250</v>
      </c>
    </row>
    <row r="9256" spans="1:10" hidden="1" x14ac:dyDescent="0.25">
      <c r="A9256" s="124" t="s">
        <v>11320</v>
      </c>
      <c r="B9256" s="124" t="s">
        <v>11736</v>
      </c>
      <c r="C9256" s="132"/>
      <c r="D9256" s="125">
        <f t="shared" si="182"/>
        <v>0</v>
      </c>
      <c r="E9256" s="124" t="s">
        <v>8367</v>
      </c>
      <c r="F9256" s="126">
        <v>1</v>
      </c>
      <c r="G9256" s="127">
        <v>608</v>
      </c>
      <c r="H9256" s="124" t="s">
        <v>8368</v>
      </c>
      <c r="I9256" s="128">
        <v>3845</v>
      </c>
      <c r="J9256" s="128">
        <v>19225</v>
      </c>
    </row>
    <row r="9257" spans="1:10" hidden="1" x14ac:dyDescent="0.25">
      <c r="A9257" s="124" t="s">
        <v>4860</v>
      </c>
      <c r="B9257" s="124" t="s">
        <v>11736</v>
      </c>
      <c r="C9257" s="132"/>
      <c r="D9257" s="125">
        <f t="shared" si="182"/>
        <v>0</v>
      </c>
      <c r="E9257" s="124" t="s">
        <v>8367</v>
      </c>
      <c r="F9257" s="126">
        <v>2</v>
      </c>
      <c r="G9257" s="128">
        <v>2594.4</v>
      </c>
      <c r="H9257" s="124" t="s">
        <v>8368</v>
      </c>
      <c r="I9257" s="128">
        <v>1150</v>
      </c>
      <c r="J9257" s="128">
        <v>5750</v>
      </c>
    </row>
    <row r="9258" spans="1:10" hidden="1" x14ac:dyDescent="0.25">
      <c r="A9258" s="124" t="s">
        <v>11321</v>
      </c>
      <c r="B9258" s="124" t="s">
        <v>11736</v>
      </c>
      <c r="C9258" s="132"/>
      <c r="D9258" s="125">
        <f t="shared" si="182"/>
        <v>0</v>
      </c>
      <c r="E9258" s="124" t="s">
        <v>8367</v>
      </c>
      <c r="F9258" s="126">
        <v>1</v>
      </c>
      <c r="G9258" s="128">
        <v>27900</v>
      </c>
      <c r="H9258" s="124" t="s">
        <v>8368</v>
      </c>
      <c r="I9258" s="128">
        <v>26418679.559999999</v>
      </c>
      <c r="J9258" s="128">
        <v>132093397.8</v>
      </c>
    </row>
    <row r="9259" spans="1:10" hidden="1" x14ac:dyDescent="0.25">
      <c r="A9259" s="124" t="s">
        <v>11322</v>
      </c>
      <c r="B9259" s="124" t="s">
        <v>11736</v>
      </c>
      <c r="C9259" s="132"/>
      <c r="D9259" s="125">
        <f t="shared" si="182"/>
        <v>0</v>
      </c>
      <c r="E9259" s="124" t="s">
        <v>8367</v>
      </c>
      <c r="F9259" s="126">
        <v>30</v>
      </c>
      <c r="G9259" s="128">
        <v>23070</v>
      </c>
      <c r="H9259" s="124" t="s">
        <v>8368</v>
      </c>
      <c r="I9259" s="127">
        <v>985</v>
      </c>
      <c r="J9259" s="128">
        <v>4925</v>
      </c>
    </row>
    <row r="9260" spans="1:10" hidden="1" x14ac:dyDescent="0.25">
      <c r="A9260" s="124" t="s">
        <v>11323</v>
      </c>
      <c r="B9260" s="124" t="s">
        <v>11736</v>
      </c>
      <c r="C9260" s="132"/>
      <c r="D9260" s="125">
        <f t="shared" si="182"/>
        <v>0</v>
      </c>
      <c r="E9260" s="124" t="s">
        <v>8367</v>
      </c>
      <c r="F9260" s="126">
        <v>10</v>
      </c>
      <c r="G9260" s="128">
        <v>6900</v>
      </c>
      <c r="H9260" s="124" t="s">
        <v>8368</v>
      </c>
      <c r="I9260" s="127">
        <v>384.2</v>
      </c>
      <c r="J9260" s="128">
        <v>1921</v>
      </c>
    </row>
    <row r="9261" spans="1:10" hidden="1" x14ac:dyDescent="0.25">
      <c r="A9261" s="124" t="s">
        <v>11324</v>
      </c>
      <c r="B9261" s="124" t="s">
        <v>11736</v>
      </c>
      <c r="C9261" s="132"/>
      <c r="D9261" s="125">
        <f t="shared" si="182"/>
        <v>0</v>
      </c>
      <c r="E9261" s="124" t="s">
        <v>8367</v>
      </c>
      <c r="F9261" s="129">
        <v>15330</v>
      </c>
      <c r="G9261" s="128">
        <v>158512077.36000001</v>
      </c>
      <c r="H9261" s="124" t="s">
        <v>8368</v>
      </c>
      <c r="I9261" s="127">
        <v>957.04</v>
      </c>
      <c r="J9261" s="128">
        <v>4785.2</v>
      </c>
    </row>
    <row r="9262" spans="1:10" hidden="1" x14ac:dyDescent="0.25">
      <c r="A9262" s="124" t="s">
        <v>11325</v>
      </c>
      <c r="B9262" s="124" t="s">
        <v>11736</v>
      </c>
      <c r="C9262" s="132"/>
      <c r="D9262" s="125">
        <f t="shared" si="182"/>
        <v>0</v>
      </c>
      <c r="E9262" s="124" t="s">
        <v>8367</v>
      </c>
      <c r="F9262" s="126">
        <v>10</v>
      </c>
      <c r="G9262" s="128">
        <v>5910</v>
      </c>
      <c r="H9262" s="124" t="s">
        <v>8368</v>
      </c>
      <c r="I9262" s="127">
        <v>642.08000000000004</v>
      </c>
      <c r="J9262" s="128">
        <v>3210.4</v>
      </c>
    </row>
    <row r="9263" spans="1:10" hidden="1" x14ac:dyDescent="0.25">
      <c r="A9263" s="124" t="s">
        <v>11326</v>
      </c>
      <c r="B9263" s="124" t="s">
        <v>11736</v>
      </c>
      <c r="C9263" s="132"/>
      <c r="D9263" s="125">
        <f t="shared" si="182"/>
        <v>0</v>
      </c>
      <c r="E9263" s="124" t="s">
        <v>8367</v>
      </c>
      <c r="F9263" s="126">
        <v>5</v>
      </c>
      <c r="G9263" s="128">
        <v>2305.1999999999998</v>
      </c>
      <c r="H9263" s="124" t="s">
        <v>8368</v>
      </c>
      <c r="I9263" s="127">
        <v>148.66999999999999</v>
      </c>
      <c r="J9263" s="127">
        <v>743.36</v>
      </c>
    </row>
    <row r="9264" spans="1:10" hidden="1" x14ac:dyDescent="0.25">
      <c r="A9264" s="124" t="s">
        <v>11327</v>
      </c>
      <c r="B9264" s="124" t="s">
        <v>11736</v>
      </c>
      <c r="C9264" s="132"/>
      <c r="D9264" s="125">
        <f t="shared" ref="D9264:D9270" si="183">COUNTIF(A5041:A9263,A9264)</f>
        <v>0</v>
      </c>
      <c r="E9264" s="124" t="s">
        <v>8367</v>
      </c>
      <c r="F9264" s="126">
        <v>70</v>
      </c>
      <c r="G9264" s="128">
        <v>5742.24</v>
      </c>
      <c r="H9264" s="124" t="s">
        <v>8368</v>
      </c>
      <c r="I9264" s="127">
        <v>99.8</v>
      </c>
      <c r="J9264" s="127">
        <v>499</v>
      </c>
    </row>
    <row r="9265" spans="1:10" hidden="1" x14ac:dyDescent="0.25">
      <c r="A9265" s="124" t="s">
        <v>11328</v>
      </c>
      <c r="B9265" s="124" t="s">
        <v>11736</v>
      </c>
      <c r="C9265" s="132"/>
      <c r="D9265" s="125">
        <f t="shared" si="183"/>
        <v>0</v>
      </c>
      <c r="E9265" s="124" t="s">
        <v>8367</v>
      </c>
      <c r="F9265" s="126">
        <v>40</v>
      </c>
      <c r="G9265" s="128">
        <v>3852.48</v>
      </c>
      <c r="H9265" s="124" t="s">
        <v>8368</v>
      </c>
      <c r="I9265" s="127">
        <v>565</v>
      </c>
      <c r="J9265" s="128">
        <v>2825</v>
      </c>
    </row>
    <row r="9266" spans="1:10" hidden="1" x14ac:dyDescent="0.25">
      <c r="A9266" s="124" t="s">
        <v>11329</v>
      </c>
      <c r="B9266" s="124" t="s">
        <v>11736</v>
      </c>
      <c r="C9266" s="132"/>
      <c r="D9266" s="125">
        <f t="shared" si="183"/>
        <v>0</v>
      </c>
      <c r="E9266" s="124" t="s">
        <v>8451</v>
      </c>
      <c r="F9266" s="126">
        <v>2</v>
      </c>
      <c r="G9266" s="127">
        <v>892.03</v>
      </c>
      <c r="H9266" s="124" t="s">
        <v>8368</v>
      </c>
      <c r="I9266" s="127">
        <v>555</v>
      </c>
      <c r="J9266" s="128">
        <v>2775</v>
      </c>
    </row>
    <row r="9267" spans="1:10" hidden="1" x14ac:dyDescent="0.25">
      <c r="A9267" s="124" t="s">
        <v>11330</v>
      </c>
      <c r="B9267" s="124" t="s">
        <v>11736</v>
      </c>
      <c r="C9267" s="132"/>
      <c r="D9267" s="125">
        <f t="shared" si="183"/>
        <v>0</v>
      </c>
      <c r="E9267" s="124" t="s">
        <v>8367</v>
      </c>
      <c r="F9267" s="126">
        <v>1</v>
      </c>
      <c r="G9267" s="127">
        <v>598.79999999999995</v>
      </c>
      <c r="H9267" s="124" t="s">
        <v>8368</v>
      </c>
      <c r="I9267" s="127">
        <v>27.83</v>
      </c>
      <c r="J9267" s="127">
        <v>139.12</v>
      </c>
    </row>
    <row r="9268" spans="1:10" hidden="1" x14ac:dyDescent="0.25">
      <c r="A9268" s="124" t="s">
        <v>11331</v>
      </c>
      <c r="B9268" s="124" t="s">
        <v>11736</v>
      </c>
      <c r="C9268" s="132"/>
      <c r="D9268" s="125">
        <f t="shared" si="183"/>
        <v>0</v>
      </c>
      <c r="E9268" s="124" t="s">
        <v>8367</v>
      </c>
      <c r="F9268" s="126">
        <v>10</v>
      </c>
      <c r="G9268" s="128">
        <v>3390</v>
      </c>
      <c r="H9268" s="124" t="s">
        <v>8368</v>
      </c>
      <c r="I9268" s="127">
        <v>95.5</v>
      </c>
      <c r="J9268" s="127">
        <v>477.5</v>
      </c>
    </row>
    <row r="9269" spans="1:10" hidden="1" x14ac:dyDescent="0.25">
      <c r="A9269" s="124" t="s">
        <v>11332</v>
      </c>
      <c r="B9269" s="124" t="s">
        <v>11736</v>
      </c>
      <c r="C9269" s="132"/>
      <c r="D9269" s="125">
        <f t="shared" si="183"/>
        <v>0</v>
      </c>
      <c r="E9269" s="124" t="s">
        <v>8367</v>
      </c>
      <c r="F9269" s="126">
        <v>5</v>
      </c>
      <c r="G9269" s="128">
        <v>3330</v>
      </c>
      <c r="H9269" s="124" t="s">
        <v>8368</v>
      </c>
      <c r="I9269" s="127">
        <v>189</v>
      </c>
      <c r="J9269" s="127">
        <v>945</v>
      </c>
    </row>
    <row r="9270" spans="1:10" hidden="1" x14ac:dyDescent="0.25">
      <c r="A9270" s="124" t="s">
        <v>4747</v>
      </c>
      <c r="B9270" s="124" t="s">
        <v>11736</v>
      </c>
      <c r="C9270" s="132"/>
      <c r="D9270" s="125">
        <f t="shared" si="183"/>
        <v>0</v>
      </c>
      <c r="E9270" s="124" t="s">
        <v>8367</v>
      </c>
      <c r="F9270" s="126">
        <v>6</v>
      </c>
      <c r="G9270" s="127">
        <v>166.95</v>
      </c>
      <c r="H9270" s="124" t="s">
        <v>8368</v>
      </c>
      <c r="I9270" s="127">
        <v>455</v>
      </c>
      <c r="J9270" s="128">
        <v>2275</v>
      </c>
    </row>
    <row r="9271" spans="1:10" hidden="1" x14ac:dyDescent="0.25">
      <c r="A9271" s="124" t="s">
        <v>11333</v>
      </c>
      <c r="B9271" s="124" t="s">
        <v>11736</v>
      </c>
      <c r="C9271" s="132"/>
      <c r="D9271" s="125">
        <f t="shared" ref="D9271:D9306" si="184">COUNTIF(A5049:A9270,A9271)</f>
        <v>0</v>
      </c>
      <c r="E9271" s="124" t="s">
        <v>8367</v>
      </c>
      <c r="F9271" s="126">
        <v>1</v>
      </c>
      <c r="G9271" s="127">
        <v>573</v>
      </c>
      <c r="H9271" s="124" t="s">
        <v>8368</v>
      </c>
      <c r="I9271" s="127">
        <v>455</v>
      </c>
      <c r="J9271" s="128">
        <v>2275</v>
      </c>
    </row>
    <row r="9272" spans="1:10" hidden="1" x14ac:dyDescent="0.25">
      <c r="A9272" s="124" t="s">
        <v>11334</v>
      </c>
      <c r="B9272" s="124" t="s">
        <v>11736</v>
      </c>
      <c r="C9272" s="132"/>
      <c r="D9272" s="125">
        <f t="shared" si="184"/>
        <v>0</v>
      </c>
      <c r="E9272" s="124" t="s">
        <v>8367</v>
      </c>
      <c r="F9272" s="126">
        <v>6</v>
      </c>
      <c r="G9272" s="128">
        <v>1134</v>
      </c>
      <c r="H9272" s="124" t="s">
        <v>8368</v>
      </c>
      <c r="I9272" s="127">
        <v>498</v>
      </c>
      <c r="J9272" s="128">
        <v>2490</v>
      </c>
    </row>
    <row r="9273" spans="1:10" hidden="1" x14ac:dyDescent="0.25">
      <c r="A9273" s="124" t="s">
        <v>11335</v>
      </c>
      <c r="B9273" s="124" t="s">
        <v>11736</v>
      </c>
      <c r="C9273" s="132"/>
      <c r="D9273" s="125">
        <f t="shared" si="184"/>
        <v>0</v>
      </c>
      <c r="E9273" s="124" t="s">
        <v>8367</v>
      </c>
      <c r="F9273" s="126">
        <v>6</v>
      </c>
      <c r="G9273" s="128">
        <v>2730</v>
      </c>
      <c r="H9273" s="124" t="s">
        <v>8368</v>
      </c>
      <c r="I9273" s="127">
        <v>929</v>
      </c>
      <c r="J9273" s="128">
        <v>4645</v>
      </c>
    </row>
    <row r="9274" spans="1:10" hidden="1" x14ac:dyDescent="0.25">
      <c r="A9274" s="124" t="s">
        <v>11336</v>
      </c>
      <c r="B9274" s="124" t="s">
        <v>11736</v>
      </c>
      <c r="C9274" s="132"/>
      <c r="D9274" s="125">
        <f t="shared" si="184"/>
        <v>0</v>
      </c>
      <c r="E9274" s="124" t="s">
        <v>8367</v>
      </c>
      <c r="F9274" s="126">
        <v>6</v>
      </c>
      <c r="G9274" s="128">
        <v>2730</v>
      </c>
      <c r="H9274" s="124" t="s">
        <v>8368</v>
      </c>
      <c r="I9274" s="127">
        <v>159.91999999999999</v>
      </c>
      <c r="J9274" s="127">
        <v>799.6</v>
      </c>
    </row>
    <row r="9275" spans="1:10" hidden="1" x14ac:dyDescent="0.25">
      <c r="A9275" s="124" t="s">
        <v>11337</v>
      </c>
      <c r="B9275" s="124" t="s">
        <v>11736</v>
      </c>
      <c r="C9275" s="132"/>
      <c r="D9275" s="125">
        <f t="shared" si="184"/>
        <v>0</v>
      </c>
      <c r="E9275" s="124" t="s">
        <v>8367</v>
      </c>
      <c r="F9275" s="126">
        <v>12</v>
      </c>
      <c r="G9275" s="128">
        <v>2988</v>
      </c>
      <c r="H9275" s="124" t="s">
        <v>8368</v>
      </c>
      <c r="I9275" s="127">
        <v>586.66999999999996</v>
      </c>
      <c r="J9275" s="128">
        <v>2933.33</v>
      </c>
    </row>
    <row r="9276" spans="1:10" hidden="1" x14ac:dyDescent="0.25">
      <c r="A9276" s="124" t="s">
        <v>11338</v>
      </c>
      <c r="B9276" s="124" t="s">
        <v>11736</v>
      </c>
      <c r="C9276" s="132"/>
      <c r="D9276" s="125">
        <f t="shared" si="184"/>
        <v>0</v>
      </c>
      <c r="E9276" s="124" t="s">
        <v>8367</v>
      </c>
      <c r="F9276" s="126">
        <v>6</v>
      </c>
      <c r="G9276" s="128">
        <v>5574</v>
      </c>
      <c r="H9276" s="124" t="s">
        <v>8368</v>
      </c>
      <c r="I9276" s="127">
        <v>356.26</v>
      </c>
      <c r="J9276" s="128">
        <v>1781.28</v>
      </c>
    </row>
    <row r="9277" spans="1:10" hidden="1" x14ac:dyDescent="0.25">
      <c r="A9277" s="124" t="s">
        <v>11339</v>
      </c>
      <c r="B9277" s="124" t="s">
        <v>11736</v>
      </c>
      <c r="C9277" s="132"/>
      <c r="D9277" s="125">
        <f t="shared" si="184"/>
        <v>0</v>
      </c>
      <c r="E9277" s="124" t="s">
        <v>8451</v>
      </c>
      <c r="F9277" s="126">
        <v>20</v>
      </c>
      <c r="G9277" s="127">
        <v>959.52</v>
      </c>
      <c r="H9277" s="124" t="s">
        <v>8368</v>
      </c>
      <c r="I9277" s="127">
        <v>596.66999999999996</v>
      </c>
      <c r="J9277" s="128">
        <v>2983.36</v>
      </c>
    </row>
    <row r="9278" spans="1:10" hidden="1" x14ac:dyDescent="0.25">
      <c r="A9278" s="124" t="s">
        <v>11340</v>
      </c>
      <c r="B9278" s="124" t="s">
        <v>11736</v>
      </c>
      <c r="C9278" s="132"/>
      <c r="D9278" s="125">
        <f t="shared" si="184"/>
        <v>0</v>
      </c>
      <c r="E9278" s="124" t="s">
        <v>8451</v>
      </c>
      <c r="F9278" s="126">
        <v>1</v>
      </c>
      <c r="G9278" s="128">
        <v>3520</v>
      </c>
      <c r="H9278" s="124" t="s">
        <v>8368</v>
      </c>
      <c r="I9278" s="128">
        <v>1500.8</v>
      </c>
      <c r="J9278" s="128">
        <v>7504</v>
      </c>
    </row>
    <row r="9279" spans="1:10" hidden="1" x14ac:dyDescent="0.25">
      <c r="A9279" s="124" t="s">
        <v>11341</v>
      </c>
      <c r="B9279" s="124" t="s">
        <v>11736</v>
      </c>
      <c r="C9279" s="132"/>
      <c r="D9279" s="125">
        <f t="shared" si="184"/>
        <v>0</v>
      </c>
      <c r="E9279" s="124" t="s">
        <v>9270</v>
      </c>
      <c r="F9279" s="126">
        <v>6</v>
      </c>
      <c r="G9279" s="128">
        <v>2137.54</v>
      </c>
      <c r="H9279" s="124" t="s">
        <v>8368</v>
      </c>
      <c r="I9279" s="127">
        <v>588</v>
      </c>
      <c r="J9279" s="128">
        <v>2940</v>
      </c>
    </row>
    <row r="9280" spans="1:10" hidden="1" x14ac:dyDescent="0.25">
      <c r="A9280" s="124" t="s">
        <v>11342</v>
      </c>
      <c r="B9280" s="124" t="s">
        <v>11736</v>
      </c>
      <c r="C9280" s="132"/>
      <c r="D9280" s="125">
        <f t="shared" si="184"/>
        <v>0</v>
      </c>
      <c r="E9280" s="124" t="s">
        <v>8451</v>
      </c>
      <c r="F9280" s="126">
        <v>2</v>
      </c>
      <c r="G9280" s="128">
        <v>3580.03</v>
      </c>
      <c r="H9280" s="124" t="s">
        <v>8368</v>
      </c>
      <c r="I9280" s="128">
        <v>475836.67</v>
      </c>
      <c r="J9280" s="128">
        <v>2379183.33</v>
      </c>
    </row>
    <row r="9281" spans="1:10" hidden="1" x14ac:dyDescent="0.25">
      <c r="A9281" s="124" t="s">
        <v>11343</v>
      </c>
      <c r="B9281" s="124" t="s">
        <v>11736</v>
      </c>
      <c r="C9281" s="132"/>
      <c r="D9281" s="125">
        <f t="shared" si="184"/>
        <v>0</v>
      </c>
      <c r="E9281" s="124" t="s">
        <v>8367</v>
      </c>
      <c r="F9281" s="126">
        <v>30</v>
      </c>
      <c r="G9281" s="128">
        <v>9004.7999999999993</v>
      </c>
      <c r="H9281" s="124" t="s">
        <v>8368</v>
      </c>
      <c r="I9281" s="128">
        <v>11326647.199999999</v>
      </c>
      <c r="J9281" s="128">
        <v>56633236</v>
      </c>
    </row>
    <row r="9282" spans="1:10" hidden="1" x14ac:dyDescent="0.25">
      <c r="A9282" s="124" t="s">
        <v>11344</v>
      </c>
      <c r="B9282" s="124" t="s">
        <v>11736</v>
      </c>
      <c r="C9282" s="132"/>
      <c r="D9282" s="125">
        <f t="shared" si="184"/>
        <v>0</v>
      </c>
      <c r="E9282" s="124" t="s">
        <v>8457</v>
      </c>
      <c r="F9282" s="126">
        <v>6</v>
      </c>
      <c r="G9282" s="128">
        <v>3528</v>
      </c>
      <c r="H9282" s="124" t="s">
        <v>8368</v>
      </c>
      <c r="I9282" s="128">
        <v>4371226.4000000004</v>
      </c>
      <c r="J9282" s="128">
        <v>21856132</v>
      </c>
    </row>
    <row r="9283" spans="1:10" hidden="1" x14ac:dyDescent="0.25">
      <c r="A9283" s="124" t="s">
        <v>11345</v>
      </c>
      <c r="B9283" s="124" t="s">
        <v>11736</v>
      </c>
      <c r="C9283" s="132"/>
      <c r="D9283" s="125">
        <f t="shared" si="184"/>
        <v>0</v>
      </c>
      <c r="E9283" s="124" t="s">
        <v>8367</v>
      </c>
      <c r="F9283" s="126">
        <v>327</v>
      </c>
      <c r="G9283" s="128">
        <v>2855020</v>
      </c>
      <c r="H9283" s="124" t="s">
        <v>8368</v>
      </c>
      <c r="I9283" s="128">
        <v>50492.72</v>
      </c>
      <c r="J9283" s="128">
        <v>252463.62</v>
      </c>
    </row>
    <row r="9284" spans="1:10" hidden="1" x14ac:dyDescent="0.25">
      <c r="A9284" s="124" t="s">
        <v>3460</v>
      </c>
      <c r="B9284" s="124" t="s">
        <v>11736</v>
      </c>
      <c r="C9284" s="132"/>
      <c r="D9284" s="125">
        <f t="shared" si="184"/>
        <v>0</v>
      </c>
      <c r="E9284" s="124" t="s">
        <v>8367</v>
      </c>
      <c r="F9284" s="129">
        <v>15330</v>
      </c>
      <c r="G9284" s="128">
        <v>67959883.200000003</v>
      </c>
      <c r="H9284" s="124" t="s">
        <v>8368</v>
      </c>
      <c r="I9284" s="128">
        <v>148535.17000000001</v>
      </c>
      <c r="J9284" s="128">
        <v>742675.86</v>
      </c>
    </row>
    <row r="9285" spans="1:10" hidden="1" x14ac:dyDescent="0.25">
      <c r="A9285" s="124" t="s">
        <v>11346</v>
      </c>
      <c r="B9285" s="124" t="s">
        <v>11736</v>
      </c>
      <c r="C9285" s="132"/>
      <c r="D9285" s="125">
        <f t="shared" si="184"/>
        <v>0</v>
      </c>
      <c r="E9285" s="124" t="s">
        <v>8367</v>
      </c>
      <c r="F9285" s="126">
        <v>327</v>
      </c>
      <c r="G9285" s="128">
        <v>26227358.399999999</v>
      </c>
      <c r="H9285" s="124" t="s">
        <v>8368</v>
      </c>
      <c r="I9285" s="128">
        <v>267518.05</v>
      </c>
      <c r="J9285" s="128">
        <v>1337590.23</v>
      </c>
    </row>
    <row r="9286" spans="1:10" hidden="1" x14ac:dyDescent="0.25">
      <c r="A9286" s="124" t="s">
        <v>11347</v>
      </c>
      <c r="B9286" s="124" t="s">
        <v>11736</v>
      </c>
      <c r="C9286" s="132"/>
      <c r="D9286" s="125">
        <f t="shared" si="184"/>
        <v>0</v>
      </c>
      <c r="E9286" s="124" t="s">
        <v>8367</v>
      </c>
      <c r="F9286" s="126">
        <v>327</v>
      </c>
      <c r="G9286" s="128">
        <v>302956.34000000003</v>
      </c>
      <c r="H9286" s="124" t="s">
        <v>8368</v>
      </c>
      <c r="I9286" s="128">
        <v>8526929.1999999993</v>
      </c>
      <c r="J9286" s="128">
        <v>42634646</v>
      </c>
    </row>
    <row r="9287" spans="1:10" hidden="1" x14ac:dyDescent="0.25">
      <c r="A9287" s="124" t="s">
        <v>11348</v>
      </c>
      <c r="B9287" s="124" t="s">
        <v>11736</v>
      </c>
      <c r="C9287" s="132"/>
      <c r="D9287" s="125">
        <f t="shared" si="184"/>
        <v>0</v>
      </c>
      <c r="E9287" s="124" t="s">
        <v>8367</v>
      </c>
      <c r="F9287" s="126">
        <v>327</v>
      </c>
      <c r="G9287" s="128">
        <v>891211.03</v>
      </c>
      <c r="H9287" s="124" t="s">
        <v>8368</v>
      </c>
      <c r="I9287" s="128">
        <v>69700.800000000003</v>
      </c>
      <c r="J9287" s="128">
        <v>348504</v>
      </c>
    </row>
    <row r="9288" spans="1:10" hidden="1" x14ac:dyDescent="0.25">
      <c r="A9288" s="124" t="s">
        <v>11349</v>
      </c>
      <c r="B9288" s="124" t="s">
        <v>11736</v>
      </c>
      <c r="C9288" s="132"/>
      <c r="D9288" s="125">
        <f t="shared" si="184"/>
        <v>0</v>
      </c>
      <c r="E9288" s="124" t="s">
        <v>8367</v>
      </c>
      <c r="F9288" s="126">
        <v>327</v>
      </c>
      <c r="G9288" s="128">
        <v>1605108.28</v>
      </c>
      <c r="H9288" s="124" t="s">
        <v>8368</v>
      </c>
      <c r="I9288" s="128">
        <v>133563.67000000001</v>
      </c>
      <c r="J9288" s="128">
        <v>667818.35</v>
      </c>
    </row>
    <row r="9289" spans="1:10" hidden="1" x14ac:dyDescent="0.25">
      <c r="A9289" s="124" t="s">
        <v>2394</v>
      </c>
      <c r="B9289" s="124" t="s">
        <v>11736</v>
      </c>
      <c r="C9289" s="132"/>
      <c r="D9289" s="125">
        <f t="shared" si="184"/>
        <v>0</v>
      </c>
      <c r="E9289" s="124" t="s">
        <v>8367</v>
      </c>
      <c r="F9289" s="129">
        <v>15330</v>
      </c>
      <c r="G9289" s="128">
        <v>51161575.200000003</v>
      </c>
      <c r="H9289" s="124" t="s">
        <v>8368</v>
      </c>
      <c r="I9289" s="128">
        <v>172863.67</v>
      </c>
      <c r="J9289" s="128">
        <v>864318.35</v>
      </c>
    </row>
    <row r="9290" spans="1:10" hidden="1" x14ac:dyDescent="0.25">
      <c r="A9290" s="124" t="s">
        <v>11350</v>
      </c>
      <c r="B9290" s="124" t="s">
        <v>11736</v>
      </c>
      <c r="C9290" s="132"/>
      <c r="D9290" s="125">
        <f t="shared" si="184"/>
        <v>0</v>
      </c>
      <c r="E9290" s="124" t="s">
        <v>8367</v>
      </c>
      <c r="F9290" s="126">
        <v>655</v>
      </c>
      <c r="G9290" s="128">
        <v>418204.8</v>
      </c>
      <c r="H9290" s="124" t="s">
        <v>8368</v>
      </c>
      <c r="I9290" s="128">
        <v>19522.93</v>
      </c>
      <c r="J9290" s="128">
        <v>97614.65</v>
      </c>
    </row>
    <row r="9291" spans="1:10" hidden="1" x14ac:dyDescent="0.25">
      <c r="A9291" s="124" t="s">
        <v>11351</v>
      </c>
      <c r="B9291" s="124" t="s">
        <v>11736</v>
      </c>
      <c r="C9291" s="132"/>
      <c r="D9291" s="125">
        <f t="shared" si="184"/>
        <v>0</v>
      </c>
      <c r="E9291" s="124" t="s">
        <v>8367</v>
      </c>
      <c r="F9291" s="126">
        <v>655</v>
      </c>
      <c r="G9291" s="128">
        <v>801382.02</v>
      </c>
      <c r="H9291" s="124" t="s">
        <v>8368</v>
      </c>
      <c r="I9291" s="128">
        <v>20148.43</v>
      </c>
      <c r="J9291" s="128">
        <v>100742.16</v>
      </c>
    </row>
    <row r="9292" spans="1:10" hidden="1" x14ac:dyDescent="0.25">
      <c r="A9292" s="124" t="s">
        <v>11352</v>
      </c>
      <c r="B9292" s="124" t="s">
        <v>11736</v>
      </c>
      <c r="C9292" s="132"/>
      <c r="D9292" s="125">
        <f t="shared" si="184"/>
        <v>0</v>
      </c>
      <c r="E9292" s="124" t="s">
        <v>8367</v>
      </c>
      <c r="F9292" s="126">
        <v>655</v>
      </c>
      <c r="G9292" s="128">
        <v>1037182.02</v>
      </c>
      <c r="H9292" s="124" t="s">
        <v>8368</v>
      </c>
      <c r="I9292" s="128">
        <v>262787.65999999997</v>
      </c>
      <c r="J9292" s="128">
        <v>1313938.32</v>
      </c>
    </row>
    <row r="9293" spans="1:10" hidden="1" x14ac:dyDescent="0.25">
      <c r="A9293" s="124" t="s">
        <v>11353</v>
      </c>
      <c r="B9293" s="124" t="s">
        <v>11736</v>
      </c>
      <c r="C9293" s="132"/>
      <c r="D9293" s="125">
        <f t="shared" si="184"/>
        <v>0</v>
      </c>
      <c r="E9293" s="124" t="s">
        <v>8367</v>
      </c>
      <c r="F9293" s="126">
        <v>655</v>
      </c>
      <c r="G9293" s="128">
        <v>117137.58</v>
      </c>
      <c r="H9293" s="124" t="s">
        <v>8368</v>
      </c>
      <c r="I9293" s="128">
        <v>43660.39</v>
      </c>
      <c r="J9293" s="128">
        <v>218301.93</v>
      </c>
    </row>
    <row r="9294" spans="1:10" hidden="1" x14ac:dyDescent="0.25">
      <c r="A9294" s="124" t="s">
        <v>11354</v>
      </c>
      <c r="B9294" s="124" t="s">
        <v>11736</v>
      </c>
      <c r="C9294" s="132"/>
      <c r="D9294" s="125">
        <f t="shared" si="184"/>
        <v>0</v>
      </c>
      <c r="E9294" s="124" t="s">
        <v>8367</v>
      </c>
      <c r="F9294" s="126">
        <v>327</v>
      </c>
      <c r="G9294" s="128">
        <v>120890.59</v>
      </c>
      <c r="H9294" s="124" t="s">
        <v>8368</v>
      </c>
      <c r="I9294" s="128">
        <v>30291.32</v>
      </c>
      <c r="J9294" s="128">
        <v>151456.59</v>
      </c>
    </row>
    <row r="9295" spans="1:10" hidden="1" x14ac:dyDescent="0.25">
      <c r="A9295" s="124" t="s">
        <v>11355</v>
      </c>
      <c r="B9295" s="124" t="s">
        <v>11736</v>
      </c>
      <c r="C9295" s="132"/>
      <c r="D9295" s="125">
        <f t="shared" si="184"/>
        <v>0</v>
      </c>
      <c r="E9295" s="124" t="s">
        <v>8367</v>
      </c>
      <c r="F9295" s="126">
        <v>327</v>
      </c>
      <c r="G9295" s="128">
        <v>1576725.98</v>
      </c>
      <c r="H9295" s="124" t="s">
        <v>8368</v>
      </c>
      <c r="I9295" s="128">
        <v>1392.6</v>
      </c>
      <c r="J9295" s="128">
        <v>6963</v>
      </c>
    </row>
    <row r="9296" spans="1:10" hidden="1" x14ac:dyDescent="0.25">
      <c r="A9296" s="124" t="s">
        <v>11356</v>
      </c>
      <c r="B9296" s="124" t="s">
        <v>11736</v>
      </c>
      <c r="C9296" s="132"/>
      <c r="D9296" s="125">
        <f t="shared" si="184"/>
        <v>0</v>
      </c>
      <c r="E9296" s="124" t="s">
        <v>8367</v>
      </c>
      <c r="F9296" s="126">
        <v>327</v>
      </c>
      <c r="G9296" s="128">
        <v>261962.32</v>
      </c>
      <c r="H9296" s="124" t="s">
        <v>8368</v>
      </c>
      <c r="I9296" s="127">
        <v>582.6</v>
      </c>
      <c r="J9296" s="128">
        <v>2913</v>
      </c>
    </row>
    <row r="9297" spans="1:10" hidden="1" x14ac:dyDescent="0.25">
      <c r="A9297" s="124" t="s">
        <v>11357</v>
      </c>
      <c r="B9297" s="124" t="s">
        <v>11736</v>
      </c>
      <c r="C9297" s="132"/>
      <c r="D9297" s="125">
        <f t="shared" si="184"/>
        <v>0</v>
      </c>
      <c r="E9297" s="124" t="s">
        <v>8367</v>
      </c>
      <c r="F9297" s="126">
        <v>327</v>
      </c>
      <c r="G9297" s="128">
        <v>181747.91</v>
      </c>
      <c r="H9297" s="124" t="s">
        <v>8368</v>
      </c>
      <c r="I9297" s="128">
        <v>74524.56</v>
      </c>
      <c r="J9297" s="128">
        <v>372622.8</v>
      </c>
    </row>
    <row r="9298" spans="1:10" hidden="1" x14ac:dyDescent="0.25">
      <c r="A9298" s="124" t="s">
        <v>11358</v>
      </c>
      <c r="B9298" s="124" t="s">
        <v>11736</v>
      </c>
      <c r="C9298" s="132"/>
      <c r="D9298" s="125">
        <f t="shared" si="184"/>
        <v>0</v>
      </c>
      <c r="E9298" s="124" t="s">
        <v>8367</v>
      </c>
      <c r="F9298" s="126">
        <v>1</v>
      </c>
      <c r="G9298" s="128">
        <v>8355.6</v>
      </c>
      <c r="H9298" s="124" t="s">
        <v>8368</v>
      </c>
      <c r="I9298" s="127">
        <v>108</v>
      </c>
      <c r="J9298" s="127">
        <v>540</v>
      </c>
    </row>
    <row r="9299" spans="1:10" hidden="1" x14ac:dyDescent="0.25">
      <c r="A9299" s="124" t="s">
        <v>11359</v>
      </c>
      <c r="B9299" s="124" t="s">
        <v>11736</v>
      </c>
      <c r="C9299" s="132"/>
      <c r="D9299" s="125">
        <f t="shared" si="184"/>
        <v>0</v>
      </c>
      <c r="E9299" s="124" t="s">
        <v>8367</v>
      </c>
      <c r="F9299" s="126">
        <v>1</v>
      </c>
      <c r="G9299" s="128">
        <v>3495.6</v>
      </c>
      <c r="H9299" s="124" t="s">
        <v>8368</v>
      </c>
      <c r="I9299" s="128">
        <v>1780.4</v>
      </c>
      <c r="J9299" s="128">
        <v>8902</v>
      </c>
    </row>
    <row r="9300" spans="1:10" hidden="1" x14ac:dyDescent="0.25">
      <c r="A9300" s="124" t="s">
        <v>11360</v>
      </c>
      <c r="B9300" s="124" t="s">
        <v>11736</v>
      </c>
      <c r="C9300" s="132"/>
      <c r="D9300" s="125">
        <f t="shared" si="184"/>
        <v>0</v>
      </c>
      <c r="E9300" s="124" t="s">
        <v>8367</v>
      </c>
      <c r="F9300" s="126">
        <v>165</v>
      </c>
      <c r="G9300" s="128">
        <v>447147.36</v>
      </c>
      <c r="H9300" s="124" t="s">
        <v>8368</v>
      </c>
      <c r="I9300" s="127">
        <v>55.4</v>
      </c>
      <c r="J9300" s="127">
        <v>277</v>
      </c>
    </row>
    <row r="9301" spans="1:10" hidden="1" x14ac:dyDescent="0.25">
      <c r="A9301" s="124" t="s">
        <v>4181</v>
      </c>
      <c r="B9301" s="124" t="s">
        <v>11736</v>
      </c>
      <c r="C9301" s="132"/>
      <c r="D9301" s="125">
        <f t="shared" si="184"/>
        <v>0</v>
      </c>
      <c r="E9301" s="124" t="s">
        <v>8367</v>
      </c>
      <c r="F9301" s="126">
        <v>1</v>
      </c>
      <c r="G9301" s="127">
        <v>648</v>
      </c>
      <c r="H9301" s="124" t="s">
        <v>8368</v>
      </c>
      <c r="I9301" s="127">
        <v>38.33</v>
      </c>
      <c r="J9301" s="127">
        <v>191.66</v>
      </c>
    </row>
    <row r="9302" spans="1:10" hidden="1" x14ac:dyDescent="0.25">
      <c r="A9302" s="124" t="s">
        <v>11361</v>
      </c>
      <c r="B9302" s="124" t="s">
        <v>11736</v>
      </c>
      <c r="C9302" s="132"/>
      <c r="D9302" s="125">
        <f t="shared" si="184"/>
        <v>0</v>
      </c>
      <c r="E9302" s="124" t="s">
        <v>8367</v>
      </c>
      <c r="F9302" s="126">
        <v>1</v>
      </c>
      <c r="G9302" s="128">
        <v>10682.4</v>
      </c>
      <c r="H9302" s="124" t="s">
        <v>8368</v>
      </c>
      <c r="I9302" s="127">
        <v>769</v>
      </c>
      <c r="J9302" s="128">
        <v>3845</v>
      </c>
    </row>
    <row r="9303" spans="1:10" hidden="1" x14ac:dyDescent="0.25">
      <c r="A9303" s="124" t="s">
        <v>3577</v>
      </c>
      <c r="B9303" s="124" t="s">
        <v>11736</v>
      </c>
      <c r="C9303" s="132"/>
      <c r="D9303" s="125">
        <f t="shared" si="184"/>
        <v>0</v>
      </c>
      <c r="E9303" s="124" t="s">
        <v>8451</v>
      </c>
      <c r="F9303" s="126">
        <v>2</v>
      </c>
      <c r="G9303" s="127">
        <v>332.4</v>
      </c>
      <c r="H9303" s="124" t="s">
        <v>8368</v>
      </c>
      <c r="I9303" s="128">
        <v>1444.67</v>
      </c>
      <c r="J9303" s="128">
        <v>7223.33</v>
      </c>
    </row>
    <row r="9304" spans="1:10" hidden="1" x14ac:dyDescent="0.25">
      <c r="A9304" s="124" t="s">
        <v>11362</v>
      </c>
      <c r="B9304" s="124" t="s">
        <v>11736</v>
      </c>
      <c r="C9304" s="132"/>
      <c r="D9304" s="125">
        <f t="shared" si="184"/>
        <v>0</v>
      </c>
      <c r="E9304" s="124" t="s">
        <v>8367</v>
      </c>
      <c r="F9304" s="126">
        <v>2</v>
      </c>
      <c r="G9304" s="127">
        <v>229.99</v>
      </c>
      <c r="H9304" s="124" t="s">
        <v>8368</v>
      </c>
      <c r="I9304" s="127">
        <v>495</v>
      </c>
      <c r="J9304" s="128">
        <v>2475</v>
      </c>
    </row>
    <row r="9305" spans="1:10" hidden="1" x14ac:dyDescent="0.25">
      <c r="A9305" s="124" t="s">
        <v>11363</v>
      </c>
      <c r="B9305" s="124" t="s">
        <v>11736</v>
      </c>
      <c r="C9305" s="132"/>
      <c r="D9305" s="125">
        <f t="shared" si="184"/>
        <v>0</v>
      </c>
      <c r="E9305" s="124" t="s">
        <v>8367</v>
      </c>
      <c r="F9305" s="126">
        <v>6</v>
      </c>
      <c r="G9305" s="128">
        <v>4614</v>
      </c>
      <c r="H9305" s="124" t="s">
        <v>8368</v>
      </c>
      <c r="I9305" s="127">
        <v>392.6</v>
      </c>
      <c r="J9305" s="128">
        <v>1963</v>
      </c>
    </row>
    <row r="9306" spans="1:10" hidden="1" x14ac:dyDescent="0.25">
      <c r="A9306" s="124" t="s">
        <v>11364</v>
      </c>
      <c r="B9306" s="124" t="s">
        <v>11736</v>
      </c>
      <c r="C9306" s="132"/>
      <c r="D9306" s="125">
        <f t="shared" si="184"/>
        <v>0</v>
      </c>
      <c r="E9306" s="124" t="s">
        <v>8367</v>
      </c>
      <c r="F9306" s="126">
        <v>4</v>
      </c>
      <c r="G9306" s="128">
        <v>8668</v>
      </c>
      <c r="H9306" s="124" t="s">
        <v>8368</v>
      </c>
      <c r="I9306" s="127">
        <v>296.83</v>
      </c>
      <c r="J9306" s="128">
        <v>1484.17</v>
      </c>
    </row>
    <row r="9307" spans="1:10" hidden="1" x14ac:dyDescent="0.25">
      <c r="A9307" s="124" t="s">
        <v>11365</v>
      </c>
      <c r="B9307" s="124" t="s">
        <v>11736</v>
      </c>
      <c r="C9307" s="132"/>
      <c r="D9307" s="125">
        <f t="shared" ref="D9307:D9314" si="185">COUNTIF(A5086:A9306,A9307)</f>
        <v>0</v>
      </c>
      <c r="E9307" s="124" t="s">
        <v>8367</v>
      </c>
      <c r="F9307" s="126">
        <v>5</v>
      </c>
      <c r="G9307" s="128">
        <v>2970</v>
      </c>
      <c r="H9307" s="124" t="s">
        <v>8368</v>
      </c>
      <c r="I9307" s="128">
        <v>1843</v>
      </c>
      <c r="J9307" s="128">
        <v>9215</v>
      </c>
    </row>
    <row r="9308" spans="1:10" hidden="1" x14ac:dyDescent="0.25">
      <c r="A9308" s="124" t="s">
        <v>11366</v>
      </c>
      <c r="B9308" s="124" t="s">
        <v>11736</v>
      </c>
      <c r="C9308" s="132"/>
      <c r="D9308" s="125">
        <f t="shared" si="185"/>
        <v>0</v>
      </c>
      <c r="E9308" s="124" t="s">
        <v>8367</v>
      </c>
      <c r="F9308" s="126">
        <v>2</v>
      </c>
      <c r="G9308" s="128">
        <v>2355.6</v>
      </c>
      <c r="H9308" s="124" t="s">
        <v>8368</v>
      </c>
      <c r="I9308" s="127">
        <v>202.8</v>
      </c>
      <c r="J9308" s="128">
        <v>1014</v>
      </c>
    </row>
    <row r="9309" spans="1:10" hidden="1" x14ac:dyDescent="0.25">
      <c r="A9309" s="124" t="s">
        <v>11367</v>
      </c>
      <c r="B9309" s="124" t="s">
        <v>11736</v>
      </c>
      <c r="C9309" s="132"/>
      <c r="D9309" s="125">
        <f t="shared" si="185"/>
        <v>0</v>
      </c>
      <c r="E9309" s="124" t="s">
        <v>8451</v>
      </c>
      <c r="F9309" s="126">
        <v>1</v>
      </c>
      <c r="G9309" s="128">
        <v>1781</v>
      </c>
      <c r="H9309" s="124" t="s">
        <v>8368</v>
      </c>
      <c r="I9309" s="127">
        <v>994.5</v>
      </c>
      <c r="J9309" s="128">
        <v>4972.5</v>
      </c>
    </row>
    <row r="9310" spans="1:10" hidden="1" x14ac:dyDescent="0.25">
      <c r="A9310" s="124" t="s">
        <v>11368</v>
      </c>
      <c r="B9310" s="124" t="s">
        <v>11736</v>
      </c>
      <c r="C9310" s="132"/>
      <c r="D9310" s="125">
        <f t="shared" si="185"/>
        <v>0</v>
      </c>
      <c r="E9310" s="124" t="s">
        <v>8367</v>
      </c>
      <c r="F9310" s="126">
        <v>1</v>
      </c>
      <c r="G9310" s="128">
        <v>11058</v>
      </c>
      <c r="H9310" s="124" t="s">
        <v>8368</v>
      </c>
      <c r="I9310" s="127">
        <v>30</v>
      </c>
      <c r="J9310" s="127">
        <v>150</v>
      </c>
    </row>
    <row r="9311" spans="1:10" hidden="1" x14ac:dyDescent="0.25">
      <c r="A9311" s="124" t="s">
        <v>11369</v>
      </c>
      <c r="B9311" s="124" t="s">
        <v>11736</v>
      </c>
      <c r="C9311" s="132"/>
      <c r="D9311" s="125">
        <f t="shared" si="185"/>
        <v>0</v>
      </c>
      <c r="E9311" s="124" t="s">
        <v>8367</v>
      </c>
      <c r="F9311" s="126">
        <v>1</v>
      </c>
      <c r="G9311" s="128">
        <v>1216.8</v>
      </c>
      <c r="H9311" s="124" t="s">
        <v>8368</v>
      </c>
      <c r="I9311" s="127">
        <v>435</v>
      </c>
      <c r="J9311" s="128">
        <v>2175</v>
      </c>
    </row>
    <row r="9312" spans="1:10" hidden="1" x14ac:dyDescent="0.25">
      <c r="A9312" s="124" t="s">
        <v>11370</v>
      </c>
      <c r="B9312" s="124" t="s">
        <v>11736</v>
      </c>
      <c r="C9312" s="132"/>
      <c r="D9312" s="125">
        <f t="shared" si="185"/>
        <v>0</v>
      </c>
      <c r="E9312" s="124" t="s">
        <v>8531</v>
      </c>
      <c r="F9312" s="126">
        <v>1</v>
      </c>
      <c r="G9312" s="128">
        <v>5967</v>
      </c>
      <c r="H9312" s="124" t="s">
        <v>8368</v>
      </c>
      <c r="I9312" s="127">
        <v>178.4</v>
      </c>
      <c r="J9312" s="127">
        <v>892</v>
      </c>
    </row>
    <row r="9313" spans="1:10" hidden="1" x14ac:dyDescent="0.25">
      <c r="A9313" s="124" t="s">
        <v>11371</v>
      </c>
      <c r="B9313" s="124" t="s">
        <v>11736</v>
      </c>
      <c r="C9313" s="132"/>
      <c r="D9313" s="125">
        <f t="shared" si="185"/>
        <v>0</v>
      </c>
      <c r="E9313" s="124" t="s">
        <v>8367</v>
      </c>
      <c r="F9313" s="126">
        <v>10</v>
      </c>
      <c r="G9313" s="127">
        <v>180</v>
      </c>
      <c r="H9313" s="124" t="s">
        <v>8368</v>
      </c>
      <c r="I9313" s="128">
        <v>1907</v>
      </c>
      <c r="J9313" s="128">
        <v>9535</v>
      </c>
    </row>
    <row r="9314" spans="1:10" hidden="1" x14ac:dyDescent="0.25">
      <c r="A9314" s="124" t="s">
        <v>378</v>
      </c>
      <c r="B9314" s="124" t="s">
        <v>11736</v>
      </c>
      <c r="C9314" s="132"/>
      <c r="D9314" s="125">
        <f t="shared" si="185"/>
        <v>0</v>
      </c>
      <c r="E9314" s="124" t="s">
        <v>8367</v>
      </c>
      <c r="F9314" s="126">
        <v>10</v>
      </c>
      <c r="G9314" s="128">
        <v>2610</v>
      </c>
      <c r="H9314" s="124" t="s">
        <v>8368</v>
      </c>
      <c r="I9314" s="127">
        <v>402.07</v>
      </c>
      <c r="J9314" s="128">
        <v>2010.36</v>
      </c>
    </row>
    <row r="9315" spans="1:10" hidden="1" x14ac:dyDescent="0.25">
      <c r="A9315" s="124" t="s">
        <v>11372</v>
      </c>
      <c r="B9315" s="124" t="s">
        <v>11736</v>
      </c>
      <c r="C9315" s="132"/>
      <c r="D9315" s="125">
        <f>COUNTIF(A5095:A9314,A9315)</f>
        <v>0</v>
      </c>
      <c r="E9315" s="124" t="s">
        <v>8367</v>
      </c>
      <c r="F9315" s="126">
        <v>5</v>
      </c>
      <c r="G9315" s="128">
        <v>1070.4000000000001</v>
      </c>
      <c r="H9315" s="124" t="s">
        <v>8368</v>
      </c>
      <c r="I9315" s="127">
        <v>180.67</v>
      </c>
      <c r="J9315" s="127">
        <v>903.33</v>
      </c>
    </row>
    <row r="9316" spans="1:10" hidden="1" x14ac:dyDescent="0.25">
      <c r="A9316" s="124" t="s">
        <v>11373</v>
      </c>
      <c r="B9316" s="124" t="s">
        <v>11736</v>
      </c>
      <c r="C9316" s="132"/>
      <c r="D9316" s="125">
        <f>COUNTIF(A5096:A9315,A9316)</f>
        <v>0</v>
      </c>
      <c r="E9316" s="124" t="s">
        <v>8367</v>
      </c>
      <c r="F9316" s="126">
        <v>1</v>
      </c>
      <c r="G9316" s="128">
        <v>11442</v>
      </c>
      <c r="H9316" s="124" t="s">
        <v>8368</v>
      </c>
      <c r="I9316" s="127">
        <v>121.6</v>
      </c>
      <c r="J9316" s="127">
        <v>608</v>
      </c>
    </row>
    <row r="9317" spans="1:10" hidden="1" x14ac:dyDescent="0.25">
      <c r="A9317" s="124" t="s">
        <v>11374</v>
      </c>
      <c r="B9317" s="124" t="s">
        <v>11736</v>
      </c>
      <c r="C9317" s="132"/>
      <c r="D9317" s="125">
        <f>COUNTIF(A5097:A9316,A9317)</f>
        <v>0</v>
      </c>
      <c r="E9317" s="124" t="s">
        <v>8367</v>
      </c>
      <c r="F9317" s="126">
        <v>12</v>
      </c>
      <c r="G9317" s="128">
        <v>2412.4299999999998</v>
      </c>
      <c r="H9317" s="124" t="s">
        <v>8368</v>
      </c>
      <c r="I9317" s="127">
        <v>225</v>
      </c>
      <c r="J9317" s="128">
        <v>1125</v>
      </c>
    </row>
    <row r="9318" spans="1:10" hidden="1" x14ac:dyDescent="0.25">
      <c r="A9318" s="124" t="s">
        <v>11375</v>
      </c>
      <c r="B9318" s="124" t="s">
        <v>11736</v>
      </c>
      <c r="C9318" s="132"/>
      <c r="D9318" s="125">
        <f>COUNTIF(A5099:A9317,A9318)</f>
        <v>0</v>
      </c>
      <c r="E9318" s="124" t="s">
        <v>8451</v>
      </c>
      <c r="F9318" s="126">
        <v>1</v>
      </c>
      <c r="G9318" s="128">
        <v>1084</v>
      </c>
      <c r="H9318" s="124" t="s">
        <v>8368</v>
      </c>
      <c r="I9318" s="127">
        <v>341.6</v>
      </c>
      <c r="J9318" s="128">
        <v>1708</v>
      </c>
    </row>
    <row r="9319" spans="1:10" hidden="1" x14ac:dyDescent="0.25">
      <c r="A9319" s="124" t="s">
        <v>11376</v>
      </c>
      <c r="B9319" s="124" t="s">
        <v>11736</v>
      </c>
      <c r="C9319" s="132"/>
      <c r="D9319" s="125">
        <f>COUNTIF(A5100:A9318,A9319)</f>
        <v>0</v>
      </c>
      <c r="E9319" s="124" t="s">
        <v>8367</v>
      </c>
      <c r="F9319" s="126">
        <v>5</v>
      </c>
      <c r="G9319" s="127">
        <v>729.6</v>
      </c>
      <c r="H9319" s="124" t="s">
        <v>8368</v>
      </c>
      <c r="I9319" s="127">
        <v>198.7</v>
      </c>
      <c r="J9319" s="127">
        <v>993.5</v>
      </c>
    </row>
    <row r="9320" spans="1:10" hidden="1" x14ac:dyDescent="0.25">
      <c r="A9320" s="124" t="s">
        <v>11377</v>
      </c>
      <c r="B9320" s="124" t="s">
        <v>11736</v>
      </c>
      <c r="C9320" s="132"/>
      <c r="D9320" s="125">
        <f>COUNTIF(A5101:A9319,A9320)</f>
        <v>0</v>
      </c>
      <c r="E9320" s="124" t="s">
        <v>8367</v>
      </c>
      <c r="F9320" s="126">
        <v>10</v>
      </c>
      <c r="G9320" s="128">
        <v>1350</v>
      </c>
      <c r="H9320" s="124" t="s">
        <v>8368</v>
      </c>
      <c r="I9320" s="127">
        <v>18.399999999999999</v>
      </c>
      <c r="J9320" s="127">
        <v>92</v>
      </c>
    </row>
    <row r="9321" spans="1:10" hidden="1" x14ac:dyDescent="0.25">
      <c r="A9321" s="124" t="s">
        <v>308</v>
      </c>
      <c r="B9321" s="124" t="s">
        <v>11736</v>
      </c>
      <c r="C9321" s="132"/>
      <c r="D9321" s="125">
        <f t="shared" ref="D9321:D9330" si="186">COUNTIF(A5103:A9320,A9321)</f>
        <v>0</v>
      </c>
      <c r="E9321" s="124" t="s">
        <v>8367</v>
      </c>
      <c r="F9321" s="126">
        <v>5</v>
      </c>
      <c r="G9321" s="128">
        <v>2049.6</v>
      </c>
      <c r="H9321" s="124" t="s">
        <v>8368</v>
      </c>
      <c r="I9321" s="127">
        <v>121</v>
      </c>
      <c r="J9321" s="127">
        <v>605</v>
      </c>
    </row>
    <row r="9322" spans="1:10" hidden="1" x14ac:dyDescent="0.25">
      <c r="A9322" s="124" t="s">
        <v>11378</v>
      </c>
      <c r="B9322" s="124" t="s">
        <v>11736</v>
      </c>
      <c r="C9322" s="132"/>
      <c r="D9322" s="125">
        <f t="shared" si="186"/>
        <v>0</v>
      </c>
      <c r="E9322" s="124" t="s">
        <v>8367</v>
      </c>
      <c r="F9322" s="126">
        <v>1</v>
      </c>
      <c r="G9322" s="128">
        <v>1192.2</v>
      </c>
      <c r="H9322" s="124" t="s">
        <v>8368</v>
      </c>
      <c r="I9322" s="128">
        <v>3789.6</v>
      </c>
      <c r="J9322" s="128">
        <v>18948</v>
      </c>
    </row>
    <row r="9323" spans="1:10" hidden="1" x14ac:dyDescent="0.25">
      <c r="A9323" s="124" t="s">
        <v>11379</v>
      </c>
      <c r="B9323" s="124" t="s">
        <v>11736</v>
      </c>
      <c r="C9323" s="132"/>
      <c r="D9323" s="125">
        <f t="shared" si="186"/>
        <v>0</v>
      </c>
      <c r="E9323" s="124" t="s">
        <v>8367</v>
      </c>
      <c r="F9323" s="126">
        <v>1</v>
      </c>
      <c r="G9323" s="127">
        <v>110.4</v>
      </c>
      <c r="H9323" s="124" t="s">
        <v>8368</v>
      </c>
      <c r="I9323" s="127">
        <v>47.2</v>
      </c>
      <c r="J9323" s="127">
        <v>236</v>
      </c>
    </row>
    <row r="9324" spans="1:10" hidden="1" x14ac:dyDescent="0.25">
      <c r="A9324" s="124" t="s">
        <v>11380</v>
      </c>
      <c r="B9324" s="124" t="s">
        <v>11736</v>
      </c>
      <c r="C9324" s="132"/>
      <c r="D9324" s="125">
        <f t="shared" si="186"/>
        <v>0</v>
      </c>
      <c r="E9324" s="124" t="s">
        <v>8367</v>
      </c>
      <c r="F9324" s="126">
        <v>1</v>
      </c>
      <c r="G9324" s="127">
        <v>726</v>
      </c>
      <c r="H9324" s="124" t="s">
        <v>8368</v>
      </c>
      <c r="I9324" s="127">
        <v>613</v>
      </c>
      <c r="J9324" s="128">
        <v>3065</v>
      </c>
    </row>
    <row r="9325" spans="1:10" hidden="1" x14ac:dyDescent="0.25">
      <c r="A9325" s="124" t="s">
        <v>11381</v>
      </c>
      <c r="B9325" s="124" t="s">
        <v>11736</v>
      </c>
      <c r="C9325" s="132"/>
      <c r="D9325" s="125">
        <f t="shared" si="186"/>
        <v>0</v>
      </c>
      <c r="E9325" s="124" t="s">
        <v>8367</v>
      </c>
      <c r="F9325" s="126">
        <v>1</v>
      </c>
      <c r="G9325" s="128">
        <v>22737.599999999999</v>
      </c>
      <c r="H9325" s="124" t="s">
        <v>8368</v>
      </c>
      <c r="I9325" s="127">
        <v>699.4</v>
      </c>
      <c r="J9325" s="128">
        <v>3497</v>
      </c>
    </row>
    <row r="9326" spans="1:10" hidden="1" x14ac:dyDescent="0.25">
      <c r="A9326" s="124" t="s">
        <v>11382</v>
      </c>
      <c r="B9326" s="124" t="s">
        <v>11736</v>
      </c>
      <c r="C9326" s="132"/>
      <c r="D9326" s="125">
        <f t="shared" si="186"/>
        <v>0</v>
      </c>
      <c r="E9326" s="124" t="s">
        <v>8367</v>
      </c>
      <c r="F9326" s="126">
        <v>1</v>
      </c>
      <c r="G9326" s="127">
        <v>283.2</v>
      </c>
      <c r="H9326" s="124" t="s">
        <v>8368</v>
      </c>
      <c r="I9326" s="128">
        <v>236992</v>
      </c>
      <c r="J9326" s="128">
        <v>1184960</v>
      </c>
    </row>
    <row r="9327" spans="1:10" hidden="1" x14ac:dyDescent="0.25">
      <c r="A9327" s="124" t="s">
        <v>11383</v>
      </c>
      <c r="B9327" s="124" t="s">
        <v>11736</v>
      </c>
      <c r="C9327" s="132"/>
      <c r="D9327" s="125">
        <f t="shared" si="186"/>
        <v>0</v>
      </c>
      <c r="E9327" s="124" t="s">
        <v>8367</v>
      </c>
      <c r="F9327" s="126">
        <v>1</v>
      </c>
      <c r="G9327" s="128">
        <v>3678</v>
      </c>
      <c r="H9327" s="124" t="s">
        <v>8368</v>
      </c>
      <c r="I9327" s="128">
        <v>424138</v>
      </c>
      <c r="J9327" s="128">
        <v>2120690</v>
      </c>
    </row>
    <row r="9328" spans="1:10" hidden="1" x14ac:dyDescent="0.25">
      <c r="A9328" s="124" t="s">
        <v>11384</v>
      </c>
      <c r="B9328" s="124" t="s">
        <v>11736</v>
      </c>
      <c r="C9328" s="132"/>
      <c r="D9328" s="125">
        <f t="shared" si="186"/>
        <v>0</v>
      </c>
      <c r="E9328" s="124" t="s">
        <v>8367</v>
      </c>
      <c r="F9328" s="126">
        <v>2</v>
      </c>
      <c r="G9328" s="128">
        <v>4196.3999999999996</v>
      </c>
      <c r="H9328" s="124" t="s">
        <v>8368</v>
      </c>
      <c r="I9328" s="128">
        <v>1124210.22</v>
      </c>
      <c r="J9328" s="128">
        <v>5621051.0999999996</v>
      </c>
    </row>
    <row r="9329" spans="1:10" hidden="1" x14ac:dyDescent="0.25">
      <c r="A9329" s="124" t="s">
        <v>11385</v>
      </c>
      <c r="B9329" s="124" t="s">
        <v>11736</v>
      </c>
      <c r="C9329" s="132"/>
      <c r="D9329" s="125">
        <f t="shared" si="186"/>
        <v>0</v>
      </c>
      <c r="E9329" s="124" t="s">
        <v>8367</v>
      </c>
      <c r="F9329" s="129">
        <v>7000</v>
      </c>
      <c r="G9329" s="128">
        <v>1421952</v>
      </c>
      <c r="H9329" s="124" t="s">
        <v>8368</v>
      </c>
      <c r="I9329" s="128">
        <v>900451.4</v>
      </c>
      <c r="J9329" s="128">
        <v>4502257</v>
      </c>
    </row>
    <row r="9330" spans="1:10" hidden="1" x14ac:dyDescent="0.25">
      <c r="A9330" s="124" t="s">
        <v>11386</v>
      </c>
      <c r="B9330" s="124" t="s">
        <v>11736</v>
      </c>
      <c r="C9330" s="132"/>
      <c r="D9330" s="125">
        <f t="shared" si="186"/>
        <v>0</v>
      </c>
      <c r="E9330" s="124" t="s">
        <v>8367</v>
      </c>
      <c r="F9330" s="129">
        <v>14830</v>
      </c>
      <c r="G9330" s="128">
        <v>2544828</v>
      </c>
      <c r="H9330" s="124" t="s">
        <v>8368</v>
      </c>
      <c r="I9330" s="127">
        <v>958</v>
      </c>
      <c r="J9330" s="128">
        <v>4790.01</v>
      </c>
    </row>
    <row r="9331" spans="1:10" hidden="1" x14ac:dyDescent="0.25">
      <c r="A9331" s="124" t="s">
        <v>11387</v>
      </c>
      <c r="B9331" s="124" t="s">
        <v>11736</v>
      </c>
      <c r="C9331" s="132"/>
      <c r="D9331" s="125">
        <f t="shared" ref="D9331:D9368" si="187">COUNTIF(A5114:A9330,A9331)</f>
        <v>0</v>
      </c>
      <c r="E9331" s="124" t="s">
        <v>8367</v>
      </c>
      <c r="F9331" s="129">
        <v>15330</v>
      </c>
      <c r="G9331" s="128">
        <v>6745261.3200000003</v>
      </c>
      <c r="H9331" s="124" t="s">
        <v>8368</v>
      </c>
      <c r="I9331" s="128">
        <v>3500</v>
      </c>
      <c r="J9331" s="128">
        <v>17500</v>
      </c>
    </row>
    <row r="9332" spans="1:10" hidden="1" x14ac:dyDescent="0.25">
      <c r="A9332" s="124" t="s">
        <v>3176</v>
      </c>
      <c r="B9332" s="124" t="s">
        <v>11736</v>
      </c>
      <c r="C9332" s="132"/>
      <c r="D9332" s="125">
        <f t="shared" si="187"/>
        <v>0</v>
      </c>
      <c r="E9332" s="124" t="s">
        <v>8367</v>
      </c>
      <c r="F9332" s="126">
        <v>327</v>
      </c>
      <c r="G9332" s="128">
        <v>5402708.4000000004</v>
      </c>
      <c r="H9332" s="124" t="s">
        <v>8368</v>
      </c>
      <c r="I9332" s="128">
        <v>1503.33</v>
      </c>
      <c r="J9332" s="128">
        <v>7516.63</v>
      </c>
    </row>
    <row r="9333" spans="1:10" hidden="1" x14ac:dyDescent="0.25">
      <c r="A9333" s="124" t="s">
        <v>11388</v>
      </c>
      <c r="B9333" s="124" t="s">
        <v>11736</v>
      </c>
      <c r="C9333" s="132"/>
      <c r="D9333" s="125">
        <f t="shared" si="187"/>
        <v>0</v>
      </c>
      <c r="E9333" s="124" t="s">
        <v>8367</v>
      </c>
      <c r="F9333" s="126">
        <v>3</v>
      </c>
      <c r="G9333" s="128">
        <v>5748.01</v>
      </c>
      <c r="H9333" s="124" t="s">
        <v>8368</v>
      </c>
      <c r="I9333" s="128">
        <v>1699.99</v>
      </c>
      <c r="J9333" s="128">
        <v>8499.9599999999991</v>
      </c>
    </row>
    <row r="9334" spans="1:10" hidden="1" x14ac:dyDescent="0.25">
      <c r="A9334" s="124" t="s">
        <v>11389</v>
      </c>
      <c r="B9334" s="124" t="s">
        <v>11736</v>
      </c>
      <c r="C9334" s="132"/>
      <c r="D9334" s="125">
        <f t="shared" si="187"/>
        <v>0</v>
      </c>
      <c r="E9334" s="124" t="s">
        <v>8367</v>
      </c>
      <c r="F9334" s="126">
        <v>10</v>
      </c>
      <c r="G9334" s="128">
        <v>21000</v>
      </c>
      <c r="H9334" s="124" t="s">
        <v>8368</v>
      </c>
      <c r="I9334" s="127">
        <v>349.98</v>
      </c>
      <c r="J9334" s="128">
        <v>1749.9</v>
      </c>
    </row>
    <row r="9335" spans="1:10" hidden="1" x14ac:dyDescent="0.25">
      <c r="A9335" s="124" t="s">
        <v>11390</v>
      </c>
      <c r="B9335" s="124" t="s">
        <v>11736</v>
      </c>
      <c r="C9335" s="132"/>
      <c r="D9335" s="125">
        <f t="shared" si="187"/>
        <v>0</v>
      </c>
      <c r="E9335" s="124" t="s">
        <v>8367</v>
      </c>
      <c r="F9335" s="126">
        <v>11</v>
      </c>
      <c r="G9335" s="128">
        <v>9019.9599999999991</v>
      </c>
      <c r="H9335" s="124" t="s">
        <v>8368</v>
      </c>
      <c r="I9335" s="128">
        <v>8866.67</v>
      </c>
      <c r="J9335" s="128">
        <v>44333.35</v>
      </c>
    </row>
    <row r="9336" spans="1:10" hidden="1" x14ac:dyDescent="0.25">
      <c r="A9336" s="124" t="s">
        <v>11391</v>
      </c>
      <c r="B9336" s="124" t="s">
        <v>11736</v>
      </c>
      <c r="C9336" s="132"/>
      <c r="D9336" s="125">
        <f t="shared" si="187"/>
        <v>0</v>
      </c>
      <c r="E9336" s="124" t="s">
        <v>8367</v>
      </c>
      <c r="F9336" s="126">
        <v>12</v>
      </c>
      <c r="G9336" s="128">
        <v>10199.950000000001</v>
      </c>
      <c r="H9336" s="124" t="s">
        <v>8368</v>
      </c>
      <c r="I9336" s="128">
        <v>3884.96</v>
      </c>
      <c r="J9336" s="128">
        <v>19424.78</v>
      </c>
    </row>
    <row r="9337" spans="1:10" hidden="1" x14ac:dyDescent="0.25">
      <c r="A9337" s="124" t="s">
        <v>11392</v>
      </c>
      <c r="B9337" s="124" t="s">
        <v>11736</v>
      </c>
      <c r="C9337" s="132"/>
      <c r="D9337" s="125">
        <f t="shared" si="187"/>
        <v>0</v>
      </c>
      <c r="E9337" s="124" t="s">
        <v>8367</v>
      </c>
      <c r="F9337" s="126">
        <v>30</v>
      </c>
      <c r="G9337" s="128">
        <v>2099.88</v>
      </c>
      <c r="H9337" s="124" t="s">
        <v>8368</v>
      </c>
      <c r="I9337" s="128">
        <v>3750.48</v>
      </c>
      <c r="J9337" s="128">
        <v>18752.400000000001</v>
      </c>
    </row>
    <row r="9338" spans="1:10" hidden="1" x14ac:dyDescent="0.25">
      <c r="A9338" s="124" t="s">
        <v>11393</v>
      </c>
      <c r="B9338" s="124" t="s">
        <v>11736</v>
      </c>
      <c r="C9338" s="132"/>
      <c r="D9338" s="125">
        <f t="shared" si="187"/>
        <v>0</v>
      </c>
      <c r="E9338" s="124" t="s">
        <v>8367</v>
      </c>
      <c r="F9338" s="126">
        <v>5</v>
      </c>
      <c r="G9338" s="128">
        <v>53200.02</v>
      </c>
      <c r="H9338" s="124" t="s">
        <v>8368</v>
      </c>
      <c r="I9338" s="127">
        <v>113.34</v>
      </c>
      <c r="J9338" s="127">
        <v>566.72</v>
      </c>
    </row>
    <row r="9339" spans="1:10" hidden="1" x14ac:dyDescent="0.25">
      <c r="A9339" s="124" t="s">
        <v>2475</v>
      </c>
      <c r="B9339" s="124" t="s">
        <v>11736</v>
      </c>
      <c r="C9339" s="132"/>
      <c r="D9339" s="125">
        <f t="shared" si="187"/>
        <v>0</v>
      </c>
      <c r="E9339" s="124" t="s">
        <v>8367</v>
      </c>
      <c r="F9339" s="129">
        <v>15600</v>
      </c>
      <c r="G9339" s="128">
        <v>23309.74</v>
      </c>
      <c r="H9339" s="124" t="s">
        <v>8368</v>
      </c>
      <c r="I9339" s="128">
        <v>1485</v>
      </c>
      <c r="J9339" s="128">
        <v>7425</v>
      </c>
    </row>
    <row r="9340" spans="1:10" hidden="1" x14ac:dyDescent="0.25">
      <c r="A9340" s="124" t="s">
        <v>11394</v>
      </c>
      <c r="B9340" s="124" t="s">
        <v>11736</v>
      </c>
      <c r="C9340" s="132"/>
      <c r="D9340" s="125">
        <f t="shared" si="187"/>
        <v>0</v>
      </c>
      <c r="E9340" s="124" t="s">
        <v>8367</v>
      </c>
      <c r="F9340" s="126">
        <v>72</v>
      </c>
      <c r="G9340" s="128">
        <v>22502.880000000001</v>
      </c>
      <c r="H9340" s="124" t="s">
        <v>8368</v>
      </c>
      <c r="I9340" s="128">
        <v>1892.5</v>
      </c>
      <c r="J9340" s="128">
        <v>9462.5</v>
      </c>
    </row>
    <row r="9341" spans="1:10" hidden="1" x14ac:dyDescent="0.25">
      <c r="A9341" s="124" t="s">
        <v>11395</v>
      </c>
      <c r="B9341" s="124" t="s">
        <v>11736</v>
      </c>
      <c r="C9341" s="132"/>
      <c r="D9341" s="125">
        <f t="shared" si="187"/>
        <v>0</v>
      </c>
      <c r="E9341" s="124" t="s">
        <v>8367</v>
      </c>
      <c r="F9341" s="126">
        <v>16</v>
      </c>
      <c r="G9341" s="127">
        <v>680.06</v>
      </c>
      <c r="H9341" s="124" t="s">
        <v>8368</v>
      </c>
      <c r="I9341" s="127">
        <v>780.83</v>
      </c>
      <c r="J9341" s="128">
        <v>3904.17</v>
      </c>
    </row>
    <row r="9342" spans="1:10" hidden="1" x14ac:dyDescent="0.25">
      <c r="A9342" s="124" t="s">
        <v>11396</v>
      </c>
      <c r="B9342" s="124" t="s">
        <v>11736</v>
      </c>
      <c r="C9342" s="132"/>
      <c r="D9342" s="125">
        <f t="shared" si="187"/>
        <v>0</v>
      </c>
      <c r="E9342" s="124" t="s">
        <v>8367</v>
      </c>
      <c r="F9342" s="126">
        <v>1</v>
      </c>
      <c r="G9342" s="128">
        <v>8910</v>
      </c>
      <c r="H9342" s="124" t="s">
        <v>8368</v>
      </c>
      <c r="I9342" s="127">
        <v>931.67</v>
      </c>
      <c r="J9342" s="128">
        <v>4658.33</v>
      </c>
    </row>
    <row r="9343" spans="1:10" hidden="1" x14ac:dyDescent="0.25">
      <c r="A9343" s="124" t="s">
        <v>11397</v>
      </c>
      <c r="B9343" s="124" t="s">
        <v>11736</v>
      </c>
      <c r="C9343" s="132"/>
      <c r="D9343" s="125">
        <f t="shared" si="187"/>
        <v>0</v>
      </c>
      <c r="E9343" s="124" t="s">
        <v>8367</v>
      </c>
      <c r="F9343" s="126">
        <v>50</v>
      </c>
      <c r="G9343" s="128">
        <v>11355</v>
      </c>
      <c r="H9343" s="124" t="s">
        <v>8368</v>
      </c>
      <c r="I9343" s="128">
        <v>2250</v>
      </c>
      <c r="J9343" s="128">
        <v>11250</v>
      </c>
    </row>
    <row r="9344" spans="1:10" hidden="1" x14ac:dyDescent="0.25">
      <c r="A9344" s="124" t="s">
        <v>4049</v>
      </c>
      <c r="B9344" s="124" t="s">
        <v>11736</v>
      </c>
      <c r="C9344" s="132"/>
      <c r="D9344" s="125">
        <f t="shared" si="187"/>
        <v>0</v>
      </c>
      <c r="E9344" s="124" t="s">
        <v>8367</v>
      </c>
      <c r="F9344" s="126">
        <v>1</v>
      </c>
      <c r="G9344" s="128">
        <v>4685</v>
      </c>
      <c r="H9344" s="124" t="s">
        <v>8368</v>
      </c>
      <c r="I9344" s="128">
        <v>5333.4</v>
      </c>
      <c r="J9344" s="128">
        <v>26667</v>
      </c>
    </row>
    <row r="9345" spans="1:10" hidden="1" x14ac:dyDescent="0.25">
      <c r="A9345" s="124" t="s">
        <v>11398</v>
      </c>
      <c r="B9345" s="124" t="s">
        <v>11736</v>
      </c>
      <c r="C9345" s="132"/>
      <c r="D9345" s="125">
        <f t="shared" si="187"/>
        <v>0</v>
      </c>
      <c r="E9345" s="124" t="s">
        <v>8367</v>
      </c>
      <c r="F9345" s="126">
        <v>1</v>
      </c>
      <c r="G9345" s="128">
        <v>5590</v>
      </c>
      <c r="H9345" s="124" t="s">
        <v>8368</v>
      </c>
      <c r="I9345" s="128">
        <v>11400</v>
      </c>
      <c r="J9345" s="128">
        <v>57000</v>
      </c>
    </row>
    <row r="9346" spans="1:10" hidden="1" x14ac:dyDescent="0.25">
      <c r="A9346" s="124" t="s">
        <v>11399</v>
      </c>
      <c r="B9346" s="124" t="s">
        <v>11736</v>
      </c>
      <c r="C9346" s="132"/>
      <c r="D9346" s="125">
        <f t="shared" si="187"/>
        <v>0</v>
      </c>
      <c r="E9346" s="124" t="s">
        <v>8367</v>
      </c>
      <c r="F9346" s="126">
        <v>12</v>
      </c>
      <c r="G9346" s="128">
        <v>13500</v>
      </c>
      <c r="H9346" s="124" t="s">
        <v>8368</v>
      </c>
      <c r="I9346" s="128">
        <v>59533.4</v>
      </c>
      <c r="J9346" s="128">
        <v>297667</v>
      </c>
    </row>
    <row r="9347" spans="1:10" hidden="1" x14ac:dyDescent="0.25">
      <c r="A9347" s="124" t="s">
        <v>11400</v>
      </c>
      <c r="B9347" s="124" t="s">
        <v>11736</v>
      </c>
      <c r="C9347" s="132"/>
      <c r="D9347" s="125">
        <f t="shared" si="187"/>
        <v>0</v>
      </c>
      <c r="E9347" s="124" t="s">
        <v>8367</v>
      </c>
      <c r="F9347" s="126">
        <v>20</v>
      </c>
      <c r="G9347" s="128">
        <v>32000.400000000001</v>
      </c>
      <c r="H9347" s="124" t="s">
        <v>8368</v>
      </c>
      <c r="I9347" s="128">
        <v>3616.6</v>
      </c>
      <c r="J9347" s="128">
        <v>18083</v>
      </c>
    </row>
    <row r="9348" spans="1:10" hidden="1" x14ac:dyDescent="0.25">
      <c r="A9348" s="124" t="s">
        <v>1959</v>
      </c>
      <c r="B9348" s="124" t="s">
        <v>11736</v>
      </c>
      <c r="C9348" s="132"/>
      <c r="D9348" s="125">
        <f t="shared" si="187"/>
        <v>0</v>
      </c>
      <c r="E9348" s="124" t="s">
        <v>8367</v>
      </c>
      <c r="F9348" s="126">
        <v>36</v>
      </c>
      <c r="G9348" s="128">
        <v>68400</v>
      </c>
      <c r="H9348" s="124" t="s">
        <v>8368</v>
      </c>
      <c r="I9348" s="128">
        <v>52866.64</v>
      </c>
      <c r="J9348" s="128">
        <v>264333.2</v>
      </c>
    </row>
    <row r="9349" spans="1:10" hidden="1" x14ac:dyDescent="0.25">
      <c r="A9349" s="124" t="s">
        <v>11401</v>
      </c>
      <c r="B9349" s="124" t="s">
        <v>11736</v>
      </c>
      <c r="C9349" s="132"/>
      <c r="D9349" s="125">
        <f t="shared" si="187"/>
        <v>0</v>
      </c>
      <c r="E9349" s="124" t="s">
        <v>8367</v>
      </c>
      <c r="F9349" s="126">
        <v>38</v>
      </c>
      <c r="G9349" s="128">
        <v>357200.4</v>
      </c>
      <c r="H9349" s="124" t="s">
        <v>8368</v>
      </c>
      <c r="I9349" s="128">
        <v>11166.67</v>
      </c>
      <c r="J9349" s="128">
        <v>55833.34</v>
      </c>
    </row>
    <row r="9350" spans="1:10" hidden="1" x14ac:dyDescent="0.25">
      <c r="A9350" s="124" t="s">
        <v>11402</v>
      </c>
      <c r="B9350" s="124" t="s">
        <v>11736</v>
      </c>
      <c r="C9350" s="132"/>
      <c r="D9350" s="125">
        <f t="shared" si="187"/>
        <v>0</v>
      </c>
      <c r="E9350" s="124" t="s">
        <v>8367</v>
      </c>
      <c r="F9350" s="126">
        <v>2</v>
      </c>
      <c r="G9350" s="128">
        <v>21699.599999999999</v>
      </c>
      <c r="H9350" s="124" t="s">
        <v>8368</v>
      </c>
      <c r="I9350" s="128">
        <v>153333.4</v>
      </c>
      <c r="J9350" s="128">
        <v>766667</v>
      </c>
    </row>
    <row r="9351" spans="1:10" hidden="1" x14ac:dyDescent="0.25">
      <c r="A9351" s="124" t="s">
        <v>11403</v>
      </c>
      <c r="B9351" s="124" t="s">
        <v>11736</v>
      </c>
      <c r="C9351" s="132"/>
      <c r="D9351" s="125">
        <f t="shared" si="187"/>
        <v>0</v>
      </c>
      <c r="E9351" s="124" t="s">
        <v>8632</v>
      </c>
      <c r="F9351" s="126">
        <v>40</v>
      </c>
      <c r="G9351" s="128">
        <v>317199.84000000003</v>
      </c>
      <c r="H9351" s="124" t="s">
        <v>8368</v>
      </c>
      <c r="I9351" s="128">
        <v>9050</v>
      </c>
      <c r="J9351" s="128">
        <v>45250</v>
      </c>
    </row>
    <row r="9352" spans="1:10" hidden="1" x14ac:dyDescent="0.25">
      <c r="A9352" s="124" t="s">
        <v>11404</v>
      </c>
      <c r="B9352" s="124" t="s">
        <v>11736</v>
      </c>
      <c r="C9352" s="132"/>
      <c r="D9352" s="125">
        <f t="shared" si="187"/>
        <v>0</v>
      </c>
      <c r="E9352" s="124" t="s">
        <v>8367</v>
      </c>
      <c r="F9352" s="126">
        <v>2</v>
      </c>
      <c r="G9352" s="128">
        <v>67000.009999999995</v>
      </c>
      <c r="H9352" s="124" t="s">
        <v>8368</v>
      </c>
      <c r="I9352" s="128">
        <v>9077.2000000000007</v>
      </c>
      <c r="J9352" s="128">
        <v>45386</v>
      </c>
    </row>
    <row r="9353" spans="1:10" hidden="1" x14ac:dyDescent="0.25">
      <c r="A9353" s="124" t="s">
        <v>11405</v>
      </c>
      <c r="B9353" s="124" t="s">
        <v>11736</v>
      </c>
      <c r="C9353" s="132"/>
      <c r="D9353" s="125">
        <f t="shared" si="187"/>
        <v>0</v>
      </c>
      <c r="E9353" s="124" t="s">
        <v>8367</v>
      </c>
      <c r="F9353" s="126">
        <v>40</v>
      </c>
      <c r="G9353" s="128">
        <v>920000.4</v>
      </c>
      <c r="H9353" s="124" t="s">
        <v>8368</v>
      </c>
      <c r="I9353" s="127">
        <v>675</v>
      </c>
      <c r="J9353" s="128">
        <v>3375</v>
      </c>
    </row>
    <row r="9354" spans="1:10" hidden="1" x14ac:dyDescent="0.25">
      <c r="A9354" s="124" t="s">
        <v>11406</v>
      </c>
      <c r="B9354" s="124" t="s">
        <v>11736</v>
      </c>
      <c r="C9354" s="132"/>
      <c r="D9354" s="125">
        <f t="shared" si="187"/>
        <v>0</v>
      </c>
      <c r="E9354" s="124" t="s">
        <v>8367</v>
      </c>
      <c r="F9354" s="126">
        <v>1</v>
      </c>
      <c r="G9354" s="128">
        <v>54300</v>
      </c>
      <c r="H9354" s="124" t="s">
        <v>8368</v>
      </c>
      <c r="I9354" s="127">
        <v>70</v>
      </c>
      <c r="J9354" s="127">
        <v>350</v>
      </c>
    </row>
    <row r="9355" spans="1:10" hidden="1" x14ac:dyDescent="0.25">
      <c r="A9355" s="124" t="s">
        <v>11407</v>
      </c>
      <c r="B9355" s="124" t="s">
        <v>11736</v>
      </c>
      <c r="C9355" s="132"/>
      <c r="D9355" s="125">
        <f t="shared" si="187"/>
        <v>0</v>
      </c>
      <c r="E9355" s="124" t="s">
        <v>8367</v>
      </c>
      <c r="F9355" s="126">
        <v>1</v>
      </c>
      <c r="G9355" s="128">
        <v>54463.199999999997</v>
      </c>
      <c r="H9355" s="124" t="s">
        <v>8368</v>
      </c>
      <c r="I9355" s="127">
        <v>87.6</v>
      </c>
      <c r="J9355" s="127">
        <v>438</v>
      </c>
    </row>
    <row r="9356" spans="1:10" hidden="1" x14ac:dyDescent="0.25">
      <c r="A9356" s="124" t="s">
        <v>11408</v>
      </c>
      <c r="B9356" s="124" t="s">
        <v>11736</v>
      </c>
      <c r="C9356" s="132"/>
      <c r="D9356" s="125">
        <f t="shared" si="187"/>
        <v>0</v>
      </c>
      <c r="E9356" s="124" t="s">
        <v>8367</v>
      </c>
      <c r="F9356" s="126">
        <v>1</v>
      </c>
      <c r="G9356" s="128">
        <v>4050</v>
      </c>
      <c r="H9356" s="124" t="s">
        <v>8368</v>
      </c>
      <c r="I9356" s="127">
        <v>107.73</v>
      </c>
      <c r="J9356" s="127">
        <v>538.66999999999996</v>
      </c>
    </row>
    <row r="9357" spans="1:10" hidden="1" x14ac:dyDescent="0.25">
      <c r="A9357" s="124" t="s">
        <v>11409</v>
      </c>
      <c r="B9357" s="124" t="s">
        <v>11736</v>
      </c>
      <c r="C9357" s="132"/>
      <c r="D9357" s="125">
        <f t="shared" si="187"/>
        <v>0</v>
      </c>
      <c r="E9357" s="124" t="s">
        <v>8367</v>
      </c>
      <c r="F9357" s="126">
        <v>1</v>
      </c>
      <c r="G9357" s="127">
        <v>420</v>
      </c>
      <c r="H9357" s="124" t="s">
        <v>8368</v>
      </c>
      <c r="I9357" s="127">
        <v>87.6</v>
      </c>
      <c r="J9357" s="127">
        <v>438</v>
      </c>
    </row>
    <row r="9358" spans="1:10" hidden="1" x14ac:dyDescent="0.25">
      <c r="A9358" s="124" t="s">
        <v>4334</v>
      </c>
      <c r="B9358" s="124" t="s">
        <v>11736</v>
      </c>
      <c r="C9358" s="132"/>
      <c r="D9358" s="125">
        <f t="shared" si="187"/>
        <v>0</v>
      </c>
      <c r="E9358" s="124" t="s">
        <v>8367</v>
      </c>
      <c r="F9358" s="126">
        <v>1</v>
      </c>
      <c r="G9358" s="127">
        <v>525.6</v>
      </c>
      <c r="H9358" s="124" t="s">
        <v>8368</v>
      </c>
      <c r="I9358" s="127">
        <v>145</v>
      </c>
      <c r="J9358" s="127">
        <v>725</v>
      </c>
    </row>
    <row r="9359" spans="1:10" hidden="1" x14ac:dyDescent="0.25">
      <c r="A9359" s="124" t="s">
        <v>11410</v>
      </c>
      <c r="B9359" s="124" t="s">
        <v>11736</v>
      </c>
      <c r="C9359" s="132"/>
      <c r="D9359" s="125">
        <f t="shared" si="187"/>
        <v>0</v>
      </c>
      <c r="E9359" s="124" t="s">
        <v>8367</v>
      </c>
      <c r="F9359" s="126">
        <v>1</v>
      </c>
      <c r="G9359" s="127">
        <v>646.4</v>
      </c>
      <c r="H9359" s="124" t="s">
        <v>8368</v>
      </c>
      <c r="I9359" s="127">
        <v>112.6</v>
      </c>
      <c r="J9359" s="127">
        <v>563</v>
      </c>
    </row>
    <row r="9360" spans="1:10" hidden="1" x14ac:dyDescent="0.25">
      <c r="A9360" s="124" t="s">
        <v>11411</v>
      </c>
      <c r="B9360" s="124" t="s">
        <v>11736</v>
      </c>
      <c r="C9360" s="132"/>
      <c r="D9360" s="125">
        <f t="shared" si="187"/>
        <v>0</v>
      </c>
      <c r="E9360" s="124" t="s">
        <v>8367</v>
      </c>
      <c r="F9360" s="126">
        <v>1</v>
      </c>
      <c r="G9360" s="127">
        <v>525.6</v>
      </c>
      <c r="H9360" s="124" t="s">
        <v>8368</v>
      </c>
      <c r="I9360" s="127">
        <v>162.6</v>
      </c>
      <c r="J9360" s="127">
        <v>813</v>
      </c>
    </row>
    <row r="9361" spans="1:10" hidden="1" x14ac:dyDescent="0.25">
      <c r="A9361" s="124" t="s">
        <v>11412</v>
      </c>
      <c r="B9361" s="124" t="s">
        <v>11736</v>
      </c>
      <c r="C9361" s="132"/>
      <c r="D9361" s="125">
        <f t="shared" si="187"/>
        <v>0</v>
      </c>
      <c r="E9361" s="124" t="s">
        <v>8367</v>
      </c>
      <c r="F9361" s="126">
        <v>2</v>
      </c>
      <c r="G9361" s="127">
        <v>870</v>
      </c>
      <c r="H9361" s="124" t="s">
        <v>8368</v>
      </c>
      <c r="I9361" s="128">
        <v>1505.8</v>
      </c>
      <c r="J9361" s="128">
        <v>7529</v>
      </c>
    </row>
    <row r="9362" spans="1:10" hidden="1" x14ac:dyDescent="0.25">
      <c r="A9362" s="124" t="s">
        <v>7192</v>
      </c>
      <c r="B9362" s="124" t="s">
        <v>11736</v>
      </c>
      <c r="C9362" s="132"/>
      <c r="D9362" s="125">
        <f t="shared" si="187"/>
        <v>0</v>
      </c>
      <c r="E9362" s="124" t="s">
        <v>8367</v>
      </c>
      <c r="F9362" s="126">
        <v>1</v>
      </c>
      <c r="G9362" s="127">
        <v>675.6</v>
      </c>
      <c r="H9362" s="124" t="s">
        <v>8368</v>
      </c>
      <c r="I9362" s="127">
        <v>425</v>
      </c>
      <c r="J9362" s="128">
        <v>2125</v>
      </c>
    </row>
    <row r="9363" spans="1:10" hidden="1" x14ac:dyDescent="0.25">
      <c r="A9363" s="124" t="s">
        <v>11413</v>
      </c>
      <c r="B9363" s="124" t="s">
        <v>11736</v>
      </c>
      <c r="C9363" s="132"/>
      <c r="D9363" s="125">
        <f t="shared" si="187"/>
        <v>0</v>
      </c>
      <c r="E9363" s="124" t="s">
        <v>8367</v>
      </c>
      <c r="F9363" s="126">
        <v>1</v>
      </c>
      <c r="G9363" s="127">
        <v>975.6</v>
      </c>
      <c r="H9363" s="124" t="s">
        <v>8368</v>
      </c>
      <c r="I9363" s="128">
        <v>1115.8</v>
      </c>
      <c r="J9363" s="128">
        <v>5579</v>
      </c>
    </row>
    <row r="9364" spans="1:10" hidden="1" x14ac:dyDescent="0.25">
      <c r="A9364" s="124" t="s">
        <v>11414</v>
      </c>
      <c r="B9364" s="124" t="s">
        <v>11736</v>
      </c>
      <c r="C9364" s="132"/>
      <c r="D9364" s="125">
        <f t="shared" si="187"/>
        <v>0</v>
      </c>
      <c r="E9364" s="124" t="s">
        <v>8367</v>
      </c>
      <c r="F9364" s="126">
        <v>1</v>
      </c>
      <c r="G9364" s="128">
        <v>9034.7999999999993</v>
      </c>
      <c r="H9364" s="124" t="s">
        <v>8368</v>
      </c>
      <c r="I9364" s="128">
        <v>1604</v>
      </c>
      <c r="J9364" s="128">
        <v>8020</v>
      </c>
    </row>
    <row r="9365" spans="1:10" hidden="1" x14ac:dyDescent="0.25">
      <c r="A9365" s="124" t="s">
        <v>11415</v>
      </c>
      <c r="B9365" s="124" t="s">
        <v>11736</v>
      </c>
      <c r="C9365" s="132"/>
      <c r="D9365" s="125">
        <f t="shared" si="187"/>
        <v>0</v>
      </c>
      <c r="E9365" s="124" t="s">
        <v>8367</v>
      </c>
      <c r="F9365" s="126">
        <v>2</v>
      </c>
      <c r="G9365" s="128">
        <v>2550</v>
      </c>
      <c r="H9365" s="124" t="s">
        <v>8368</v>
      </c>
      <c r="I9365" s="128">
        <v>31208.31</v>
      </c>
      <c r="J9365" s="128">
        <v>156041.51999999999</v>
      </c>
    </row>
    <row r="9366" spans="1:10" hidden="1" x14ac:dyDescent="0.25">
      <c r="A9366" s="124" t="s">
        <v>11416</v>
      </c>
      <c r="B9366" s="124" t="s">
        <v>11736</v>
      </c>
      <c r="C9366" s="132"/>
      <c r="D9366" s="125">
        <f t="shared" si="187"/>
        <v>0</v>
      </c>
      <c r="E9366" s="124" t="s">
        <v>8367</v>
      </c>
      <c r="F9366" s="126">
        <v>1</v>
      </c>
      <c r="G9366" s="128">
        <v>6694.8</v>
      </c>
      <c r="H9366" s="124" t="s">
        <v>8368</v>
      </c>
      <c r="I9366" s="128">
        <v>93750</v>
      </c>
      <c r="J9366" s="128">
        <v>468750</v>
      </c>
    </row>
    <row r="9367" spans="1:10" hidden="1" x14ac:dyDescent="0.25">
      <c r="A9367" s="124" t="s">
        <v>11417</v>
      </c>
      <c r="B9367" s="124" t="s">
        <v>11736</v>
      </c>
      <c r="C9367" s="132"/>
      <c r="D9367" s="125">
        <f t="shared" si="187"/>
        <v>0</v>
      </c>
      <c r="E9367" s="124" t="s">
        <v>8367</v>
      </c>
      <c r="F9367" s="126">
        <v>20</v>
      </c>
      <c r="G9367" s="128">
        <v>9624</v>
      </c>
      <c r="H9367" s="124" t="s">
        <v>8368</v>
      </c>
      <c r="I9367" s="128">
        <v>1773.2</v>
      </c>
      <c r="J9367" s="128">
        <v>8866</v>
      </c>
    </row>
    <row r="9368" spans="1:10" hidden="1" x14ac:dyDescent="0.25">
      <c r="A9368" s="124" t="s">
        <v>5031</v>
      </c>
      <c r="B9368" s="124" t="s">
        <v>11736</v>
      </c>
      <c r="C9368" s="132"/>
      <c r="D9368" s="125">
        <f t="shared" si="187"/>
        <v>0</v>
      </c>
      <c r="E9368" s="124" t="s">
        <v>8367</v>
      </c>
      <c r="F9368" s="126">
        <v>10</v>
      </c>
      <c r="G9368" s="128">
        <v>187249.83</v>
      </c>
      <c r="H9368" s="124" t="s">
        <v>8368</v>
      </c>
      <c r="I9368" s="127">
        <v>958.33</v>
      </c>
      <c r="J9368" s="128">
        <v>4791.6499999999996</v>
      </c>
    </row>
    <row r="9369" spans="1:10" hidden="1" x14ac:dyDescent="0.25">
      <c r="A9369" s="124" t="s">
        <v>11418</v>
      </c>
      <c r="B9369" s="124" t="s">
        <v>11736</v>
      </c>
      <c r="C9369" s="132"/>
      <c r="D9369" s="125">
        <f>COUNTIF(A5153:A9368,A9369)</f>
        <v>0</v>
      </c>
      <c r="E9369" s="124" t="s">
        <v>8632</v>
      </c>
      <c r="F9369" s="129">
        <v>1500</v>
      </c>
      <c r="G9369" s="128">
        <v>562500</v>
      </c>
      <c r="H9369" s="124" t="s">
        <v>8368</v>
      </c>
      <c r="I9369" s="128">
        <v>9763.7999999999993</v>
      </c>
      <c r="J9369" s="128">
        <v>48819</v>
      </c>
    </row>
    <row r="9370" spans="1:10" hidden="1" x14ac:dyDescent="0.25">
      <c r="A9370" s="124" t="s">
        <v>11419</v>
      </c>
      <c r="B9370" s="124" t="s">
        <v>11736</v>
      </c>
      <c r="C9370" s="132"/>
      <c r="D9370" s="125">
        <f>COUNTIF(A5154:A9369,A9370)</f>
        <v>0</v>
      </c>
      <c r="E9370" s="124" t="s">
        <v>8367</v>
      </c>
      <c r="F9370" s="126">
        <v>1</v>
      </c>
      <c r="G9370" s="128">
        <v>10639.2</v>
      </c>
      <c r="H9370" s="124" t="s">
        <v>8368</v>
      </c>
      <c r="I9370" s="128">
        <v>1020.8</v>
      </c>
      <c r="J9370" s="128">
        <v>5104</v>
      </c>
    </row>
    <row r="9371" spans="1:10" hidden="1" x14ac:dyDescent="0.25">
      <c r="A9371" s="124" t="s">
        <v>11420</v>
      </c>
      <c r="B9371" s="124" t="s">
        <v>11736</v>
      </c>
      <c r="C9371" s="132"/>
      <c r="D9371" s="125">
        <f>COUNTIF(A5155:A9370,A9371)</f>
        <v>0</v>
      </c>
      <c r="E9371" s="124" t="s">
        <v>1</v>
      </c>
      <c r="F9371" s="126">
        <v>5</v>
      </c>
      <c r="G9371" s="128">
        <v>5749.98</v>
      </c>
      <c r="H9371" s="124" t="s">
        <v>8368</v>
      </c>
      <c r="I9371" s="127">
        <v>165.92</v>
      </c>
      <c r="J9371" s="127">
        <v>829.6</v>
      </c>
    </row>
    <row r="9372" spans="1:10" hidden="1" x14ac:dyDescent="0.25">
      <c r="A9372" s="124" t="s">
        <v>11421</v>
      </c>
      <c r="B9372" s="124" t="s">
        <v>11736</v>
      </c>
      <c r="C9372" s="132"/>
      <c r="D9372" s="125">
        <f>COUNTIF(A5156:A9371,A9372)</f>
        <v>0</v>
      </c>
      <c r="E9372" s="124" t="s">
        <v>8367</v>
      </c>
      <c r="F9372" s="126">
        <v>7</v>
      </c>
      <c r="G9372" s="128">
        <v>58582.8</v>
      </c>
      <c r="H9372" s="124" t="s">
        <v>8368</v>
      </c>
      <c r="I9372" s="127">
        <v>166.67</v>
      </c>
      <c r="J9372" s="127">
        <v>833.34</v>
      </c>
    </row>
    <row r="9373" spans="1:10" hidden="1" x14ac:dyDescent="0.25">
      <c r="A9373" s="124" t="s">
        <v>11422</v>
      </c>
      <c r="B9373" s="124" t="s">
        <v>11736</v>
      </c>
      <c r="C9373" s="132"/>
      <c r="D9373" s="125">
        <f>COUNTIF(A5158:A9372,A9373)</f>
        <v>0</v>
      </c>
      <c r="E9373" s="124" t="s">
        <v>8367</v>
      </c>
      <c r="F9373" s="126">
        <v>2</v>
      </c>
      <c r="G9373" s="128">
        <v>6124.8</v>
      </c>
      <c r="H9373" s="124" t="s">
        <v>8368</v>
      </c>
      <c r="I9373" s="127">
        <v>165.8</v>
      </c>
      <c r="J9373" s="127">
        <v>829</v>
      </c>
    </row>
    <row r="9374" spans="1:10" hidden="1" x14ac:dyDescent="0.25">
      <c r="A9374" s="124" t="s">
        <v>11423</v>
      </c>
      <c r="B9374" s="124" t="s">
        <v>11736</v>
      </c>
      <c r="C9374" s="132"/>
      <c r="D9374" s="125">
        <f>COUNTIF(A5159:A9373,A9374)</f>
        <v>0</v>
      </c>
      <c r="E9374" s="124" t="s">
        <v>8367</v>
      </c>
      <c r="F9374" s="126">
        <v>4</v>
      </c>
      <c r="G9374" s="127">
        <v>995.52</v>
      </c>
      <c r="H9374" s="124" t="s">
        <v>8368</v>
      </c>
      <c r="I9374" s="127">
        <v>84.4</v>
      </c>
      <c r="J9374" s="127">
        <v>422</v>
      </c>
    </row>
    <row r="9375" spans="1:10" hidden="1" x14ac:dyDescent="0.25">
      <c r="A9375" s="124" t="s">
        <v>11424</v>
      </c>
      <c r="B9375" s="124" t="s">
        <v>11736</v>
      </c>
      <c r="C9375" s="132"/>
      <c r="D9375" s="125">
        <f>COUNTIF(A5160:A9374,A9375)</f>
        <v>0</v>
      </c>
      <c r="E9375" s="124" t="s">
        <v>8632</v>
      </c>
      <c r="F9375" s="126">
        <v>2</v>
      </c>
      <c r="G9375" s="128">
        <v>1000.01</v>
      </c>
      <c r="H9375" s="124" t="s">
        <v>8368</v>
      </c>
      <c r="I9375" s="127">
        <v>148.19999999999999</v>
      </c>
      <c r="J9375" s="127">
        <v>741</v>
      </c>
    </row>
    <row r="9376" spans="1:10" hidden="1" x14ac:dyDescent="0.25">
      <c r="A9376" s="124" t="s">
        <v>4906</v>
      </c>
      <c r="B9376" s="124" t="s">
        <v>11736</v>
      </c>
      <c r="C9376" s="132"/>
      <c r="D9376" s="125">
        <f>COUNTIF(A5161:A9375,A9376)</f>
        <v>0</v>
      </c>
      <c r="E9376" s="124" t="s">
        <v>8367</v>
      </c>
      <c r="F9376" s="126">
        <v>5</v>
      </c>
      <c r="G9376" s="127">
        <v>994.8</v>
      </c>
      <c r="H9376" s="124" t="s">
        <v>8368</v>
      </c>
      <c r="I9376" s="127">
        <v>109.2</v>
      </c>
      <c r="J9376" s="127">
        <v>546</v>
      </c>
    </row>
    <row r="9377" spans="1:10" hidden="1" x14ac:dyDescent="0.25">
      <c r="A9377" s="124" t="s">
        <v>11425</v>
      </c>
      <c r="B9377" s="124" t="s">
        <v>11736</v>
      </c>
      <c r="C9377" s="132"/>
      <c r="D9377" s="125">
        <f t="shared" ref="D9377:D9393" si="188">COUNTIF(A5163:A9376,A9377)</f>
        <v>0</v>
      </c>
      <c r="E9377" s="124" t="s">
        <v>8367</v>
      </c>
      <c r="F9377" s="126">
        <v>3</v>
      </c>
      <c r="G9377" s="127">
        <v>506.4</v>
      </c>
      <c r="H9377" s="124" t="s">
        <v>8368</v>
      </c>
      <c r="I9377" s="127">
        <v>224.2</v>
      </c>
      <c r="J9377" s="128">
        <v>1121</v>
      </c>
    </row>
    <row r="9378" spans="1:10" hidden="1" x14ac:dyDescent="0.25">
      <c r="A9378" s="124" t="s">
        <v>11426</v>
      </c>
      <c r="B9378" s="124" t="s">
        <v>11736</v>
      </c>
      <c r="C9378" s="132"/>
      <c r="D9378" s="125">
        <f t="shared" si="188"/>
        <v>0</v>
      </c>
      <c r="E9378" s="124" t="s">
        <v>8367</v>
      </c>
      <c r="F9378" s="126">
        <v>3</v>
      </c>
      <c r="G9378" s="127">
        <v>889.2</v>
      </c>
      <c r="H9378" s="124" t="s">
        <v>8368</v>
      </c>
      <c r="I9378" s="127">
        <v>442.6</v>
      </c>
      <c r="J9378" s="128">
        <v>2213</v>
      </c>
    </row>
    <row r="9379" spans="1:10" hidden="1" x14ac:dyDescent="0.25">
      <c r="A9379" s="124" t="s">
        <v>5120</v>
      </c>
      <c r="B9379" s="124" t="s">
        <v>11736</v>
      </c>
      <c r="C9379" s="132"/>
      <c r="D9379" s="125">
        <f t="shared" si="188"/>
        <v>0</v>
      </c>
      <c r="E9379" s="124" t="s">
        <v>8367</v>
      </c>
      <c r="F9379" s="126">
        <v>20</v>
      </c>
      <c r="G9379" s="127">
        <v>655.20000000000005</v>
      </c>
      <c r="H9379" s="124" t="s">
        <v>8368</v>
      </c>
      <c r="I9379" s="128">
        <v>3165</v>
      </c>
      <c r="J9379" s="128">
        <v>15825</v>
      </c>
    </row>
    <row r="9380" spans="1:10" hidden="1" x14ac:dyDescent="0.25">
      <c r="A9380" s="124" t="s">
        <v>4907</v>
      </c>
      <c r="B9380" s="124" t="s">
        <v>11736</v>
      </c>
      <c r="C9380" s="132"/>
      <c r="D9380" s="125">
        <f t="shared" si="188"/>
        <v>0</v>
      </c>
      <c r="E9380" s="124" t="s">
        <v>8367</v>
      </c>
      <c r="F9380" s="126">
        <v>5</v>
      </c>
      <c r="G9380" s="128">
        <v>1345.2</v>
      </c>
      <c r="H9380" s="124" t="s">
        <v>8368</v>
      </c>
      <c r="I9380" s="127">
        <v>499.8</v>
      </c>
      <c r="J9380" s="128">
        <v>2499</v>
      </c>
    </row>
    <row r="9381" spans="1:10" hidden="1" x14ac:dyDescent="0.25">
      <c r="A9381" s="124" t="s">
        <v>11427</v>
      </c>
      <c r="B9381" s="124" t="s">
        <v>11736</v>
      </c>
      <c r="C9381" s="132"/>
      <c r="D9381" s="125">
        <f t="shared" si="188"/>
        <v>0</v>
      </c>
      <c r="E9381" s="124" t="s">
        <v>8367</v>
      </c>
      <c r="F9381" s="126">
        <v>5</v>
      </c>
      <c r="G9381" s="128">
        <v>2655.6</v>
      </c>
      <c r="H9381" s="124" t="s">
        <v>8368</v>
      </c>
      <c r="I9381" s="127">
        <v>305.8</v>
      </c>
      <c r="J9381" s="128">
        <v>1529</v>
      </c>
    </row>
    <row r="9382" spans="1:10" hidden="1" x14ac:dyDescent="0.25">
      <c r="A9382" s="124" t="s">
        <v>11428</v>
      </c>
      <c r="B9382" s="124" t="s">
        <v>11736</v>
      </c>
      <c r="C9382" s="132"/>
      <c r="D9382" s="125">
        <f t="shared" si="188"/>
        <v>0</v>
      </c>
      <c r="E9382" s="124" t="s">
        <v>8367</v>
      </c>
      <c r="F9382" s="126">
        <v>5</v>
      </c>
      <c r="G9382" s="128">
        <v>18990</v>
      </c>
      <c r="H9382" s="124" t="s">
        <v>8368</v>
      </c>
      <c r="I9382" s="127">
        <v>344.2</v>
      </c>
      <c r="J9382" s="128">
        <v>1721</v>
      </c>
    </row>
    <row r="9383" spans="1:10" hidden="1" x14ac:dyDescent="0.25">
      <c r="A9383" s="124" t="s">
        <v>11429</v>
      </c>
      <c r="B9383" s="124" t="s">
        <v>11736</v>
      </c>
      <c r="C9383" s="132"/>
      <c r="D9383" s="125">
        <f t="shared" si="188"/>
        <v>0</v>
      </c>
      <c r="E9383" s="124" t="s">
        <v>8457</v>
      </c>
      <c r="F9383" s="126">
        <v>1</v>
      </c>
      <c r="G9383" s="128">
        <v>2998.8</v>
      </c>
      <c r="H9383" s="124" t="s">
        <v>8368</v>
      </c>
      <c r="I9383" s="128">
        <v>1545</v>
      </c>
      <c r="J9383" s="128">
        <v>7725</v>
      </c>
    </row>
    <row r="9384" spans="1:10" hidden="1" x14ac:dyDescent="0.25">
      <c r="A9384" s="124" t="s">
        <v>11430</v>
      </c>
      <c r="B9384" s="124" t="s">
        <v>11736</v>
      </c>
      <c r="C9384" s="132"/>
      <c r="D9384" s="125">
        <f t="shared" si="188"/>
        <v>0</v>
      </c>
      <c r="E9384" s="124" t="s">
        <v>8367</v>
      </c>
      <c r="F9384" s="126">
        <v>1</v>
      </c>
      <c r="G9384" s="128">
        <v>1834.8</v>
      </c>
      <c r="H9384" s="124" t="s">
        <v>8368</v>
      </c>
      <c r="I9384" s="127">
        <v>231.4</v>
      </c>
      <c r="J9384" s="128">
        <v>1157</v>
      </c>
    </row>
    <row r="9385" spans="1:10" hidden="1" x14ac:dyDescent="0.25">
      <c r="A9385" s="124" t="s">
        <v>6471</v>
      </c>
      <c r="B9385" s="124" t="s">
        <v>11736</v>
      </c>
      <c r="C9385" s="132"/>
      <c r="D9385" s="125">
        <f t="shared" si="188"/>
        <v>0</v>
      </c>
      <c r="E9385" s="124" t="s">
        <v>8367</v>
      </c>
      <c r="F9385" s="126">
        <v>5</v>
      </c>
      <c r="G9385" s="128">
        <v>2065.1999999999998</v>
      </c>
      <c r="H9385" s="124" t="s">
        <v>8368</v>
      </c>
      <c r="I9385" s="128">
        <v>2998.8</v>
      </c>
      <c r="J9385" s="128">
        <v>14994</v>
      </c>
    </row>
    <row r="9386" spans="1:10" hidden="1" x14ac:dyDescent="0.25">
      <c r="A9386" s="124" t="s">
        <v>11431</v>
      </c>
      <c r="B9386" s="124" t="s">
        <v>11736</v>
      </c>
      <c r="C9386" s="132"/>
      <c r="D9386" s="125">
        <f t="shared" si="188"/>
        <v>0</v>
      </c>
      <c r="E9386" s="124" t="s">
        <v>8457</v>
      </c>
      <c r="F9386" s="126">
        <v>15</v>
      </c>
      <c r="G9386" s="128">
        <v>9270</v>
      </c>
      <c r="H9386" s="124" t="s">
        <v>8368</v>
      </c>
      <c r="I9386" s="128">
        <v>6330</v>
      </c>
      <c r="J9386" s="128">
        <v>31650</v>
      </c>
    </row>
    <row r="9387" spans="1:10" hidden="1" x14ac:dyDescent="0.25">
      <c r="A9387" s="124" t="s">
        <v>11432</v>
      </c>
      <c r="B9387" s="124" t="s">
        <v>11736</v>
      </c>
      <c r="C9387" s="132"/>
      <c r="D9387" s="125">
        <f t="shared" si="188"/>
        <v>0</v>
      </c>
      <c r="E9387" s="124" t="s">
        <v>8367</v>
      </c>
      <c r="F9387" s="126">
        <v>10</v>
      </c>
      <c r="G9387" s="128">
        <v>1388.4</v>
      </c>
      <c r="H9387" s="124" t="s">
        <v>8368</v>
      </c>
      <c r="I9387" s="128">
        <v>6660</v>
      </c>
      <c r="J9387" s="128">
        <v>33300</v>
      </c>
    </row>
    <row r="9388" spans="1:10" hidden="1" x14ac:dyDescent="0.25">
      <c r="A9388" s="124" t="s">
        <v>11433</v>
      </c>
      <c r="B9388" s="124" t="s">
        <v>11736</v>
      </c>
      <c r="C9388" s="132"/>
      <c r="D9388" s="125">
        <f t="shared" si="188"/>
        <v>0</v>
      </c>
      <c r="E9388" s="124" t="s">
        <v>8451</v>
      </c>
      <c r="F9388" s="126">
        <v>6</v>
      </c>
      <c r="G9388" s="128">
        <v>17992.8</v>
      </c>
      <c r="H9388" s="124" t="s">
        <v>8368</v>
      </c>
      <c r="I9388" s="127">
        <v>36.4</v>
      </c>
      <c r="J9388" s="127">
        <v>182</v>
      </c>
    </row>
    <row r="9389" spans="1:10" hidden="1" x14ac:dyDescent="0.25">
      <c r="A9389" s="124" t="s">
        <v>11434</v>
      </c>
      <c r="B9389" s="124" t="s">
        <v>11736</v>
      </c>
      <c r="C9389" s="132"/>
      <c r="D9389" s="125">
        <f t="shared" si="188"/>
        <v>0</v>
      </c>
      <c r="E9389" s="124" t="s">
        <v>9270</v>
      </c>
      <c r="F9389" s="126">
        <v>150</v>
      </c>
      <c r="G9389" s="128">
        <v>37980</v>
      </c>
      <c r="H9389" s="124" t="s">
        <v>8368</v>
      </c>
      <c r="I9389" s="127">
        <v>354.2</v>
      </c>
      <c r="J9389" s="128">
        <v>1771</v>
      </c>
    </row>
    <row r="9390" spans="1:10" hidden="1" x14ac:dyDescent="0.25">
      <c r="A9390" s="124" t="s">
        <v>11435</v>
      </c>
      <c r="B9390" s="124" t="s">
        <v>11736</v>
      </c>
      <c r="C9390" s="132"/>
      <c r="D9390" s="125">
        <f t="shared" si="188"/>
        <v>0</v>
      </c>
      <c r="E9390" s="124" t="s">
        <v>9270</v>
      </c>
      <c r="F9390" s="126">
        <v>150</v>
      </c>
      <c r="G9390" s="128">
        <v>39960</v>
      </c>
      <c r="H9390" s="124" t="s">
        <v>8368</v>
      </c>
      <c r="I9390" s="127">
        <v>143.34</v>
      </c>
      <c r="J9390" s="127">
        <v>716.68</v>
      </c>
    </row>
    <row r="9391" spans="1:10" hidden="1" x14ac:dyDescent="0.25">
      <c r="A9391" s="124" t="s">
        <v>11436</v>
      </c>
      <c r="B9391" s="124" t="s">
        <v>11736</v>
      </c>
      <c r="C9391" s="132"/>
      <c r="D9391" s="125">
        <f t="shared" si="188"/>
        <v>0</v>
      </c>
      <c r="E9391" s="124" t="s">
        <v>8367</v>
      </c>
      <c r="F9391" s="126">
        <v>1</v>
      </c>
      <c r="G9391" s="127">
        <v>218.4</v>
      </c>
      <c r="H9391" s="124" t="s">
        <v>8368</v>
      </c>
      <c r="I9391" s="127">
        <v>193.5</v>
      </c>
      <c r="J9391" s="127">
        <v>967.5</v>
      </c>
    </row>
    <row r="9392" spans="1:10" hidden="1" x14ac:dyDescent="0.25">
      <c r="A9392" s="124" t="s">
        <v>5787</v>
      </c>
      <c r="B9392" s="124" t="s">
        <v>11736</v>
      </c>
      <c r="C9392" s="132"/>
      <c r="D9392" s="125">
        <f t="shared" si="188"/>
        <v>0</v>
      </c>
      <c r="E9392" s="124" t="s">
        <v>8367</v>
      </c>
      <c r="F9392" s="126">
        <v>1</v>
      </c>
      <c r="G9392" s="128">
        <v>2125.1999999999998</v>
      </c>
      <c r="H9392" s="124" t="s">
        <v>8368</v>
      </c>
      <c r="I9392" s="127">
        <v>116.6</v>
      </c>
      <c r="J9392" s="127">
        <v>583</v>
      </c>
    </row>
    <row r="9393" spans="1:10" hidden="1" x14ac:dyDescent="0.25">
      <c r="A9393" s="124" t="s">
        <v>11437</v>
      </c>
      <c r="B9393" s="124" t="s">
        <v>11736</v>
      </c>
      <c r="C9393" s="132"/>
      <c r="D9393" s="125">
        <f t="shared" si="188"/>
        <v>0</v>
      </c>
      <c r="E9393" s="124" t="s">
        <v>8451</v>
      </c>
      <c r="F9393" s="126">
        <v>2</v>
      </c>
      <c r="G9393" s="127">
        <v>860.02</v>
      </c>
      <c r="H9393" s="124" t="s">
        <v>8368</v>
      </c>
      <c r="I9393" s="127">
        <v>231.6</v>
      </c>
      <c r="J9393" s="128">
        <v>1158</v>
      </c>
    </row>
    <row r="9394" spans="1:10" hidden="1" x14ac:dyDescent="0.25">
      <c r="A9394" s="124" t="s">
        <v>11438</v>
      </c>
      <c r="B9394" s="124" t="s">
        <v>11736</v>
      </c>
      <c r="C9394" s="132"/>
      <c r="D9394" s="125">
        <f>COUNTIF(A5181:A9393,A9394)</f>
        <v>0</v>
      </c>
      <c r="E9394" s="124" t="s">
        <v>8451</v>
      </c>
      <c r="F9394" s="126">
        <v>1</v>
      </c>
      <c r="G9394" s="128">
        <v>1161</v>
      </c>
      <c r="H9394" s="124" t="s">
        <v>8368</v>
      </c>
      <c r="I9394" s="127">
        <v>154.6</v>
      </c>
      <c r="J9394" s="127">
        <v>773</v>
      </c>
    </row>
    <row r="9395" spans="1:10" hidden="1" x14ac:dyDescent="0.25">
      <c r="A9395" s="124" t="s">
        <v>11439</v>
      </c>
      <c r="B9395" s="124" t="s">
        <v>11736</v>
      </c>
      <c r="C9395" s="132"/>
      <c r="D9395" s="125">
        <f t="shared" ref="D9395:D9400" si="189">COUNTIF(A5183:A9394,A9395)</f>
        <v>0</v>
      </c>
      <c r="E9395" s="124" t="s">
        <v>8367</v>
      </c>
      <c r="F9395" s="126">
        <v>1</v>
      </c>
      <c r="G9395" s="127">
        <v>699.6</v>
      </c>
      <c r="H9395" s="124" t="s">
        <v>8368</v>
      </c>
      <c r="I9395" s="127">
        <v>72.2</v>
      </c>
      <c r="J9395" s="127">
        <v>361</v>
      </c>
    </row>
    <row r="9396" spans="1:10" hidden="1" x14ac:dyDescent="0.25">
      <c r="A9396" s="124" t="s">
        <v>11440</v>
      </c>
      <c r="B9396" s="124" t="s">
        <v>11736</v>
      </c>
      <c r="C9396" s="132"/>
      <c r="D9396" s="125">
        <f t="shared" si="189"/>
        <v>0</v>
      </c>
      <c r="E9396" s="124" t="s">
        <v>8367</v>
      </c>
      <c r="F9396" s="126">
        <v>3</v>
      </c>
      <c r="G9396" s="128">
        <v>1389.6</v>
      </c>
      <c r="H9396" s="124" t="s">
        <v>8368</v>
      </c>
      <c r="I9396" s="127">
        <v>28.83</v>
      </c>
      <c r="J9396" s="127">
        <v>144.16999999999999</v>
      </c>
    </row>
    <row r="9397" spans="1:10" hidden="1" x14ac:dyDescent="0.25">
      <c r="A9397" s="124" t="s">
        <v>11441</v>
      </c>
      <c r="B9397" s="124" t="s">
        <v>11736</v>
      </c>
      <c r="C9397" s="132"/>
      <c r="D9397" s="125">
        <f t="shared" si="189"/>
        <v>0</v>
      </c>
      <c r="E9397" s="124" t="s">
        <v>8367</v>
      </c>
      <c r="F9397" s="126">
        <v>1</v>
      </c>
      <c r="G9397" s="127">
        <v>927.6</v>
      </c>
      <c r="H9397" s="124" t="s">
        <v>8368</v>
      </c>
      <c r="I9397" s="127">
        <v>240.4</v>
      </c>
      <c r="J9397" s="128">
        <v>1202</v>
      </c>
    </row>
    <row r="9398" spans="1:10" hidden="1" x14ac:dyDescent="0.25">
      <c r="A9398" s="124" t="s">
        <v>11442</v>
      </c>
      <c r="B9398" s="124" t="s">
        <v>11736</v>
      </c>
      <c r="C9398" s="132"/>
      <c r="D9398" s="125">
        <f t="shared" si="189"/>
        <v>0</v>
      </c>
      <c r="E9398" s="124" t="s">
        <v>8367</v>
      </c>
      <c r="F9398" s="126">
        <v>1</v>
      </c>
      <c r="G9398" s="127">
        <v>433.2</v>
      </c>
      <c r="H9398" s="124" t="s">
        <v>8368</v>
      </c>
      <c r="I9398" s="127">
        <v>302.60000000000002</v>
      </c>
      <c r="J9398" s="128">
        <v>1513</v>
      </c>
    </row>
    <row r="9399" spans="1:10" hidden="1" x14ac:dyDescent="0.25">
      <c r="A9399" s="124" t="s">
        <v>11443</v>
      </c>
      <c r="B9399" s="124" t="s">
        <v>11736</v>
      </c>
      <c r="C9399" s="132"/>
      <c r="D9399" s="125">
        <f t="shared" si="189"/>
        <v>0</v>
      </c>
      <c r="E9399" s="124" t="s">
        <v>8367</v>
      </c>
      <c r="F9399" s="126">
        <v>1</v>
      </c>
      <c r="G9399" s="127">
        <v>173</v>
      </c>
      <c r="H9399" s="124" t="s">
        <v>8368</v>
      </c>
      <c r="I9399" s="127">
        <v>220</v>
      </c>
      <c r="J9399" s="128">
        <v>1100</v>
      </c>
    </row>
    <row r="9400" spans="1:10" hidden="1" x14ac:dyDescent="0.25">
      <c r="A9400" s="124" t="s">
        <v>11444</v>
      </c>
      <c r="B9400" s="124" t="s">
        <v>11736</v>
      </c>
      <c r="C9400" s="132"/>
      <c r="D9400" s="125">
        <f t="shared" si="189"/>
        <v>0</v>
      </c>
      <c r="E9400" s="124" t="s">
        <v>8367</v>
      </c>
      <c r="F9400" s="126">
        <v>1</v>
      </c>
      <c r="G9400" s="128">
        <v>1442.4</v>
      </c>
      <c r="H9400" s="124" t="s">
        <v>8368</v>
      </c>
      <c r="I9400" s="127">
        <v>31.4</v>
      </c>
      <c r="J9400" s="127">
        <v>157</v>
      </c>
    </row>
    <row r="9401" spans="1:10" hidden="1" x14ac:dyDescent="0.25">
      <c r="A9401" s="124" t="s">
        <v>11445</v>
      </c>
      <c r="B9401" s="124" t="s">
        <v>11736</v>
      </c>
      <c r="C9401" s="132"/>
      <c r="D9401" s="125">
        <f t="shared" ref="D9401:D9437" si="190">COUNTIF(A5190:A9400,A9401)</f>
        <v>0</v>
      </c>
      <c r="E9401" s="124" t="s">
        <v>8367</v>
      </c>
      <c r="F9401" s="126">
        <v>5</v>
      </c>
      <c r="G9401" s="128">
        <v>1815.6</v>
      </c>
      <c r="H9401" s="124" t="s">
        <v>8368</v>
      </c>
      <c r="I9401" s="127">
        <v>37.340000000000003</v>
      </c>
      <c r="J9401" s="127">
        <v>186.68</v>
      </c>
    </row>
    <row r="9402" spans="1:10" hidden="1" x14ac:dyDescent="0.25">
      <c r="A9402" s="124" t="s">
        <v>11446</v>
      </c>
      <c r="B9402" s="124" t="s">
        <v>11736</v>
      </c>
      <c r="C9402" s="132"/>
      <c r="D9402" s="125">
        <f t="shared" si="190"/>
        <v>0</v>
      </c>
      <c r="E9402" s="124" t="s">
        <v>8367</v>
      </c>
      <c r="F9402" s="126">
        <v>1</v>
      </c>
      <c r="G9402" s="128">
        <v>1320</v>
      </c>
      <c r="H9402" s="124" t="s">
        <v>8368</v>
      </c>
      <c r="I9402" s="127">
        <v>23.4</v>
      </c>
      <c r="J9402" s="127">
        <v>117</v>
      </c>
    </row>
    <row r="9403" spans="1:10" hidden="1" x14ac:dyDescent="0.25">
      <c r="A9403" s="124" t="s">
        <v>11447</v>
      </c>
      <c r="B9403" s="124" t="s">
        <v>11736</v>
      </c>
      <c r="C9403" s="132"/>
      <c r="D9403" s="125">
        <f t="shared" si="190"/>
        <v>0</v>
      </c>
      <c r="E9403" s="124" t="s">
        <v>8367</v>
      </c>
      <c r="F9403" s="126">
        <v>1</v>
      </c>
      <c r="G9403" s="127">
        <v>188.4</v>
      </c>
      <c r="H9403" s="124" t="s">
        <v>8368</v>
      </c>
      <c r="I9403" s="127">
        <v>170.8</v>
      </c>
      <c r="J9403" s="127">
        <v>854</v>
      </c>
    </row>
    <row r="9404" spans="1:10" hidden="1" x14ac:dyDescent="0.25">
      <c r="A9404" s="124" t="s">
        <v>11448</v>
      </c>
      <c r="B9404" s="124" t="s">
        <v>11736</v>
      </c>
      <c r="C9404" s="132"/>
      <c r="D9404" s="125">
        <f t="shared" si="190"/>
        <v>0</v>
      </c>
      <c r="E9404" s="124" t="s">
        <v>8451</v>
      </c>
      <c r="F9404" s="126">
        <v>4</v>
      </c>
      <c r="G9404" s="127">
        <v>224.02</v>
      </c>
      <c r="H9404" s="124" t="s">
        <v>8368</v>
      </c>
      <c r="I9404" s="127">
        <v>273</v>
      </c>
      <c r="J9404" s="128">
        <v>1365</v>
      </c>
    </row>
    <row r="9405" spans="1:10" hidden="1" x14ac:dyDescent="0.25">
      <c r="A9405" s="124" t="s">
        <v>11449</v>
      </c>
      <c r="B9405" s="124" t="s">
        <v>11736</v>
      </c>
      <c r="C9405" s="132"/>
      <c r="D9405" s="125">
        <f t="shared" si="190"/>
        <v>0</v>
      </c>
      <c r="E9405" s="124" t="s">
        <v>8367</v>
      </c>
      <c r="F9405" s="126">
        <v>1</v>
      </c>
      <c r="G9405" s="127">
        <v>140.4</v>
      </c>
      <c r="H9405" s="124" t="s">
        <v>8368</v>
      </c>
      <c r="I9405" s="127">
        <v>231.6</v>
      </c>
      <c r="J9405" s="128">
        <v>1158</v>
      </c>
    </row>
    <row r="9406" spans="1:10" hidden="1" x14ac:dyDescent="0.25">
      <c r="A9406" s="124" t="s">
        <v>11450</v>
      </c>
      <c r="B9406" s="124" t="s">
        <v>11736</v>
      </c>
      <c r="C9406" s="132"/>
      <c r="D9406" s="125">
        <f t="shared" si="190"/>
        <v>0</v>
      </c>
      <c r="E9406" s="124" t="s">
        <v>8367</v>
      </c>
      <c r="F9406" s="126">
        <v>1</v>
      </c>
      <c r="G9406" s="128">
        <v>1024.8</v>
      </c>
      <c r="H9406" s="124" t="s">
        <v>8368</v>
      </c>
      <c r="I9406" s="127">
        <v>332.4</v>
      </c>
      <c r="J9406" s="128">
        <v>1662</v>
      </c>
    </row>
    <row r="9407" spans="1:10" hidden="1" x14ac:dyDescent="0.25">
      <c r="A9407" s="124" t="s">
        <v>11451</v>
      </c>
      <c r="B9407" s="124" t="s">
        <v>11736</v>
      </c>
      <c r="C9407" s="132"/>
      <c r="D9407" s="125">
        <f t="shared" si="190"/>
        <v>0</v>
      </c>
      <c r="E9407" s="124" t="s">
        <v>8367</v>
      </c>
      <c r="F9407" s="126">
        <v>1</v>
      </c>
      <c r="G9407" s="128">
        <v>1638</v>
      </c>
      <c r="H9407" s="124" t="s">
        <v>8368</v>
      </c>
      <c r="I9407" s="127">
        <v>106.6</v>
      </c>
      <c r="J9407" s="127">
        <v>533</v>
      </c>
    </row>
    <row r="9408" spans="1:10" hidden="1" x14ac:dyDescent="0.25">
      <c r="A9408" s="124" t="s">
        <v>11452</v>
      </c>
      <c r="B9408" s="124" t="s">
        <v>11736</v>
      </c>
      <c r="C9408" s="132"/>
      <c r="D9408" s="125">
        <f t="shared" si="190"/>
        <v>0</v>
      </c>
      <c r="E9408" s="124" t="s">
        <v>8367</v>
      </c>
      <c r="F9408" s="126">
        <v>3</v>
      </c>
      <c r="G9408" s="128">
        <v>1389.6</v>
      </c>
      <c r="H9408" s="124" t="s">
        <v>8368</v>
      </c>
      <c r="I9408" s="127">
        <v>163.6</v>
      </c>
      <c r="J9408" s="127">
        <v>818</v>
      </c>
    </row>
    <row r="9409" spans="1:10" hidden="1" x14ac:dyDescent="0.25">
      <c r="A9409" s="124" t="s">
        <v>11453</v>
      </c>
      <c r="B9409" s="124" t="s">
        <v>11736</v>
      </c>
      <c r="C9409" s="132"/>
      <c r="D9409" s="125">
        <f t="shared" si="190"/>
        <v>0</v>
      </c>
      <c r="E9409" s="124" t="s">
        <v>8367</v>
      </c>
      <c r="F9409" s="126">
        <v>1</v>
      </c>
      <c r="G9409" s="128">
        <v>1994.4</v>
      </c>
      <c r="H9409" s="124" t="s">
        <v>8368</v>
      </c>
      <c r="I9409" s="127">
        <v>36.6</v>
      </c>
      <c r="J9409" s="127">
        <v>183</v>
      </c>
    </row>
    <row r="9410" spans="1:10" hidden="1" x14ac:dyDescent="0.25">
      <c r="A9410" s="124" t="s">
        <v>11454</v>
      </c>
      <c r="B9410" s="124" t="s">
        <v>11736</v>
      </c>
      <c r="C9410" s="132"/>
      <c r="D9410" s="125">
        <f t="shared" si="190"/>
        <v>0</v>
      </c>
      <c r="E9410" s="124" t="s">
        <v>8367</v>
      </c>
      <c r="F9410" s="126">
        <v>1</v>
      </c>
      <c r="G9410" s="127">
        <v>639.6</v>
      </c>
      <c r="H9410" s="124" t="s">
        <v>8368</v>
      </c>
      <c r="I9410" s="127">
        <v>83</v>
      </c>
      <c r="J9410" s="127">
        <v>415</v>
      </c>
    </row>
    <row r="9411" spans="1:10" hidden="1" x14ac:dyDescent="0.25">
      <c r="A9411" s="124" t="s">
        <v>11455</v>
      </c>
      <c r="B9411" s="124" t="s">
        <v>11736</v>
      </c>
      <c r="C9411" s="132"/>
      <c r="D9411" s="125">
        <f t="shared" si="190"/>
        <v>0</v>
      </c>
      <c r="E9411" s="124" t="s">
        <v>8367</v>
      </c>
      <c r="F9411" s="126">
        <v>1</v>
      </c>
      <c r="G9411" s="127">
        <v>981.6</v>
      </c>
      <c r="H9411" s="124" t="s">
        <v>8368</v>
      </c>
      <c r="I9411" s="127">
        <v>55.6</v>
      </c>
      <c r="J9411" s="127">
        <v>278</v>
      </c>
    </row>
    <row r="9412" spans="1:10" hidden="1" x14ac:dyDescent="0.25">
      <c r="A9412" s="124" t="s">
        <v>11456</v>
      </c>
      <c r="B9412" s="124" t="s">
        <v>11736</v>
      </c>
      <c r="C9412" s="132"/>
      <c r="D9412" s="125">
        <f t="shared" si="190"/>
        <v>0</v>
      </c>
      <c r="E9412" s="124" t="s">
        <v>8367</v>
      </c>
      <c r="F9412" s="126">
        <v>2</v>
      </c>
      <c r="G9412" s="127">
        <v>219.6</v>
      </c>
      <c r="H9412" s="124" t="s">
        <v>8368</v>
      </c>
      <c r="I9412" s="127">
        <v>26.8</v>
      </c>
      <c r="J9412" s="127">
        <v>134</v>
      </c>
    </row>
    <row r="9413" spans="1:10" hidden="1" x14ac:dyDescent="0.25">
      <c r="A9413" s="124" t="s">
        <v>11457</v>
      </c>
      <c r="B9413" s="124" t="s">
        <v>11736</v>
      </c>
      <c r="C9413" s="132"/>
      <c r="D9413" s="125">
        <f t="shared" si="190"/>
        <v>0</v>
      </c>
      <c r="E9413" s="124" t="s">
        <v>8367</v>
      </c>
      <c r="F9413" s="126">
        <v>2</v>
      </c>
      <c r="G9413" s="127">
        <v>498</v>
      </c>
      <c r="H9413" s="124" t="s">
        <v>8368</v>
      </c>
      <c r="I9413" s="127">
        <v>50</v>
      </c>
      <c r="J9413" s="127">
        <v>250</v>
      </c>
    </row>
    <row r="9414" spans="1:10" hidden="1" x14ac:dyDescent="0.25">
      <c r="A9414" s="124" t="s">
        <v>11458</v>
      </c>
      <c r="B9414" s="124" t="s">
        <v>11736</v>
      </c>
      <c r="C9414" s="132"/>
      <c r="D9414" s="125">
        <f t="shared" si="190"/>
        <v>0</v>
      </c>
      <c r="E9414" s="124" t="s">
        <v>8367</v>
      </c>
      <c r="F9414" s="126">
        <v>1</v>
      </c>
      <c r="G9414" s="127">
        <v>333.6</v>
      </c>
      <c r="H9414" s="124" t="s">
        <v>8368</v>
      </c>
      <c r="I9414" s="127">
        <v>115.6</v>
      </c>
      <c r="J9414" s="127">
        <v>578</v>
      </c>
    </row>
    <row r="9415" spans="1:10" hidden="1" x14ac:dyDescent="0.25">
      <c r="A9415" s="124" t="s">
        <v>11459</v>
      </c>
      <c r="B9415" s="124" t="s">
        <v>11736</v>
      </c>
      <c r="C9415" s="132"/>
      <c r="D9415" s="125">
        <f t="shared" si="190"/>
        <v>0</v>
      </c>
      <c r="E9415" s="124" t="s">
        <v>8367</v>
      </c>
      <c r="F9415" s="126">
        <v>1</v>
      </c>
      <c r="G9415" s="127">
        <v>160.80000000000001</v>
      </c>
      <c r="H9415" s="124" t="s">
        <v>8368</v>
      </c>
      <c r="I9415" s="127">
        <v>18.600000000000001</v>
      </c>
      <c r="J9415" s="127">
        <v>93</v>
      </c>
    </row>
    <row r="9416" spans="1:10" hidden="1" x14ac:dyDescent="0.25">
      <c r="A9416" s="124" t="s">
        <v>11460</v>
      </c>
      <c r="B9416" s="124" t="s">
        <v>11736</v>
      </c>
      <c r="C9416" s="132"/>
      <c r="D9416" s="125">
        <f t="shared" si="190"/>
        <v>0</v>
      </c>
      <c r="E9416" s="124" t="s">
        <v>8367</v>
      </c>
      <c r="F9416" s="126">
        <v>1</v>
      </c>
      <c r="G9416" s="127">
        <v>300</v>
      </c>
      <c r="H9416" s="124" t="s">
        <v>8368</v>
      </c>
      <c r="I9416" s="128">
        <v>6543</v>
      </c>
      <c r="J9416" s="128">
        <v>32715</v>
      </c>
    </row>
    <row r="9417" spans="1:10" hidden="1" x14ac:dyDescent="0.25">
      <c r="A9417" s="124" t="s">
        <v>11461</v>
      </c>
      <c r="B9417" s="124" t="s">
        <v>11736</v>
      </c>
      <c r="C9417" s="132"/>
      <c r="D9417" s="125">
        <f t="shared" si="190"/>
        <v>0</v>
      </c>
      <c r="E9417" s="124" t="s">
        <v>8367</v>
      </c>
      <c r="F9417" s="126">
        <v>1</v>
      </c>
      <c r="G9417" s="127">
        <v>693.6</v>
      </c>
      <c r="H9417" s="124" t="s">
        <v>8368</v>
      </c>
      <c r="I9417" s="127">
        <v>52.4</v>
      </c>
      <c r="J9417" s="127">
        <v>262</v>
      </c>
    </row>
    <row r="9418" spans="1:10" hidden="1" x14ac:dyDescent="0.25">
      <c r="A9418" s="124" t="s">
        <v>1559</v>
      </c>
      <c r="B9418" s="124" t="s">
        <v>11736</v>
      </c>
      <c r="C9418" s="132"/>
      <c r="D9418" s="125">
        <f t="shared" si="190"/>
        <v>0</v>
      </c>
      <c r="E9418" s="124" t="s">
        <v>8367</v>
      </c>
      <c r="F9418" s="126">
        <v>4</v>
      </c>
      <c r="G9418" s="127">
        <v>111.6</v>
      </c>
      <c r="H9418" s="124" t="s">
        <v>8368</v>
      </c>
      <c r="I9418" s="128">
        <v>1111.5999999999999</v>
      </c>
      <c r="J9418" s="128">
        <v>5558</v>
      </c>
    </row>
    <row r="9419" spans="1:10" hidden="1" x14ac:dyDescent="0.25">
      <c r="A9419" s="124" t="s">
        <v>11462</v>
      </c>
      <c r="B9419" s="124" t="s">
        <v>11736</v>
      </c>
      <c r="C9419" s="132"/>
      <c r="D9419" s="125">
        <f t="shared" si="190"/>
        <v>0</v>
      </c>
      <c r="E9419" s="124" t="s">
        <v>8367</v>
      </c>
      <c r="F9419" s="126">
        <v>1</v>
      </c>
      <c r="G9419" s="128">
        <v>39258</v>
      </c>
      <c r="H9419" s="124" t="s">
        <v>8368</v>
      </c>
      <c r="I9419" s="127">
        <v>97.67</v>
      </c>
      <c r="J9419" s="127">
        <v>488.34</v>
      </c>
    </row>
    <row r="9420" spans="1:10" hidden="1" x14ac:dyDescent="0.25">
      <c r="A9420" s="124" t="s">
        <v>4054</v>
      </c>
      <c r="B9420" s="124" t="s">
        <v>11736</v>
      </c>
      <c r="C9420" s="132"/>
      <c r="D9420" s="125">
        <f t="shared" si="190"/>
        <v>0</v>
      </c>
      <c r="E9420" s="124" t="s">
        <v>8367</v>
      </c>
      <c r="F9420" s="126">
        <v>1</v>
      </c>
      <c r="G9420" s="127">
        <v>314.39999999999998</v>
      </c>
      <c r="H9420" s="124" t="s">
        <v>8368</v>
      </c>
      <c r="I9420" s="127">
        <v>387</v>
      </c>
      <c r="J9420" s="128">
        <v>1935</v>
      </c>
    </row>
    <row r="9421" spans="1:10" hidden="1" x14ac:dyDescent="0.25">
      <c r="A9421" s="124" t="s">
        <v>11463</v>
      </c>
      <c r="B9421" s="124" t="s">
        <v>11736</v>
      </c>
      <c r="C9421" s="132"/>
      <c r="D9421" s="125">
        <f t="shared" si="190"/>
        <v>0</v>
      </c>
      <c r="E9421" s="124" t="s">
        <v>8367</v>
      </c>
      <c r="F9421" s="126">
        <v>1</v>
      </c>
      <c r="G9421" s="128">
        <v>6669.6</v>
      </c>
      <c r="H9421" s="124" t="s">
        <v>8368</v>
      </c>
      <c r="I9421" s="127">
        <v>250</v>
      </c>
      <c r="J9421" s="128">
        <v>1250</v>
      </c>
    </row>
    <row r="9422" spans="1:10" hidden="1" x14ac:dyDescent="0.25">
      <c r="A9422" s="124" t="s">
        <v>11464</v>
      </c>
      <c r="B9422" s="124" t="s">
        <v>11736</v>
      </c>
      <c r="C9422" s="132"/>
      <c r="D9422" s="125">
        <f t="shared" si="190"/>
        <v>0</v>
      </c>
      <c r="E9422" s="124" t="s">
        <v>8451</v>
      </c>
      <c r="F9422" s="126">
        <v>2</v>
      </c>
      <c r="G9422" s="127">
        <v>586.01</v>
      </c>
      <c r="H9422" s="124" t="s">
        <v>8368</v>
      </c>
      <c r="I9422" s="128">
        <v>2572</v>
      </c>
      <c r="J9422" s="128">
        <v>12860</v>
      </c>
    </row>
    <row r="9423" spans="1:10" hidden="1" x14ac:dyDescent="0.25">
      <c r="A9423" s="124" t="s">
        <v>1694</v>
      </c>
      <c r="B9423" s="124" t="s">
        <v>11736</v>
      </c>
      <c r="C9423" s="132"/>
      <c r="D9423" s="125">
        <f t="shared" si="190"/>
        <v>0</v>
      </c>
      <c r="E9423" s="124" t="s">
        <v>8367</v>
      </c>
      <c r="F9423" s="126">
        <v>3</v>
      </c>
      <c r="G9423" s="128">
        <v>2322</v>
      </c>
      <c r="H9423" s="124" t="s">
        <v>8368</v>
      </c>
      <c r="I9423" s="127">
        <v>436</v>
      </c>
      <c r="J9423" s="128">
        <v>2180</v>
      </c>
    </row>
    <row r="9424" spans="1:10" hidden="1" x14ac:dyDescent="0.25">
      <c r="A9424" s="124" t="s">
        <v>11465</v>
      </c>
      <c r="B9424" s="124" t="s">
        <v>11736</v>
      </c>
      <c r="C9424" s="132"/>
      <c r="D9424" s="125">
        <f t="shared" si="190"/>
        <v>0</v>
      </c>
      <c r="E9424" s="124" t="s">
        <v>8367</v>
      </c>
      <c r="F9424" s="126">
        <v>5</v>
      </c>
      <c r="G9424" s="128">
        <v>1500</v>
      </c>
      <c r="H9424" s="124" t="s">
        <v>8368</v>
      </c>
      <c r="I9424" s="127">
        <v>17.670000000000002</v>
      </c>
      <c r="J9424" s="127">
        <v>88.33</v>
      </c>
    </row>
    <row r="9425" spans="1:10" hidden="1" x14ac:dyDescent="0.25">
      <c r="A9425" s="124" t="s">
        <v>11466</v>
      </c>
      <c r="B9425" s="124" t="s">
        <v>11736</v>
      </c>
      <c r="C9425" s="132"/>
      <c r="D9425" s="125">
        <f t="shared" si="190"/>
        <v>0</v>
      </c>
      <c r="E9425" s="124" t="s">
        <v>8367</v>
      </c>
      <c r="F9425" s="126">
        <v>6</v>
      </c>
      <c r="G9425" s="128">
        <v>15432</v>
      </c>
      <c r="H9425" s="124" t="s">
        <v>8368</v>
      </c>
      <c r="I9425" s="127">
        <v>17.670000000000002</v>
      </c>
      <c r="J9425" s="127">
        <v>88.33</v>
      </c>
    </row>
    <row r="9426" spans="1:10" hidden="1" x14ac:dyDescent="0.25">
      <c r="A9426" s="124" t="s">
        <v>11467</v>
      </c>
      <c r="B9426" s="124" t="s">
        <v>11736</v>
      </c>
      <c r="C9426" s="132"/>
      <c r="D9426" s="125">
        <f t="shared" si="190"/>
        <v>0</v>
      </c>
      <c r="E9426" s="124" t="s">
        <v>8367</v>
      </c>
      <c r="F9426" s="126">
        <v>12</v>
      </c>
      <c r="G9426" s="128">
        <v>2616</v>
      </c>
      <c r="H9426" s="124" t="s">
        <v>8368</v>
      </c>
      <c r="I9426" s="128">
        <v>185266.67</v>
      </c>
      <c r="J9426" s="128">
        <v>926333.36</v>
      </c>
    </row>
    <row r="9427" spans="1:10" hidden="1" x14ac:dyDescent="0.25">
      <c r="A9427" s="124" t="s">
        <v>11468</v>
      </c>
      <c r="B9427" s="124" t="s">
        <v>11736</v>
      </c>
      <c r="C9427" s="132"/>
      <c r="D9427" s="125">
        <f t="shared" si="190"/>
        <v>0</v>
      </c>
      <c r="E9427" s="124" t="s">
        <v>8451</v>
      </c>
      <c r="F9427" s="126">
        <v>1</v>
      </c>
      <c r="G9427" s="127">
        <v>106</v>
      </c>
      <c r="H9427" s="124" t="s">
        <v>8368</v>
      </c>
      <c r="I9427" s="128">
        <v>1431.6</v>
      </c>
      <c r="J9427" s="128">
        <v>7158</v>
      </c>
    </row>
    <row r="9428" spans="1:10" hidden="1" x14ac:dyDescent="0.25">
      <c r="A9428" s="124" t="s">
        <v>11469</v>
      </c>
      <c r="B9428" s="124" t="s">
        <v>11736</v>
      </c>
      <c r="C9428" s="132"/>
      <c r="D9428" s="125">
        <f t="shared" si="190"/>
        <v>0</v>
      </c>
      <c r="E9428" s="124" t="s">
        <v>8451</v>
      </c>
      <c r="F9428" s="126">
        <v>1</v>
      </c>
      <c r="G9428" s="127">
        <v>106</v>
      </c>
      <c r="H9428" s="124" t="s">
        <v>8368</v>
      </c>
      <c r="I9428" s="128">
        <v>2183.4</v>
      </c>
      <c r="J9428" s="128">
        <v>10917</v>
      </c>
    </row>
    <row r="9429" spans="1:10" hidden="1" x14ac:dyDescent="0.25">
      <c r="A9429" s="124" t="s">
        <v>3771</v>
      </c>
      <c r="B9429" s="124" t="s">
        <v>11736</v>
      </c>
      <c r="C9429" s="132"/>
      <c r="D9429" s="125">
        <f t="shared" si="190"/>
        <v>0</v>
      </c>
      <c r="E9429" s="124" t="s">
        <v>8367</v>
      </c>
      <c r="F9429" s="126">
        <v>8</v>
      </c>
      <c r="G9429" s="128">
        <v>1111600.03</v>
      </c>
      <c r="H9429" s="124" t="s">
        <v>8368</v>
      </c>
      <c r="I9429" s="127">
        <v>3.4</v>
      </c>
      <c r="J9429" s="127">
        <v>17</v>
      </c>
    </row>
    <row r="9430" spans="1:10" hidden="1" x14ac:dyDescent="0.25">
      <c r="A9430" s="124" t="s">
        <v>11470</v>
      </c>
      <c r="B9430" s="124" t="s">
        <v>11736</v>
      </c>
      <c r="C9430" s="132"/>
      <c r="D9430" s="125">
        <f t="shared" si="190"/>
        <v>0</v>
      </c>
      <c r="E9430" s="124" t="s">
        <v>8367</v>
      </c>
      <c r="F9430" s="126">
        <v>1</v>
      </c>
      <c r="G9430" s="128">
        <v>8589.6</v>
      </c>
      <c r="H9430" s="124" t="s">
        <v>8368</v>
      </c>
      <c r="I9430" s="127">
        <v>113.4</v>
      </c>
      <c r="J9430" s="127">
        <v>567</v>
      </c>
    </row>
    <row r="9431" spans="1:10" hidden="1" x14ac:dyDescent="0.25">
      <c r="A9431" s="124" t="s">
        <v>11471</v>
      </c>
      <c r="B9431" s="124" t="s">
        <v>11736</v>
      </c>
      <c r="C9431" s="132"/>
      <c r="D9431" s="125">
        <f t="shared" si="190"/>
        <v>0</v>
      </c>
      <c r="E9431" s="124" t="s">
        <v>8367</v>
      </c>
      <c r="F9431" s="126">
        <v>2</v>
      </c>
      <c r="G9431" s="128">
        <v>13100.4</v>
      </c>
      <c r="H9431" s="124" t="s">
        <v>8368</v>
      </c>
      <c r="I9431" s="127">
        <v>73.400000000000006</v>
      </c>
      <c r="J9431" s="127">
        <v>367</v>
      </c>
    </row>
    <row r="9432" spans="1:10" hidden="1" x14ac:dyDescent="0.25">
      <c r="A9432" s="124" t="s">
        <v>11472</v>
      </c>
      <c r="B9432" s="124" t="s">
        <v>11736</v>
      </c>
      <c r="C9432" s="132"/>
      <c r="D9432" s="125">
        <f t="shared" si="190"/>
        <v>0</v>
      </c>
      <c r="E9432" s="124" t="s">
        <v>8367</v>
      </c>
      <c r="F9432" s="126">
        <v>5</v>
      </c>
      <c r="G9432" s="127">
        <v>20.399999999999999</v>
      </c>
      <c r="H9432" s="124" t="s">
        <v>8368</v>
      </c>
      <c r="I9432" s="128">
        <v>59716.7</v>
      </c>
      <c r="J9432" s="128">
        <v>298583.5</v>
      </c>
    </row>
    <row r="9433" spans="1:10" hidden="1" x14ac:dyDescent="0.25">
      <c r="A9433" s="124" t="s">
        <v>11473</v>
      </c>
      <c r="B9433" s="124" t="s">
        <v>11736</v>
      </c>
      <c r="C9433" s="132"/>
      <c r="D9433" s="125">
        <f t="shared" si="190"/>
        <v>0</v>
      </c>
      <c r="E9433" s="124" t="s">
        <v>8367</v>
      </c>
      <c r="F9433" s="126">
        <v>10</v>
      </c>
      <c r="G9433" s="127">
        <v>680.4</v>
      </c>
      <c r="H9433" s="124" t="s">
        <v>8368</v>
      </c>
      <c r="I9433" s="127">
        <v>400</v>
      </c>
      <c r="J9433" s="128">
        <v>2000</v>
      </c>
    </row>
    <row r="9434" spans="1:10" hidden="1" x14ac:dyDescent="0.25">
      <c r="A9434" s="124" t="s">
        <v>11474</v>
      </c>
      <c r="B9434" s="124" t="s">
        <v>11736</v>
      </c>
      <c r="C9434" s="132"/>
      <c r="D9434" s="125">
        <f t="shared" si="190"/>
        <v>0</v>
      </c>
      <c r="E9434" s="124" t="s">
        <v>8367</v>
      </c>
      <c r="F9434" s="126">
        <v>10</v>
      </c>
      <c r="G9434" s="127">
        <v>440.4</v>
      </c>
      <c r="H9434" s="124" t="s">
        <v>8368</v>
      </c>
      <c r="I9434" s="128">
        <v>98000</v>
      </c>
      <c r="J9434" s="128">
        <v>490000</v>
      </c>
    </row>
    <row r="9435" spans="1:10" hidden="1" x14ac:dyDescent="0.25">
      <c r="A9435" s="124" t="s">
        <v>11475</v>
      </c>
      <c r="B9435" s="124" t="s">
        <v>11736</v>
      </c>
      <c r="C9435" s="132"/>
      <c r="D9435" s="125">
        <f t="shared" si="190"/>
        <v>0</v>
      </c>
      <c r="E9435" s="124" t="s">
        <v>8367</v>
      </c>
      <c r="F9435" s="126">
        <v>10</v>
      </c>
      <c r="G9435" s="128">
        <v>358300.2</v>
      </c>
      <c r="H9435" s="124" t="s">
        <v>8368</v>
      </c>
      <c r="I9435" s="128">
        <v>12544</v>
      </c>
      <c r="J9435" s="128">
        <v>62720</v>
      </c>
    </row>
    <row r="9436" spans="1:10" hidden="1" x14ac:dyDescent="0.25">
      <c r="A9436" s="124" t="s">
        <v>11476</v>
      </c>
      <c r="B9436" s="124" t="s">
        <v>11736</v>
      </c>
      <c r="C9436" s="132"/>
      <c r="D9436" s="125">
        <f t="shared" si="190"/>
        <v>0</v>
      </c>
      <c r="E9436" s="124" t="s">
        <v>8367</v>
      </c>
      <c r="F9436" s="126">
        <v>20</v>
      </c>
      <c r="G9436" s="128">
        <v>2400</v>
      </c>
      <c r="H9436" s="124" t="s">
        <v>8368</v>
      </c>
      <c r="I9436" s="128">
        <v>16798</v>
      </c>
      <c r="J9436" s="128">
        <v>83990</v>
      </c>
    </row>
    <row r="9437" spans="1:10" hidden="1" x14ac:dyDescent="0.25">
      <c r="A9437" s="124" t="s">
        <v>11477</v>
      </c>
      <c r="B9437" s="124" t="s">
        <v>11736</v>
      </c>
      <c r="C9437" s="132"/>
      <c r="D9437" s="125">
        <f t="shared" si="190"/>
        <v>0</v>
      </c>
      <c r="E9437" s="124" t="s">
        <v>8367</v>
      </c>
      <c r="F9437" s="126">
        <v>5</v>
      </c>
      <c r="G9437" s="128">
        <v>588000</v>
      </c>
      <c r="H9437" s="124" t="s">
        <v>8368</v>
      </c>
      <c r="I9437" s="128">
        <v>2240</v>
      </c>
      <c r="J9437" s="128">
        <v>11200</v>
      </c>
    </row>
    <row r="9438" spans="1:10" hidden="1" x14ac:dyDescent="0.25">
      <c r="A9438" s="124" t="s">
        <v>11478</v>
      </c>
      <c r="B9438" s="124" t="s">
        <v>11736</v>
      </c>
      <c r="C9438" s="132"/>
      <c r="D9438" s="125">
        <f t="shared" ref="D9438:D9463" si="191">COUNTIF(A5228:A9437,A9438)</f>
        <v>0</v>
      </c>
      <c r="E9438" s="124" t="s">
        <v>8367</v>
      </c>
      <c r="F9438" s="126">
        <v>1</v>
      </c>
      <c r="G9438" s="128">
        <v>75264</v>
      </c>
      <c r="H9438" s="124" t="s">
        <v>8368</v>
      </c>
      <c r="I9438" s="128">
        <v>4032</v>
      </c>
      <c r="J9438" s="128">
        <v>20160</v>
      </c>
    </row>
    <row r="9439" spans="1:10" hidden="1" x14ac:dyDescent="0.25">
      <c r="A9439" s="124" t="s">
        <v>11479</v>
      </c>
      <c r="B9439" s="124" t="s">
        <v>11736</v>
      </c>
      <c r="C9439" s="132"/>
      <c r="D9439" s="125">
        <f t="shared" si="191"/>
        <v>0</v>
      </c>
      <c r="E9439" s="124" t="s">
        <v>8367</v>
      </c>
      <c r="F9439" s="126">
        <v>1</v>
      </c>
      <c r="G9439" s="128">
        <v>100788</v>
      </c>
      <c r="H9439" s="124" t="s">
        <v>8368</v>
      </c>
      <c r="I9439" s="128">
        <v>1283.17</v>
      </c>
      <c r="J9439" s="128">
        <v>6415.83</v>
      </c>
    </row>
    <row r="9440" spans="1:10" hidden="1" x14ac:dyDescent="0.25">
      <c r="A9440" s="124" t="s">
        <v>11480</v>
      </c>
      <c r="B9440" s="124" t="s">
        <v>11736</v>
      </c>
      <c r="C9440" s="132"/>
      <c r="D9440" s="125">
        <f t="shared" si="191"/>
        <v>0</v>
      </c>
      <c r="E9440" s="124" t="s">
        <v>8367</v>
      </c>
      <c r="F9440" s="126">
        <v>1</v>
      </c>
      <c r="G9440" s="128">
        <v>13440</v>
      </c>
      <c r="H9440" s="124" t="s">
        <v>8368</v>
      </c>
      <c r="I9440" s="127">
        <v>166.6</v>
      </c>
      <c r="J9440" s="127">
        <v>833</v>
      </c>
    </row>
    <row r="9441" spans="1:10" hidden="1" x14ac:dyDescent="0.25">
      <c r="A9441" s="124" t="s">
        <v>11481</v>
      </c>
      <c r="B9441" s="124" t="s">
        <v>11736</v>
      </c>
      <c r="C9441" s="132"/>
      <c r="D9441" s="125">
        <f t="shared" si="191"/>
        <v>0</v>
      </c>
      <c r="E9441" s="124" t="s">
        <v>8367</v>
      </c>
      <c r="F9441" s="126">
        <v>1</v>
      </c>
      <c r="G9441" s="128">
        <v>24192</v>
      </c>
      <c r="H9441" s="124" t="s">
        <v>8368</v>
      </c>
      <c r="I9441" s="128">
        <v>2033.4</v>
      </c>
      <c r="J9441" s="128">
        <v>10167</v>
      </c>
    </row>
    <row r="9442" spans="1:10" hidden="1" x14ac:dyDescent="0.25">
      <c r="A9442" s="124" t="s">
        <v>11482</v>
      </c>
      <c r="B9442" s="124" t="s">
        <v>11736</v>
      </c>
      <c r="C9442" s="132"/>
      <c r="D9442" s="125">
        <f t="shared" si="191"/>
        <v>0</v>
      </c>
      <c r="E9442" s="124" t="s">
        <v>8367</v>
      </c>
      <c r="F9442" s="126">
        <v>1</v>
      </c>
      <c r="G9442" s="128">
        <v>7699</v>
      </c>
      <c r="H9442" s="124" t="s">
        <v>8368</v>
      </c>
      <c r="I9442" s="128">
        <v>3066.6</v>
      </c>
      <c r="J9442" s="128">
        <v>15333</v>
      </c>
    </row>
    <row r="9443" spans="1:10" hidden="1" x14ac:dyDescent="0.25">
      <c r="A9443" s="124" t="s">
        <v>11483</v>
      </c>
      <c r="B9443" s="124" t="s">
        <v>11736</v>
      </c>
      <c r="C9443" s="132"/>
      <c r="D9443" s="125">
        <f t="shared" si="191"/>
        <v>0</v>
      </c>
      <c r="E9443" s="124" t="s">
        <v>8367</v>
      </c>
      <c r="F9443" s="126">
        <v>1</v>
      </c>
      <c r="G9443" s="127">
        <v>999.6</v>
      </c>
      <c r="H9443" s="124" t="s">
        <v>8368</v>
      </c>
      <c r="I9443" s="127">
        <v>326.60000000000002</v>
      </c>
      <c r="J9443" s="128">
        <v>1633</v>
      </c>
    </row>
    <row r="9444" spans="1:10" hidden="1" x14ac:dyDescent="0.25">
      <c r="A9444" s="124" t="s">
        <v>11484</v>
      </c>
      <c r="B9444" s="124" t="s">
        <v>11736</v>
      </c>
      <c r="C9444" s="132"/>
      <c r="D9444" s="125">
        <f t="shared" si="191"/>
        <v>0</v>
      </c>
      <c r="E9444" s="124" t="s">
        <v>8367</v>
      </c>
      <c r="F9444" s="126">
        <v>2</v>
      </c>
      <c r="G9444" s="128">
        <v>12200.4</v>
      </c>
      <c r="H9444" s="124" t="s">
        <v>8368</v>
      </c>
      <c r="I9444" s="128">
        <v>1750</v>
      </c>
      <c r="J9444" s="128">
        <v>8750</v>
      </c>
    </row>
    <row r="9445" spans="1:10" hidden="1" x14ac:dyDescent="0.25">
      <c r="A9445" s="124" t="s">
        <v>11485</v>
      </c>
      <c r="B9445" s="124" t="s">
        <v>11736</v>
      </c>
      <c r="C9445" s="132"/>
      <c r="D9445" s="125">
        <f t="shared" si="191"/>
        <v>0</v>
      </c>
      <c r="E9445" s="124" t="s">
        <v>8367</v>
      </c>
      <c r="F9445" s="126">
        <v>4</v>
      </c>
      <c r="G9445" s="128">
        <v>18399.599999999999</v>
      </c>
      <c r="H9445" s="124" t="s">
        <v>8368</v>
      </c>
      <c r="I9445" s="128">
        <v>4402</v>
      </c>
      <c r="J9445" s="128">
        <v>22010</v>
      </c>
    </row>
    <row r="9446" spans="1:10" hidden="1" x14ac:dyDescent="0.25">
      <c r="A9446" s="124" t="s">
        <v>11486</v>
      </c>
      <c r="B9446" s="124" t="s">
        <v>11736</v>
      </c>
      <c r="C9446" s="132"/>
      <c r="D9446" s="125">
        <f t="shared" si="191"/>
        <v>0</v>
      </c>
      <c r="E9446" s="124" t="s">
        <v>8367</v>
      </c>
      <c r="F9446" s="126">
        <v>2</v>
      </c>
      <c r="G9446" s="128">
        <v>1959.6</v>
      </c>
      <c r="H9446" s="124" t="s">
        <v>8368</v>
      </c>
      <c r="I9446" s="128">
        <v>1583.4</v>
      </c>
      <c r="J9446" s="128">
        <v>7917</v>
      </c>
    </row>
    <row r="9447" spans="1:10" hidden="1" x14ac:dyDescent="0.25">
      <c r="A9447" s="124" t="s">
        <v>11487</v>
      </c>
      <c r="B9447" s="124" t="s">
        <v>11736</v>
      </c>
      <c r="C9447" s="132"/>
      <c r="D9447" s="125">
        <f t="shared" si="191"/>
        <v>0</v>
      </c>
      <c r="E9447" s="124" t="s">
        <v>8367</v>
      </c>
      <c r="F9447" s="126">
        <v>1</v>
      </c>
      <c r="G9447" s="128">
        <v>10500</v>
      </c>
      <c r="H9447" s="124" t="s">
        <v>8368</v>
      </c>
      <c r="I9447" s="128">
        <v>4248</v>
      </c>
      <c r="J9447" s="128">
        <v>21240</v>
      </c>
    </row>
    <row r="9448" spans="1:10" hidden="1" x14ac:dyDescent="0.25">
      <c r="A9448" s="124" t="s">
        <v>11488</v>
      </c>
      <c r="B9448" s="124" t="s">
        <v>11736</v>
      </c>
      <c r="C9448" s="132"/>
      <c r="D9448" s="125">
        <f t="shared" si="191"/>
        <v>0</v>
      </c>
      <c r="E9448" s="124" t="s">
        <v>8367</v>
      </c>
      <c r="F9448" s="126">
        <v>1</v>
      </c>
      <c r="G9448" s="128">
        <v>26412</v>
      </c>
      <c r="H9448" s="124" t="s">
        <v>8368</v>
      </c>
      <c r="I9448" s="128">
        <v>8496</v>
      </c>
      <c r="J9448" s="128">
        <v>42480</v>
      </c>
    </row>
    <row r="9449" spans="1:10" hidden="1" x14ac:dyDescent="0.25">
      <c r="A9449" s="124" t="s">
        <v>11489</v>
      </c>
      <c r="B9449" s="124" t="s">
        <v>11736</v>
      </c>
      <c r="C9449" s="132"/>
      <c r="D9449" s="125">
        <f t="shared" si="191"/>
        <v>0</v>
      </c>
      <c r="E9449" s="124" t="s">
        <v>8367</v>
      </c>
      <c r="F9449" s="126">
        <v>1</v>
      </c>
      <c r="G9449" s="128">
        <v>9500.4</v>
      </c>
      <c r="H9449" s="124" t="s">
        <v>8368</v>
      </c>
      <c r="I9449" s="127">
        <v>133.4</v>
      </c>
      <c r="J9449" s="127">
        <v>667</v>
      </c>
    </row>
    <row r="9450" spans="1:10" hidden="1" x14ac:dyDescent="0.25">
      <c r="A9450" s="124" t="s">
        <v>11490</v>
      </c>
      <c r="B9450" s="124" t="s">
        <v>11736</v>
      </c>
      <c r="C9450" s="132"/>
      <c r="D9450" s="125">
        <f t="shared" si="191"/>
        <v>0</v>
      </c>
      <c r="E9450" s="124" t="s">
        <v>8367</v>
      </c>
      <c r="F9450" s="126">
        <v>1</v>
      </c>
      <c r="G9450" s="128">
        <v>25488</v>
      </c>
      <c r="H9450" s="124" t="s">
        <v>8368</v>
      </c>
      <c r="I9450" s="127">
        <v>385</v>
      </c>
      <c r="J9450" s="128">
        <v>1925</v>
      </c>
    </row>
    <row r="9451" spans="1:10" hidden="1" x14ac:dyDescent="0.25">
      <c r="A9451" s="124" t="s">
        <v>11491</v>
      </c>
      <c r="B9451" s="124" t="s">
        <v>11736</v>
      </c>
      <c r="C9451" s="132"/>
      <c r="D9451" s="125">
        <f t="shared" si="191"/>
        <v>0</v>
      </c>
      <c r="E9451" s="124" t="s">
        <v>8367</v>
      </c>
      <c r="F9451" s="126">
        <v>2</v>
      </c>
      <c r="G9451" s="128">
        <v>50976</v>
      </c>
      <c r="H9451" s="124" t="s">
        <v>8368</v>
      </c>
      <c r="I9451" s="127">
        <v>198.34</v>
      </c>
      <c r="J9451" s="127">
        <v>991.7</v>
      </c>
    </row>
    <row r="9452" spans="1:10" hidden="1" x14ac:dyDescent="0.25">
      <c r="A9452" s="124" t="s">
        <v>11492</v>
      </c>
      <c r="B9452" s="124" t="s">
        <v>11736</v>
      </c>
      <c r="C9452" s="132"/>
      <c r="D9452" s="125">
        <f t="shared" si="191"/>
        <v>0</v>
      </c>
      <c r="E9452" s="124" t="s">
        <v>8367</v>
      </c>
      <c r="F9452" s="126">
        <v>4</v>
      </c>
      <c r="G9452" s="127">
        <v>800.4</v>
      </c>
      <c r="H9452" s="124" t="s">
        <v>8368</v>
      </c>
      <c r="I9452" s="128">
        <v>4223.09</v>
      </c>
      <c r="J9452" s="128">
        <v>21115.46</v>
      </c>
    </row>
    <row r="9453" spans="1:10" hidden="1" x14ac:dyDescent="0.25">
      <c r="A9453" s="124" t="s">
        <v>976</v>
      </c>
      <c r="B9453" s="124" t="s">
        <v>11736</v>
      </c>
      <c r="C9453" s="132"/>
      <c r="D9453" s="125">
        <f t="shared" si="191"/>
        <v>0</v>
      </c>
      <c r="E9453" s="124" t="s">
        <v>8367</v>
      </c>
      <c r="F9453" s="126">
        <v>70</v>
      </c>
      <c r="G9453" s="128">
        <v>2310</v>
      </c>
      <c r="H9453" s="124" t="s">
        <v>8368</v>
      </c>
      <c r="I9453" s="127">
        <v>70</v>
      </c>
      <c r="J9453" s="127">
        <v>350</v>
      </c>
    </row>
    <row r="9454" spans="1:10" hidden="1" x14ac:dyDescent="0.25">
      <c r="A9454" s="124" t="s">
        <v>11493</v>
      </c>
      <c r="B9454" s="124" t="s">
        <v>11736</v>
      </c>
      <c r="C9454" s="132"/>
      <c r="D9454" s="125">
        <f t="shared" si="191"/>
        <v>0</v>
      </c>
      <c r="E9454" s="124" t="s">
        <v>8367</v>
      </c>
      <c r="F9454" s="126">
        <v>10</v>
      </c>
      <c r="G9454" s="128">
        <v>1190.04</v>
      </c>
      <c r="H9454" s="124" t="s">
        <v>8368</v>
      </c>
      <c r="I9454" s="127">
        <v>80</v>
      </c>
      <c r="J9454" s="127">
        <v>400</v>
      </c>
    </row>
    <row r="9455" spans="1:10" hidden="1" x14ac:dyDescent="0.25">
      <c r="A9455" s="124" t="s">
        <v>11494</v>
      </c>
      <c r="B9455" s="124" t="s">
        <v>11736</v>
      </c>
      <c r="C9455" s="132"/>
      <c r="D9455" s="125">
        <f t="shared" si="191"/>
        <v>0</v>
      </c>
      <c r="E9455" s="124" t="s">
        <v>8367</v>
      </c>
      <c r="F9455" s="126">
        <v>362</v>
      </c>
      <c r="G9455" s="128">
        <v>25338.55</v>
      </c>
      <c r="H9455" s="124" t="s">
        <v>8368</v>
      </c>
      <c r="I9455" s="127">
        <v>60</v>
      </c>
      <c r="J9455" s="127">
        <v>300</v>
      </c>
    </row>
    <row r="9456" spans="1:10" hidden="1" x14ac:dyDescent="0.25">
      <c r="A9456" s="124" t="s">
        <v>11495</v>
      </c>
      <c r="B9456" s="124" t="s">
        <v>11736</v>
      </c>
      <c r="C9456" s="132"/>
      <c r="D9456" s="125">
        <f t="shared" si="191"/>
        <v>0</v>
      </c>
      <c r="E9456" s="124" t="s">
        <v>8367</v>
      </c>
      <c r="F9456" s="126">
        <v>100</v>
      </c>
      <c r="G9456" s="127">
        <v>420</v>
      </c>
      <c r="H9456" s="124" t="s">
        <v>8368</v>
      </c>
      <c r="I9456" s="127">
        <v>40</v>
      </c>
      <c r="J9456" s="127">
        <v>200</v>
      </c>
    </row>
    <row r="9457" spans="1:10" hidden="1" x14ac:dyDescent="0.25">
      <c r="A9457" s="124" t="s">
        <v>11496</v>
      </c>
      <c r="B9457" s="124" t="s">
        <v>11736</v>
      </c>
      <c r="C9457" s="132"/>
      <c r="D9457" s="125">
        <f t="shared" si="191"/>
        <v>0</v>
      </c>
      <c r="E9457" s="124" t="s">
        <v>8367</v>
      </c>
      <c r="F9457" s="126">
        <v>200</v>
      </c>
      <c r="G9457" s="127">
        <v>480</v>
      </c>
      <c r="H9457" s="124" t="s">
        <v>8368</v>
      </c>
      <c r="I9457" s="128">
        <v>12112.6</v>
      </c>
      <c r="J9457" s="128">
        <v>60563</v>
      </c>
    </row>
    <row r="9458" spans="1:10" hidden="1" x14ac:dyDescent="0.25">
      <c r="A9458" s="124" t="s">
        <v>11497</v>
      </c>
      <c r="B9458" s="124" t="s">
        <v>11736</v>
      </c>
      <c r="C9458" s="132"/>
      <c r="D9458" s="125">
        <f t="shared" si="191"/>
        <v>0</v>
      </c>
      <c r="E9458" s="124" t="s">
        <v>8367</v>
      </c>
      <c r="F9458" s="126">
        <v>200</v>
      </c>
      <c r="G9458" s="127">
        <v>360</v>
      </c>
      <c r="H9458" s="124" t="s">
        <v>8368</v>
      </c>
      <c r="I9458" s="128">
        <v>2577</v>
      </c>
      <c r="J9458" s="128">
        <v>12885</v>
      </c>
    </row>
    <row r="9459" spans="1:10" hidden="1" x14ac:dyDescent="0.25">
      <c r="A9459" s="124" t="s">
        <v>11498</v>
      </c>
      <c r="B9459" s="124" t="s">
        <v>11736</v>
      </c>
      <c r="C9459" s="132"/>
      <c r="D9459" s="125">
        <f t="shared" si="191"/>
        <v>0</v>
      </c>
      <c r="E9459" s="124" t="s">
        <v>8367</v>
      </c>
      <c r="F9459" s="126">
        <v>200</v>
      </c>
      <c r="G9459" s="127">
        <v>240</v>
      </c>
      <c r="H9459" s="124" t="s">
        <v>8368</v>
      </c>
      <c r="I9459" s="128">
        <v>14104.2</v>
      </c>
      <c r="J9459" s="128">
        <v>70521</v>
      </c>
    </row>
    <row r="9460" spans="1:10" hidden="1" x14ac:dyDescent="0.25">
      <c r="A9460" s="124" t="s">
        <v>11499</v>
      </c>
      <c r="B9460" s="124" t="s">
        <v>11736</v>
      </c>
      <c r="C9460" s="132"/>
      <c r="D9460" s="125">
        <f t="shared" si="191"/>
        <v>0</v>
      </c>
      <c r="E9460" s="124" t="s">
        <v>8367</v>
      </c>
      <c r="F9460" s="126">
        <v>1</v>
      </c>
      <c r="G9460" s="128">
        <v>72675.600000000006</v>
      </c>
      <c r="H9460" s="124" t="s">
        <v>8368</v>
      </c>
      <c r="I9460" s="128">
        <v>18933.07</v>
      </c>
      <c r="J9460" s="128">
        <v>94665.33</v>
      </c>
    </row>
    <row r="9461" spans="1:10" hidden="1" x14ac:dyDescent="0.25">
      <c r="A9461" s="124" t="s">
        <v>11500</v>
      </c>
      <c r="B9461" s="124" t="s">
        <v>11736</v>
      </c>
      <c r="C9461" s="132"/>
      <c r="D9461" s="125">
        <f t="shared" si="191"/>
        <v>0</v>
      </c>
      <c r="E9461" s="124" t="s">
        <v>8367</v>
      </c>
      <c r="F9461" s="126">
        <v>1</v>
      </c>
      <c r="G9461" s="128">
        <v>15462</v>
      </c>
      <c r="H9461" s="124" t="s">
        <v>8368</v>
      </c>
      <c r="I9461" s="128">
        <v>20106.25</v>
      </c>
      <c r="J9461" s="128">
        <v>100531.25</v>
      </c>
    </row>
    <row r="9462" spans="1:10" hidden="1" x14ac:dyDescent="0.25">
      <c r="A9462" s="124" t="s">
        <v>11501</v>
      </c>
      <c r="B9462" s="124" t="s">
        <v>11736</v>
      </c>
      <c r="C9462" s="132"/>
      <c r="D9462" s="125">
        <f t="shared" si="191"/>
        <v>0</v>
      </c>
      <c r="E9462" s="124" t="s">
        <v>8367</v>
      </c>
      <c r="F9462" s="126">
        <v>1</v>
      </c>
      <c r="G9462" s="128">
        <v>84625.2</v>
      </c>
      <c r="H9462" s="124" t="s">
        <v>8368</v>
      </c>
      <c r="I9462" s="128">
        <v>3162.2</v>
      </c>
      <c r="J9462" s="128">
        <v>15811</v>
      </c>
    </row>
    <row r="9463" spans="1:10" hidden="1" x14ac:dyDescent="0.25">
      <c r="A9463" s="124" t="s">
        <v>11502</v>
      </c>
      <c r="B9463" s="124" t="s">
        <v>11736</v>
      </c>
      <c r="C9463" s="132"/>
      <c r="D9463" s="125">
        <f t="shared" si="191"/>
        <v>0</v>
      </c>
      <c r="E9463" s="124" t="s">
        <v>8367</v>
      </c>
      <c r="F9463" s="126">
        <v>2</v>
      </c>
      <c r="G9463" s="128">
        <v>113598.39999999999</v>
      </c>
      <c r="H9463" s="124" t="s">
        <v>8368</v>
      </c>
      <c r="I9463" s="128">
        <v>7417.8</v>
      </c>
      <c r="J9463" s="128">
        <v>37089</v>
      </c>
    </row>
    <row r="9464" spans="1:10" hidden="1" x14ac:dyDescent="0.25">
      <c r="A9464" s="124" t="s">
        <v>11503</v>
      </c>
      <c r="B9464" s="124" t="s">
        <v>11736</v>
      </c>
      <c r="C9464" s="132"/>
      <c r="D9464" s="125">
        <f t="shared" ref="D9464:D9477" si="192">COUNTIF(A5255:A9463,A9464)</f>
        <v>0</v>
      </c>
      <c r="E9464" s="124" t="s">
        <v>8367</v>
      </c>
      <c r="F9464" s="126">
        <v>1</v>
      </c>
      <c r="G9464" s="128">
        <v>120637.5</v>
      </c>
      <c r="H9464" s="124" t="s">
        <v>8368</v>
      </c>
      <c r="I9464" s="128">
        <v>10537.4</v>
      </c>
      <c r="J9464" s="128">
        <v>52687</v>
      </c>
    </row>
    <row r="9465" spans="1:10" hidden="1" x14ac:dyDescent="0.25">
      <c r="A9465" s="124" t="s">
        <v>11504</v>
      </c>
      <c r="B9465" s="124" t="s">
        <v>11736</v>
      </c>
      <c r="C9465" s="132"/>
      <c r="D9465" s="125">
        <f t="shared" si="192"/>
        <v>0</v>
      </c>
      <c r="E9465" s="124" t="s">
        <v>8367</v>
      </c>
      <c r="F9465" s="126">
        <v>1</v>
      </c>
      <c r="G9465" s="128">
        <v>18973.2</v>
      </c>
      <c r="H9465" s="124" t="s">
        <v>8368</v>
      </c>
      <c r="I9465" s="128">
        <v>15479.4</v>
      </c>
      <c r="J9465" s="128">
        <v>77397</v>
      </c>
    </row>
    <row r="9466" spans="1:10" hidden="1" x14ac:dyDescent="0.25">
      <c r="A9466" s="124" t="s">
        <v>11505</v>
      </c>
      <c r="B9466" s="124" t="s">
        <v>11736</v>
      </c>
      <c r="C9466" s="132"/>
      <c r="D9466" s="125">
        <f t="shared" si="192"/>
        <v>0</v>
      </c>
      <c r="E9466" s="124" t="s">
        <v>8367</v>
      </c>
      <c r="F9466" s="126">
        <v>1</v>
      </c>
      <c r="G9466" s="128">
        <v>44506.8</v>
      </c>
      <c r="H9466" s="124" t="s">
        <v>8368</v>
      </c>
      <c r="I9466" s="128">
        <v>2416</v>
      </c>
      <c r="J9466" s="128">
        <v>12080</v>
      </c>
    </row>
    <row r="9467" spans="1:10" hidden="1" x14ac:dyDescent="0.25">
      <c r="A9467" s="124" t="s">
        <v>11506</v>
      </c>
      <c r="B9467" s="124" t="s">
        <v>11736</v>
      </c>
      <c r="C9467" s="132"/>
      <c r="D9467" s="125">
        <f t="shared" si="192"/>
        <v>0</v>
      </c>
      <c r="E9467" s="124" t="s">
        <v>8367</v>
      </c>
      <c r="F9467" s="126">
        <v>1</v>
      </c>
      <c r="G9467" s="128">
        <v>63224.4</v>
      </c>
      <c r="H9467" s="124" t="s">
        <v>8368</v>
      </c>
      <c r="I9467" s="128">
        <v>7900</v>
      </c>
      <c r="J9467" s="128">
        <v>39500</v>
      </c>
    </row>
    <row r="9468" spans="1:10" hidden="1" x14ac:dyDescent="0.25">
      <c r="A9468" s="124" t="s">
        <v>11507</v>
      </c>
      <c r="B9468" s="124" t="s">
        <v>11736</v>
      </c>
      <c r="C9468" s="132"/>
      <c r="D9468" s="125">
        <f t="shared" si="192"/>
        <v>0</v>
      </c>
      <c r="E9468" s="124" t="s">
        <v>8367</v>
      </c>
      <c r="F9468" s="126">
        <v>31</v>
      </c>
      <c r="G9468" s="128">
        <v>92876.4</v>
      </c>
      <c r="H9468" s="124" t="s">
        <v>8368</v>
      </c>
      <c r="I9468" s="128">
        <v>18300</v>
      </c>
      <c r="J9468" s="128">
        <v>91500</v>
      </c>
    </row>
    <row r="9469" spans="1:10" hidden="1" x14ac:dyDescent="0.25">
      <c r="A9469" s="124" t="s">
        <v>11508</v>
      </c>
      <c r="B9469" s="124" t="s">
        <v>11736</v>
      </c>
      <c r="C9469" s="132"/>
      <c r="D9469" s="125">
        <f t="shared" si="192"/>
        <v>0</v>
      </c>
      <c r="E9469" s="124" t="s">
        <v>8367</v>
      </c>
      <c r="F9469" s="126">
        <v>80</v>
      </c>
      <c r="G9469" s="128">
        <v>14496</v>
      </c>
      <c r="H9469" s="124" t="s">
        <v>8368</v>
      </c>
      <c r="I9469" s="127">
        <v>406.6</v>
      </c>
      <c r="J9469" s="128">
        <v>2033</v>
      </c>
    </row>
    <row r="9470" spans="1:10" hidden="1" x14ac:dyDescent="0.25">
      <c r="A9470" s="124" t="s">
        <v>11509</v>
      </c>
      <c r="B9470" s="124" t="s">
        <v>11736</v>
      </c>
      <c r="C9470" s="132"/>
      <c r="D9470" s="125">
        <f t="shared" si="192"/>
        <v>0</v>
      </c>
      <c r="E9470" s="124" t="s">
        <v>8367</v>
      </c>
      <c r="F9470" s="126">
        <v>100</v>
      </c>
      <c r="G9470" s="128">
        <v>47400</v>
      </c>
      <c r="H9470" s="124" t="s">
        <v>8368</v>
      </c>
      <c r="I9470" s="128">
        <v>7800</v>
      </c>
      <c r="J9470" s="128">
        <v>39000</v>
      </c>
    </row>
    <row r="9471" spans="1:10" hidden="1" x14ac:dyDescent="0.25">
      <c r="A9471" s="124" t="s">
        <v>11510</v>
      </c>
      <c r="B9471" s="124" t="s">
        <v>11736</v>
      </c>
      <c r="C9471" s="132"/>
      <c r="D9471" s="125">
        <f t="shared" si="192"/>
        <v>0</v>
      </c>
      <c r="E9471" s="124" t="s">
        <v>8367</v>
      </c>
      <c r="F9471" s="126">
        <v>3</v>
      </c>
      <c r="G9471" s="128">
        <v>109800</v>
      </c>
      <c r="H9471" s="124" t="s">
        <v>8368</v>
      </c>
      <c r="I9471" s="128">
        <v>1464</v>
      </c>
      <c r="J9471" s="128">
        <v>7320</v>
      </c>
    </row>
    <row r="9472" spans="1:10" hidden="1" x14ac:dyDescent="0.25">
      <c r="A9472" s="124" t="s">
        <v>11511</v>
      </c>
      <c r="B9472" s="124" t="s">
        <v>11736</v>
      </c>
      <c r="C9472" s="132"/>
      <c r="D9472" s="125">
        <f t="shared" si="192"/>
        <v>0</v>
      </c>
      <c r="E9472" s="124" t="s">
        <v>8367</v>
      </c>
      <c r="F9472" s="126">
        <v>61</v>
      </c>
      <c r="G9472" s="128">
        <v>2439.6</v>
      </c>
      <c r="H9472" s="124" t="s">
        <v>8368</v>
      </c>
      <c r="I9472" s="127">
        <v>666.6</v>
      </c>
      <c r="J9472" s="128">
        <v>3333</v>
      </c>
    </row>
    <row r="9473" spans="1:10" hidden="1" x14ac:dyDescent="0.25">
      <c r="A9473" s="124" t="s">
        <v>11512</v>
      </c>
      <c r="B9473" s="124" t="s">
        <v>11736</v>
      </c>
      <c r="C9473" s="132"/>
      <c r="D9473" s="125">
        <f t="shared" si="192"/>
        <v>0</v>
      </c>
      <c r="E9473" s="124" t="s">
        <v>8367</v>
      </c>
      <c r="F9473" s="126">
        <v>1</v>
      </c>
      <c r="G9473" s="128">
        <v>46800</v>
      </c>
      <c r="H9473" s="124" t="s">
        <v>8368</v>
      </c>
      <c r="I9473" s="128">
        <v>4485</v>
      </c>
      <c r="J9473" s="128">
        <v>22425</v>
      </c>
    </row>
    <row r="9474" spans="1:10" hidden="1" x14ac:dyDescent="0.25">
      <c r="A9474" s="124" t="s">
        <v>11513</v>
      </c>
      <c r="B9474" s="124" t="s">
        <v>11736</v>
      </c>
      <c r="C9474" s="132"/>
      <c r="D9474" s="125">
        <f t="shared" si="192"/>
        <v>0</v>
      </c>
      <c r="E9474" s="124" t="s">
        <v>8367</v>
      </c>
      <c r="F9474" s="126">
        <v>4</v>
      </c>
      <c r="G9474" s="128">
        <v>8784</v>
      </c>
      <c r="H9474" s="124" t="s">
        <v>8368</v>
      </c>
      <c r="I9474" s="128">
        <v>12852.6</v>
      </c>
      <c r="J9474" s="128">
        <v>64263</v>
      </c>
    </row>
    <row r="9475" spans="1:10" hidden="1" x14ac:dyDescent="0.25">
      <c r="A9475" s="124" t="s">
        <v>11514</v>
      </c>
      <c r="B9475" s="124" t="s">
        <v>11736</v>
      </c>
      <c r="C9475" s="132"/>
      <c r="D9475" s="125">
        <f t="shared" si="192"/>
        <v>0</v>
      </c>
      <c r="E9475" s="124" t="s">
        <v>8367</v>
      </c>
      <c r="F9475" s="126">
        <v>200</v>
      </c>
      <c r="G9475" s="128">
        <v>3999.6</v>
      </c>
      <c r="H9475" s="124" t="s">
        <v>8368</v>
      </c>
      <c r="I9475" s="128">
        <v>1350</v>
      </c>
      <c r="J9475" s="128">
        <v>6750</v>
      </c>
    </row>
    <row r="9476" spans="1:10" hidden="1" x14ac:dyDescent="0.25">
      <c r="A9476" s="124" t="s">
        <v>11515</v>
      </c>
      <c r="B9476" s="124" t="s">
        <v>11736</v>
      </c>
      <c r="C9476" s="132"/>
      <c r="D9476" s="125">
        <f t="shared" si="192"/>
        <v>0</v>
      </c>
      <c r="E9476" s="124" t="s">
        <v>8367</v>
      </c>
      <c r="F9476" s="126">
        <v>10</v>
      </c>
      <c r="G9476" s="128">
        <v>26910</v>
      </c>
      <c r="H9476" s="124" t="s">
        <v>8368</v>
      </c>
      <c r="I9476" s="128">
        <v>1350</v>
      </c>
      <c r="J9476" s="128">
        <v>6750</v>
      </c>
    </row>
    <row r="9477" spans="1:10" hidden="1" x14ac:dyDescent="0.25">
      <c r="A9477" s="124" t="s">
        <v>11516</v>
      </c>
      <c r="B9477" s="124" t="s">
        <v>11736</v>
      </c>
      <c r="C9477" s="132"/>
      <c r="D9477" s="125">
        <f t="shared" si="192"/>
        <v>0</v>
      </c>
      <c r="E9477" s="124" t="s">
        <v>8367</v>
      </c>
      <c r="F9477" s="126">
        <v>1</v>
      </c>
      <c r="G9477" s="128">
        <v>77115.600000000006</v>
      </c>
      <c r="H9477" s="124" t="s">
        <v>8368</v>
      </c>
      <c r="I9477" s="128">
        <v>1350</v>
      </c>
      <c r="J9477" s="128">
        <v>6750</v>
      </c>
    </row>
    <row r="9478" spans="1:10" hidden="1" x14ac:dyDescent="0.25">
      <c r="A9478" s="124" t="s">
        <v>11517</v>
      </c>
      <c r="B9478" s="124" t="s">
        <v>11736</v>
      </c>
      <c r="C9478" s="132"/>
      <c r="D9478" s="125">
        <f t="shared" ref="D9478:D9508" si="193">COUNTIF(A5270:A9477,A9478)</f>
        <v>0</v>
      </c>
      <c r="E9478" s="124" t="s">
        <v>8367</v>
      </c>
      <c r="F9478" s="126">
        <v>6</v>
      </c>
      <c r="G9478" s="128">
        <v>8100</v>
      </c>
      <c r="H9478" s="124" t="s">
        <v>8368</v>
      </c>
      <c r="I9478" s="128">
        <v>1350</v>
      </c>
      <c r="J9478" s="128">
        <v>6750</v>
      </c>
    </row>
    <row r="9479" spans="1:10" hidden="1" x14ac:dyDescent="0.25">
      <c r="A9479" s="124" t="s">
        <v>11518</v>
      </c>
      <c r="B9479" s="124" t="s">
        <v>11736</v>
      </c>
      <c r="C9479" s="132"/>
      <c r="D9479" s="125">
        <f t="shared" si="193"/>
        <v>0</v>
      </c>
      <c r="E9479" s="124" t="s">
        <v>8367</v>
      </c>
      <c r="F9479" s="126">
        <v>6</v>
      </c>
      <c r="G9479" s="128">
        <v>8100</v>
      </c>
      <c r="H9479" s="124" t="s">
        <v>8368</v>
      </c>
      <c r="I9479" s="128">
        <v>2280</v>
      </c>
      <c r="J9479" s="128">
        <v>11400</v>
      </c>
    </row>
    <row r="9480" spans="1:10" hidden="1" x14ac:dyDescent="0.25">
      <c r="A9480" s="124" t="s">
        <v>11519</v>
      </c>
      <c r="B9480" s="124" t="s">
        <v>11736</v>
      </c>
      <c r="C9480" s="132"/>
      <c r="D9480" s="125">
        <f t="shared" si="193"/>
        <v>0</v>
      </c>
      <c r="E9480" s="124" t="s">
        <v>8367</v>
      </c>
      <c r="F9480" s="126">
        <v>6</v>
      </c>
      <c r="G9480" s="128">
        <v>8100</v>
      </c>
      <c r="H9480" s="124" t="s">
        <v>8368</v>
      </c>
      <c r="I9480" s="127">
        <v>760</v>
      </c>
      <c r="J9480" s="128">
        <v>3800</v>
      </c>
    </row>
    <row r="9481" spans="1:10" hidden="1" x14ac:dyDescent="0.25">
      <c r="A9481" s="124" t="s">
        <v>11520</v>
      </c>
      <c r="B9481" s="124" t="s">
        <v>11736</v>
      </c>
      <c r="C9481" s="132"/>
      <c r="D9481" s="125">
        <f t="shared" si="193"/>
        <v>0</v>
      </c>
      <c r="E9481" s="124" t="s">
        <v>8367</v>
      </c>
      <c r="F9481" s="126">
        <v>6</v>
      </c>
      <c r="G9481" s="128">
        <v>8100</v>
      </c>
      <c r="H9481" s="124" t="s">
        <v>8368</v>
      </c>
      <c r="I9481" s="128">
        <v>7050</v>
      </c>
      <c r="J9481" s="128">
        <v>35250</v>
      </c>
    </row>
    <row r="9482" spans="1:10" hidden="1" x14ac:dyDescent="0.25">
      <c r="A9482" s="124" t="s">
        <v>11521</v>
      </c>
      <c r="B9482" s="124" t="s">
        <v>11736</v>
      </c>
      <c r="C9482" s="132"/>
      <c r="D9482" s="125">
        <f t="shared" si="193"/>
        <v>0</v>
      </c>
      <c r="E9482" s="124" t="s">
        <v>8367</v>
      </c>
      <c r="F9482" s="126">
        <v>15</v>
      </c>
      <c r="G9482" s="128">
        <v>13680</v>
      </c>
      <c r="H9482" s="124" t="s">
        <v>8368</v>
      </c>
      <c r="I9482" s="128">
        <v>12400</v>
      </c>
      <c r="J9482" s="128">
        <v>62000</v>
      </c>
    </row>
    <row r="9483" spans="1:10" hidden="1" x14ac:dyDescent="0.25">
      <c r="A9483" s="124" t="s">
        <v>11522</v>
      </c>
      <c r="B9483" s="124" t="s">
        <v>11736</v>
      </c>
      <c r="C9483" s="132"/>
      <c r="D9483" s="125">
        <f t="shared" si="193"/>
        <v>0</v>
      </c>
      <c r="E9483" s="124" t="s">
        <v>8367</v>
      </c>
      <c r="F9483" s="126">
        <v>5</v>
      </c>
      <c r="G9483" s="128">
        <v>4560</v>
      </c>
      <c r="H9483" s="124" t="s">
        <v>8368</v>
      </c>
      <c r="I9483" s="127">
        <v>833.4</v>
      </c>
      <c r="J9483" s="128">
        <v>4167</v>
      </c>
    </row>
    <row r="9484" spans="1:10" hidden="1" x14ac:dyDescent="0.25">
      <c r="A9484" s="124" t="s">
        <v>11523</v>
      </c>
      <c r="B9484" s="124" t="s">
        <v>11736</v>
      </c>
      <c r="C9484" s="132"/>
      <c r="D9484" s="125">
        <f t="shared" si="193"/>
        <v>0</v>
      </c>
      <c r="E9484" s="124" t="s">
        <v>8367</v>
      </c>
      <c r="F9484" s="126">
        <v>20</v>
      </c>
      <c r="G9484" s="128">
        <v>42300</v>
      </c>
      <c r="H9484" s="124" t="s">
        <v>8368</v>
      </c>
      <c r="I9484" s="128">
        <v>15033.4</v>
      </c>
      <c r="J9484" s="128">
        <v>75167</v>
      </c>
    </row>
    <row r="9485" spans="1:10" hidden="1" x14ac:dyDescent="0.25">
      <c r="A9485" s="124" t="s">
        <v>11524</v>
      </c>
      <c r="B9485" s="124" t="s">
        <v>11736</v>
      </c>
      <c r="C9485" s="132"/>
      <c r="D9485" s="125">
        <f t="shared" si="193"/>
        <v>0</v>
      </c>
      <c r="E9485" s="124" t="s">
        <v>8367</v>
      </c>
      <c r="F9485" s="126">
        <v>16</v>
      </c>
      <c r="G9485" s="128">
        <v>74400</v>
      </c>
      <c r="H9485" s="124" t="s">
        <v>8368</v>
      </c>
      <c r="I9485" s="128">
        <v>7000</v>
      </c>
      <c r="J9485" s="128">
        <v>35000</v>
      </c>
    </row>
    <row r="9486" spans="1:10" hidden="1" x14ac:dyDescent="0.25">
      <c r="A9486" s="124" t="s">
        <v>6343</v>
      </c>
      <c r="B9486" s="124" t="s">
        <v>11736</v>
      </c>
      <c r="C9486" s="132"/>
      <c r="D9486" s="125">
        <f t="shared" si="193"/>
        <v>0</v>
      </c>
      <c r="E9486" s="124" t="s">
        <v>8367</v>
      </c>
      <c r="F9486" s="129">
        <v>1000</v>
      </c>
      <c r="G9486" s="128">
        <v>5000.3999999999996</v>
      </c>
      <c r="H9486" s="124" t="s">
        <v>8368</v>
      </c>
      <c r="I9486" s="128">
        <v>3000</v>
      </c>
      <c r="J9486" s="128">
        <v>15000</v>
      </c>
    </row>
    <row r="9487" spans="1:10" hidden="1" x14ac:dyDescent="0.25">
      <c r="A9487" s="124" t="s">
        <v>6345</v>
      </c>
      <c r="B9487" s="124" t="s">
        <v>11736</v>
      </c>
      <c r="C9487" s="132"/>
      <c r="D9487" s="125">
        <f t="shared" si="193"/>
        <v>0</v>
      </c>
      <c r="E9487" s="124" t="s">
        <v>8367</v>
      </c>
      <c r="F9487" s="129">
        <v>11000</v>
      </c>
      <c r="G9487" s="128">
        <v>90200.4</v>
      </c>
      <c r="H9487" s="124" t="s">
        <v>8368</v>
      </c>
      <c r="I9487" s="128">
        <v>10816.6</v>
      </c>
      <c r="J9487" s="128">
        <v>54083</v>
      </c>
    </row>
    <row r="9488" spans="1:10" hidden="1" x14ac:dyDescent="0.25">
      <c r="A9488" s="124" t="s">
        <v>11525</v>
      </c>
      <c r="B9488" s="124" t="s">
        <v>11736</v>
      </c>
      <c r="C9488" s="132"/>
      <c r="D9488" s="125">
        <f t="shared" si="193"/>
        <v>0</v>
      </c>
      <c r="E9488" s="124" t="s">
        <v>8367</v>
      </c>
      <c r="F9488" s="129">
        <v>5000</v>
      </c>
      <c r="G9488" s="128">
        <v>42000</v>
      </c>
      <c r="H9488" s="124" t="s">
        <v>8368</v>
      </c>
      <c r="I9488" s="128">
        <v>2410.02</v>
      </c>
      <c r="J9488" s="128">
        <v>12050.1</v>
      </c>
    </row>
    <row r="9489" spans="1:10" hidden="1" x14ac:dyDescent="0.25">
      <c r="A9489" s="124" t="s">
        <v>6346</v>
      </c>
      <c r="B9489" s="124" t="s">
        <v>11736</v>
      </c>
      <c r="C9489" s="132"/>
      <c r="D9489" s="125">
        <f t="shared" si="193"/>
        <v>0</v>
      </c>
      <c r="E9489" s="124" t="s">
        <v>8367</v>
      </c>
      <c r="F9489" s="129">
        <v>2000</v>
      </c>
      <c r="G9489" s="128">
        <v>18000</v>
      </c>
      <c r="H9489" s="124" t="s">
        <v>8368</v>
      </c>
      <c r="I9489" s="128">
        <v>1740</v>
      </c>
      <c r="J9489" s="128">
        <v>8700</v>
      </c>
    </row>
    <row r="9490" spans="1:10" hidden="1" x14ac:dyDescent="0.25">
      <c r="A9490" s="124" t="s">
        <v>6349</v>
      </c>
      <c r="B9490" s="124" t="s">
        <v>11736</v>
      </c>
      <c r="C9490" s="132"/>
      <c r="D9490" s="125">
        <f t="shared" si="193"/>
        <v>0</v>
      </c>
      <c r="E9490" s="124" t="s">
        <v>8367</v>
      </c>
      <c r="F9490" s="129">
        <v>11000</v>
      </c>
      <c r="G9490" s="128">
        <v>64899.6</v>
      </c>
      <c r="H9490" s="124" t="s">
        <v>8368</v>
      </c>
      <c r="I9490" s="128">
        <v>4733.3999999999996</v>
      </c>
      <c r="J9490" s="128">
        <v>23667</v>
      </c>
    </row>
    <row r="9491" spans="1:10" hidden="1" x14ac:dyDescent="0.25">
      <c r="A9491" s="124" t="s">
        <v>11526</v>
      </c>
      <c r="B9491" s="124" t="s">
        <v>11736</v>
      </c>
      <c r="C9491" s="132"/>
      <c r="D9491" s="125">
        <f t="shared" si="193"/>
        <v>0</v>
      </c>
      <c r="E9491" s="124" t="s">
        <v>8367</v>
      </c>
      <c r="F9491" s="126">
        <v>30</v>
      </c>
      <c r="G9491" s="128">
        <v>14460.12</v>
      </c>
      <c r="H9491" s="124" t="s">
        <v>8368</v>
      </c>
      <c r="I9491" s="128">
        <v>6083.4</v>
      </c>
      <c r="J9491" s="128">
        <v>30417</v>
      </c>
    </row>
    <row r="9492" spans="1:10" hidden="1" x14ac:dyDescent="0.25">
      <c r="A9492" s="124" t="s">
        <v>11527</v>
      </c>
      <c r="B9492" s="124" t="s">
        <v>11736</v>
      </c>
      <c r="C9492" s="132"/>
      <c r="D9492" s="125">
        <f t="shared" si="193"/>
        <v>0</v>
      </c>
      <c r="E9492" s="124" t="s">
        <v>8367</v>
      </c>
      <c r="F9492" s="126">
        <v>30</v>
      </c>
      <c r="G9492" s="128">
        <v>10440</v>
      </c>
      <c r="H9492" s="124" t="s">
        <v>8368</v>
      </c>
      <c r="I9492" s="128">
        <v>6483.4</v>
      </c>
      <c r="J9492" s="128">
        <v>32417</v>
      </c>
    </row>
    <row r="9493" spans="1:10" hidden="1" x14ac:dyDescent="0.25">
      <c r="A9493" s="124" t="s">
        <v>11528</v>
      </c>
      <c r="B9493" s="124" t="s">
        <v>11736</v>
      </c>
      <c r="C9493" s="132"/>
      <c r="D9493" s="125">
        <f t="shared" si="193"/>
        <v>0</v>
      </c>
      <c r="E9493" s="124" t="s">
        <v>8367</v>
      </c>
      <c r="F9493" s="126">
        <v>100</v>
      </c>
      <c r="G9493" s="128">
        <v>28400.400000000001</v>
      </c>
      <c r="H9493" s="124" t="s">
        <v>8368</v>
      </c>
      <c r="I9493" s="128">
        <v>7033.4</v>
      </c>
      <c r="J9493" s="128">
        <v>35167</v>
      </c>
    </row>
    <row r="9494" spans="1:10" hidden="1" x14ac:dyDescent="0.25">
      <c r="A9494" s="124" t="s">
        <v>11529</v>
      </c>
      <c r="B9494" s="124" t="s">
        <v>11736</v>
      </c>
      <c r="C9494" s="132"/>
      <c r="D9494" s="125">
        <f t="shared" si="193"/>
        <v>0</v>
      </c>
      <c r="E9494" s="124" t="s">
        <v>8367</v>
      </c>
      <c r="F9494" s="126">
        <v>100</v>
      </c>
      <c r="G9494" s="128">
        <v>36500.400000000001</v>
      </c>
      <c r="H9494" s="124" t="s">
        <v>8368</v>
      </c>
      <c r="I9494" s="128">
        <v>7550</v>
      </c>
      <c r="J9494" s="128">
        <v>37750</v>
      </c>
    </row>
    <row r="9495" spans="1:10" hidden="1" x14ac:dyDescent="0.25">
      <c r="A9495" s="124" t="s">
        <v>11530</v>
      </c>
      <c r="B9495" s="124" t="s">
        <v>11736</v>
      </c>
      <c r="C9495" s="132"/>
      <c r="D9495" s="125">
        <f t="shared" si="193"/>
        <v>0</v>
      </c>
      <c r="E9495" s="124" t="s">
        <v>8367</v>
      </c>
      <c r="F9495" s="126">
        <v>100</v>
      </c>
      <c r="G9495" s="128">
        <v>38900.400000000001</v>
      </c>
      <c r="H9495" s="124" t="s">
        <v>8368</v>
      </c>
      <c r="I9495" s="127">
        <v>66.599999999999994</v>
      </c>
      <c r="J9495" s="127">
        <v>333</v>
      </c>
    </row>
    <row r="9496" spans="1:10" hidden="1" x14ac:dyDescent="0.25">
      <c r="A9496" s="124" t="s">
        <v>11531</v>
      </c>
      <c r="B9496" s="124" t="s">
        <v>11736</v>
      </c>
      <c r="C9496" s="132"/>
      <c r="D9496" s="125">
        <f t="shared" si="193"/>
        <v>0</v>
      </c>
      <c r="E9496" s="124" t="s">
        <v>8367</v>
      </c>
      <c r="F9496" s="126">
        <v>100</v>
      </c>
      <c r="G9496" s="128">
        <v>42200.4</v>
      </c>
      <c r="H9496" s="124" t="s">
        <v>8368</v>
      </c>
      <c r="I9496" s="128">
        <v>3333.35</v>
      </c>
      <c r="J9496" s="128">
        <v>16666.75</v>
      </c>
    </row>
    <row r="9497" spans="1:10" hidden="1" x14ac:dyDescent="0.25">
      <c r="A9497" s="124" t="s">
        <v>11532</v>
      </c>
      <c r="B9497" s="124" t="s">
        <v>11736</v>
      </c>
      <c r="C9497" s="132"/>
      <c r="D9497" s="125">
        <f t="shared" si="193"/>
        <v>0</v>
      </c>
      <c r="E9497" s="124" t="s">
        <v>8367</v>
      </c>
      <c r="F9497" s="126">
        <v>100</v>
      </c>
      <c r="G9497" s="128">
        <v>45300</v>
      </c>
      <c r="H9497" s="124" t="s">
        <v>8368</v>
      </c>
      <c r="I9497" s="128">
        <v>4199.96</v>
      </c>
      <c r="J9497" s="128">
        <v>20999.8</v>
      </c>
    </row>
    <row r="9498" spans="1:10" hidden="1" x14ac:dyDescent="0.25">
      <c r="A9498" s="124" t="s">
        <v>11533</v>
      </c>
      <c r="B9498" s="124" t="s">
        <v>11736</v>
      </c>
      <c r="C9498" s="132"/>
      <c r="D9498" s="125">
        <f t="shared" si="193"/>
        <v>0</v>
      </c>
      <c r="E9498" s="124" t="s">
        <v>8367</v>
      </c>
      <c r="F9498" s="129">
        <v>1000</v>
      </c>
      <c r="G9498" s="127">
        <v>399.6</v>
      </c>
      <c r="H9498" s="124" t="s">
        <v>8368</v>
      </c>
      <c r="I9498" s="127">
        <v>296.66000000000003</v>
      </c>
      <c r="J9498" s="128">
        <v>1483.28</v>
      </c>
    </row>
    <row r="9499" spans="1:10" hidden="1" x14ac:dyDescent="0.25">
      <c r="A9499" s="124" t="s">
        <v>11534</v>
      </c>
      <c r="B9499" s="124" t="s">
        <v>11736</v>
      </c>
      <c r="C9499" s="132"/>
      <c r="D9499" s="125">
        <f t="shared" si="193"/>
        <v>0</v>
      </c>
      <c r="E9499" s="124" t="s">
        <v>8367</v>
      </c>
      <c r="F9499" s="129">
        <v>10000</v>
      </c>
      <c r="G9499" s="128">
        <v>20000.099999999999</v>
      </c>
      <c r="H9499" s="124" t="s">
        <v>8368</v>
      </c>
      <c r="I9499" s="128">
        <v>3033.4</v>
      </c>
      <c r="J9499" s="128">
        <v>15167</v>
      </c>
    </row>
    <row r="9500" spans="1:10" hidden="1" x14ac:dyDescent="0.25">
      <c r="A9500" s="124" t="s">
        <v>11535</v>
      </c>
      <c r="B9500" s="124" t="s">
        <v>11736</v>
      </c>
      <c r="C9500" s="132"/>
      <c r="D9500" s="125">
        <f t="shared" si="193"/>
        <v>0</v>
      </c>
      <c r="E9500" s="124" t="s">
        <v>8367</v>
      </c>
      <c r="F9500" s="129">
        <v>36000</v>
      </c>
      <c r="G9500" s="128">
        <v>25199.759999999998</v>
      </c>
      <c r="H9500" s="124" t="s">
        <v>8368</v>
      </c>
      <c r="I9500" s="128">
        <v>1120</v>
      </c>
      <c r="J9500" s="128">
        <v>5600</v>
      </c>
    </row>
    <row r="9501" spans="1:10" hidden="1" x14ac:dyDescent="0.25">
      <c r="A9501" s="124" t="s">
        <v>11536</v>
      </c>
      <c r="B9501" s="124" t="s">
        <v>11736</v>
      </c>
      <c r="C9501" s="132"/>
      <c r="D9501" s="125">
        <f t="shared" si="193"/>
        <v>0</v>
      </c>
      <c r="E9501" s="124" t="s">
        <v>8367</v>
      </c>
      <c r="F9501" s="129">
        <v>2000</v>
      </c>
      <c r="G9501" s="128">
        <v>1779.94</v>
      </c>
      <c r="H9501" s="124" t="s">
        <v>8368</v>
      </c>
      <c r="I9501" s="127">
        <v>180.92</v>
      </c>
      <c r="J9501" s="127">
        <v>904.57</v>
      </c>
    </row>
    <row r="9502" spans="1:10" hidden="1" x14ac:dyDescent="0.25">
      <c r="A9502" s="124" t="s">
        <v>11537</v>
      </c>
      <c r="B9502" s="124" t="s">
        <v>11736</v>
      </c>
      <c r="C9502" s="132"/>
      <c r="D9502" s="125">
        <f t="shared" si="193"/>
        <v>0</v>
      </c>
      <c r="E9502" s="124" t="s">
        <v>8367</v>
      </c>
      <c r="F9502" s="129">
        <v>1400</v>
      </c>
      <c r="G9502" s="128">
        <v>18200.400000000001</v>
      </c>
      <c r="H9502" s="124" t="s">
        <v>8368</v>
      </c>
      <c r="I9502" s="128">
        <v>1633.4</v>
      </c>
      <c r="J9502" s="128">
        <v>8167</v>
      </c>
    </row>
    <row r="9503" spans="1:10" hidden="1" x14ac:dyDescent="0.25">
      <c r="A9503" s="124" t="s">
        <v>11538</v>
      </c>
      <c r="B9503" s="124" t="s">
        <v>11736</v>
      </c>
      <c r="C9503" s="132"/>
      <c r="D9503" s="125">
        <f t="shared" si="193"/>
        <v>0</v>
      </c>
      <c r="E9503" s="124" t="s">
        <v>8367</v>
      </c>
      <c r="F9503" s="126">
        <v>4</v>
      </c>
      <c r="G9503" s="128">
        <v>6720</v>
      </c>
      <c r="H9503" s="124" t="s">
        <v>8368</v>
      </c>
      <c r="I9503" s="128">
        <v>2000</v>
      </c>
      <c r="J9503" s="128">
        <v>10000</v>
      </c>
    </row>
    <row r="9504" spans="1:10" hidden="1" x14ac:dyDescent="0.25">
      <c r="A9504" s="124" t="s">
        <v>11539</v>
      </c>
      <c r="B9504" s="124" t="s">
        <v>11736</v>
      </c>
      <c r="C9504" s="132"/>
      <c r="D9504" s="125">
        <f t="shared" si="193"/>
        <v>0</v>
      </c>
      <c r="E9504" s="124" t="s">
        <v>8367</v>
      </c>
      <c r="F9504" s="129">
        <v>2000</v>
      </c>
      <c r="G9504" s="128">
        <v>1085.49</v>
      </c>
      <c r="H9504" s="124" t="s">
        <v>8368</v>
      </c>
      <c r="I9504" s="128">
        <v>6474.42</v>
      </c>
      <c r="J9504" s="128">
        <v>32372.09</v>
      </c>
    </row>
    <row r="9505" spans="1:10" hidden="1" x14ac:dyDescent="0.25">
      <c r="A9505" s="124" t="s">
        <v>11540</v>
      </c>
      <c r="B9505" s="124" t="s">
        <v>11736</v>
      </c>
      <c r="C9505" s="132"/>
      <c r="D9505" s="125">
        <f t="shared" si="193"/>
        <v>0</v>
      </c>
      <c r="E9505" s="124" t="s">
        <v>8367</v>
      </c>
      <c r="F9505" s="129">
        <v>10000</v>
      </c>
      <c r="G9505" s="128">
        <v>9800.4</v>
      </c>
      <c r="H9505" s="124" t="s">
        <v>8368</v>
      </c>
      <c r="I9505" s="127">
        <v>300</v>
      </c>
      <c r="J9505" s="128">
        <v>1500</v>
      </c>
    </row>
    <row r="9506" spans="1:10" hidden="1" x14ac:dyDescent="0.25">
      <c r="A9506" s="124" t="s">
        <v>11541</v>
      </c>
      <c r="B9506" s="124" t="s">
        <v>11736</v>
      </c>
      <c r="C9506" s="132"/>
      <c r="D9506" s="125">
        <f t="shared" si="193"/>
        <v>0</v>
      </c>
      <c r="E9506" s="124" t="s">
        <v>8367</v>
      </c>
      <c r="F9506" s="129">
        <v>8000</v>
      </c>
      <c r="G9506" s="128">
        <v>12000</v>
      </c>
      <c r="H9506" s="124" t="s">
        <v>8368</v>
      </c>
      <c r="I9506" s="127">
        <v>908.4</v>
      </c>
      <c r="J9506" s="128">
        <v>4542</v>
      </c>
    </row>
    <row r="9507" spans="1:10" hidden="1" x14ac:dyDescent="0.25">
      <c r="A9507" s="124" t="s">
        <v>11542</v>
      </c>
      <c r="B9507" s="124" t="s">
        <v>11736</v>
      </c>
      <c r="C9507" s="132"/>
      <c r="D9507" s="125">
        <f t="shared" si="193"/>
        <v>0</v>
      </c>
      <c r="E9507" s="124" t="s">
        <v>8367</v>
      </c>
      <c r="F9507" s="129">
        <v>15000</v>
      </c>
      <c r="G9507" s="128">
        <v>38846.51</v>
      </c>
      <c r="H9507" s="124" t="s">
        <v>8368</v>
      </c>
      <c r="I9507" s="128">
        <v>372500</v>
      </c>
      <c r="J9507" s="128">
        <v>1862500</v>
      </c>
    </row>
    <row r="9508" spans="1:10" hidden="1" x14ac:dyDescent="0.25">
      <c r="A9508" s="124" t="s">
        <v>11543</v>
      </c>
      <c r="B9508" s="124" t="s">
        <v>11736</v>
      </c>
      <c r="C9508" s="132"/>
      <c r="D9508" s="125">
        <f t="shared" si="193"/>
        <v>0</v>
      </c>
      <c r="E9508" s="124" t="s">
        <v>8367</v>
      </c>
      <c r="F9508" s="129">
        <v>2000</v>
      </c>
      <c r="G9508" s="128">
        <v>1800</v>
      </c>
      <c r="H9508" s="124" t="s">
        <v>8368</v>
      </c>
      <c r="I9508" s="128">
        <v>6600</v>
      </c>
      <c r="J9508" s="128">
        <v>33000</v>
      </c>
    </row>
    <row r="9509" spans="1:10" hidden="1" x14ac:dyDescent="0.25">
      <c r="A9509" s="124" t="s">
        <v>2537</v>
      </c>
      <c r="B9509" s="124" t="s">
        <v>11736</v>
      </c>
      <c r="C9509" s="132"/>
      <c r="D9509" s="125">
        <f t="shared" ref="D9509:D9551" si="194">COUNTIF(A5302:A9508,A9509)</f>
        <v>0</v>
      </c>
      <c r="E9509" s="124" t="s">
        <v>8367</v>
      </c>
      <c r="F9509" s="126">
        <v>50</v>
      </c>
      <c r="G9509" s="128">
        <v>5450.4</v>
      </c>
      <c r="H9509" s="124" t="s">
        <v>8368</v>
      </c>
      <c r="I9509" s="128">
        <v>6600</v>
      </c>
      <c r="J9509" s="128">
        <v>33000</v>
      </c>
    </row>
    <row r="9510" spans="1:10" hidden="1" x14ac:dyDescent="0.25">
      <c r="A9510" s="124" t="s">
        <v>11544</v>
      </c>
      <c r="B9510" s="124" t="s">
        <v>11736</v>
      </c>
      <c r="C9510" s="132"/>
      <c r="D9510" s="125">
        <f t="shared" si="194"/>
        <v>0</v>
      </c>
      <c r="E9510" s="124" t="s">
        <v>8579</v>
      </c>
      <c r="F9510" s="129">
        <v>14900</v>
      </c>
      <c r="G9510" s="128">
        <v>2235000</v>
      </c>
      <c r="H9510" s="124" t="s">
        <v>8368</v>
      </c>
      <c r="I9510" s="128">
        <v>6600</v>
      </c>
      <c r="J9510" s="128">
        <v>33000</v>
      </c>
    </row>
    <row r="9511" spans="1:10" hidden="1" x14ac:dyDescent="0.25">
      <c r="A9511" s="124" t="s">
        <v>11545</v>
      </c>
      <c r="B9511" s="124" t="s">
        <v>11736</v>
      </c>
      <c r="C9511" s="132"/>
      <c r="D9511" s="125">
        <f t="shared" si="194"/>
        <v>0</v>
      </c>
      <c r="E9511" s="124" t="s">
        <v>8579</v>
      </c>
      <c r="F9511" s="129">
        <v>1200</v>
      </c>
      <c r="G9511" s="128">
        <v>39600</v>
      </c>
      <c r="H9511" s="124" t="s">
        <v>8368</v>
      </c>
      <c r="I9511" s="128">
        <v>5422.5</v>
      </c>
      <c r="J9511" s="128">
        <v>27112.5</v>
      </c>
    </row>
    <row r="9512" spans="1:10" hidden="1" x14ac:dyDescent="0.25">
      <c r="A9512" s="124" t="s">
        <v>11546</v>
      </c>
      <c r="B9512" s="124" t="s">
        <v>11736</v>
      </c>
      <c r="C9512" s="132"/>
      <c r="D9512" s="125">
        <f t="shared" si="194"/>
        <v>0</v>
      </c>
      <c r="E9512" s="124" t="s">
        <v>8579</v>
      </c>
      <c r="F9512" s="129">
        <v>1200</v>
      </c>
      <c r="G9512" s="128">
        <v>39600</v>
      </c>
      <c r="H9512" s="124" t="s">
        <v>8368</v>
      </c>
      <c r="I9512" s="128">
        <v>3666.5</v>
      </c>
      <c r="J9512" s="128">
        <v>18332.5</v>
      </c>
    </row>
    <row r="9513" spans="1:10" hidden="1" x14ac:dyDescent="0.25">
      <c r="A9513" s="124" t="s">
        <v>11547</v>
      </c>
      <c r="B9513" s="124" t="s">
        <v>11736</v>
      </c>
      <c r="C9513" s="132"/>
      <c r="D9513" s="125">
        <f t="shared" si="194"/>
        <v>0</v>
      </c>
      <c r="E9513" s="124" t="s">
        <v>8579</v>
      </c>
      <c r="F9513" s="129">
        <v>1200</v>
      </c>
      <c r="G9513" s="128">
        <v>39600</v>
      </c>
      <c r="H9513" s="124" t="s">
        <v>8368</v>
      </c>
      <c r="I9513" s="127">
        <v>99.2</v>
      </c>
      <c r="J9513" s="127">
        <v>496</v>
      </c>
    </row>
    <row r="9514" spans="1:10" hidden="1" x14ac:dyDescent="0.25">
      <c r="A9514" s="124" t="s">
        <v>11548</v>
      </c>
      <c r="B9514" s="124" t="s">
        <v>11736</v>
      </c>
      <c r="C9514" s="132"/>
      <c r="D9514" s="125">
        <f t="shared" si="194"/>
        <v>0</v>
      </c>
      <c r="E9514" s="124" t="s">
        <v>8579</v>
      </c>
      <c r="F9514" s="126">
        <v>723</v>
      </c>
      <c r="G9514" s="128">
        <v>32535</v>
      </c>
      <c r="H9514" s="124" t="s">
        <v>8368</v>
      </c>
      <c r="I9514" s="128">
        <v>3190.02</v>
      </c>
      <c r="J9514" s="128">
        <v>15950.1</v>
      </c>
    </row>
    <row r="9515" spans="1:10" hidden="1" x14ac:dyDescent="0.25">
      <c r="A9515" s="124" t="s">
        <v>11549</v>
      </c>
      <c r="B9515" s="124" t="s">
        <v>11736</v>
      </c>
      <c r="C9515" s="132"/>
      <c r="D9515" s="125">
        <f t="shared" si="194"/>
        <v>0</v>
      </c>
      <c r="E9515" s="124" t="s">
        <v>8367</v>
      </c>
      <c r="F9515" s="126">
        <v>1</v>
      </c>
      <c r="G9515" s="128">
        <v>21999</v>
      </c>
      <c r="H9515" s="124" t="s">
        <v>8368</v>
      </c>
      <c r="I9515" s="127">
        <v>499.33</v>
      </c>
      <c r="J9515" s="128">
        <v>2496.67</v>
      </c>
    </row>
    <row r="9516" spans="1:10" hidden="1" x14ac:dyDescent="0.25">
      <c r="A9516" s="124" t="s">
        <v>11550</v>
      </c>
      <c r="B9516" s="124" t="s">
        <v>11736</v>
      </c>
      <c r="C9516" s="132"/>
      <c r="D9516" s="125">
        <f t="shared" si="194"/>
        <v>0</v>
      </c>
      <c r="E9516" s="124" t="s">
        <v>8367</v>
      </c>
      <c r="F9516" s="129">
        <v>4000</v>
      </c>
      <c r="G9516" s="127">
        <v>595.20000000000005</v>
      </c>
      <c r="H9516" s="124" t="s">
        <v>8368</v>
      </c>
      <c r="I9516" s="128">
        <v>24232</v>
      </c>
      <c r="J9516" s="128">
        <v>121160</v>
      </c>
    </row>
    <row r="9517" spans="1:10" hidden="1" x14ac:dyDescent="0.25">
      <c r="A9517" s="124" t="s">
        <v>11551</v>
      </c>
      <c r="B9517" s="124" t="s">
        <v>11736</v>
      </c>
      <c r="C9517" s="132"/>
      <c r="D9517" s="125">
        <f t="shared" si="194"/>
        <v>0</v>
      </c>
      <c r="E9517" s="124" t="s">
        <v>8457</v>
      </c>
      <c r="F9517" s="126">
        <v>30</v>
      </c>
      <c r="G9517" s="128">
        <v>19140.12</v>
      </c>
      <c r="H9517" s="124" t="s">
        <v>8368</v>
      </c>
      <c r="I9517" s="127">
        <v>110</v>
      </c>
      <c r="J9517" s="127">
        <v>550</v>
      </c>
    </row>
    <row r="9518" spans="1:10" hidden="1" x14ac:dyDescent="0.25">
      <c r="A9518" s="124" t="s">
        <v>11552</v>
      </c>
      <c r="B9518" s="124" t="s">
        <v>11736</v>
      </c>
      <c r="C9518" s="132"/>
      <c r="D9518" s="125">
        <f t="shared" si="194"/>
        <v>0</v>
      </c>
      <c r="E9518" s="124" t="s">
        <v>8451</v>
      </c>
      <c r="F9518" s="126">
        <v>1</v>
      </c>
      <c r="G9518" s="128">
        <v>2996</v>
      </c>
      <c r="H9518" s="124" t="s">
        <v>8368</v>
      </c>
      <c r="I9518" s="128">
        <v>6140.8</v>
      </c>
      <c r="J9518" s="128">
        <v>30704</v>
      </c>
    </row>
    <row r="9519" spans="1:10" hidden="1" x14ac:dyDescent="0.25">
      <c r="A9519" s="124" t="s">
        <v>11553</v>
      </c>
      <c r="B9519" s="124" t="s">
        <v>11736</v>
      </c>
      <c r="C9519" s="132"/>
      <c r="D9519" s="125">
        <f t="shared" si="194"/>
        <v>0</v>
      </c>
      <c r="E9519" s="124" t="s">
        <v>8367</v>
      </c>
      <c r="F9519" s="129">
        <v>2000</v>
      </c>
      <c r="G9519" s="128">
        <v>145392</v>
      </c>
      <c r="H9519" s="124" t="s">
        <v>8368</v>
      </c>
      <c r="I9519" s="128">
        <v>5680</v>
      </c>
      <c r="J9519" s="128">
        <v>28400</v>
      </c>
    </row>
    <row r="9520" spans="1:10" hidden="1" x14ac:dyDescent="0.25">
      <c r="A9520" s="124" t="s">
        <v>11554</v>
      </c>
      <c r="B9520" s="124" t="s">
        <v>11736</v>
      </c>
      <c r="C9520" s="132"/>
      <c r="D9520" s="125">
        <f t="shared" si="194"/>
        <v>0</v>
      </c>
      <c r="E9520" s="124" t="s">
        <v>8367</v>
      </c>
      <c r="F9520" s="126">
        <v>100</v>
      </c>
      <c r="G9520" s="127">
        <v>660</v>
      </c>
      <c r="H9520" s="124" t="s">
        <v>8368</v>
      </c>
      <c r="I9520" s="127">
        <v>708.96</v>
      </c>
      <c r="J9520" s="128">
        <v>3544.8</v>
      </c>
    </row>
    <row r="9521" spans="1:10" hidden="1" x14ac:dyDescent="0.25">
      <c r="A9521" s="124" t="s">
        <v>11555</v>
      </c>
      <c r="B9521" s="124" t="s">
        <v>11736</v>
      </c>
      <c r="C9521" s="132"/>
      <c r="D9521" s="125">
        <f t="shared" si="194"/>
        <v>0</v>
      </c>
      <c r="E9521" s="124" t="s">
        <v>8367</v>
      </c>
      <c r="F9521" s="126">
        <v>776</v>
      </c>
      <c r="G9521" s="128">
        <v>36844.800000000003</v>
      </c>
      <c r="H9521" s="124" t="s">
        <v>8368</v>
      </c>
      <c r="I9521" s="128">
        <v>8723.52</v>
      </c>
      <c r="J9521" s="128">
        <v>43617.599999999999</v>
      </c>
    </row>
    <row r="9522" spans="1:10" hidden="1" x14ac:dyDescent="0.25">
      <c r="A9522" s="124" t="s">
        <v>11556</v>
      </c>
      <c r="B9522" s="124" t="s">
        <v>11736</v>
      </c>
      <c r="C9522" s="132"/>
      <c r="D9522" s="125">
        <f t="shared" si="194"/>
        <v>0</v>
      </c>
      <c r="E9522" s="124" t="s">
        <v>8367</v>
      </c>
      <c r="F9522" s="126">
        <v>4</v>
      </c>
      <c r="G9522" s="128">
        <v>34080</v>
      </c>
      <c r="H9522" s="124" t="s">
        <v>8368</v>
      </c>
      <c r="I9522" s="128">
        <v>1383.4</v>
      </c>
      <c r="J9522" s="128">
        <v>6917</v>
      </c>
    </row>
    <row r="9523" spans="1:10" hidden="1" x14ac:dyDescent="0.25">
      <c r="A9523" s="124" t="s">
        <v>11557</v>
      </c>
      <c r="B9523" s="124" t="s">
        <v>11736</v>
      </c>
      <c r="C9523" s="132"/>
      <c r="D9523" s="125">
        <f t="shared" si="194"/>
        <v>0</v>
      </c>
      <c r="E9523" s="124" t="s">
        <v>8367</v>
      </c>
      <c r="F9523" s="126">
        <v>60</v>
      </c>
      <c r="G9523" s="128">
        <v>4253.76</v>
      </c>
      <c r="H9523" s="124" t="s">
        <v>8368</v>
      </c>
      <c r="I9523" s="128">
        <v>5519873.0999999996</v>
      </c>
      <c r="J9523" s="128">
        <v>27599365.5</v>
      </c>
    </row>
    <row r="9524" spans="1:10" hidden="1" x14ac:dyDescent="0.25">
      <c r="A9524" s="124" t="s">
        <v>11558</v>
      </c>
      <c r="B9524" s="124" t="s">
        <v>11736</v>
      </c>
      <c r="C9524" s="132"/>
      <c r="D9524" s="125">
        <f t="shared" si="194"/>
        <v>0</v>
      </c>
      <c r="E9524" s="124" t="s">
        <v>8367</v>
      </c>
      <c r="F9524" s="126">
        <v>60</v>
      </c>
      <c r="G9524" s="128">
        <v>52341.120000000003</v>
      </c>
      <c r="H9524" s="124" t="s">
        <v>8368</v>
      </c>
      <c r="I9524" s="128">
        <v>605091.21</v>
      </c>
      <c r="J9524" s="128">
        <v>3025456.04</v>
      </c>
    </row>
    <row r="9525" spans="1:10" hidden="1" x14ac:dyDescent="0.25">
      <c r="A9525" s="124" t="s">
        <v>11559</v>
      </c>
      <c r="B9525" s="124" t="s">
        <v>11736</v>
      </c>
      <c r="C9525" s="132"/>
      <c r="D9525" s="125">
        <f t="shared" si="194"/>
        <v>0</v>
      </c>
      <c r="E9525" s="124" t="s">
        <v>8367</v>
      </c>
      <c r="F9525" s="126">
        <v>50</v>
      </c>
      <c r="G9525" s="128">
        <v>8300.4</v>
      </c>
      <c r="H9525" s="124" t="s">
        <v>8368</v>
      </c>
      <c r="I9525" s="127">
        <v>37.450000000000003</v>
      </c>
      <c r="J9525" s="127">
        <v>187.26</v>
      </c>
    </row>
    <row r="9526" spans="1:10" hidden="1" x14ac:dyDescent="0.25">
      <c r="A9526" s="124" t="s">
        <v>11560</v>
      </c>
      <c r="B9526" s="124" t="s">
        <v>11736</v>
      </c>
      <c r="C9526" s="132"/>
      <c r="D9526" s="125">
        <f t="shared" si="194"/>
        <v>0</v>
      </c>
      <c r="E9526" s="124" t="s">
        <v>8367</v>
      </c>
      <c r="F9526" s="129">
        <v>7665</v>
      </c>
      <c r="G9526" s="128">
        <v>33119238.600000001</v>
      </c>
      <c r="H9526" s="124" t="s">
        <v>8368</v>
      </c>
      <c r="I9526" s="128">
        <v>24936.6</v>
      </c>
      <c r="J9526" s="128">
        <v>124683</v>
      </c>
    </row>
    <row r="9527" spans="1:10" hidden="1" x14ac:dyDescent="0.25">
      <c r="A9527" s="124" t="s">
        <v>11561</v>
      </c>
      <c r="B9527" s="124" t="s">
        <v>11736</v>
      </c>
      <c r="C9527" s="132"/>
      <c r="D9527" s="125">
        <f t="shared" si="194"/>
        <v>0</v>
      </c>
      <c r="E9527" s="124" t="s">
        <v>8367</v>
      </c>
      <c r="F9527" s="126">
        <v>163</v>
      </c>
      <c r="G9527" s="128">
        <v>3630547.25</v>
      </c>
      <c r="H9527" s="124" t="s">
        <v>8368</v>
      </c>
      <c r="I9527" s="128">
        <v>16318.4</v>
      </c>
      <c r="J9527" s="128">
        <v>81592</v>
      </c>
    </row>
    <row r="9528" spans="1:10" hidden="1" x14ac:dyDescent="0.25">
      <c r="A9528" s="124" t="s">
        <v>11562</v>
      </c>
      <c r="B9528" s="124" t="s">
        <v>11736</v>
      </c>
      <c r="C9528" s="132"/>
      <c r="D9528" s="125">
        <f t="shared" si="194"/>
        <v>0</v>
      </c>
      <c r="E9528" s="124" t="s">
        <v>8367</v>
      </c>
      <c r="F9528" s="126">
        <v>3</v>
      </c>
      <c r="G9528" s="127">
        <v>224.71</v>
      </c>
      <c r="H9528" s="124" t="s">
        <v>8368</v>
      </c>
      <c r="I9528" s="128">
        <v>2765</v>
      </c>
      <c r="J9528" s="128">
        <v>13825</v>
      </c>
    </row>
    <row r="9529" spans="1:10" hidden="1" x14ac:dyDescent="0.25">
      <c r="A9529" s="124" t="s">
        <v>5965</v>
      </c>
      <c r="B9529" s="124" t="s">
        <v>11736</v>
      </c>
      <c r="C9529" s="132"/>
      <c r="D9529" s="125">
        <f t="shared" si="194"/>
        <v>0</v>
      </c>
      <c r="E9529" s="124" t="s">
        <v>8367</v>
      </c>
      <c r="F9529" s="126">
        <v>10</v>
      </c>
      <c r="G9529" s="128">
        <v>149619.6</v>
      </c>
      <c r="H9529" s="124" t="s">
        <v>8368</v>
      </c>
      <c r="I9529" s="128">
        <v>7740</v>
      </c>
      <c r="J9529" s="128">
        <v>38700</v>
      </c>
    </row>
    <row r="9530" spans="1:10" hidden="1" x14ac:dyDescent="0.25">
      <c r="A9530" s="124" t="s">
        <v>4458</v>
      </c>
      <c r="B9530" s="124" t="s">
        <v>11736</v>
      </c>
      <c r="C9530" s="132"/>
      <c r="D9530" s="125">
        <f t="shared" si="194"/>
        <v>0</v>
      </c>
      <c r="E9530" s="124" t="s">
        <v>8367</v>
      </c>
      <c r="F9530" s="126">
        <v>10</v>
      </c>
      <c r="G9530" s="128">
        <v>97910.399999999994</v>
      </c>
      <c r="H9530" s="124" t="s">
        <v>8368</v>
      </c>
      <c r="I9530" s="128">
        <v>5975</v>
      </c>
      <c r="J9530" s="128">
        <v>29875</v>
      </c>
    </row>
    <row r="9531" spans="1:10" hidden="1" x14ac:dyDescent="0.25">
      <c r="A9531" s="124" t="s">
        <v>4128</v>
      </c>
      <c r="B9531" s="124" t="s">
        <v>11736</v>
      </c>
      <c r="C9531" s="132"/>
      <c r="D9531" s="125">
        <f t="shared" si="194"/>
        <v>0</v>
      </c>
      <c r="E9531" s="124" t="s">
        <v>8367</v>
      </c>
      <c r="F9531" s="126">
        <v>10</v>
      </c>
      <c r="G9531" s="128">
        <v>16590</v>
      </c>
      <c r="H9531" s="124" t="s">
        <v>8368</v>
      </c>
      <c r="I9531" s="128">
        <v>2528.4</v>
      </c>
      <c r="J9531" s="128">
        <v>12642</v>
      </c>
    </row>
    <row r="9532" spans="1:10" hidden="1" x14ac:dyDescent="0.25">
      <c r="A9532" s="124" t="s">
        <v>999</v>
      </c>
      <c r="B9532" s="124" t="s">
        <v>11736</v>
      </c>
      <c r="C9532" s="132"/>
      <c r="D9532" s="125">
        <f t="shared" si="194"/>
        <v>0</v>
      </c>
      <c r="E9532" s="124" t="s">
        <v>8367</v>
      </c>
      <c r="F9532" s="126">
        <v>10</v>
      </c>
      <c r="G9532" s="128">
        <v>46440</v>
      </c>
      <c r="H9532" s="124" t="s">
        <v>8368</v>
      </c>
      <c r="I9532" s="128">
        <v>6241.6</v>
      </c>
      <c r="J9532" s="128">
        <v>31208</v>
      </c>
    </row>
    <row r="9533" spans="1:10" hidden="1" x14ac:dyDescent="0.25">
      <c r="A9533" s="124" t="s">
        <v>7062</v>
      </c>
      <c r="B9533" s="124" t="s">
        <v>11736</v>
      </c>
      <c r="C9533" s="132"/>
      <c r="D9533" s="125">
        <f t="shared" si="194"/>
        <v>0</v>
      </c>
      <c r="E9533" s="124" t="s">
        <v>8367</v>
      </c>
      <c r="F9533" s="126">
        <v>10</v>
      </c>
      <c r="G9533" s="128">
        <v>35850</v>
      </c>
      <c r="H9533" s="124" t="s">
        <v>8368</v>
      </c>
      <c r="I9533" s="127">
        <v>446.6</v>
      </c>
      <c r="J9533" s="128">
        <v>2233</v>
      </c>
    </row>
    <row r="9534" spans="1:10" hidden="1" x14ac:dyDescent="0.25">
      <c r="A9534" s="124" t="s">
        <v>3959</v>
      </c>
      <c r="B9534" s="124" t="s">
        <v>11736</v>
      </c>
      <c r="C9534" s="132"/>
      <c r="D9534" s="125">
        <f t="shared" si="194"/>
        <v>0</v>
      </c>
      <c r="E9534" s="124" t="s">
        <v>8367</v>
      </c>
      <c r="F9534" s="126">
        <v>10</v>
      </c>
      <c r="G9534" s="128">
        <v>15170.4</v>
      </c>
      <c r="H9534" s="124" t="s">
        <v>8368</v>
      </c>
      <c r="I9534" s="128">
        <v>44666.6</v>
      </c>
      <c r="J9534" s="128">
        <v>223333</v>
      </c>
    </row>
    <row r="9535" spans="1:10" hidden="1" x14ac:dyDescent="0.25">
      <c r="A9535" s="124" t="s">
        <v>2167</v>
      </c>
      <c r="B9535" s="124" t="s">
        <v>11736</v>
      </c>
      <c r="C9535" s="132"/>
      <c r="D9535" s="125">
        <f t="shared" si="194"/>
        <v>0</v>
      </c>
      <c r="E9535" s="124" t="s">
        <v>8367</v>
      </c>
      <c r="F9535" s="126">
        <v>10</v>
      </c>
      <c r="G9535" s="128">
        <v>37449.599999999999</v>
      </c>
      <c r="H9535" s="124" t="s">
        <v>8368</v>
      </c>
      <c r="I9535" s="128">
        <v>2767.14</v>
      </c>
      <c r="J9535" s="128">
        <v>13835.68</v>
      </c>
    </row>
    <row r="9536" spans="1:10" hidden="1" x14ac:dyDescent="0.25">
      <c r="A9536" s="124" t="s">
        <v>2338</v>
      </c>
      <c r="B9536" s="124" t="s">
        <v>11736</v>
      </c>
      <c r="C9536" s="132"/>
      <c r="D9536" s="125">
        <f t="shared" si="194"/>
        <v>0</v>
      </c>
      <c r="E9536" s="124" t="s">
        <v>8367</v>
      </c>
      <c r="F9536" s="126">
        <v>10</v>
      </c>
      <c r="G9536" s="128">
        <v>2679.6</v>
      </c>
      <c r="H9536" s="124" t="s">
        <v>8368</v>
      </c>
      <c r="I9536" s="128">
        <v>1963.78</v>
      </c>
      <c r="J9536" s="128">
        <v>9818.8700000000008</v>
      </c>
    </row>
    <row r="9537" spans="1:10" hidden="1" x14ac:dyDescent="0.25">
      <c r="A9537" s="124" t="s">
        <v>11563</v>
      </c>
      <c r="B9537" s="124" t="s">
        <v>11736</v>
      </c>
      <c r="C9537" s="132"/>
      <c r="D9537" s="125">
        <f t="shared" si="194"/>
        <v>0</v>
      </c>
      <c r="E9537" s="124" t="s">
        <v>8367</v>
      </c>
      <c r="F9537" s="126">
        <v>40</v>
      </c>
      <c r="G9537" s="128">
        <v>267999.59999999998</v>
      </c>
      <c r="H9537" s="124" t="s">
        <v>8368</v>
      </c>
      <c r="I9537" s="128">
        <v>3570.5</v>
      </c>
      <c r="J9537" s="128">
        <v>17852.490000000002</v>
      </c>
    </row>
    <row r="9538" spans="1:10" hidden="1" x14ac:dyDescent="0.25">
      <c r="A9538" s="124" t="s">
        <v>11564</v>
      </c>
      <c r="B9538" s="124" t="s">
        <v>11736</v>
      </c>
      <c r="C9538" s="132"/>
      <c r="D9538" s="125">
        <f t="shared" si="194"/>
        <v>0</v>
      </c>
      <c r="E9538" s="124" t="s">
        <v>8367</v>
      </c>
      <c r="F9538" s="126">
        <v>86</v>
      </c>
      <c r="G9538" s="128">
        <v>16602.82</v>
      </c>
      <c r="H9538" s="124" t="s">
        <v>8368</v>
      </c>
      <c r="I9538" s="128">
        <v>1249.68</v>
      </c>
      <c r="J9538" s="128">
        <v>6248.37</v>
      </c>
    </row>
    <row r="9539" spans="1:10" hidden="1" x14ac:dyDescent="0.25">
      <c r="A9539" s="124" t="s">
        <v>11565</v>
      </c>
      <c r="B9539" s="124" t="s">
        <v>11736</v>
      </c>
      <c r="C9539" s="132"/>
      <c r="D9539" s="125">
        <f t="shared" si="194"/>
        <v>0</v>
      </c>
      <c r="E9539" s="124" t="s">
        <v>8367</v>
      </c>
      <c r="F9539" s="126">
        <v>86</v>
      </c>
      <c r="G9539" s="128">
        <v>11782.65</v>
      </c>
      <c r="H9539" s="124" t="s">
        <v>8368</v>
      </c>
      <c r="I9539" s="128">
        <v>8170</v>
      </c>
      <c r="J9539" s="128">
        <v>40850</v>
      </c>
    </row>
    <row r="9540" spans="1:10" hidden="1" x14ac:dyDescent="0.25">
      <c r="A9540" s="124" t="s">
        <v>11566</v>
      </c>
      <c r="B9540" s="124" t="s">
        <v>11736</v>
      </c>
      <c r="C9540" s="132"/>
      <c r="D9540" s="125">
        <f t="shared" si="194"/>
        <v>0</v>
      </c>
      <c r="E9540" s="124" t="s">
        <v>8367</v>
      </c>
      <c r="F9540" s="126">
        <v>86</v>
      </c>
      <c r="G9540" s="128">
        <v>21422.99</v>
      </c>
      <c r="H9540" s="124" t="s">
        <v>8368</v>
      </c>
      <c r="I9540" s="128">
        <v>8170</v>
      </c>
      <c r="J9540" s="128">
        <v>40850</v>
      </c>
    </row>
    <row r="9541" spans="1:10" hidden="1" x14ac:dyDescent="0.25">
      <c r="A9541" s="124" t="s">
        <v>11567</v>
      </c>
      <c r="B9541" s="124" t="s">
        <v>11736</v>
      </c>
      <c r="C9541" s="132"/>
      <c r="D9541" s="125">
        <f t="shared" si="194"/>
        <v>0</v>
      </c>
      <c r="E9541" s="124" t="s">
        <v>8367</v>
      </c>
      <c r="F9541" s="126">
        <v>86</v>
      </c>
      <c r="G9541" s="128">
        <v>7498.05</v>
      </c>
      <c r="H9541" s="124" t="s">
        <v>8368</v>
      </c>
      <c r="I9541" s="128">
        <v>3164.8</v>
      </c>
      <c r="J9541" s="128">
        <v>15824</v>
      </c>
    </row>
    <row r="9542" spans="1:10" hidden="1" x14ac:dyDescent="0.25">
      <c r="A9542" s="124" t="s">
        <v>6672</v>
      </c>
      <c r="B9542" s="124" t="s">
        <v>11736</v>
      </c>
      <c r="C9542" s="132"/>
      <c r="D9542" s="125">
        <f t="shared" si="194"/>
        <v>0</v>
      </c>
      <c r="E9542" s="124" t="s">
        <v>8367</v>
      </c>
      <c r="F9542" s="126">
        <v>86</v>
      </c>
      <c r="G9542" s="128">
        <v>49020</v>
      </c>
      <c r="H9542" s="124" t="s">
        <v>8368</v>
      </c>
      <c r="I9542" s="128">
        <v>1249.68</v>
      </c>
      <c r="J9542" s="128">
        <v>6248.37</v>
      </c>
    </row>
    <row r="9543" spans="1:10" hidden="1" x14ac:dyDescent="0.25">
      <c r="A9543" s="124" t="s">
        <v>6674</v>
      </c>
      <c r="B9543" s="124" t="s">
        <v>11736</v>
      </c>
      <c r="C9543" s="132"/>
      <c r="D9543" s="125">
        <f t="shared" si="194"/>
        <v>0</v>
      </c>
      <c r="E9543" s="124" t="s">
        <v>8367</v>
      </c>
      <c r="F9543" s="126">
        <v>86</v>
      </c>
      <c r="G9543" s="128">
        <v>49020</v>
      </c>
      <c r="H9543" s="124" t="s">
        <v>8368</v>
      </c>
      <c r="I9543" s="128">
        <v>8170</v>
      </c>
      <c r="J9543" s="128">
        <v>40850</v>
      </c>
    </row>
    <row r="9544" spans="1:10" hidden="1" x14ac:dyDescent="0.25">
      <c r="A9544" s="124" t="s">
        <v>6676</v>
      </c>
      <c r="B9544" s="124" t="s">
        <v>11736</v>
      </c>
      <c r="C9544" s="132"/>
      <c r="D9544" s="125">
        <f t="shared" si="194"/>
        <v>0</v>
      </c>
      <c r="E9544" s="124" t="s">
        <v>8367</v>
      </c>
      <c r="F9544" s="126">
        <v>86</v>
      </c>
      <c r="G9544" s="128">
        <v>18988.8</v>
      </c>
      <c r="H9544" s="124" t="s">
        <v>8368</v>
      </c>
      <c r="I9544" s="128">
        <v>8170</v>
      </c>
      <c r="J9544" s="128">
        <v>40850</v>
      </c>
    </row>
    <row r="9545" spans="1:10" hidden="1" x14ac:dyDescent="0.25">
      <c r="A9545" s="124" t="s">
        <v>11568</v>
      </c>
      <c r="B9545" s="124" t="s">
        <v>11736</v>
      </c>
      <c r="C9545" s="132"/>
      <c r="D9545" s="125">
        <f t="shared" si="194"/>
        <v>0</v>
      </c>
      <c r="E9545" s="124" t="s">
        <v>8367</v>
      </c>
      <c r="F9545" s="126">
        <v>86</v>
      </c>
      <c r="G9545" s="128">
        <v>7498.05</v>
      </c>
      <c r="H9545" s="124" t="s">
        <v>8368</v>
      </c>
      <c r="I9545" s="128">
        <v>1466.33</v>
      </c>
      <c r="J9545" s="128">
        <v>7331.66</v>
      </c>
    </row>
    <row r="9546" spans="1:10" hidden="1" x14ac:dyDescent="0.25">
      <c r="A9546" s="124" t="s">
        <v>6673</v>
      </c>
      <c r="B9546" s="124" t="s">
        <v>11736</v>
      </c>
      <c r="C9546" s="132"/>
      <c r="D9546" s="125">
        <f t="shared" si="194"/>
        <v>0</v>
      </c>
      <c r="E9546" s="124" t="s">
        <v>8367</v>
      </c>
      <c r="F9546" s="126">
        <v>86</v>
      </c>
      <c r="G9546" s="128">
        <v>49020</v>
      </c>
      <c r="H9546" s="124" t="s">
        <v>8368</v>
      </c>
      <c r="I9546" s="127">
        <v>946</v>
      </c>
      <c r="J9546" s="128">
        <v>4730</v>
      </c>
    </row>
    <row r="9547" spans="1:10" hidden="1" x14ac:dyDescent="0.25">
      <c r="A9547" s="124" t="s">
        <v>6675</v>
      </c>
      <c r="B9547" s="124" t="s">
        <v>11736</v>
      </c>
      <c r="C9547" s="132"/>
      <c r="D9547" s="125">
        <f t="shared" si="194"/>
        <v>0</v>
      </c>
      <c r="E9547" s="124" t="s">
        <v>8367</v>
      </c>
      <c r="F9547" s="126">
        <v>86</v>
      </c>
      <c r="G9547" s="128">
        <v>49020</v>
      </c>
      <c r="H9547" s="124" t="s">
        <v>8368</v>
      </c>
      <c r="I9547" s="128">
        <v>2752</v>
      </c>
      <c r="J9547" s="128">
        <v>13760</v>
      </c>
    </row>
    <row r="9548" spans="1:10" hidden="1" x14ac:dyDescent="0.25">
      <c r="A9548" s="124" t="s">
        <v>11569</v>
      </c>
      <c r="B9548" s="124" t="s">
        <v>11736</v>
      </c>
      <c r="C9548" s="132"/>
      <c r="D9548" s="125">
        <f t="shared" si="194"/>
        <v>0</v>
      </c>
      <c r="E9548" s="124" t="s">
        <v>8367</v>
      </c>
      <c r="F9548" s="126">
        <v>659</v>
      </c>
      <c r="G9548" s="128">
        <v>8797.99</v>
      </c>
      <c r="H9548" s="124" t="s">
        <v>8368</v>
      </c>
      <c r="I9548" s="128">
        <v>8174.47</v>
      </c>
      <c r="J9548" s="128">
        <v>40872.32</v>
      </c>
    </row>
    <row r="9549" spans="1:10" hidden="1" x14ac:dyDescent="0.25">
      <c r="A9549" s="124" t="s">
        <v>6678</v>
      </c>
      <c r="B9549" s="124" t="s">
        <v>11736</v>
      </c>
      <c r="C9549" s="132"/>
      <c r="D9549" s="125">
        <f t="shared" si="194"/>
        <v>0</v>
      </c>
      <c r="E9549" s="124" t="s">
        <v>8367</v>
      </c>
      <c r="F9549" s="126">
        <v>86</v>
      </c>
      <c r="G9549" s="128">
        <v>5676</v>
      </c>
      <c r="H9549" s="124" t="s">
        <v>8368</v>
      </c>
      <c r="I9549" s="128">
        <v>8174.47</v>
      </c>
      <c r="J9549" s="128">
        <v>40872.32</v>
      </c>
    </row>
    <row r="9550" spans="1:10" hidden="1" x14ac:dyDescent="0.25">
      <c r="A9550" s="124" t="s">
        <v>6670</v>
      </c>
      <c r="B9550" s="124" t="s">
        <v>11736</v>
      </c>
      <c r="C9550" s="132"/>
      <c r="D9550" s="125">
        <f t="shared" si="194"/>
        <v>0</v>
      </c>
      <c r="E9550" s="124" t="s">
        <v>8367</v>
      </c>
      <c r="F9550" s="126">
        <v>86</v>
      </c>
      <c r="G9550" s="128">
        <v>16512</v>
      </c>
      <c r="H9550" s="124" t="s">
        <v>8368</v>
      </c>
      <c r="I9550" s="128">
        <v>8174.47</v>
      </c>
      <c r="J9550" s="128">
        <v>40872.32</v>
      </c>
    </row>
    <row r="9551" spans="1:10" hidden="1" x14ac:dyDescent="0.25">
      <c r="A9551" s="124" t="s">
        <v>6681</v>
      </c>
      <c r="B9551" s="124" t="s">
        <v>11736</v>
      </c>
      <c r="C9551" s="132"/>
      <c r="D9551" s="125">
        <f t="shared" si="194"/>
        <v>0</v>
      </c>
      <c r="E9551" s="124" t="s">
        <v>8367</v>
      </c>
      <c r="F9551" s="126">
        <v>91</v>
      </c>
      <c r="G9551" s="128">
        <v>49046.79</v>
      </c>
      <c r="H9551" s="124" t="s">
        <v>8368</v>
      </c>
      <c r="I9551" s="128">
        <v>8174.47</v>
      </c>
      <c r="J9551" s="128">
        <v>40872.32</v>
      </c>
    </row>
    <row r="9552" spans="1:10" hidden="1" x14ac:dyDescent="0.25">
      <c r="A9552" s="124" t="s">
        <v>6682</v>
      </c>
      <c r="B9552" s="124" t="s">
        <v>11736</v>
      </c>
      <c r="C9552" s="132"/>
      <c r="D9552" s="125">
        <f>COUNTIF(A5346:A9551,A9552)</f>
        <v>0</v>
      </c>
      <c r="E9552" s="124" t="s">
        <v>8367</v>
      </c>
      <c r="F9552" s="126">
        <v>91</v>
      </c>
      <c r="G9552" s="128">
        <v>49046.79</v>
      </c>
      <c r="H9552" s="124" t="s">
        <v>8368</v>
      </c>
      <c r="I9552" s="127">
        <v>880.17</v>
      </c>
      <c r="J9552" s="128">
        <v>4400.8500000000004</v>
      </c>
    </row>
    <row r="9553" spans="1:10" hidden="1" x14ac:dyDescent="0.25">
      <c r="A9553" s="124" t="s">
        <v>6685</v>
      </c>
      <c r="B9553" s="124" t="s">
        <v>11736</v>
      </c>
      <c r="C9553" s="132"/>
      <c r="D9553" s="125">
        <f>COUNTIF(A5348:A9552,A9553)</f>
        <v>0</v>
      </c>
      <c r="E9553" s="124" t="s">
        <v>8367</v>
      </c>
      <c r="F9553" s="126">
        <v>91</v>
      </c>
      <c r="G9553" s="128">
        <v>49046.79</v>
      </c>
      <c r="H9553" s="124" t="s">
        <v>8368</v>
      </c>
      <c r="I9553" s="128">
        <v>1752.41</v>
      </c>
      <c r="J9553" s="128">
        <v>8762.0400000000009</v>
      </c>
    </row>
    <row r="9554" spans="1:10" hidden="1" x14ac:dyDescent="0.25">
      <c r="A9554" s="124" t="s">
        <v>6686</v>
      </c>
      <c r="B9554" s="124" t="s">
        <v>11736</v>
      </c>
      <c r="C9554" s="132"/>
      <c r="D9554" s="125">
        <f>COUNTIF(A5350:A9553,A9554)</f>
        <v>0</v>
      </c>
      <c r="E9554" s="124" t="s">
        <v>8367</v>
      </c>
      <c r="F9554" s="126">
        <v>91</v>
      </c>
      <c r="G9554" s="128">
        <v>49046.79</v>
      </c>
      <c r="H9554" s="124" t="s">
        <v>8368</v>
      </c>
      <c r="I9554" s="127">
        <v>144.63</v>
      </c>
      <c r="J9554" s="127">
        <v>723.15</v>
      </c>
    </row>
    <row r="9555" spans="1:10" hidden="1" x14ac:dyDescent="0.25">
      <c r="A9555" s="124" t="s">
        <v>11570</v>
      </c>
      <c r="B9555" s="124" t="s">
        <v>11736</v>
      </c>
      <c r="C9555" s="132"/>
      <c r="D9555" s="125">
        <f t="shared" ref="D9555:D9586" si="195">COUNTIF(A5352:A9554,A9555)</f>
        <v>0</v>
      </c>
      <c r="E9555" s="124" t="s">
        <v>8367</v>
      </c>
      <c r="F9555" s="126">
        <v>424</v>
      </c>
      <c r="G9555" s="128">
        <v>5281.02</v>
      </c>
      <c r="H9555" s="124" t="s">
        <v>8368</v>
      </c>
      <c r="I9555" s="127">
        <v>144.63</v>
      </c>
      <c r="J9555" s="127">
        <v>723.15</v>
      </c>
    </row>
    <row r="9556" spans="1:10" hidden="1" x14ac:dyDescent="0.25">
      <c r="A9556" s="124" t="s">
        <v>11571</v>
      </c>
      <c r="B9556" s="124" t="s">
        <v>11736</v>
      </c>
      <c r="C9556" s="132"/>
      <c r="D9556" s="125">
        <f t="shared" si="195"/>
        <v>0</v>
      </c>
      <c r="E9556" s="124" t="s">
        <v>8367</v>
      </c>
      <c r="F9556" s="126">
        <v>171</v>
      </c>
      <c r="G9556" s="128">
        <v>10514.45</v>
      </c>
      <c r="H9556" s="124" t="s">
        <v>8368</v>
      </c>
      <c r="I9556" s="128">
        <v>2148.9299999999998</v>
      </c>
      <c r="J9556" s="128">
        <v>10744.66</v>
      </c>
    </row>
    <row r="9557" spans="1:10" hidden="1" x14ac:dyDescent="0.25">
      <c r="A9557" s="124" t="s">
        <v>11572</v>
      </c>
      <c r="B9557" s="124" t="s">
        <v>11736</v>
      </c>
      <c r="C9557" s="132"/>
      <c r="D9557" s="125">
        <f t="shared" si="195"/>
        <v>0</v>
      </c>
      <c r="E9557" s="124" t="s">
        <v>8367</v>
      </c>
      <c r="F9557" s="126">
        <v>195</v>
      </c>
      <c r="G9557" s="127">
        <v>867.78</v>
      </c>
      <c r="H9557" s="124" t="s">
        <v>8368</v>
      </c>
      <c r="I9557" s="128">
        <v>1118</v>
      </c>
      <c r="J9557" s="128">
        <v>5590</v>
      </c>
    </row>
    <row r="9558" spans="1:10" hidden="1" x14ac:dyDescent="0.25">
      <c r="A9558" s="124" t="s">
        <v>11573</v>
      </c>
      <c r="B9558" s="124" t="s">
        <v>11736</v>
      </c>
      <c r="C9558" s="132"/>
      <c r="D9558" s="125">
        <f t="shared" si="195"/>
        <v>0</v>
      </c>
      <c r="E9558" s="124" t="s">
        <v>8367</v>
      </c>
      <c r="F9558" s="126">
        <v>195</v>
      </c>
      <c r="G9558" s="127">
        <v>867.78</v>
      </c>
      <c r="H9558" s="124" t="s">
        <v>8368</v>
      </c>
      <c r="I9558" s="127">
        <v>516</v>
      </c>
      <c r="J9558" s="128">
        <v>2580</v>
      </c>
    </row>
    <row r="9559" spans="1:10" hidden="1" x14ac:dyDescent="0.25">
      <c r="A9559" s="124" t="s">
        <v>11574</v>
      </c>
      <c r="B9559" s="124" t="s">
        <v>11736</v>
      </c>
      <c r="C9559" s="132"/>
      <c r="D9559" s="125">
        <f t="shared" si="195"/>
        <v>0</v>
      </c>
      <c r="E9559" s="124" t="s">
        <v>8367</v>
      </c>
      <c r="F9559" s="126">
        <v>162</v>
      </c>
      <c r="G9559" s="128">
        <v>12893.59</v>
      </c>
      <c r="H9559" s="124" t="s">
        <v>8368</v>
      </c>
      <c r="I9559" s="128">
        <v>5292.74</v>
      </c>
      <c r="J9559" s="128">
        <v>26463.69</v>
      </c>
    </row>
    <row r="9560" spans="1:10" hidden="1" x14ac:dyDescent="0.25">
      <c r="A9560" s="124" t="s">
        <v>6687</v>
      </c>
      <c r="B9560" s="124" t="s">
        <v>11736</v>
      </c>
      <c r="C9560" s="132"/>
      <c r="D9560" s="125">
        <f t="shared" si="195"/>
        <v>0</v>
      </c>
      <c r="E9560" s="124" t="s">
        <v>8367</v>
      </c>
      <c r="F9560" s="126">
        <v>86</v>
      </c>
      <c r="G9560" s="128">
        <v>6708</v>
      </c>
      <c r="H9560" s="124" t="s">
        <v>8368</v>
      </c>
      <c r="I9560" s="128">
        <v>19220.169999999998</v>
      </c>
      <c r="J9560" s="128">
        <v>96100.83</v>
      </c>
    </row>
    <row r="9561" spans="1:10" hidden="1" x14ac:dyDescent="0.25">
      <c r="A9561" s="124" t="s">
        <v>6688</v>
      </c>
      <c r="B9561" s="124" t="s">
        <v>11736</v>
      </c>
      <c r="C9561" s="132"/>
      <c r="D9561" s="125">
        <f t="shared" si="195"/>
        <v>0</v>
      </c>
      <c r="E9561" s="124" t="s">
        <v>8367</v>
      </c>
      <c r="F9561" s="126">
        <v>86</v>
      </c>
      <c r="G9561" s="128">
        <v>3096</v>
      </c>
      <c r="H9561" s="124" t="s">
        <v>8368</v>
      </c>
      <c r="I9561" s="128">
        <v>19220.169999999998</v>
      </c>
      <c r="J9561" s="128">
        <v>96100.83</v>
      </c>
    </row>
    <row r="9562" spans="1:10" hidden="1" x14ac:dyDescent="0.25">
      <c r="A9562" s="124" t="s">
        <v>11575</v>
      </c>
      <c r="B9562" s="124" t="s">
        <v>11736</v>
      </c>
      <c r="C9562" s="132"/>
      <c r="D9562" s="125">
        <f t="shared" si="195"/>
        <v>0</v>
      </c>
      <c r="E9562" s="124" t="s">
        <v>8367</v>
      </c>
      <c r="F9562" s="126">
        <v>399</v>
      </c>
      <c r="G9562" s="128">
        <v>31756.43</v>
      </c>
      <c r="H9562" s="124" t="s">
        <v>8368</v>
      </c>
      <c r="I9562" s="128">
        <v>31667</v>
      </c>
      <c r="J9562" s="128">
        <v>158335</v>
      </c>
    </row>
    <row r="9563" spans="1:10" hidden="1" x14ac:dyDescent="0.25">
      <c r="A9563" s="124" t="s">
        <v>5276</v>
      </c>
      <c r="B9563" s="124" t="s">
        <v>11736</v>
      </c>
      <c r="C9563" s="132"/>
      <c r="D9563" s="125">
        <f t="shared" si="195"/>
        <v>0</v>
      </c>
      <c r="E9563" s="124" t="s">
        <v>8367</v>
      </c>
      <c r="F9563" s="126">
        <v>366</v>
      </c>
      <c r="G9563" s="128">
        <v>115321</v>
      </c>
      <c r="H9563" s="124" t="s">
        <v>8368</v>
      </c>
      <c r="I9563" s="128">
        <v>1860</v>
      </c>
      <c r="J9563" s="128">
        <v>9300</v>
      </c>
    </row>
    <row r="9564" spans="1:10" hidden="1" x14ac:dyDescent="0.25">
      <c r="A9564" s="124" t="s">
        <v>6237</v>
      </c>
      <c r="B9564" s="124" t="s">
        <v>11736</v>
      </c>
      <c r="C9564" s="132"/>
      <c r="D9564" s="125">
        <f t="shared" si="195"/>
        <v>0</v>
      </c>
      <c r="E9564" s="124" t="s">
        <v>8367</v>
      </c>
      <c r="F9564" s="126">
        <v>366</v>
      </c>
      <c r="G9564" s="128">
        <v>115321</v>
      </c>
      <c r="H9564" s="124" t="s">
        <v>8368</v>
      </c>
      <c r="I9564" s="128">
        <v>24924</v>
      </c>
      <c r="J9564" s="128">
        <v>124620</v>
      </c>
    </row>
    <row r="9565" spans="1:10" hidden="1" x14ac:dyDescent="0.25">
      <c r="A9565" s="124" t="s">
        <v>11576</v>
      </c>
      <c r="B9565" s="124" t="s">
        <v>11736</v>
      </c>
      <c r="C9565" s="132"/>
      <c r="D9565" s="125">
        <f t="shared" si="195"/>
        <v>0</v>
      </c>
      <c r="E9565" s="124" t="s">
        <v>8367</v>
      </c>
      <c r="F9565" s="126">
        <v>500</v>
      </c>
      <c r="G9565" s="128">
        <v>190002</v>
      </c>
      <c r="H9565" s="124" t="s">
        <v>8368</v>
      </c>
      <c r="I9565" s="128">
        <v>125000</v>
      </c>
      <c r="J9565" s="128">
        <v>625000</v>
      </c>
    </row>
    <row r="9566" spans="1:10" hidden="1" x14ac:dyDescent="0.25">
      <c r="A9566" s="124" t="s">
        <v>1256</v>
      </c>
      <c r="B9566" s="124" t="s">
        <v>11736</v>
      </c>
      <c r="C9566" s="132"/>
      <c r="D9566" s="125">
        <f t="shared" si="195"/>
        <v>0</v>
      </c>
      <c r="E9566" s="124" t="s">
        <v>8367</v>
      </c>
      <c r="F9566" s="129">
        <v>4000</v>
      </c>
      <c r="G9566" s="128">
        <v>11160</v>
      </c>
      <c r="H9566" s="124" t="s">
        <v>8368</v>
      </c>
      <c r="I9566" s="128">
        <v>2716.67</v>
      </c>
      <c r="J9566" s="128">
        <v>13583.33</v>
      </c>
    </row>
    <row r="9567" spans="1:10" hidden="1" x14ac:dyDescent="0.25">
      <c r="A9567" s="124" t="s">
        <v>11577</v>
      </c>
      <c r="B9567" s="124" t="s">
        <v>11736</v>
      </c>
      <c r="C9567" s="132"/>
      <c r="D9567" s="125">
        <f t="shared" si="195"/>
        <v>0</v>
      </c>
      <c r="E9567" s="124" t="s">
        <v>8367</v>
      </c>
      <c r="F9567" s="129">
        <v>2000</v>
      </c>
      <c r="G9567" s="128">
        <v>149544</v>
      </c>
      <c r="H9567" s="124" t="s">
        <v>8368</v>
      </c>
      <c r="I9567" s="127">
        <v>190.67</v>
      </c>
      <c r="J9567" s="127">
        <v>953.33</v>
      </c>
    </row>
    <row r="9568" spans="1:10" hidden="1" x14ac:dyDescent="0.25">
      <c r="A9568" s="124" t="s">
        <v>11578</v>
      </c>
      <c r="B9568" s="124" t="s">
        <v>11736</v>
      </c>
      <c r="C9568" s="132"/>
      <c r="D9568" s="125">
        <f t="shared" si="195"/>
        <v>0</v>
      </c>
      <c r="E9568" s="124" t="s">
        <v>8367</v>
      </c>
      <c r="F9568" s="126">
        <v>50</v>
      </c>
      <c r="G9568" s="128">
        <v>750000</v>
      </c>
      <c r="H9568" s="124" t="s">
        <v>8368</v>
      </c>
      <c r="I9568" s="127">
        <v>180.6</v>
      </c>
      <c r="J9568" s="127">
        <v>903</v>
      </c>
    </row>
    <row r="9569" spans="1:10" hidden="1" x14ac:dyDescent="0.25">
      <c r="A9569" s="124" t="s">
        <v>11579</v>
      </c>
      <c r="B9569" s="124" t="s">
        <v>11736</v>
      </c>
      <c r="C9569" s="132"/>
      <c r="D9569" s="125">
        <f t="shared" si="195"/>
        <v>0</v>
      </c>
      <c r="E9569" s="124" t="s">
        <v>8367</v>
      </c>
      <c r="F9569" s="126">
        <v>1</v>
      </c>
      <c r="G9569" s="128">
        <v>16300</v>
      </c>
      <c r="H9569" s="124" t="s">
        <v>8368</v>
      </c>
      <c r="I9569" s="127">
        <v>91</v>
      </c>
      <c r="J9569" s="127">
        <v>455</v>
      </c>
    </row>
    <row r="9570" spans="1:10" hidden="1" x14ac:dyDescent="0.25">
      <c r="A9570" s="124" t="s">
        <v>11580</v>
      </c>
      <c r="B9570" s="124" t="s">
        <v>11736</v>
      </c>
      <c r="C9570" s="132"/>
      <c r="D9570" s="125">
        <f t="shared" si="195"/>
        <v>0</v>
      </c>
      <c r="E9570" s="124" t="s">
        <v>8367</v>
      </c>
      <c r="F9570" s="126">
        <v>1</v>
      </c>
      <c r="G9570" s="128">
        <v>1144</v>
      </c>
      <c r="H9570" s="124" t="s">
        <v>8368</v>
      </c>
      <c r="I9570" s="127">
        <v>100.5</v>
      </c>
      <c r="J9570" s="127">
        <v>502.5</v>
      </c>
    </row>
    <row r="9571" spans="1:10" hidden="1" x14ac:dyDescent="0.25">
      <c r="A9571" s="124" t="s">
        <v>4671</v>
      </c>
      <c r="B9571" s="124" t="s">
        <v>11736</v>
      </c>
      <c r="C9571" s="132"/>
      <c r="D9571" s="125">
        <f t="shared" si="195"/>
        <v>0</v>
      </c>
      <c r="E9571" s="124" t="s">
        <v>8367</v>
      </c>
      <c r="F9571" s="126">
        <v>1</v>
      </c>
      <c r="G9571" s="128">
        <v>1083.5999999999999</v>
      </c>
      <c r="H9571" s="124" t="s">
        <v>8368</v>
      </c>
      <c r="I9571" s="127">
        <v>116.4</v>
      </c>
      <c r="J9571" s="127">
        <v>582</v>
      </c>
    </row>
    <row r="9572" spans="1:10" hidden="1" x14ac:dyDescent="0.25">
      <c r="A9572" s="124" t="s">
        <v>11581</v>
      </c>
      <c r="B9572" s="124" t="s">
        <v>11736</v>
      </c>
      <c r="C9572" s="132"/>
      <c r="D9572" s="125">
        <f t="shared" si="195"/>
        <v>0</v>
      </c>
      <c r="E9572" s="124" t="s">
        <v>8367</v>
      </c>
      <c r="F9572" s="126">
        <v>1</v>
      </c>
      <c r="G9572" s="127">
        <v>546</v>
      </c>
      <c r="H9572" s="124" t="s">
        <v>8368</v>
      </c>
      <c r="I9572" s="127">
        <v>62.5</v>
      </c>
      <c r="J9572" s="127">
        <v>312.5</v>
      </c>
    </row>
    <row r="9573" spans="1:10" hidden="1" x14ac:dyDescent="0.25">
      <c r="A9573" s="124" t="s">
        <v>11582</v>
      </c>
      <c r="B9573" s="124" t="s">
        <v>11736</v>
      </c>
      <c r="C9573" s="132"/>
      <c r="D9573" s="125">
        <f t="shared" si="195"/>
        <v>0</v>
      </c>
      <c r="E9573" s="124" t="s">
        <v>8367</v>
      </c>
      <c r="F9573" s="126">
        <v>1</v>
      </c>
      <c r="G9573" s="127">
        <v>603</v>
      </c>
      <c r="H9573" s="124" t="s">
        <v>8368</v>
      </c>
      <c r="I9573" s="127">
        <v>397.33</v>
      </c>
      <c r="J9573" s="128">
        <v>1986.67</v>
      </c>
    </row>
    <row r="9574" spans="1:10" hidden="1" x14ac:dyDescent="0.25">
      <c r="A9574" s="124" t="s">
        <v>3703</v>
      </c>
      <c r="B9574" s="124" t="s">
        <v>11736</v>
      </c>
      <c r="C9574" s="132"/>
      <c r="D9574" s="125">
        <f t="shared" si="195"/>
        <v>0</v>
      </c>
      <c r="E9574" s="124" t="s">
        <v>8367</v>
      </c>
      <c r="F9574" s="126">
        <v>1</v>
      </c>
      <c r="G9574" s="127">
        <v>698.4</v>
      </c>
      <c r="H9574" s="124" t="s">
        <v>8368</v>
      </c>
      <c r="I9574" s="128">
        <v>1170.67</v>
      </c>
      <c r="J9574" s="128">
        <v>5853.33</v>
      </c>
    </row>
    <row r="9575" spans="1:10" hidden="1" x14ac:dyDescent="0.25">
      <c r="A9575" s="124" t="s">
        <v>11583</v>
      </c>
      <c r="B9575" s="124" t="s">
        <v>11736</v>
      </c>
      <c r="C9575" s="132"/>
      <c r="D9575" s="125">
        <f t="shared" si="195"/>
        <v>0</v>
      </c>
      <c r="E9575" s="124" t="s">
        <v>8367</v>
      </c>
      <c r="F9575" s="126">
        <v>1</v>
      </c>
      <c r="G9575" s="127">
        <v>375</v>
      </c>
      <c r="H9575" s="124" t="s">
        <v>8368</v>
      </c>
      <c r="I9575" s="127">
        <v>143.4</v>
      </c>
      <c r="J9575" s="127">
        <v>717</v>
      </c>
    </row>
    <row r="9576" spans="1:10" hidden="1" x14ac:dyDescent="0.25">
      <c r="A9576" s="124" t="s">
        <v>11584</v>
      </c>
      <c r="B9576" s="124" t="s">
        <v>11736</v>
      </c>
      <c r="C9576" s="132"/>
      <c r="D9576" s="125">
        <f t="shared" si="195"/>
        <v>0</v>
      </c>
      <c r="E9576" s="124" t="s">
        <v>8367</v>
      </c>
      <c r="F9576" s="126">
        <v>1</v>
      </c>
      <c r="G9576" s="128">
        <v>2384</v>
      </c>
      <c r="H9576" s="124" t="s">
        <v>8368</v>
      </c>
      <c r="I9576" s="128">
        <v>2780.01</v>
      </c>
      <c r="J9576" s="128">
        <v>13900.05</v>
      </c>
    </row>
    <row r="9577" spans="1:10" hidden="1" x14ac:dyDescent="0.25">
      <c r="A9577" s="124" t="s">
        <v>11585</v>
      </c>
      <c r="B9577" s="124" t="s">
        <v>11736</v>
      </c>
      <c r="C9577" s="132"/>
      <c r="D9577" s="125">
        <f t="shared" si="195"/>
        <v>0</v>
      </c>
      <c r="E9577" s="124" t="s">
        <v>8367</v>
      </c>
      <c r="F9577" s="126">
        <v>1</v>
      </c>
      <c r="G9577" s="128">
        <v>7024</v>
      </c>
      <c r="H9577" s="124" t="s">
        <v>8368</v>
      </c>
      <c r="I9577" s="127">
        <v>142.6</v>
      </c>
      <c r="J9577" s="127">
        <v>713</v>
      </c>
    </row>
    <row r="9578" spans="1:10" hidden="1" x14ac:dyDescent="0.25">
      <c r="A9578" s="124" t="s">
        <v>1728</v>
      </c>
      <c r="B9578" s="124" t="s">
        <v>11736</v>
      </c>
      <c r="C9578" s="132"/>
      <c r="D9578" s="125">
        <f t="shared" si="195"/>
        <v>0</v>
      </c>
      <c r="E9578" s="124" t="s">
        <v>8367</v>
      </c>
      <c r="F9578" s="126">
        <v>10</v>
      </c>
      <c r="G9578" s="127">
        <v>860.4</v>
      </c>
      <c r="H9578" s="124" t="s">
        <v>8368</v>
      </c>
      <c r="I9578" s="127">
        <v>579.20000000000005</v>
      </c>
      <c r="J9578" s="128">
        <v>2896</v>
      </c>
    </row>
    <row r="9579" spans="1:10" hidden="1" x14ac:dyDescent="0.25">
      <c r="A9579" s="124" t="s">
        <v>11586</v>
      </c>
      <c r="B9579" s="124" t="s">
        <v>11736</v>
      </c>
      <c r="C9579" s="132"/>
      <c r="D9579" s="125">
        <f t="shared" si="195"/>
        <v>0</v>
      </c>
      <c r="E9579" s="124" t="s">
        <v>8367</v>
      </c>
      <c r="F9579" s="126">
        <v>15</v>
      </c>
      <c r="G9579" s="128">
        <v>16680.060000000001</v>
      </c>
      <c r="H9579" s="124" t="s">
        <v>8368</v>
      </c>
      <c r="I9579" s="127">
        <v>208</v>
      </c>
      <c r="J9579" s="128">
        <v>1040.01</v>
      </c>
    </row>
    <row r="9580" spans="1:10" hidden="1" x14ac:dyDescent="0.25">
      <c r="A9580" s="124" t="s">
        <v>744</v>
      </c>
      <c r="B9580" s="124" t="s">
        <v>11736</v>
      </c>
      <c r="C9580" s="132"/>
      <c r="D9580" s="125">
        <f t="shared" si="195"/>
        <v>0</v>
      </c>
      <c r="E9580" s="124" t="s">
        <v>8367</v>
      </c>
      <c r="F9580" s="126">
        <v>15</v>
      </c>
      <c r="G9580" s="127">
        <v>855.6</v>
      </c>
      <c r="H9580" s="124" t="s">
        <v>8368</v>
      </c>
      <c r="I9580" s="127">
        <v>213.5</v>
      </c>
      <c r="J9580" s="128">
        <v>1067.5</v>
      </c>
    </row>
    <row r="9581" spans="1:10" hidden="1" x14ac:dyDescent="0.25">
      <c r="A9581" s="124" t="s">
        <v>1727</v>
      </c>
      <c r="B9581" s="124" t="s">
        <v>11736</v>
      </c>
      <c r="C9581" s="132"/>
      <c r="D9581" s="125">
        <f t="shared" si="195"/>
        <v>0</v>
      </c>
      <c r="E9581" s="124" t="s">
        <v>8367</v>
      </c>
      <c r="F9581" s="126">
        <v>25</v>
      </c>
      <c r="G9581" s="128">
        <v>3475.2</v>
      </c>
      <c r="H9581" s="124" t="s">
        <v>8368</v>
      </c>
      <c r="I9581" s="127">
        <v>45.4</v>
      </c>
      <c r="J9581" s="127">
        <v>227</v>
      </c>
    </row>
    <row r="9582" spans="1:10" hidden="1" x14ac:dyDescent="0.25">
      <c r="A9582" s="124" t="s">
        <v>11587</v>
      </c>
      <c r="B9582" s="124" t="s">
        <v>11736</v>
      </c>
      <c r="C9582" s="132"/>
      <c r="D9582" s="125">
        <f t="shared" si="195"/>
        <v>0</v>
      </c>
      <c r="E9582" s="124" t="s">
        <v>8451</v>
      </c>
      <c r="F9582" s="126">
        <v>3</v>
      </c>
      <c r="G9582" s="128">
        <v>1248.01</v>
      </c>
      <c r="H9582" s="124" t="s">
        <v>8368</v>
      </c>
      <c r="I9582" s="127">
        <v>90</v>
      </c>
      <c r="J9582" s="127">
        <v>450</v>
      </c>
    </row>
    <row r="9583" spans="1:10" hidden="1" x14ac:dyDescent="0.25">
      <c r="A9583" s="124" t="s">
        <v>11588</v>
      </c>
      <c r="B9583" s="124" t="s">
        <v>11736</v>
      </c>
      <c r="C9583" s="132"/>
      <c r="D9583" s="125">
        <f t="shared" si="195"/>
        <v>0</v>
      </c>
      <c r="E9583" s="124" t="s">
        <v>8451</v>
      </c>
      <c r="F9583" s="126">
        <v>1</v>
      </c>
      <c r="G9583" s="128">
        <v>1281</v>
      </c>
      <c r="H9583" s="124" t="s">
        <v>8368</v>
      </c>
      <c r="I9583" s="127">
        <v>136</v>
      </c>
      <c r="J9583" s="127">
        <v>680</v>
      </c>
    </row>
    <row r="9584" spans="1:10" hidden="1" x14ac:dyDescent="0.25">
      <c r="A9584" s="124" t="s">
        <v>11589</v>
      </c>
      <c r="B9584" s="124" t="s">
        <v>11736</v>
      </c>
      <c r="C9584" s="132"/>
      <c r="D9584" s="125">
        <f t="shared" si="195"/>
        <v>0</v>
      </c>
      <c r="E9584" s="124" t="s">
        <v>8367</v>
      </c>
      <c r="F9584" s="126">
        <v>2</v>
      </c>
      <c r="G9584" s="127">
        <v>272.39999999999998</v>
      </c>
      <c r="H9584" s="124" t="s">
        <v>8368</v>
      </c>
      <c r="I9584" s="128">
        <v>1005.8</v>
      </c>
      <c r="J9584" s="128">
        <v>5029</v>
      </c>
    </row>
    <row r="9585" spans="1:10" hidden="1" x14ac:dyDescent="0.25">
      <c r="A9585" s="124" t="s">
        <v>11590</v>
      </c>
      <c r="B9585" s="124" t="s">
        <v>11736</v>
      </c>
      <c r="C9585" s="132"/>
      <c r="D9585" s="125">
        <f t="shared" si="195"/>
        <v>0</v>
      </c>
      <c r="E9585" s="124" t="s">
        <v>8367</v>
      </c>
      <c r="F9585" s="126">
        <v>3</v>
      </c>
      <c r="G9585" s="127">
        <v>540</v>
      </c>
      <c r="H9585" s="124" t="s">
        <v>8368</v>
      </c>
      <c r="I9585" s="127">
        <v>32.200000000000003</v>
      </c>
      <c r="J9585" s="127">
        <v>161</v>
      </c>
    </row>
    <row r="9586" spans="1:10" hidden="1" x14ac:dyDescent="0.25">
      <c r="A9586" s="124" t="s">
        <v>11591</v>
      </c>
      <c r="B9586" s="124" t="s">
        <v>11736</v>
      </c>
      <c r="C9586" s="132"/>
      <c r="D9586" s="125">
        <f t="shared" si="195"/>
        <v>0</v>
      </c>
      <c r="E9586" s="124" t="s">
        <v>8367</v>
      </c>
      <c r="F9586" s="126">
        <v>6</v>
      </c>
      <c r="G9586" s="127">
        <v>816</v>
      </c>
      <c r="H9586" s="124" t="s">
        <v>8368</v>
      </c>
      <c r="I9586" s="127">
        <v>83.6</v>
      </c>
      <c r="J9586" s="127">
        <v>418</v>
      </c>
    </row>
    <row r="9587" spans="1:10" hidden="1" x14ac:dyDescent="0.25">
      <c r="A9587" s="124" t="s">
        <v>11592</v>
      </c>
      <c r="B9587" s="124" t="s">
        <v>11736</v>
      </c>
      <c r="C9587" s="132"/>
      <c r="D9587" s="125">
        <f t="shared" ref="D9587:D9616" si="196">COUNTIF(A5384:A9586,A9587)</f>
        <v>0</v>
      </c>
      <c r="E9587" s="124" t="s">
        <v>8367</v>
      </c>
      <c r="F9587" s="126">
        <v>17</v>
      </c>
      <c r="G9587" s="128">
        <v>6034.8</v>
      </c>
      <c r="H9587" s="124" t="s">
        <v>8368</v>
      </c>
      <c r="I9587" s="127">
        <v>33</v>
      </c>
      <c r="J9587" s="127">
        <v>165</v>
      </c>
    </row>
    <row r="9588" spans="1:10" hidden="1" x14ac:dyDescent="0.25">
      <c r="A9588" s="124" t="s">
        <v>11593</v>
      </c>
      <c r="B9588" s="124" t="s">
        <v>11736</v>
      </c>
      <c r="C9588" s="132"/>
      <c r="D9588" s="125">
        <f t="shared" si="196"/>
        <v>0</v>
      </c>
      <c r="E9588" s="124" t="s">
        <v>8367</v>
      </c>
      <c r="F9588" s="126">
        <v>1</v>
      </c>
      <c r="G9588" s="127">
        <v>193.2</v>
      </c>
      <c r="H9588" s="124" t="s">
        <v>8368</v>
      </c>
      <c r="I9588" s="127">
        <v>32.33</v>
      </c>
      <c r="J9588" s="127">
        <v>161.66999999999999</v>
      </c>
    </row>
    <row r="9589" spans="1:10" hidden="1" x14ac:dyDescent="0.25">
      <c r="A9589" s="124" t="s">
        <v>11594</v>
      </c>
      <c r="B9589" s="124" t="s">
        <v>11736</v>
      </c>
      <c r="C9589" s="132"/>
      <c r="D9589" s="125">
        <f t="shared" si="196"/>
        <v>0</v>
      </c>
      <c r="E9589" s="124" t="s">
        <v>8367</v>
      </c>
      <c r="F9589" s="126">
        <v>3</v>
      </c>
      <c r="G9589" s="127">
        <v>501.6</v>
      </c>
      <c r="H9589" s="124" t="s">
        <v>8368</v>
      </c>
      <c r="I9589" s="127">
        <v>14.8</v>
      </c>
      <c r="J9589" s="127">
        <v>74</v>
      </c>
    </row>
    <row r="9590" spans="1:10" hidden="1" x14ac:dyDescent="0.25">
      <c r="A9590" s="124" t="s">
        <v>11595</v>
      </c>
      <c r="B9590" s="124" t="s">
        <v>11736</v>
      </c>
      <c r="C9590" s="132"/>
      <c r="D9590" s="125">
        <f t="shared" si="196"/>
        <v>0</v>
      </c>
      <c r="E9590" s="124" t="s">
        <v>8367</v>
      </c>
      <c r="F9590" s="126">
        <v>1</v>
      </c>
      <c r="G9590" s="127">
        <v>198</v>
      </c>
      <c r="H9590" s="124" t="s">
        <v>8368</v>
      </c>
      <c r="I9590" s="127">
        <v>31.4</v>
      </c>
      <c r="J9590" s="127">
        <v>157</v>
      </c>
    </row>
    <row r="9591" spans="1:10" hidden="1" x14ac:dyDescent="0.25">
      <c r="A9591" s="124" t="s">
        <v>11596</v>
      </c>
      <c r="B9591" s="124" t="s">
        <v>11736</v>
      </c>
      <c r="C9591" s="132"/>
      <c r="D9591" s="125">
        <f t="shared" si="196"/>
        <v>0</v>
      </c>
      <c r="E9591" s="124" t="s">
        <v>8367</v>
      </c>
      <c r="F9591" s="126">
        <v>1</v>
      </c>
      <c r="G9591" s="127">
        <v>194</v>
      </c>
      <c r="H9591" s="124" t="s">
        <v>8368</v>
      </c>
      <c r="I9591" s="127">
        <v>39.6</v>
      </c>
      <c r="J9591" s="127">
        <v>198</v>
      </c>
    </row>
    <row r="9592" spans="1:10" hidden="1" x14ac:dyDescent="0.25">
      <c r="A9592" s="124" t="s">
        <v>11597</v>
      </c>
      <c r="B9592" s="124" t="s">
        <v>11736</v>
      </c>
      <c r="C9592" s="132"/>
      <c r="D9592" s="125">
        <f t="shared" si="196"/>
        <v>0</v>
      </c>
      <c r="E9592" s="124" t="s">
        <v>8367</v>
      </c>
      <c r="F9592" s="126">
        <v>2</v>
      </c>
      <c r="G9592" s="127">
        <v>88.8</v>
      </c>
      <c r="H9592" s="124" t="s">
        <v>8368</v>
      </c>
      <c r="I9592" s="127">
        <v>22.2</v>
      </c>
      <c r="J9592" s="127">
        <v>111</v>
      </c>
    </row>
    <row r="9593" spans="1:10" hidden="1" x14ac:dyDescent="0.25">
      <c r="A9593" s="124" t="s">
        <v>11598</v>
      </c>
      <c r="B9593" s="124" t="s">
        <v>11736</v>
      </c>
      <c r="C9593" s="132"/>
      <c r="D9593" s="125">
        <f t="shared" si="196"/>
        <v>0</v>
      </c>
      <c r="E9593" s="124" t="s">
        <v>8367</v>
      </c>
      <c r="F9593" s="126">
        <v>1</v>
      </c>
      <c r="G9593" s="127">
        <v>188.4</v>
      </c>
      <c r="H9593" s="124" t="s">
        <v>8368</v>
      </c>
      <c r="I9593" s="127">
        <v>62.6</v>
      </c>
      <c r="J9593" s="127">
        <v>313</v>
      </c>
    </row>
    <row r="9594" spans="1:10" hidden="1" x14ac:dyDescent="0.25">
      <c r="A9594" s="124" t="s">
        <v>11599</v>
      </c>
      <c r="B9594" s="124" t="s">
        <v>11736</v>
      </c>
      <c r="C9594" s="132"/>
      <c r="D9594" s="125">
        <f t="shared" si="196"/>
        <v>0</v>
      </c>
      <c r="E9594" s="124" t="s">
        <v>8367</v>
      </c>
      <c r="F9594" s="126">
        <v>1</v>
      </c>
      <c r="G9594" s="127">
        <v>237.6</v>
      </c>
      <c r="H9594" s="124" t="s">
        <v>8368</v>
      </c>
      <c r="I9594" s="127">
        <v>26.6</v>
      </c>
      <c r="J9594" s="127">
        <v>133</v>
      </c>
    </row>
    <row r="9595" spans="1:10" hidden="1" x14ac:dyDescent="0.25">
      <c r="A9595" s="124" t="s">
        <v>11600</v>
      </c>
      <c r="B9595" s="124" t="s">
        <v>11736</v>
      </c>
      <c r="C9595" s="132"/>
      <c r="D9595" s="125">
        <f t="shared" si="196"/>
        <v>0</v>
      </c>
      <c r="E9595" s="124" t="s">
        <v>8367</v>
      </c>
      <c r="F9595" s="126">
        <v>3</v>
      </c>
      <c r="G9595" s="127">
        <v>133.19999999999999</v>
      </c>
      <c r="H9595" s="124" t="s">
        <v>8368</v>
      </c>
      <c r="I9595" s="127">
        <v>31.4</v>
      </c>
      <c r="J9595" s="127">
        <v>157</v>
      </c>
    </row>
    <row r="9596" spans="1:10" hidden="1" x14ac:dyDescent="0.25">
      <c r="A9596" s="124" t="s">
        <v>11601</v>
      </c>
      <c r="B9596" s="124" t="s">
        <v>11736</v>
      </c>
      <c r="C9596" s="132"/>
      <c r="D9596" s="125">
        <f t="shared" si="196"/>
        <v>0</v>
      </c>
      <c r="E9596" s="124" t="s">
        <v>8367</v>
      </c>
      <c r="F9596" s="126">
        <v>2</v>
      </c>
      <c r="G9596" s="127">
        <v>375.6</v>
      </c>
      <c r="H9596" s="124" t="s">
        <v>8368</v>
      </c>
      <c r="I9596" s="127">
        <v>32.200000000000003</v>
      </c>
      <c r="J9596" s="127">
        <v>161</v>
      </c>
    </row>
    <row r="9597" spans="1:10" hidden="1" x14ac:dyDescent="0.25">
      <c r="A9597" s="124" t="s">
        <v>11602</v>
      </c>
      <c r="B9597" s="124" t="s">
        <v>11736</v>
      </c>
      <c r="C9597" s="132"/>
      <c r="D9597" s="125">
        <f t="shared" si="196"/>
        <v>0</v>
      </c>
      <c r="E9597" s="124" t="s">
        <v>8367</v>
      </c>
      <c r="F9597" s="126">
        <v>1</v>
      </c>
      <c r="G9597" s="127">
        <v>159.6</v>
      </c>
      <c r="H9597" s="124" t="s">
        <v>8368</v>
      </c>
      <c r="I9597" s="127">
        <v>31.4</v>
      </c>
      <c r="J9597" s="127">
        <v>157</v>
      </c>
    </row>
    <row r="9598" spans="1:10" hidden="1" x14ac:dyDescent="0.25">
      <c r="A9598" s="124" t="s">
        <v>11603</v>
      </c>
      <c r="B9598" s="124" t="s">
        <v>11736</v>
      </c>
      <c r="C9598" s="132"/>
      <c r="D9598" s="125">
        <f t="shared" si="196"/>
        <v>0</v>
      </c>
      <c r="E9598" s="124" t="s">
        <v>8367</v>
      </c>
      <c r="F9598" s="126">
        <v>1</v>
      </c>
      <c r="G9598" s="127">
        <v>188.4</v>
      </c>
      <c r="H9598" s="124" t="s">
        <v>8368</v>
      </c>
      <c r="I9598" s="127">
        <v>99</v>
      </c>
      <c r="J9598" s="127">
        <v>495</v>
      </c>
    </row>
    <row r="9599" spans="1:10" hidden="1" x14ac:dyDescent="0.25">
      <c r="A9599" s="124" t="s">
        <v>11604</v>
      </c>
      <c r="B9599" s="124" t="s">
        <v>11736</v>
      </c>
      <c r="C9599" s="132"/>
      <c r="D9599" s="125">
        <f t="shared" si="196"/>
        <v>0</v>
      </c>
      <c r="E9599" s="124" t="s">
        <v>8367</v>
      </c>
      <c r="F9599" s="126">
        <v>1</v>
      </c>
      <c r="G9599" s="127">
        <v>193.2</v>
      </c>
      <c r="H9599" s="124" t="s">
        <v>8368</v>
      </c>
      <c r="I9599" s="127">
        <v>33.799999999999997</v>
      </c>
      <c r="J9599" s="127">
        <v>169</v>
      </c>
    </row>
    <row r="9600" spans="1:10" hidden="1" x14ac:dyDescent="0.25">
      <c r="A9600" s="124" t="s">
        <v>11605</v>
      </c>
      <c r="B9600" s="124" t="s">
        <v>11736</v>
      </c>
      <c r="C9600" s="132"/>
      <c r="D9600" s="125">
        <f t="shared" si="196"/>
        <v>0</v>
      </c>
      <c r="E9600" s="124" t="s">
        <v>8367</v>
      </c>
      <c r="F9600" s="126">
        <v>1</v>
      </c>
      <c r="G9600" s="127">
        <v>188.4</v>
      </c>
      <c r="H9600" s="124" t="s">
        <v>8368</v>
      </c>
      <c r="I9600" s="127">
        <v>223.4</v>
      </c>
      <c r="J9600" s="128">
        <v>1117</v>
      </c>
    </row>
    <row r="9601" spans="1:10" hidden="1" x14ac:dyDescent="0.25">
      <c r="A9601" s="124" t="s">
        <v>11606</v>
      </c>
      <c r="B9601" s="124" t="s">
        <v>11736</v>
      </c>
      <c r="C9601" s="132"/>
      <c r="D9601" s="125">
        <f t="shared" si="196"/>
        <v>0</v>
      </c>
      <c r="E9601" s="124" t="s">
        <v>8367</v>
      </c>
      <c r="F9601" s="126">
        <v>3</v>
      </c>
      <c r="G9601" s="127">
        <v>594</v>
      </c>
      <c r="H9601" s="124" t="s">
        <v>8368</v>
      </c>
      <c r="I9601" s="127">
        <v>15</v>
      </c>
      <c r="J9601" s="127">
        <v>75</v>
      </c>
    </row>
    <row r="9602" spans="1:10" hidden="1" x14ac:dyDescent="0.25">
      <c r="A9602" s="124" t="s">
        <v>11607</v>
      </c>
      <c r="B9602" s="124" t="s">
        <v>11736</v>
      </c>
      <c r="C9602" s="132"/>
      <c r="D9602" s="125">
        <f t="shared" si="196"/>
        <v>0</v>
      </c>
      <c r="E9602" s="124" t="s">
        <v>8367</v>
      </c>
      <c r="F9602" s="126">
        <v>1</v>
      </c>
      <c r="G9602" s="127">
        <v>202.8</v>
      </c>
      <c r="H9602" s="124" t="s">
        <v>8368</v>
      </c>
      <c r="I9602" s="127">
        <v>99</v>
      </c>
      <c r="J9602" s="127">
        <v>495</v>
      </c>
    </row>
    <row r="9603" spans="1:10" hidden="1" x14ac:dyDescent="0.25">
      <c r="A9603" s="124" t="s">
        <v>11608</v>
      </c>
      <c r="B9603" s="124" t="s">
        <v>11736</v>
      </c>
      <c r="C9603" s="132"/>
      <c r="D9603" s="125">
        <f t="shared" si="196"/>
        <v>0</v>
      </c>
      <c r="E9603" s="124" t="s">
        <v>8367</v>
      </c>
      <c r="F9603" s="126">
        <v>10</v>
      </c>
      <c r="G9603" s="128">
        <v>1340.4</v>
      </c>
      <c r="H9603" s="124" t="s">
        <v>8368</v>
      </c>
      <c r="I9603" s="127">
        <v>36.4</v>
      </c>
      <c r="J9603" s="127">
        <v>182</v>
      </c>
    </row>
    <row r="9604" spans="1:10" hidden="1" x14ac:dyDescent="0.25">
      <c r="A9604" s="124" t="s">
        <v>11609</v>
      </c>
      <c r="B9604" s="124" t="s">
        <v>11736</v>
      </c>
      <c r="C9604" s="132"/>
      <c r="D9604" s="125">
        <f t="shared" si="196"/>
        <v>0</v>
      </c>
      <c r="E9604" s="124" t="s">
        <v>8367</v>
      </c>
      <c r="F9604" s="126">
        <v>1</v>
      </c>
      <c r="G9604" s="127">
        <v>90</v>
      </c>
      <c r="H9604" s="124" t="s">
        <v>8368</v>
      </c>
      <c r="I9604" s="127">
        <v>18.2</v>
      </c>
      <c r="J9604" s="127">
        <v>91</v>
      </c>
    </row>
    <row r="9605" spans="1:10" hidden="1" x14ac:dyDescent="0.25">
      <c r="A9605" s="124" t="s">
        <v>11610</v>
      </c>
      <c r="B9605" s="124" t="s">
        <v>11736</v>
      </c>
      <c r="C9605" s="132"/>
      <c r="D9605" s="125">
        <f t="shared" si="196"/>
        <v>0</v>
      </c>
      <c r="E9605" s="124" t="s">
        <v>8367</v>
      </c>
      <c r="F9605" s="126">
        <v>3</v>
      </c>
      <c r="G9605" s="127">
        <v>594</v>
      </c>
      <c r="H9605" s="124" t="s">
        <v>8368</v>
      </c>
      <c r="I9605" s="127">
        <v>75.400000000000006</v>
      </c>
      <c r="J9605" s="127">
        <v>377</v>
      </c>
    </row>
    <row r="9606" spans="1:10" hidden="1" x14ac:dyDescent="0.25">
      <c r="A9606" s="124" t="s">
        <v>11611</v>
      </c>
      <c r="B9606" s="124" t="s">
        <v>11736</v>
      </c>
      <c r="C9606" s="132"/>
      <c r="D9606" s="125">
        <f t="shared" si="196"/>
        <v>0</v>
      </c>
      <c r="E9606" s="124" t="s">
        <v>8367</v>
      </c>
      <c r="F9606" s="126">
        <v>2</v>
      </c>
      <c r="G9606" s="127">
        <v>218.4</v>
      </c>
      <c r="H9606" s="124" t="s">
        <v>8368</v>
      </c>
      <c r="I9606" s="127">
        <v>165</v>
      </c>
      <c r="J9606" s="127">
        <v>825</v>
      </c>
    </row>
    <row r="9607" spans="1:10" hidden="1" x14ac:dyDescent="0.25">
      <c r="A9607" s="124" t="s">
        <v>11612</v>
      </c>
      <c r="B9607" s="124" t="s">
        <v>11736</v>
      </c>
      <c r="C9607" s="132"/>
      <c r="D9607" s="125">
        <f t="shared" si="196"/>
        <v>0</v>
      </c>
      <c r="E9607" s="124" t="s">
        <v>8367</v>
      </c>
      <c r="F9607" s="126">
        <v>1</v>
      </c>
      <c r="G9607" s="127">
        <v>109.2</v>
      </c>
      <c r="H9607" s="124" t="s">
        <v>8368</v>
      </c>
      <c r="I9607" s="127">
        <v>50.5</v>
      </c>
      <c r="J9607" s="127">
        <v>252.51</v>
      </c>
    </row>
    <row r="9608" spans="1:10" hidden="1" x14ac:dyDescent="0.25">
      <c r="A9608" s="124" t="s">
        <v>11613</v>
      </c>
      <c r="B9608" s="124" t="s">
        <v>11736</v>
      </c>
      <c r="C9608" s="132"/>
      <c r="D9608" s="125">
        <f t="shared" si="196"/>
        <v>0</v>
      </c>
      <c r="E9608" s="124" t="s">
        <v>8367</v>
      </c>
      <c r="F9608" s="126">
        <v>3</v>
      </c>
      <c r="G9608" s="127">
        <v>452.4</v>
      </c>
      <c r="H9608" s="124" t="s">
        <v>8368</v>
      </c>
      <c r="I9608" s="127">
        <v>36.4</v>
      </c>
      <c r="J9608" s="127">
        <v>182</v>
      </c>
    </row>
    <row r="9609" spans="1:10" hidden="1" x14ac:dyDescent="0.25">
      <c r="A9609" s="124" t="s">
        <v>11614</v>
      </c>
      <c r="B9609" s="124" t="s">
        <v>11736</v>
      </c>
      <c r="C9609" s="132"/>
      <c r="D9609" s="125">
        <f t="shared" si="196"/>
        <v>0</v>
      </c>
      <c r="E9609" s="124" t="s">
        <v>8367</v>
      </c>
      <c r="F9609" s="126">
        <v>5</v>
      </c>
      <c r="G9609" s="127">
        <v>990</v>
      </c>
      <c r="H9609" s="124" t="s">
        <v>8368</v>
      </c>
      <c r="I9609" s="128">
        <v>2820.24</v>
      </c>
      <c r="J9609" s="128">
        <v>14101.2</v>
      </c>
    </row>
    <row r="9610" spans="1:10" hidden="1" x14ac:dyDescent="0.25">
      <c r="A9610" s="124" t="s">
        <v>11615</v>
      </c>
      <c r="B9610" s="124" t="s">
        <v>11736</v>
      </c>
      <c r="C9610" s="132"/>
      <c r="D9610" s="125">
        <f t="shared" si="196"/>
        <v>0</v>
      </c>
      <c r="E9610" s="124" t="s">
        <v>8451</v>
      </c>
      <c r="F9610" s="126">
        <v>3</v>
      </c>
      <c r="G9610" s="127">
        <v>303.01</v>
      </c>
      <c r="H9610" s="124" t="s">
        <v>8368</v>
      </c>
      <c r="I9610" s="128">
        <v>2391.67</v>
      </c>
      <c r="J9610" s="128">
        <v>11958.33</v>
      </c>
    </row>
    <row r="9611" spans="1:10" hidden="1" x14ac:dyDescent="0.25">
      <c r="A9611" s="124" t="s">
        <v>11616</v>
      </c>
      <c r="B9611" s="124" t="s">
        <v>11736</v>
      </c>
      <c r="C9611" s="132"/>
      <c r="D9611" s="125">
        <f t="shared" si="196"/>
        <v>0</v>
      </c>
      <c r="E9611" s="124" t="s">
        <v>8367</v>
      </c>
      <c r="F9611" s="126">
        <v>2</v>
      </c>
      <c r="G9611" s="127">
        <v>218.4</v>
      </c>
      <c r="H9611" s="124" t="s">
        <v>8368</v>
      </c>
      <c r="I9611" s="128">
        <v>7056.2</v>
      </c>
      <c r="J9611" s="128">
        <v>35281</v>
      </c>
    </row>
    <row r="9612" spans="1:10" hidden="1" x14ac:dyDescent="0.25">
      <c r="A9612" s="124" t="s">
        <v>11617</v>
      </c>
      <c r="B9612" s="124" t="s">
        <v>11736</v>
      </c>
      <c r="C9612" s="132"/>
      <c r="D9612" s="125">
        <f t="shared" si="196"/>
        <v>0</v>
      </c>
      <c r="E9612" s="124" t="s">
        <v>10387</v>
      </c>
      <c r="F9612" s="126">
        <v>360</v>
      </c>
      <c r="G9612" s="128">
        <v>16921.439999999999</v>
      </c>
      <c r="H9612" s="124" t="s">
        <v>8368</v>
      </c>
      <c r="I9612" s="128">
        <v>2232.1999999999998</v>
      </c>
      <c r="J9612" s="128">
        <v>11161</v>
      </c>
    </row>
    <row r="9613" spans="1:10" hidden="1" x14ac:dyDescent="0.25">
      <c r="A9613" s="124" t="s">
        <v>11618</v>
      </c>
      <c r="B9613" s="124" t="s">
        <v>11736</v>
      </c>
      <c r="C9613" s="132"/>
      <c r="D9613" s="125">
        <f t="shared" si="196"/>
        <v>0</v>
      </c>
      <c r="E9613" s="124" t="s">
        <v>8367</v>
      </c>
      <c r="F9613" s="126">
        <v>3</v>
      </c>
      <c r="G9613" s="128">
        <v>14350</v>
      </c>
      <c r="H9613" s="124" t="s">
        <v>8368</v>
      </c>
      <c r="I9613" s="128">
        <v>2345</v>
      </c>
      <c r="J9613" s="128">
        <v>11725</v>
      </c>
    </row>
    <row r="9614" spans="1:10" hidden="1" x14ac:dyDescent="0.25">
      <c r="A9614" s="124" t="s">
        <v>11619</v>
      </c>
      <c r="B9614" s="124" t="s">
        <v>11736</v>
      </c>
      <c r="C9614" s="132"/>
      <c r="D9614" s="125">
        <f t="shared" si="196"/>
        <v>0</v>
      </c>
      <c r="E9614" s="124" t="s">
        <v>8367</v>
      </c>
      <c r="F9614" s="126">
        <v>56</v>
      </c>
      <c r="G9614" s="128">
        <v>42337.2</v>
      </c>
      <c r="H9614" s="124" t="s">
        <v>8368</v>
      </c>
      <c r="I9614" s="127">
        <v>161.6</v>
      </c>
      <c r="J9614" s="127">
        <v>808</v>
      </c>
    </row>
    <row r="9615" spans="1:10" hidden="1" x14ac:dyDescent="0.25">
      <c r="A9615" s="124" t="s">
        <v>11620</v>
      </c>
      <c r="B9615" s="124" t="s">
        <v>11736</v>
      </c>
      <c r="C9615" s="132"/>
      <c r="D9615" s="125">
        <f t="shared" si="196"/>
        <v>0</v>
      </c>
      <c r="E9615" s="124" t="s">
        <v>8367</v>
      </c>
      <c r="F9615" s="126">
        <v>34</v>
      </c>
      <c r="G9615" s="128">
        <v>13393.2</v>
      </c>
      <c r="H9615" s="124" t="s">
        <v>8368</v>
      </c>
      <c r="I9615" s="127">
        <v>115</v>
      </c>
      <c r="J9615" s="127">
        <v>575</v>
      </c>
    </row>
    <row r="9616" spans="1:10" hidden="1" x14ac:dyDescent="0.25">
      <c r="A9616" s="124" t="s">
        <v>11621</v>
      </c>
      <c r="B9616" s="124" t="s">
        <v>11736</v>
      </c>
      <c r="C9616" s="132"/>
      <c r="D9616" s="125">
        <f t="shared" si="196"/>
        <v>0</v>
      </c>
      <c r="E9616" s="124" t="s">
        <v>8367</v>
      </c>
      <c r="F9616" s="126">
        <v>10</v>
      </c>
      <c r="G9616" s="128">
        <v>14070</v>
      </c>
      <c r="H9616" s="124" t="s">
        <v>8368</v>
      </c>
      <c r="I9616" s="127">
        <v>266.68</v>
      </c>
      <c r="J9616" s="128">
        <v>1333.4</v>
      </c>
    </row>
    <row r="9617" spans="1:10" hidden="1" x14ac:dyDescent="0.25">
      <c r="A9617" s="124" t="s">
        <v>11622</v>
      </c>
      <c r="B9617" s="124" t="s">
        <v>11736</v>
      </c>
      <c r="C9617" s="132"/>
      <c r="D9617" s="125">
        <f t="shared" ref="D9617:D9648" si="197">COUNTIF(A5415:A9616,A9617)</f>
        <v>0</v>
      </c>
      <c r="E9617" s="124" t="s">
        <v>8367</v>
      </c>
      <c r="F9617" s="126">
        <v>10</v>
      </c>
      <c r="G9617" s="127">
        <v>969.6</v>
      </c>
      <c r="H9617" s="124" t="s">
        <v>8368</v>
      </c>
      <c r="I9617" s="128">
        <v>3261</v>
      </c>
      <c r="J9617" s="128">
        <v>16305</v>
      </c>
    </row>
    <row r="9618" spans="1:10" hidden="1" x14ac:dyDescent="0.25">
      <c r="A9618" s="124" t="s">
        <v>11623</v>
      </c>
      <c r="B9618" s="124" t="s">
        <v>11736</v>
      </c>
      <c r="C9618" s="132"/>
      <c r="D9618" s="125">
        <f t="shared" si="197"/>
        <v>0</v>
      </c>
      <c r="E9618" s="124" t="s">
        <v>8367</v>
      </c>
      <c r="F9618" s="126">
        <v>10</v>
      </c>
      <c r="G9618" s="127">
        <v>690</v>
      </c>
      <c r="H9618" s="124" t="s">
        <v>8368</v>
      </c>
      <c r="I9618" s="127">
        <v>359.5</v>
      </c>
      <c r="J9618" s="128">
        <v>1797.5</v>
      </c>
    </row>
    <row r="9619" spans="1:10" hidden="1" x14ac:dyDescent="0.25">
      <c r="A9619" s="124" t="s">
        <v>11624</v>
      </c>
      <c r="B9619" s="124" t="s">
        <v>11736</v>
      </c>
      <c r="C9619" s="132"/>
      <c r="D9619" s="125">
        <f t="shared" si="197"/>
        <v>0</v>
      </c>
      <c r="E9619" s="124" t="s">
        <v>8367</v>
      </c>
      <c r="F9619" s="126">
        <v>20</v>
      </c>
      <c r="G9619" s="128">
        <v>1600.08</v>
      </c>
      <c r="H9619" s="124" t="s">
        <v>8368</v>
      </c>
      <c r="I9619" s="128">
        <v>2971.6</v>
      </c>
      <c r="J9619" s="128">
        <v>14858</v>
      </c>
    </row>
    <row r="9620" spans="1:10" hidden="1" x14ac:dyDescent="0.25">
      <c r="A9620" s="124" t="s">
        <v>2785</v>
      </c>
      <c r="B9620" s="124" t="s">
        <v>11736</v>
      </c>
      <c r="C9620" s="132"/>
      <c r="D9620" s="125">
        <f t="shared" si="197"/>
        <v>0</v>
      </c>
      <c r="E9620" s="124" t="s">
        <v>8367</v>
      </c>
      <c r="F9620" s="126">
        <v>3</v>
      </c>
      <c r="G9620" s="128">
        <v>19566</v>
      </c>
      <c r="H9620" s="124" t="s">
        <v>8368</v>
      </c>
      <c r="I9620" s="127">
        <v>158.66999999999999</v>
      </c>
      <c r="J9620" s="127">
        <v>793.36</v>
      </c>
    </row>
    <row r="9621" spans="1:10" hidden="1" x14ac:dyDescent="0.25">
      <c r="A9621" s="124" t="s">
        <v>11625</v>
      </c>
      <c r="B9621" s="124" t="s">
        <v>11736</v>
      </c>
      <c r="C9621" s="132"/>
      <c r="D9621" s="125">
        <f t="shared" si="197"/>
        <v>0</v>
      </c>
      <c r="E9621" s="124" t="s">
        <v>8367</v>
      </c>
      <c r="F9621" s="126">
        <v>3</v>
      </c>
      <c r="G9621" s="128">
        <v>2157</v>
      </c>
      <c r="H9621" s="124" t="s">
        <v>8368</v>
      </c>
      <c r="I9621" s="127">
        <v>243.34</v>
      </c>
      <c r="J9621" s="128">
        <v>1216.68</v>
      </c>
    </row>
    <row r="9622" spans="1:10" hidden="1" x14ac:dyDescent="0.25">
      <c r="A9622" s="124" t="s">
        <v>11626</v>
      </c>
      <c r="B9622" s="124" t="s">
        <v>11736</v>
      </c>
      <c r="C9622" s="132"/>
      <c r="D9622" s="125">
        <f t="shared" si="197"/>
        <v>0</v>
      </c>
      <c r="E9622" s="124" t="s">
        <v>8367</v>
      </c>
      <c r="F9622" s="126">
        <v>3</v>
      </c>
      <c r="G9622" s="128">
        <v>17829.599999999999</v>
      </c>
      <c r="H9622" s="124" t="s">
        <v>8368</v>
      </c>
      <c r="I9622" s="127">
        <v>721.66</v>
      </c>
      <c r="J9622" s="128">
        <v>3608.3</v>
      </c>
    </row>
    <row r="9623" spans="1:10" hidden="1" x14ac:dyDescent="0.25">
      <c r="A9623" s="124" t="s">
        <v>11627</v>
      </c>
      <c r="B9623" s="124" t="s">
        <v>11736</v>
      </c>
      <c r="C9623" s="132"/>
      <c r="D9623" s="125">
        <f t="shared" si="197"/>
        <v>0</v>
      </c>
      <c r="E9623" s="124" t="s">
        <v>8367</v>
      </c>
      <c r="F9623" s="126">
        <v>8</v>
      </c>
      <c r="G9623" s="127">
        <v>952.03</v>
      </c>
      <c r="H9623" s="124" t="s">
        <v>8368</v>
      </c>
      <c r="I9623" s="127">
        <v>275.01</v>
      </c>
      <c r="J9623" s="128">
        <v>1375.05</v>
      </c>
    </row>
    <row r="9624" spans="1:10" hidden="1" x14ac:dyDescent="0.25">
      <c r="A9624" s="124" t="s">
        <v>11628</v>
      </c>
      <c r="B9624" s="124" t="s">
        <v>11736</v>
      </c>
      <c r="C9624" s="132"/>
      <c r="D9624" s="125">
        <f t="shared" si="197"/>
        <v>0</v>
      </c>
      <c r="E9624" s="124" t="s">
        <v>8367</v>
      </c>
      <c r="F9624" s="126">
        <v>4</v>
      </c>
      <c r="G9624" s="128">
        <v>1460.02</v>
      </c>
      <c r="H9624" s="124" t="s">
        <v>8368</v>
      </c>
      <c r="I9624" s="127">
        <v>214.4</v>
      </c>
      <c r="J9624" s="128">
        <v>1072</v>
      </c>
    </row>
    <row r="9625" spans="1:10" hidden="1" x14ac:dyDescent="0.25">
      <c r="A9625" s="124" t="s">
        <v>11629</v>
      </c>
      <c r="B9625" s="124" t="s">
        <v>11736</v>
      </c>
      <c r="C9625" s="132"/>
      <c r="D9625" s="125">
        <f t="shared" si="197"/>
        <v>0</v>
      </c>
      <c r="E9625" s="124" t="s">
        <v>8367</v>
      </c>
      <c r="F9625" s="126">
        <v>10</v>
      </c>
      <c r="G9625" s="128">
        <v>4329.96</v>
      </c>
      <c r="H9625" s="124" t="s">
        <v>8368</v>
      </c>
      <c r="I9625" s="128">
        <v>1041.7</v>
      </c>
      <c r="J9625" s="128">
        <v>5208.5</v>
      </c>
    </row>
    <row r="9626" spans="1:10" hidden="1" x14ac:dyDescent="0.25">
      <c r="A9626" s="124" t="s">
        <v>11630</v>
      </c>
      <c r="B9626" s="124" t="s">
        <v>11736</v>
      </c>
      <c r="C9626" s="132"/>
      <c r="D9626" s="125">
        <f t="shared" si="197"/>
        <v>0</v>
      </c>
      <c r="E9626" s="124" t="s">
        <v>8367</v>
      </c>
      <c r="F9626" s="126">
        <v>15</v>
      </c>
      <c r="G9626" s="128">
        <v>1650.06</v>
      </c>
      <c r="H9626" s="124" t="s">
        <v>8368</v>
      </c>
      <c r="I9626" s="127">
        <v>418.66</v>
      </c>
      <c r="J9626" s="128">
        <v>2093.3200000000002</v>
      </c>
    </row>
    <row r="9627" spans="1:10" hidden="1" x14ac:dyDescent="0.25">
      <c r="A9627" s="124" t="s">
        <v>11631</v>
      </c>
      <c r="B9627" s="124" t="s">
        <v>11736</v>
      </c>
      <c r="C9627" s="132"/>
      <c r="D9627" s="125">
        <f t="shared" si="197"/>
        <v>0</v>
      </c>
      <c r="E9627" s="124" t="s">
        <v>8367</v>
      </c>
      <c r="F9627" s="126">
        <v>2</v>
      </c>
      <c r="G9627" s="128">
        <v>1286.4000000000001</v>
      </c>
      <c r="H9627" s="124" t="s">
        <v>8368</v>
      </c>
      <c r="I9627" s="128">
        <v>1520.17</v>
      </c>
      <c r="J9627" s="128">
        <v>7600.83</v>
      </c>
    </row>
    <row r="9628" spans="1:10" hidden="1" x14ac:dyDescent="0.25">
      <c r="A9628" s="124" t="s">
        <v>11632</v>
      </c>
      <c r="B9628" s="124" t="s">
        <v>11736</v>
      </c>
      <c r="C9628" s="132"/>
      <c r="D9628" s="125">
        <f t="shared" si="197"/>
        <v>0</v>
      </c>
      <c r="E9628" s="124" t="s">
        <v>8367</v>
      </c>
      <c r="F9628" s="126">
        <v>50</v>
      </c>
      <c r="G9628" s="128">
        <v>6250.2</v>
      </c>
      <c r="H9628" s="124" t="s">
        <v>8368</v>
      </c>
      <c r="I9628" s="128">
        <v>2433.35</v>
      </c>
      <c r="J9628" s="128">
        <v>12166.75</v>
      </c>
    </row>
    <row r="9629" spans="1:10" hidden="1" x14ac:dyDescent="0.25">
      <c r="A9629" s="124" t="s">
        <v>11633</v>
      </c>
      <c r="B9629" s="124" t="s">
        <v>11736</v>
      </c>
      <c r="C9629" s="132"/>
      <c r="D9629" s="125">
        <f t="shared" si="197"/>
        <v>0</v>
      </c>
      <c r="E9629" s="124" t="s">
        <v>8367</v>
      </c>
      <c r="F9629" s="126">
        <v>4</v>
      </c>
      <c r="G9629" s="128">
        <v>2511.98</v>
      </c>
      <c r="H9629" s="124" t="s">
        <v>8368</v>
      </c>
      <c r="I9629" s="127">
        <v>182.6</v>
      </c>
      <c r="J9629" s="127">
        <v>913</v>
      </c>
    </row>
    <row r="9630" spans="1:10" hidden="1" x14ac:dyDescent="0.25">
      <c r="A9630" s="124" t="s">
        <v>11634</v>
      </c>
      <c r="B9630" s="124" t="s">
        <v>11736</v>
      </c>
      <c r="C9630" s="132"/>
      <c r="D9630" s="125">
        <f t="shared" si="197"/>
        <v>0</v>
      </c>
      <c r="E9630" s="124" t="s">
        <v>8367</v>
      </c>
      <c r="F9630" s="126">
        <v>1</v>
      </c>
      <c r="G9630" s="128">
        <v>9121</v>
      </c>
      <c r="H9630" s="124" t="s">
        <v>8368</v>
      </c>
      <c r="I9630" s="127">
        <v>294.2</v>
      </c>
      <c r="J9630" s="128">
        <v>1471</v>
      </c>
    </row>
    <row r="9631" spans="1:10" hidden="1" x14ac:dyDescent="0.25">
      <c r="A9631" s="124" t="s">
        <v>11635</v>
      </c>
      <c r="B9631" s="124" t="s">
        <v>11736</v>
      </c>
      <c r="C9631" s="132"/>
      <c r="D9631" s="125">
        <f t="shared" si="197"/>
        <v>0</v>
      </c>
      <c r="E9631" s="124" t="s">
        <v>8367</v>
      </c>
      <c r="F9631" s="126">
        <v>25</v>
      </c>
      <c r="G9631" s="128">
        <v>14600.1</v>
      </c>
      <c r="H9631" s="124" t="s">
        <v>8368</v>
      </c>
      <c r="I9631" s="128">
        <v>6027.6</v>
      </c>
      <c r="J9631" s="128">
        <v>30138</v>
      </c>
    </row>
    <row r="9632" spans="1:10" hidden="1" x14ac:dyDescent="0.25">
      <c r="A9632" s="124" t="s">
        <v>11636</v>
      </c>
      <c r="B9632" s="124" t="s">
        <v>11736</v>
      </c>
      <c r="C9632" s="132"/>
      <c r="D9632" s="125">
        <f t="shared" si="197"/>
        <v>0</v>
      </c>
      <c r="E9632" s="124" t="s">
        <v>8367</v>
      </c>
      <c r="F9632" s="126">
        <v>15</v>
      </c>
      <c r="G9632" s="128">
        <v>1095.5999999999999</v>
      </c>
      <c r="H9632" s="124" t="s">
        <v>8368</v>
      </c>
      <c r="I9632" s="127">
        <v>588</v>
      </c>
      <c r="J9632" s="128">
        <v>2940</v>
      </c>
    </row>
    <row r="9633" spans="1:10" hidden="1" x14ac:dyDescent="0.25">
      <c r="A9633" s="124" t="s">
        <v>11637</v>
      </c>
      <c r="B9633" s="124" t="s">
        <v>11736</v>
      </c>
      <c r="C9633" s="132"/>
      <c r="D9633" s="125">
        <f t="shared" si="197"/>
        <v>0</v>
      </c>
      <c r="E9633" s="124" t="s">
        <v>8367</v>
      </c>
      <c r="F9633" s="126">
        <v>5</v>
      </c>
      <c r="G9633" s="128">
        <v>1765.2</v>
      </c>
      <c r="H9633" s="124" t="s">
        <v>8368</v>
      </c>
      <c r="I9633" s="128">
        <v>3150.4</v>
      </c>
      <c r="J9633" s="128">
        <v>15752</v>
      </c>
    </row>
    <row r="9634" spans="1:10" hidden="1" x14ac:dyDescent="0.25">
      <c r="A9634" s="124" t="s">
        <v>11638</v>
      </c>
      <c r="B9634" s="124" t="s">
        <v>11736</v>
      </c>
      <c r="C9634" s="132"/>
      <c r="D9634" s="125">
        <f t="shared" si="197"/>
        <v>0</v>
      </c>
      <c r="E9634" s="124" t="s">
        <v>8</v>
      </c>
      <c r="F9634" s="126">
        <v>30</v>
      </c>
      <c r="G9634" s="128">
        <v>36165.599999999999</v>
      </c>
      <c r="H9634" s="124" t="s">
        <v>8368</v>
      </c>
      <c r="I9634" s="128">
        <v>2412.5</v>
      </c>
      <c r="J9634" s="128">
        <v>12062.49</v>
      </c>
    </row>
    <row r="9635" spans="1:10" hidden="1" x14ac:dyDescent="0.25">
      <c r="A9635" s="124" t="s">
        <v>1487</v>
      </c>
      <c r="B9635" s="124" t="s">
        <v>11736</v>
      </c>
      <c r="C9635" s="132"/>
      <c r="D9635" s="125">
        <f t="shared" si="197"/>
        <v>0</v>
      </c>
      <c r="E9635" s="124" t="s">
        <v>8367</v>
      </c>
      <c r="F9635" s="126">
        <v>392</v>
      </c>
      <c r="G9635" s="128">
        <v>3528</v>
      </c>
      <c r="H9635" s="124" t="s">
        <v>8368</v>
      </c>
      <c r="I9635" s="127">
        <v>580.33000000000004</v>
      </c>
      <c r="J9635" s="128">
        <v>2901.67</v>
      </c>
    </row>
    <row r="9636" spans="1:10" hidden="1" x14ac:dyDescent="0.25">
      <c r="A9636" s="124" t="s">
        <v>11639</v>
      </c>
      <c r="B9636" s="124" t="s">
        <v>11736</v>
      </c>
      <c r="C9636" s="132"/>
      <c r="D9636" s="125">
        <f t="shared" si="197"/>
        <v>0</v>
      </c>
      <c r="E9636" s="124" t="s">
        <v>8367</v>
      </c>
      <c r="F9636" s="126">
        <v>8</v>
      </c>
      <c r="G9636" s="128">
        <v>18902.400000000001</v>
      </c>
      <c r="H9636" s="124" t="s">
        <v>8368</v>
      </c>
      <c r="I9636" s="128">
        <v>2789</v>
      </c>
      <c r="J9636" s="128">
        <v>13944.99</v>
      </c>
    </row>
    <row r="9637" spans="1:10" hidden="1" x14ac:dyDescent="0.25">
      <c r="A9637" s="124" t="s">
        <v>11640</v>
      </c>
      <c r="B9637" s="124" t="s">
        <v>11736</v>
      </c>
      <c r="C9637" s="132"/>
      <c r="D9637" s="125">
        <f t="shared" si="197"/>
        <v>0</v>
      </c>
      <c r="E9637" s="124" t="s">
        <v>8367</v>
      </c>
      <c r="F9637" s="126">
        <v>3</v>
      </c>
      <c r="G9637" s="128">
        <v>14474.99</v>
      </c>
      <c r="H9637" s="124" t="s">
        <v>8368</v>
      </c>
      <c r="I9637" s="127">
        <v>653</v>
      </c>
      <c r="J9637" s="128">
        <v>3265</v>
      </c>
    </row>
    <row r="9638" spans="1:10" hidden="1" x14ac:dyDescent="0.25">
      <c r="A9638" s="124" t="s">
        <v>11641</v>
      </c>
      <c r="B9638" s="124" t="s">
        <v>11736</v>
      </c>
      <c r="C9638" s="132"/>
      <c r="D9638" s="125">
        <f t="shared" si="197"/>
        <v>0</v>
      </c>
      <c r="E9638" s="124" t="s">
        <v>8367</v>
      </c>
      <c r="F9638" s="126">
        <v>1</v>
      </c>
      <c r="G9638" s="128">
        <v>3482</v>
      </c>
      <c r="H9638" s="124" t="s">
        <v>8368</v>
      </c>
      <c r="I9638" s="127">
        <v>342.5</v>
      </c>
      <c r="J9638" s="128">
        <v>1712.5</v>
      </c>
    </row>
    <row r="9639" spans="1:10" hidden="1" x14ac:dyDescent="0.25">
      <c r="A9639" s="124" t="s">
        <v>11642</v>
      </c>
      <c r="B9639" s="124" t="s">
        <v>11736</v>
      </c>
      <c r="C9639" s="132"/>
      <c r="D9639" s="125">
        <f t="shared" si="197"/>
        <v>0</v>
      </c>
      <c r="E9639" s="124" t="s">
        <v>8367</v>
      </c>
      <c r="F9639" s="126">
        <v>3</v>
      </c>
      <c r="G9639" s="128">
        <v>16733.990000000002</v>
      </c>
      <c r="H9639" s="124" t="s">
        <v>8368</v>
      </c>
      <c r="I9639" s="127">
        <v>133.66999999999999</v>
      </c>
      <c r="J9639" s="127">
        <v>668.34</v>
      </c>
    </row>
    <row r="9640" spans="1:10" hidden="1" x14ac:dyDescent="0.25">
      <c r="A9640" s="124" t="s">
        <v>11643</v>
      </c>
      <c r="B9640" s="124" t="s">
        <v>11736</v>
      </c>
      <c r="C9640" s="132"/>
      <c r="D9640" s="125">
        <f t="shared" si="197"/>
        <v>0</v>
      </c>
      <c r="E9640" s="124" t="s">
        <v>8367</v>
      </c>
      <c r="F9640" s="126">
        <v>1</v>
      </c>
      <c r="G9640" s="128">
        <v>3918</v>
      </c>
      <c r="H9640" s="124" t="s">
        <v>8368</v>
      </c>
      <c r="I9640" s="128">
        <v>4700</v>
      </c>
      <c r="J9640" s="128">
        <v>23499.99</v>
      </c>
    </row>
    <row r="9641" spans="1:10" hidden="1" x14ac:dyDescent="0.25">
      <c r="A9641" s="124" t="s">
        <v>11644</v>
      </c>
      <c r="B9641" s="124" t="s">
        <v>11736</v>
      </c>
      <c r="C9641" s="132"/>
      <c r="D9641" s="125">
        <f t="shared" si="197"/>
        <v>0</v>
      </c>
      <c r="E9641" s="124" t="s">
        <v>8451</v>
      </c>
      <c r="F9641" s="126">
        <v>5</v>
      </c>
      <c r="G9641" s="128">
        <v>2055</v>
      </c>
      <c r="H9641" s="124" t="s">
        <v>8368</v>
      </c>
      <c r="I9641" s="128">
        <v>4916.6000000000004</v>
      </c>
      <c r="J9641" s="128">
        <v>24583</v>
      </c>
    </row>
    <row r="9642" spans="1:10" hidden="1" x14ac:dyDescent="0.25">
      <c r="A9642" s="124" t="s">
        <v>11645</v>
      </c>
      <c r="B9642" s="124" t="s">
        <v>11736</v>
      </c>
      <c r="C9642" s="132"/>
      <c r="D9642" s="125">
        <f t="shared" si="197"/>
        <v>0</v>
      </c>
      <c r="E9642" s="124" t="s">
        <v>8367</v>
      </c>
      <c r="F9642" s="126">
        <v>2</v>
      </c>
      <c r="G9642" s="127">
        <v>802.01</v>
      </c>
      <c r="H9642" s="124" t="s">
        <v>8368</v>
      </c>
      <c r="I9642" s="128">
        <v>277200</v>
      </c>
      <c r="J9642" s="128">
        <v>1386000</v>
      </c>
    </row>
    <row r="9643" spans="1:10" hidden="1" x14ac:dyDescent="0.25">
      <c r="A9643" s="124" t="s">
        <v>11646</v>
      </c>
      <c r="B9643" s="124" t="s">
        <v>11736</v>
      </c>
      <c r="C9643" s="132"/>
      <c r="D9643" s="125">
        <f t="shared" si="197"/>
        <v>0</v>
      </c>
      <c r="E9643" s="124" t="s">
        <v>8367</v>
      </c>
      <c r="F9643" s="126">
        <v>3</v>
      </c>
      <c r="G9643" s="128">
        <v>28199.99</v>
      </c>
      <c r="H9643" s="124" t="s">
        <v>8368</v>
      </c>
      <c r="I9643" s="128">
        <v>20400</v>
      </c>
      <c r="J9643" s="128">
        <v>102000</v>
      </c>
    </row>
    <row r="9644" spans="1:10" hidden="1" x14ac:dyDescent="0.25">
      <c r="A9644" s="124" t="s">
        <v>889</v>
      </c>
      <c r="B9644" s="124" t="s">
        <v>11736</v>
      </c>
      <c r="C9644" s="132"/>
      <c r="D9644" s="125">
        <f t="shared" si="197"/>
        <v>0</v>
      </c>
      <c r="E9644" s="124" t="s">
        <v>8367</v>
      </c>
      <c r="F9644" s="126">
        <v>1</v>
      </c>
      <c r="G9644" s="128">
        <v>29499.599999999999</v>
      </c>
      <c r="H9644" s="124" t="s">
        <v>8368</v>
      </c>
      <c r="I9644" s="128">
        <v>27500.1</v>
      </c>
      <c r="J9644" s="128">
        <v>137500.5</v>
      </c>
    </row>
    <row r="9645" spans="1:10" hidden="1" x14ac:dyDescent="0.25">
      <c r="A9645" s="124" t="s">
        <v>1158</v>
      </c>
      <c r="B9645" s="124" t="s">
        <v>11736</v>
      </c>
      <c r="C9645" s="132"/>
      <c r="D9645" s="125">
        <f t="shared" si="197"/>
        <v>0</v>
      </c>
      <c r="E9645" s="124" t="s">
        <v>8367</v>
      </c>
      <c r="F9645" s="126">
        <v>21</v>
      </c>
      <c r="G9645" s="128">
        <v>1663200</v>
      </c>
      <c r="H9645" s="124" t="s">
        <v>8368</v>
      </c>
      <c r="I9645" s="128">
        <v>1078.4000000000001</v>
      </c>
      <c r="J9645" s="128">
        <v>5392</v>
      </c>
    </row>
    <row r="9646" spans="1:10" hidden="1" x14ac:dyDescent="0.25">
      <c r="A9646" s="124" t="s">
        <v>5427</v>
      </c>
      <c r="B9646" s="124" t="s">
        <v>11736</v>
      </c>
      <c r="C9646" s="132"/>
      <c r="D9646" s="125">
        <f t="shared" si="197"/>
        <v>0</v>
      </c>
      <c r="E9646" s="124" t="s">
        <v>8367</v>
      </c>
      <c r="F9646" s="126">
        <v>340</v>
      </c>
      <c r="G9646" s="128">
        <v>122400</v>
      </c>
      <c r="H9646" s="124" t="s">
        <v>8368</v>
      </c>
      <c r="I9646" s="128">
        <v>1078.4000000000001</v>
      </c>
      <c r="J9646" s="128">
        <v>5392</v>
      </c>
    </row>
    <row r="9647" spans="1:10" hidden="1" x14ac:dyDescent="0.25">
      <c r="A9647" s="124" t="s">
        <v>11647</v>
      </c>
      <c r="B9647" s="124" t="s">
        <v>11736</v>
      </c>
      <c r="C9647" s="132"/>
      <c r="D9647" s="125">
        <f t="shared" si="197"/>
        <v>0</v>
      </c>
      <c r="E9647" s="124" t="s">
        <v>8367</v>
      </c>
      <c r="F9647" s="126">
        <v>150</v>
      </c>
      <c r="G9647" s="128">
        <v>165000.6</v>
      </c>
      <c r="H9647" s="124" t="s">
        <v>8368</v>
      </c>
      <c r="I9647" s="128">
        <v>1617.6</v>
      </c>
      <c r="J9647" s="128">
        <v>8088</v>
      </c>
    </row>
    <row r="9648" spans="1:10" hidden="1" x14ac:dyDescent="0.25">
      <c r="A9648" s="124" t="s">
        <v>11648</v>
      </c>
      <c r="B9648" s="124" t="s">
        <v>11736</v>
      </c>
      <c r="C9648" s="132"/>
      <c r="D9648" s="125">
        <f t="shared" si="197"/>
        <v>0</v>
      </c>
      <c r="E9648" s="124" t="s">
        <v>8367</v>
      </c>
      <c r="F9648" s="126">
        <v>10</v>
      </c>
      <c r="G9648" s="128">
        <v>6470.4</v>
      </c>
      <c r="H9648" s="124" t="s">
        <v>8368</v>
      </c>
      <c r="I9648" s="128">
        <v>1078.4000000000001</v>
      </c>
      <c r="J9648" s="128">
        <v>5392</v>
      </c>
    </row>
    <row r="9649" spans="1:10" hidden="1" x14ac:dyDescent="0.25">
      <c r="A9649" s="124" t="s">
        <v>11649</v>
      </c>
      <c r="B9649" s="124" t="s">
        <v>11736</v>
      </c>
      <c r="C9649" s="132"/>
      <c r="D9649" s="125">
        <f t="shared" ref="D9649:D9680" si="198">COUNTIF(A5447:A9648,A9649)</f>
        <v>0</v>
      </c>
      <c r="E9649" s="124" t="s">
        <v>8367</v>
      </c>
      <c r="F9649" s="126">
        <v>10</v>
      </c>
      <c r="G9649" s="128">
        <v>6470.4</v>
      </c>
      <c r="H9649" s="124" t="s">
        <v>8368</v>
      </c>
      <c r="I9649" s="127">
        <v>539.20000000000005</v>
      </c>
      <c r="J9649" s="128">
        <v>2696</v>
      </c>
    </row>
    <row r="9650" spans="1:10" hidden="1" x14ac:dyDescent="0.25">
      <c r="A9650" s="124" t="s">
        <v>11650</v>
      </c>
      <c r="B9650" s="124" t="s">
        <v>11736</v>
      </c>
      <c r="C9650" s="132"/>
      <c r="D9650" s="125">
        <f t="shared" si="198"/>
        <v>0</v>
      </c>
      <c r="E9650" s="124" t="s">
        <v>8367</v>
      </c>
      <c r="F9650" s="126">
        <v>15</v>
      </c>
      <c r="G9650" s="128">
        <v>9705.6</v>
      </c>
      <c r="H9650" s="124" t="s">
        <v>8368</v>
      </c>
      <c r="I9650" s="128">
        <v>15525</v>
      </c>
      <c r="J9650" s="128">
        <v>77625</v>
      </c>
    </row>
    <row r="9651" spans="1:10" hidden="1" x14ac:dyDescent="0.25">
      <c r="A9651" s="124" t="s">
        <v>11651</v>
      </c>
      <c r="B9651" s="124" t="s">
        <v>11736</v>
      </c>
      <c r="C9651" s="132"/>
      <c r="D9651" s="125">
        <f t="shared" si="198"/>
        <v>0</v>
      </c>
      <c r="E9651" s="124" t="s">
        <v>8367</v>
      </c>
      <c r="F9651" s="126">
        <v>10</v>
      </c>
      <c r="G9651" s="128">
        <v>6470.4</v>
      </c>
      <c r="H9651" s="124" t="s">
        <v>8368</v>
      </c>
      <c r="I9651" s="128">
        <v>8325</v>
      </c>
      <c r="J9651" s="128">
        <v>41625</v>
      </c>
    </row>
    <row r="9652" spans="1:10" hidden="1" x14ac:dyDescent="0.25">
      <c r="A9652" s="124" t="s">
        <v>11652</v>
      </c>
      <c r="B9652" s="124" t="s">
        <v>11736</v>
      </c>
      <c r="C9652" s="132"/>
      <c r="D9652" s="125">
        <f t="shared" si="198"/>
        <v>0</v>
      </c>
      <c r="E9652" s="124" t="s">
        <v>8367</v>
      </c>
      <c r="F9652" s="126">
        <v>5</v>
      </c>
      <c r="G9652" s="128">
        <v>3235.2</v>
      </c>
      <c r="H9652" s="124" t="s">
        <v>8368</v>
      </c>
      <c r="I9652" s="128">
        <v>13500</v>
      </c>
      <c r="J9652" s="128">
        <v>67500</v>
      </c>
    </row>
    <row r="9653" spans="1:10" hidden="1" x14ac:dyDescent="0.25">
      <c r="A9653" s="124" t="s">
        <v>11653</v>
      </c>
      <c r="B9653" s="124" t="s">
        <v>11736</v>
      </c>
      <c r="C9653" s="132"/>
      <c r="D9653" s="125">
        <f t="shared" si="198"/>
        <v>0</v>
      </c>
      <c r="E9653" s="124" t="s">
        <v>8451</v>
      </c>
      <c r="F9653" s="129">
        <v>1380</v>
      </c>
      <c r="G9653" s="128">
        <v>93150</v>
      </c>
      <c r="H9653" s="124" t="s">
        <v>8368</v>
      </c>
      <c r="I9653" s="128">
        <v>9337.5</v>
      </c>
      <c r="J9653" s="128">
        <v>46687.5</v>
      </c>
    </row>
    <row r="9654" spans="1:10" hidden="1" x14ac:dyDescent="0.25">
      <c r="A9654" s="124" t="s">
        <v>11654</v>
      </c>
      <c r="B9654" s="124" t="s">
        <v>11736</v>
      </c>
      <c r="C9654" s="132"/>
      <c r="D9654" s="125">
        <f t="shared" si="198"/>
        <v>0</v>
      </c>
      <c r="E9654" s="124" t="s">
        <v>8451</v>
      </c>
      <c r="F9654" s="126">
        <v>740</v>
      </c>
      <c r="G9654" s="128">
        <v>49950</v>
      </c>
      <c r="H9654" s="124" t="s">
        <v>8368</v>
      </c>
      <c r="I9654" s="128">
        <v>13500</v>
      </c>
      <c r="J9654" s="128">
        <v>67500</v>
      </c>
    </row>
    <row r="9655" spans="1:10" hidden="1" x14ac:dyDescent="0.25">
      <c r="A9655" s="124" t="s">
        <v>11655</v>
      </c>
      <c r="B9655" s="124" t="s">
        <v>11736</v>
      </c>
      <c r="C9655" s="132"/>
      <c r="D9655" s="125">
        <f t="shared" si="198"/>
        <v>0</v>
      </c>
      <c r="E9655" s="124" t="s">
        <v>8451</v>
      </c>
      <c r="F9655" s="129">
        <v>1200</v>
      </c>
      <c r="G9655" s="128">
        <v>81000</v>
      </c>
      <c r="H9655" s="124" t="s">
        <v>8368</v>
      </c>
      <c r="I9655" s="128">
        <v>21937.5</v>
      </c>
      <c r="J9655" s="128">
        <v>109687.5</v>
      </c>
    </row>
    <row r="9656" spans="1:10" hidden="1" x14ac:dyDescent="0.25">
      <c r="A9656" s="124" t="s">
        <v>11656</v>
      </c>
      <c r="B9656" s="124" t="s">
        <v>11736</v>
      </c>
      <c r="C9656" s="132"/>
      <c r="D9656" s="125">
        <f t="shared" si="198"/>
        <v>0</v>
      </c>
      <c r="E9656" s="124" t="s">
        <v>8451</v>
      </c>
      <c r="F9656" s="126">
        <v>830</v>
      </c>
      <c r="G9656" s="128">
        <v>56025</v>
      </c>
      <c r="H9656" s="124" t="s">
        <v>8368</v>
      </c>
      <c r="I9656" s="127">
        <v>259.2</v>
      </c>
      <c r="J9656" s="128">
        <v>1296</v>
      </c>
    </row>
    <row r="9657" spans="1:10" hidden="1" x14ac:dyDescent="0.25">
      <c r="A9657" s="124" t="s">
        <v>11657</v>
      </c>
      <c r="B9657" s="124" t="s">
        <v>11736</v>
      </c>
      <c r="C9657" s="132"/>
      <c r="D9657" s="125">
        <f t="shared" si="198"/>
        <v>0</v>
      </c>
      <c r="E9657" s="124" t="s">
        <v>8451</v>
      </c>
      <c r="F9657" s="129">
        <v>1200</v>
      </c>
      <c r="G9657" s="128">
        <v>81000</v>
      </c>
      <c r="H9657" s="124" t="s">
        <v>8368</v>
      </c>
      <c r="I9657" s="127">
        <v>86</v>
      </c>
      <c r="J9657" s="127">
        <v>430</v>
      </c>
    </row>
    <row r="9658" spans="1:10" hidden="1" x14ac:dyDescent="0.25">
      <c r="A9658" s="124" t="s">
        <v>11658</v>
      </c>
      <c r="B9658" s="124" t="s">
        <v>11736</v>
      </c>
      <c r="C9658" s="132"/>
      <c r="D9658" s="125">
        <f t="shared" si="198"/>
        <v>0</v>
      </c>
      <c r="E9658" s="124" t="s">
        <v>8451</v>
      </c>
      <c r="F9658" s="129">
        <v>1950</v>
      </c>
      <c r="G9658" s="128">
        <v>131625</v>
      </c>
      <c r="H9658" s="124" t="s">
        <v>8368</v>
      </c>
      <c r="I9658" s="127">
        <v>65</v>
      </c>
      <c r="J9658" s="127">
        <v>325</v>
      </c>
    </row>
    <row r="9659" spans="1:10" hidden="1" x14ac:dyDescent="0.25">
      <c r="A9659" s="124" t="s">
        <v>2276</v>
      </c>
      <c r="B9659" s="124" t="s">
        <v>11736</v>
      </c>
      <c r="C9659" s="132"/>
      <c r="D9659" s="125">
        <f t="shared" si="198"/>
        <v>0</v>
      </c>
      <c r="E9659" s="124" t="s">
        <v>8367</v>
      </c>
      <c r="F9659" s="126">
        <v>5</v>
      </c>
      <c r="G9659" s="128">
        <v>1555.2</v>
      </c>
      <c r="H9659" s="124" t="s">
        <v>8368</v>
      </c>
      <c r="I9659" s="127">
        <v>15.6</v>
      </c>
      <c r="J9659" s="127">
        <v>78</v>
      </c>
    </row>
    <row r="9660" spans="1:10" hidden="1" x14ac:dyDescent="0.25">
      <c r="A9660" s="124" t="s">
        <v>11659</v>
      </c>
      <c r="B9660" s="124" t="s">
        <v>11736</v>
      </c>
      <c r="C9660" s="132"/>
      <c r="D9660" s="125">
        <f t="shared" si="198"/>
        <v>0</v>
      </c>
      <c r="E9660" s="124" t="s">
        <v>8367</v>
      </c>
      <c r="F9660" s="126">
        <v>1</v>
      </c>
      <c r="G9660" s="127">
        <v>516</v>
      </c>
      <c r="H9660" s="124" t="s">
        <v>8368</v>
      </c>
      <c r="I9660" s="127">
        <v>30.2</v>
      </c>
      <c r="J9660" s="127">
        <v>151</v>
      </c>
    </row>
    <row r="9661" spans="1:10" hidden="1" x14ac:dyDescent="0.25">
      <c r="A9661" s="124" t="s">
        <v>11660</v>
      </c>
      <c r="B9661" s="124" t="s">
        <v>11736</v>
      </c>
      <c r="C9661" s="132"/>
      <c r="D9661" s="125">
        <f t="shared" si="198"/>
        <v>0</v>
      </c>
      <c r="E9661" s="124" t="s">
        <v>8367</v>
      </c>
      <c r="F9661" s="126">
        <v>2</v>
      </c>
      <c r="G9661" s="127">
        <v>390</v>
      </c>
      <c r="H9661" s="124" t="s">
        <v>8368</v>
      </c>
      <c r="I9661" s="127">
        <v>34.799999999999997</v>
      </c>
      <c r="J9661" s="127">
        <v>174</v>
      </c>
    </row>
    <row r="9662" spans="1:10" hidden="1" x14ac:dyDescent="0.25">
      <c r="A9662" s="124" t="s">
        <v>11661</v>
      </c>
      <c r="B9662" s="124" t="s">
        <v>11736</v>
      </c>
      <c r="C9662" s="132"/>
      <c r="D9662" s="125">
        <f t="shared" si="198"/>
        <v>0</v>
      </c>
      <c r="E9662" s="124" t="s">
        <v>8367</v>
      </c>
      <c r="F9662" s="126">
        <v>2</v>
      </c>
      <c r="G9662" s="127">
        <v>93.6</v>
      </c>
      <c r="H9662" s="124" t="s">
        <v>8368</v>
      </c>
      <c r="I9662" s="127">
        <v>4.4000000000000004</v>
      </c>
      <c r="J9662" s="127">
        <v>22</v>
      </c>
    </row>
    <row r="9663" spans="1:10" hidden="1" x14ac:dyDescent="0.25">
      <c r="A9663" s="124" t="s">
        <v>11662</v>
      </c>
      <c r="B9663" s="124" t="s">
        <v>11736</v>
      </c>
      <c r="C9663" s="132"/>
      <c r="D9663" s="125">
        <f t="shared" si="198"/>
        <v>0</v>
      </c>
      <c r="E9663" s="124" t="s">
        <v>8367</v>
      </c>
      <c r="F9663" s="126">
        <v>1</v>
      </c>
      <c r="G9663" s="127">
        <v>181.2</v>
      </c>
      <c r="H9663" s="124" t="s">
        <v>8368</v>
      </c>
      <c r="I9663" s="127">
        <v>8.4</v>
      </c>
      <c r="J9663" s="127">
        <v>42</v>
      </c>
    </row>
    <row r="9664" spans="1:10" hidden="1" x14ac:dyDescent="0.25">
      <c r="A9664" s="124" t="s">
        <v>11663</v>
      </c>
      <c r="B9664" s="124" t="s">
        <v>11736</v>
      </c>
      <c r="C9664" s="132"/>
      <c r="D9664" s="125">
        <f t="shared" si="198"/>
        <v>0</v>
      </c>
      <c r="E9664" s="124" t="s">
        <v>8367</v>
      </c>
      <c r="F9664" s="126">
        <v>1</v>
      </c>
      <c r="G9664" s="127">
        <v>208.8</v>
      </c>
      <c r="H9664" s="124" t="s">
        <v>8368</v>
      </c>
      <c r="I9664" s="127">
        <v>13.4</v>
      </c>
      <c r="J9664" s="127">
        <v>67</v>
      </c>
    </row>
    <row r="9665" spans="1:10" hidden="1" x14ac:dyDescent="0.25">
      <c r="A9665" s="124" t="s">
        <v>11664</v>
      </c>
      <c r="B9665" s="124" t="s">
        <v>11736</v>
      </c>
      <c r="C9665" s="132"/>
      <c r="D9665" s="125">
        <f t="shared" si="198"/>
        <v>0</v>
      </c>
      <c r="E9665" s="124" t="s">
        <v>8367</v>
      </c>
      <c r="F9665" s="126">
        <v>1</v>
      </c>
      <c r="G9665" s="127">
        <v>26.4</v>
      </c>
      <c r="H9665" s="124" t="s">
        <v>8368</v>
      </c>
      <c r="I9665" s="127">
        <v>6.6</v>
      </c>
      <c r="J9665" s="127">
        <v>33</v>
      </c>
    </row>
    <row r="9666" spans="1:10" hidden="1" x14ac:dyDescent="0.25">
      <c r="A9666" s="124" t="s">
        <v>11665</v>
      </c>
      <c r="B9666" s="124" t="s">
        <v>11736</v>
      </c>
      <c r="C9666" s="132"/>
      <c r="D9666" s="125">
        <f t="shared" si="198"/>
        <v>0</v>
      </c>
      <c r="E9666" s="124" t="s">
        <v>8367</v>
      </c>
      <c r="F9666" s="126">
        <v>1</v>
      </c>
      <c r="G9666" s="127">
        <v>50.4</v>
      </c>
      <c r="H9666" s="124" t="s">
        <v>8368</v>
      </c>
      <c r="I9666" s="127">
        <v>22</v>
      </c>
      <c r="J9666" s="127">
        <v>110</v>
      </c>
    </row>
    <row r="9667" spans="1:10" hidden="1" x14ac:dyDescent="0.25">
      <c r="A9667" s="124" t="s">
        <v>11666</v>
      </c>
      <c r="B9667" s="124" t="s">
        <v>11736</v>
      </c>
      <c r="C9667" s="132"/>
      <c r="D9667" s="125">
        <f t="shared" si="198"/>
        <v>0</v>
      </c>
      <c r="E9667" s="124" t="s">
        <v>8367</v>
      </c>
      <c r="F9667" s="126">
        <v>1</v>
      </c>
      <c r="G9667" s="127">
        <v>80.400000000000006</v>
      </c>
      <c r="H9667" s="124" t="s">
        <v>8368</v>
      </c>
      <c r="I9667" s="127">
        <v>26.4</v>
      </c>
      <c r="J9667" s="127">
        <v>132</v>
      </c>
    </row>
    <row r="9668" spans="1:10" hidden="1" x14ac:dyDescent="0.25">
      <c r="A9668" s="124" t="s">
        <v>11667</v>
      </c>
      <c r="B9668" s="124" t="s">
        <v>11736</v>
      </c>
      <c r="C9668" s="132"/>
      <c r="D9668" s="125">
        <f t="shared" si="198"/>
        <v>0</v>
      </c>
      <c r="E9668" s="124" t="s">
        <v>8367</v>
      </c>
      <c r="F9668" s="126">
        <v>1</v>
      </c>
      <c r="G9668" s="127">
        <v>39.6</v>
      </c>
      <c r="H9668" s="124" t="s">
        <v>8368</v>
      </c>
      <c r="I9668" s="127">
        <v>9.6</v>
      </c>
      <c r="J9668" s="127">
        <v>48</v>
      </c>
    </row>
    <row r="9669" spans="1:10" hidden="1" x14ac:dyDescent="0.25">
      <c r="A9669" s="124" t="s">
        <v>11668</v>
      </c>
      <c r="B9669" s="124" t="s">
        <v>11736</v>
      </c>
      <c r="C9669" s="132"/>
      <c r="D9669" s="125">
        <f t="shared" si="198"/>
        <v>0</v>
      </c>
      <c r="E9669" s="124" t="s">
        <v>8367</v>
      </c>
      <c r="F9669" s="126">
        <v>1</v>
      </c>
      <c r="G9669" s="127">
        <v>132</v>
      </c>
      <c r="H9669" s="124" t="s">
        <v>8368</v>
      </c>
      <c r="I9669" s="127">
        <v>129</v>
      </c>
      <c r="J9669" s="127">
        <v>645</v>
      </c>
    </row>
    <row r="9670" spans="1:10" hidden="1" x14ac:dyDescent="0.25">
      <c r="A9670" s="124" t="s">
        <v>11669</v>
      </c>
      <c r="B9670" s="124" t="s">
        <v>11736</v>
      </c>
      <c r="C9670" s="132"/>
      <c r="D9670" s="125">
        <f t="shared" si="198"/>
        <v>0</v>
      </c>
      <c r="E9670" s="124" t="s">
        <v>8367</v>
      </c>
      <c r="F9670" s="126">
        <v>3</v>
      </c>
      <c r="G9670" s="127">
        <v>158.4</v>
      </c>
      <c r="H9670" s="124" t="s">
        <v>8368</v>
      </c>
      <c r="I9670" s="127">
        <v>9.8000000000000007</v>
      </c>
      <c r="J9670" s="127">
        <v>49</v>
      </c>
    </row>
    <row r="9671" spans="1:10" hidden="1" x14ac:dyDescent="0.25">
      <c r="A9671" s="124" t="s">
        <v>11670</v>
      </c>
      <c r="B9671" s="124" t="s">
        <v>11736</v>
      </c>
      <c r="C9671" s="132"/>
      <c r="D9671" s="125">
        <f t="shared" si="198"/>
        <v>0</v>
      </c>
      <c r="E9671" s="124" t="s">
        <v>8367</v>
      </c>
      <c r="F9671" s="126">
        <v>5</v>
      </c>
      <c r="G9671" s="127">
        <v>57.6</v>
      </c>
      <c r="H9671" s="124" t="s">
        <v>8368</v>
      </c>
      <c r="I9671" s="127">
        <v>21</v>
      </c>
      <c r="J9671" s="127">
        <v>105</v>
      </c>
    </row>
    <row r="9672" spans="1:10" hidden="1" x14ac:dyDescent="0.25">
      <c r="A9672" s="124" t="s">
        <v>11671</v>
      </c>
      <c r="B9672" s="124" t="s">
        <v>11736</v>
      </c>
      <c r="C9672" s="132"/>
      <c r="D9672" s="125">
        <f t="shared" si="198"/>
        <v>0</v>
      </c>
      <c r="E9672" s="124" t="s">
        <v>8367</v>
      </c>
      <c r="F9672" s="126">
        <v>1</v>
      </c>
      <c r="G9672" s="127">
        <v>774</v>
      </c>
      <c r="H9672" s="124" t="s">
        <v>8368</v>
      </c>
      <c r="I9672" s="127">
        <v>147</v>
      </c>
      <c r="J9672" s="127">
        <v>735</v>
      </c>
    </row>
    <row r="9673" spans="1:10" hidden="1" x14ac:dyDescent="0.25">
      <c r="A9673" s="124" t="s">
        <v>11672</v>
      </c>
      <c r="B9673" s="124" t="s">
        <v>11736</v>
      </c>
      <c r="C9673" s="132"/>
      <c r="D9673" s="125">
        <f t="shared" si="198"/>
        <v>0</v>
      </c>
      <c r="E9673" s="124" t="s">
        <v>8367</v>
      </c>
      <c r="F9673" s="126">
        <v>1</v>
      </c>
      <c r="G9673" s="127">
        <v>58.8</v>
      </c>
      <c r="H9673" s="124" t="s">
        <v>8368</v>
      </c>
      <c r="I9673" s="127">
        <v>48</v>
      </c>
      <c r="J9673" s="127">
        <v>240</v>
      </c>
    </row>
    <row r="9674" spans="1:10" hidden="1" x14ac:dyDescent="0.25">
      <c r="A9674" s="124" t="s">
        <v>11673</v>
      </c>
      <c r="B9674" s="124" t="s">
        <v>11736</v>
      </c>
      <c r="C9674" s="132"/>
      <c r="D9674" s="125">
        <f t="shared" si="198"/>
        <v>0</v>
      </c>
      <c r="E9674" s="124" t="s">
        <v>8367</v>
      </c>
      <c r="F9674" s="126">
        <v>2</v>
      </c>
      <c r="G9674" s="127">
        <v>126</v>
      </c>
      <c r="H9674" s="124" t="s">
        <v>8368</v>
      </c>
      <c r="I9674" s="127">
        <v>164.6</v>
      </c>
      <c r="J9674" s="127">
        <v>823</v>
      </c>
    </row>
    <row r="9675" spans="1:10" hidden="1" x14ac:dyDescent="0.25">
      <c r="A9675" s="124" t="s">
        <v>11674</v>
      </c>
      <c r="B9675" s="124" t="s">
        <v>11736</v>
      </c>
      <c r="C9675" s="132"/>
      <c r="D9675" s="125">
        <f t="shared" si="198"/>
        <v>0</v>
      </c>
      <c r="E9675" s="124" t="s">
        <v>8367</v>
      </c>
      <c r="F9675" s="126">
        <v>5</v>
      </c>
      <c r="G9675" s="127">
        <v>882</v>
      </c>
      <c r="H9675" s="124" t="s">
        <v>8368</v>
      </c>
      <c r="I9675" s="127">
        <v>14.8</v>
      </c>
      <c r="J9675" s="127">
        <v>74</v>
      </c>
    </row>
    <row r="9676" spans="1:10" hidden="1" x14ac:dyDescent="0.25">
      <c r="A9676" s="124" t="s">
        <v>11675</v>
      </c>
      <c r="B9676" s="124" t="s">
        <v>11736</v>
      </c>
      <c r="C9676" s="132"/>
      <c r="D9676" s="125">
        <f t="shared" si="198"/>
        <v>0</v>
      </c>
      <c r="E9676" s="124" t="s">
        <v>8367</v>
      </c>
      <c r="F9676" s="126">
        <v>2</v>
      </c>
      <c r="G9676" s="127">
        <v>288</v>
      </c>
      <c r="H9676" s="124" t="s">
        <v>8368</v>
      </c>
      <c r="I9676" s="127">
        <v>43.2</v>
      </c>
      <c r="J9676" s="127">
        <v>216</v>
      </c>
    </row>
    <row r="9677" spans="1:10" hidden="1" x14ac:dyDescent="0.25">
      <c r="A9677" s="124" t="s">
        <v>11676</v>
      </c>
      <c r="B9677" s="124" t="s">
        <v>11736</v>
      </c>
      <c r="C9677" s="132"/>
      <c r="D9677" s="125">
        <f t="shared" si="198"/>
        <v>0</v>
      </c>
      <c r="E9677" s="124" t="s">
        <v>8367</v>
      </c>
      <c r="F9677" s="126">
        <v>4</v>
      </c>
      <c r="G9677" s="127">
        <v>987.6</v>
      </c>
      <c r="H9677" s="124" t="s">
        <v>8368</v>
      </c>
      <c r="I9677" s="127">
        <v>256.60000000000002</v>
      </c>
      <c r="J9677" s="128">
        <v>1283</v>
      </c>
    </row>
    <row r="9678" spans="1:10" hidden="1" x14ac:dyDescent="0.25">
      <c r="A9678" s="124" t="s">
        <v>11677</v>
      </c>
      <c r="B9678" s="124" t="s">
        <v>11736</v>
      </c>
      <c r="C9678" s="132"/>
      <c r="D9678" s="125">
        <f t="shared" si="198"/>
        <v>0</v>
      </c>
      <c r="E9678" s="124" t="s">
        <v>8367</v>
      </c>
      <c r="F9678" s="126">
        <v>1</v>
      </c>
      <c r="G9678" s="127">
        <v>88.8</v>
      </c>
      <c r="H9678" s="124" t="s">
        <v>8368</v>
      </c>
      <c r="I9678" s="127">
        <v>6.6</v>
      </c>
      <c r="J9678" s="127">
        <v>33</v>
      </c>
    </row>
    <row r="9679" spans="1:10" hidden="1" x14ac:dyDescent="0.25">
      <c r="A9679" s="124" t="s">
        <v>11678</v>
      </c>
      <c r="B9679" s="124" t="s">
        <v>11736</v>
      </c>
      <c r="C9679" s="132"/>
      <c r="D9679" s="125">
        <f t="shared" si="198"/>
        <v>0</v>
      </c>
      <c r="E9679" s="124" t="s">
        <v>8367</v>
      </c>
      <c r="F9679" s="126">
        <v>3</v>
      </c>
      <c r="G9679" s="127">
        <v>259.2</v>
      </c>
      <c r="H9679" s="124" t="s">
        <v>8368</v>
      </c>
      <c r="I9679" s="127">
        <v>2.4</v>
      </c>
      <c r="J9679" s="127">
        <v>12</v>
      </c>
    </row>
    <row r="9680" spans="1:10" hidden="1" x14ac:dyDescent="0.25">
      <c r="A9680" s="124" t="s">
        <v>11679</v>
      </c>
      <c r="B9680" s="124" t="s">
        <v>11736</v>
      </c>
      <c r="C9680" s="132"/>
      <c r="D9680" s="125">
        <f t="shared" si="198"/>
        <v>0</v>
      </c>
      <c r="E9680" s="124" t="s">
        <v>8367</v>
      </c>
      <c r="F9680" s="126">
        <v>4</v>
      </c>
      <c r="G9680" s="128">
        <v>1539.6</v>
      </c>
      <c r="H9680" s="124" t="s">
        <v>8368</v>
      </c>
      <c r="I9680" s="127">
        <v>81.599999999999994</v>
      </c>
      <c r="J9680" s="127">
        <v>408</v>
      </c>
    </row>
    <row r="9681" spans="1:10" hidden="1" x14ac:dyDescent="0.25">
      <c r="A9681" s="124" t="s">
        <v>11680</v>
      </c>
      <c r="B9681" s="124" t="s">
        <v>11736</v>
      </c>
      <c r="C9681" s="132"/>
      <c r="D9681" s="125">
        <f t="shared" ref="D9681:D9712" si="199">COUNTIF(A5479:A9680,A9681)</f>
        <v>0</v>
      </c>
      <c r="E9681" s="124" t="s">
        <v>8367</v>
      </c>
      <c r="F9681" s="126">
        <v>1</v>
      </c>
      <c r="G9681" s="127">
        <v>39.6</v>
      </c>
      <c r="H9681" s="124" t="s">
        <v>8368</v>
      </c>
      <c r="I9681" s="127">
        <v>43.4</v>
      </c>
      <c r="J9681" s="127">
        <v>217</v>
      </c>
    </row>
    <row r="9682" spans="1:10" hidden="1" x14ac:dyDescent="0.25">
      <c r="A9682" s="124" t="s">
        <v>11681</v>
      </c>
      <c r="B9682" s="124" t="s">
        <v>11736</v>
      </c>
      <c r="C9682" s="132"/>
      <c r="D9682" s="125">
        <f t="shared" si="199"/>
        <v>0</v>
      </c>
      <c r="E9682" s="124" t="s">
        <v>8367</v>
      </c>
      <c r="F9682" s="126">
        <v>2</v>
      </c>
      <c r="G9682" s="127">
        <v>14.4</v>
      </c>
      <c r="H9682" s="124" t="s">
        <v>8368</v>
      </c>
      <c r="I9682" s="127">
        <v>27.6</v>
      </c>
      <c r="J9682" s="127">
        <v>138</v>
      </c>
    </row>
    <row r="9683" spans="1:10" hidden="1" x14ac:dyDescent="0.25">
      <c r="A9683" s="124" t="s">
        <v>11682</v>
      </c>
      <c r="B9683" s="124" t="s">
        <v>11736</v>
      </c>
      <c r="C9683" s="132"/>
      <c r="D9683" s="125">
        <f t="shared" si="199"/>
        <v>0</v>
      </c>
      <c r="E9683" s="124" t="s">
        <v>8367</v>
      </c>
      <c r="F9683" s="126">
        <v>6</v>
      </c>
      <c r="G9683" s="127">
        <v>489.6</v>
      </c>
      <c r="H9683" s="124" t="s">
        <v>8368</v>
      </c>
      <c r="I9683" s="127">
        <v>4</v>
      </c>
      <c r="J9683" s="127">
        <v>20</v>
      </c>
    </row>
    <row r="9684" spans="1:10" hidden="1" x14ac:dyDescent="0.25">
      <c r="A9684" s="124" t="s">
        <v>11683</v>
      </c>
      <c r="B9684" s="124" t="s">
        <v>11736</v>
      </c>
      <c r="C9684" s="132"/>
      <c r="D9684" s="125">
        <f t="shared" si="199"/>
        <v>0</v>
      </c>
      <c r="E9684" s="124" t="s">
        <v>8367</v>
      </c>
      <c r="F9684" s="126">
        <v>1</v>
      </c>
      <c r="G9684" s="127">
        <v>260.39999999999998</v>
      </c>
      <c r="H9684" s="124" t="s">
        <v>8368</v>
      </c>
      <c r="I9684" s="127">
        <v>5</v>
      </c>
      <c r="J9684" s="127">
        <v>25</v>
      </c>
    </row>
    <row r="9685" spans="1:10" hidden="1" x14ac:dyDescent="0.25">
      <c r="A9685" s="124" t="s">
        <v>11684</v>
      </c>
      <c r="B9685" s="124" t="s">
        <v>11736</v>
      </c>
      <c r="C9685" s="132"/>
      <c r="D9685" s="125">
        <f t="shared" si="199"/>
        <v>0</v>
      </c>
      <c r="E9685" s="124" t="s">
        <v>8367</v>
      </c>
      <c r="F9685" s="126">
        <v>2</v>
      </c>
      <c r="G9685" s="127">
        <v>165.6</v>
      </c>
      <c r="H9685" s="124" t="s">
        <v>8368</v>
      </c>
      <c r="I9685" s="127">
        <v>10.199999999999999</v>
      </c>
      <c r="J9685" s="127">
        <v>51</v>
      </c>
    </row>
    <row r="9686" spans="1:10" hidden="1" x14ac:dyDescent="0.25">
      <c r="A9686" s="124" t="s">
        <v>11685</v>
      </c>
      <c r="B9686" s="124" t="s">
        <v>11736</v>
      </c>
      <c r="C9686" s="132"/>
      <c r="D9686" s="125">
        <f t="shared" si="199"/>
        <v>0</v>
      </c>
      <c r="E9686" s="124" t="s">
        <v>8367</v>
      </c>
      <c r="F9686" s="126">
        <v>1</v>
      </c>
      <c r="G9686" s="127">
        <v>24</v>
      </c>
      <c r="H9686" s="124" t="s">
        <v>8368</v>
      </c>
      <c r="I9686" s="127">
        <v>111.4</v>
      </c>
      <c r="J9686" s="127">
        <v>557</v>
      </c>
    </row>
    <row r="9687" spans="1:10" hidden="1" x14ac:dyDescent="0.25">
      <c r="A9687" s="124" t="s">
        <v>11686</v>
      </c>
      <c r="B9687" s="124" t="s">
        <v>11736</v>
      </c>
      <c r="C9687" s="132"/>
      <c r="D9687" s="125">
        <f t="shared" si="199"/>
        <v>0</v>
      </c>
      <c r="E9687" s="124" t="s">
        <v>8367</v>
      </c>
      <c r="F9687" s="126">
        <v>1</v>
      </c>
      <c r="G9687" s="127">
        <v>30</v>
      </c>
      <c r="H9687" s="124" t="s">
        <v>8368</v>
      </c>
      <c r="I9687" s="127">
        <v>111.4</v>
      </c>
      <c r="J9687" s="127">
        <v>557</v>
      </c>
    </row>
    <row r="9688" spans="1:10" hidden="1" x14ac:dyDescent="0.25">
      <c r="A9688" s="124" t="s">
        <v>11687</v>
      </c>
      <c r="B9688" s="124" t="s">
        <v>11736</v>
      </c>
      <c r="C9688" s="132"/>
      <c r="D9688" s="125">
        <f t="shared" si="199"/>
        <v>0</v>
      </c>
      <c r="E9688" s="124" t="s">
        <v>8367</v>
      </c>
      <c r="F9688" s="126">
        <v>1</v>
      </c>
      <c r="G9688" s="127">
        <v>61.2</v>
      </c>
      <c r="H9688" s="124" t="s">
        <v>8368</v>
      </c>
      <c r="I9688" s="127">
        <v>35.200000000000003</v>
      </c>
      <c r="J9688" s="127">
        <v>176</v>
      </c>
    </row>
    <row r="9689" spans="1:10" hidden="1" x14ac:dyDescent="0.25">
      <c r="A9689" s="124" t="s">
        <v>11688</v>
      </c>
      <c r="B9689" s="124" t="s">
        <v>11736</v>
      </c>
      <c r="C9689" s="132"/>
      <c r="D9689" s="125">
        <f t="shared" si="199"/>
        <v>0</v>
      </c>
      <c r="E9689" s="124" t="s">
        <v>8367</v>
      </c>
      <c r="F9689" s="126">
        <v>5</v>
      </c>
      <c r="G9689" s="127">
        <v>668.4</v>
      </c>
      <c r="H9689" s="124" t="s">
        <v>8368</v>
      </c>
      <c r="I9689" s="127">
        <v>67.400000000000006</v>
      </c>
      <c r="J9689" s="127">
        <v>337</v>
      </c>
    </row>
    <row r="9690" spans="1:10" hidden="1" x14ac:dyDescent="0.25">
      <c r="A9690" s="124" t="s">
        <v>11689</v>
      </c>
      <c r="B9690" s="124" t="s">
        <v>11736</v>
      </c>
      <c r="C9690" s="132"/>
      <c r="D9690" s="125">
        <f t="shared" si="199"/>
        <v>0</v>
      </c>
      <c r="E9690" s="124" t="s">
        <v>8367</v>
      </c>
      <c r="F9690" s="126">
        <v>5</v>
      </c>
      <c r="G9690" s="127">
        <v>668.4</v>
      </c>
      <c r="H9690" s="124" t="s">
        <v>8368</v>
      </c>
      <c r="I9690" s="127">
        <v>52.2</v>
      </c>
      <c r="J9690" s="127">
        <v>261</v>
      </c>
    </row>
    <row r="9691" spans="1:10" hidden="1" x14ac:dyDescent="0.25">
      <c r="A9691" s="124" t="s">
        <v>11690</v>
      </c>
      <c r="B9691" s="124" t="s">
        <v>11736</v>
      </c>
      <c r="C9691" s="132"/>
      <c r="D9691" s="125">
        <f t="shared" si="199"/>
        <v>0</v>
      </c>
      <c r="E9691" s="124" t="s">
        <v>8367</v>
      </c>
      <c r="F9691" s="126">
        <v>3</v>
      </c>
      <c r="G9691" s="127">
        <v>211.2</v>
      </c>
      <c r="H9691" s="124" t="s">
        <v>8368</v>
      </c>
      <c r="I9691" s="127">
        <v>137.4</v>
      </c>
      <c r="J9691" s="127">
        <v>687</v>
      </c>
    </row>
    <row r="9692" spans="1:10" hidden="1" x14ac:dyDescent="0.25">
      <c r="A9692" s="124" t="s">
        <v>4693</v>
      </c>
      <c r="B9692" s="124" t="s">
        <v>11736</v>
      </c>
      <c r="C9692" s="132"/>
      <c r="D9692" s="125">
        <f t="shared" si="199"/>
        <v>0</v>
      </c>
      <c r="E9692" s="124" t="s">
        <v>8367</v>
      </c>
      <c r="F9692" s="126">
        <v>2</v>
      </c>
      <c r="G9692" s="127">
        <v>404.4</v>
      </c>
      <c r="H9692" s="124" t="s">
        <v>8368</v>
      </c>
      <c r="I9692" s="127">
        <v>33</v>
      </c>
      <c r="J9692" s="127">
        <v>165</v>
      </c>
    </row>
    <row r="9693" spans="1:10" hidden="1" x14ac:dyDescent="0.25">
      <c r="A9693" s="124" t="s">
        <v>11691</v>
      </c>
      <c r="B9693" s="124" t="s">
        <v>11736</v>
      </c>
      <c r="C9693" s="132"/>
      <c r="D9693" s="125">
        <f t="shared" si="199"/>
        <v>0</v>
      </c>
      <c r="E9693" s="124" t="s">
        <v>8367</v>
      </c>
      <c r="F9693" s="126">
        <v>3</v>
      </c>
      <c r="G9693" s="127">
        <v>313.2</v>
      </c>
      <c r="H9693" s="124" t="s">
        <v>8368</v>
      </c>
      <c r="I9693" s="127">
        <v>116</v>
      </c>
      <c r="J9693" s="127">
        <v>580</v>
      </c>
    </row>
    <row r="9694" spans="1:10" hidden="1" x14ac:dyDescent="0.25">
      <c r="A9694" s="124" t="s">
        <v>11692</v>
      </c>
      <c r="B9694" s="124" t="s">
        <v>11736</v>
      </c>
      <c r="C9694" s="132"/>
      <c r="D9694" s="125">
        <f t="shared" si="199"/>
        <v>0</v>
      </c>
      <c r="E9694" s="124" t="s">
        <v>8367</v>
      </c>
      <c r="F9694" s="126">
        <v>2</v>
      </c>
      <c r="G9694" s="127">
        <v>824.4</v>
      </c>
      <c r="H9694" s="124" t="s">
        <v>8368</v>
      </c>
      <c r="I9694" s="127">
        <v>186</v>
      </c>
      <c r="J9694" s="127">
        <v>930</v>
      </c>
    </row>
    <row r="9695" spans="1:10" hidden="1" x14ac:dyDescent="0.25">
      <c r="A9695" s="124" t="s">
        <v>11693</v>
      </c>
      <c r="B9695" s="124" t="s">
        <v>11736</v>
      </c>
      <c r="C9695" s="132"/>
      <c r="D9695" s="125">
        <f t="shared" si="199"/>
        <v>0</v>
      </c>
      <c r="E9695" s="124" t="s">
        <v>8367</v>
      </c>
      <c r="F9695" s="126">
        <v>2</v>
      </c>
      <c r="G9695" s="127">
        <v>198</v>
      </c>
      <c r="H9695" s="124" t="s">
        <v>8368</v>
      </c>
      <c r="I9695" s="127">
        <v>35.6</v>
      </c>
      <c r="J9695" s="127">
        <v>178</v>
      </c>
    </row>
    <row r="9696" spans="1:10" hidden="1" x14ac:dyDescent="0.25">
      <c r="A9696" s="124" t="s">
        <v>11694</v>
      </c>
      <c r="B9696" s="124" t="s">
        <v>11736</v>
      </c>
      <c r="C9696" s="132"/>
      <c r="D9696" s="125">
        <f t="shared" si="199"/>
        <v>0</v>
      </c>
      <c r="E9696" s="124" t="s">
        <v>8367</v>
      </c>
      <c r="F9696" s="126">
        <v>3</v>
      </c>
      <c r="G9696" s="127">
        <v>696</v>
      </c>
      <c r="H9696" s="124" t="s">
        <v>8368</v>
      </c>
      <c r="I9696" s="127">
        <v>50.8</v>
      </c>
      <c r="J9696" s="127">
        <v>254</v>
      </c>
    </row>
    <row r="9697" spans="1:10" hidden="1" x14ac:dyDescent="0.25">
      <c r="A9697" s="124" t="s">
        <v>11695</v>
      </c>
      <c r="B9697" s="124" t="s">
        <v>11736</v>
      </c>
      <c r="C9697" s="132"/>
      <c r="D9697" s="125">
        <f t="shared" si="199"/>
        <v>0</v>
      </c>
      <c r="E9697" s="124" t="s">
        <v>8367</v>
      </c>
      <c r="F9697" s="126">
        <v>12</v>
      </c>
      <c r="G9697" s="128">
        <v>1116</v>
      </c>
      <c r="H9697" s="124" t="s">
        <v>8368</v>
      </c>
      <c r="I9697" s="127">
        <v>23.4</v>
      </c>
      <c r="J9697" s="127">
        <v>117</v>
      </c>
    </row>
    <row r="9698" spans="1:10" hidden="1" x14ac:dyDescent="0.25">
      <c r="A9698" s="124" t="s">
        <v>11696</v>
      </c>
      <c r="B9698" s="124" t="s">
        <v>11736</v>
      </c>
      <c r="C9698" s="132"/>
      <c r="D9698" s="125">
        <f t="shared" si="199"/>
        <v>0</v>
      </c>
      <c r="E9698" s="124" t="s">
        <v>8367</v>
      </c>
      <c r="F9698" s="126">
        <v>1</v>
      </c>
      <c r="G9698" s="127">
        <v>213.6</v>
      </c>
      <c r="H9698" s="124" t="s">
        <v>8368</v>
      </c>
      <c r="I9698" s="128">
        <v>800000</v>
      </c>
      <c r="J9698" s="128">
        <v>4000000</v>
      </c>
    </row>
    <row r="9699" spans="1:10" hidden="1" x14ac:dyDescent="0.25">
      <c r="A9699" s="124" t="s">
        <v>11697</v>
      </c>
      <c r="B9699" s="124" t="s">
        <v>11736</v>
      </c>
      <c r="C9699" s="132"/>
      <c r="D9699" s="125">
        <f t="shared" si="199"/>
        <v>0</v>
      </c>
      <c r="E9699" s="124" t="s">
        <v>8367</v>
      </c>
      <c r="F9699" s="126">
        <v>1</v>
      </c>
      <c r="G9699" s="127">
        <v>304.8</v>
      </c>
      <c r="H9699" s="124" t="s">
        <v>8368</v>
      </c>
      <c r="I9699" s="127">
        <v>80.599999999999994</v>
      </c>
      <c r="J9699" s="127">
        <v>403</v>
      </c>
    </row>
    <row r="9700" spans="1:10" hidden="1" x14ac:dyDescent="0.25">
      <c r="A9700" s="124" t="s">
        <v>11698</v>
      </c>
      <c r="B9700" s="124" t="s">
        <v>11736</v>
      </c>
      <c r="C9700" s="132"/>
      <c r="D9700" s="125">
        <f t="shared" si="199"/>
        <v>0</v>
      </c>
      <c r="E9700" s="124" t="s">
        <v>8367</v>
      </c>
      <c r="F9700" s="126">
        <v>1</v>
      </c>
      <c r="G9700" s="127">
        <v>140.4</v>
      </c>
      <c r="H9700" s="124" t="s">
        <v>8368</v>
      </c>
      <c r="I9700" s="127">
        <v>7.2</v>
      </c>
      <c r="J9700" s="127">
        <v>36</v>
      </c>
    </row>
    <row r="9701" spans="1:10" hidden="1" x14ac:dyDescent="0.25">
      <c r="A9701" s="124" t="s">
        <v>1974</v>
      </c>
      <c r="B9701" s="124" t="s">
        <v>11736</v>
      </c>
      <c r="C9701" s="132"/>
      <c r="D9701" s="125">
        <f t="shared" si="199"/>
        <v>0</v>
      </c>
      <c r="E9701" s="124" t="s">
        <v>8367</v>
      </c>
      <c r="F9701" s="129">
        <v>1600</v>
      </c>
      <c r="G9701" s="128">
        <v>4800000</v>
      </c>
      <c r="H9701" s="124" t="s">
        <v>8368</v>
      </c>
      <c r="I9701" s="127">
        <v>3.2</v>
      </c>
      <c r="J9701" s="127">
        <v>16</v>
      </c>
    </row>
    <row r="9702" spans="1:10" hidden="1" x14ac:dyDescent="0.25">
      <c r="A9702" s="124" t="s">
        <v>6269</v>
      </c>
      <c r="B9702" s="124" t="s">
        <v>11736</v>
      </c>
      <c r="C9702" s="132"/>
      <c r="D9702" s="125">
        <f t="shared" si="199"/>
        <v>0</v>
      </c>
      <c r="E9702" s="124" t="s">
        <v>8367</v>
      </c>
      <c r="F9702" s="126">
        <v>12</v>
      </c>
      <c r="G9702" s="127">
        <v>483.6</v>
      </c>
      <c r="H9702" s="124" t="s">
        <v>8368</v>
      </c>
      <c r="I9702" s="127">
        <v>30.2</v>
      </c>
      <c r="J9702" s="127">
        <v>151</v>
      </c>
    </row>
    <row r="9703" spans="1:10" hidden="1" x14ac:dyDescent="0.25">
      <c r="A9703" s="124" t="s">
        <v>11699</v>
      </c>
      <c r="B9703" s="124" t="s">
        <v>11736</v>
      </c>
      <c r="C9703" s="132"/>
      <c r="D9703" s="125">
        <f t="shared" si="199"/>
        <v>0</v>
      </c>
      <c r="E9703" s="124" t="s">
        <v>8367</v>
      </c>
      <c r="F9703" s="126">
        <v>1</v>
      </c>
      <c r="G9703" s="127">
        <v>43.2</v>
      </c>
      <c r="H9703" s="124" t="s">
        <v>8368</v>
      </c>
      <c r="I9703" s="127">
        <v>32.799999999999997</v>
      </c>
      <c r="J9703" s="127">
        <v>164</v>
      </c>
    </row>
    <row r="9704" spans="1:10" hidden="1" x14ac:dyDescent="0.25">
      <c r="A9704" s="124" t="s">
        <v>11700</v>
      </c>
      <c r="B9704" s="124" t="s">
        <v>11736</v>
      </c>
      <c r="C9704" s="132"/>
      <c r="D9704" s="125">
        <f t="shared" si="199"/>
        <v>0</v>
      </c>
      <c r="E9704" s="124" t="s">
        <v>8367</v>
      </c>
      <c r="F9704" s="126">
        <v>1</v>
      </c>
      <c r="G9704" s="127">
        <v>19.2</v>
      </c>
      <c r="H9704" s="124" t="s">
        <v>8368</v>
      </c>
      <c r="I9704" s="127">
        <v>28.8</v>
      </c>
      <c r="J9704" s="127">
        <v>144</v>
      </c>
    </row>
    <row r="9705" spans="1:10" hidden="1" x14ac:dyDescent="0.25">
      <c r="A9705" s="124" t="s">
        <v>11701</v>
      </c>
      <c r="B9705" s="124" t="s">
        <v>11736</v>
      </c>
      <c r="C9705" s="132"/>
      <c r="D9705" s="125">
        <f t="shared" si="199"/>
        <v>0</v>
      </c>
      <c r="E9705" s="124" t="s">
        <v>8367</v>
      </c>
      <c r="F9705" s="126">
        <v>10</v>
      </c>
      <c r="G9705" s="127">
        <v>181.2</v>
      </c>
      <c r="H9705" s="124" t="s">
        <v>8368</v>
      </c>
      <c r="I9705" s="127">
        <v>4.5999999999999996</v>
      </c>
      <c r="J9705" s="127">
        <v>23</v>
      </c>
    </row>
    <row r="9706" spans="1:10" hidden="1" x14ac:dyDescent="0.25">
      <c r="A9706" s="124" t="s">
        <v>11702</v>
      </c>
      <c r="B9706" s="124" t="s">
        <v>11736</v>
      </c>
      <c r="C9706" s="132"/>
      <c r="D9706" s="125">
        <f t="shared" si="199"/>
        <v>0</v>
      </c>
      <c r="E9706" s="124" t="s">
        <v>8367</v>
      </c>
      <c r="F9706" s="126">
        <v>1</v>
      </c>
      <c r="G9706" s="127">
        <v>196.8</v>
      </c>
      <c r="H9706" s="124" t="s">
        <v>8368</v>
      </c>
      <c r="I9706" s="127">
        <v>19.600000000000001</v>
      </c>
      <c r="J9706" s="127">
        <v>98</v>
      </c>
    </row>
    <row r="9707" spans="1:10" hidden="1" x14ac:dyDescent="0.25">
      <c r="A9707" s="124" t="s">
        <v>11703</v>
      </c>
      <c r="B9707" s="124" t="s">
        <v>11736</v>
      </c>
      <c r="C9707" s="132"/>
      <c r="D9707" s="125">
        <f t="shared" si="199"/>
        <v>0</v>
      </c>
      <c r="E9707" s="124" t="s">
        <v>8367</v>
      </c>
      <c r="F9707" s="126">
        <v>2</v>
      </c>
      <c r="G9707" s="127">
        <v>172.8</v>
      </c>
      <c r="H9707" s="124" t="s">
        <v>8368</v>
      </c>
      <c r="I9707" s="127">
        <v>123.4</v>
      </c>
      <c r="J9707" s="127">
        <v>617</v>
      </c>
    </row>
    <row r="9708" spans="1:10" hidden="1" x14ac:dyDescent="0.25">
      <c r="A9708" s="124" t="s">
        <v>11704</v>
      </c>
      <c r="B9708" s="124" t="s">
        <v>11736</v>
      </c>
      <c r="C9708" s="132"/>
      <c r="D9708" s="125">
        <f t="shared" si="199"/>
        <v>0</v>
      </c>
      <c r="E9708" s="124" t="s">
        <v>8367</v>
      </c>
      <c r="F9708" s="126">
        <v>1</v>
      </c>
      <c r="G9708" s="127">
        <v>27.6</v>
      </c>
      <c r="H9708" s="124" t="s">
        <v>8368</v>
      </c>
      <c r="I9708" s="128">
        <v>525000</v>
      </c>
      <c r="J9708" s="128">
        <v>2625000</v>
      </c>
    </row>
    <row r="9709" spans="1:10" hidden="1" x14ac:dyDescent="0.25">
      <c r="A9709" s="124" t="s">
        <v>11705</v>
      </c>
      <c r="B9709" s="124" t="s">
        <v>11736</v>
      </c>
      <c r="C9709" s="132"/>
      <c r="D9709" s="125">
        <f t="shared" si="199"/>
        <v>0</v>
      </c>
      <c r="E9709" s="124" t="s">
        <v>8367</v>
      </c>
      <c r="F9709" s="126">
        <v>3</v>
      </c>
      <c r="G9709" s="127">
        <v>117.6</v>
      </c>
      <c r="H9709" s="124" t="s">
        <v>8368</v>
      </c>
      <c r="I9709" s="128">
        <v>3164.8</v>
      </c>
      <c r="J9709" s="128">
        <v>15824</v>
      </c>
    </row>
    <row r="9710" spans="1:10" hidden="1" x14ac:dyDescent="0.25">
      <c r="A9710" s="124" t="s">
        <v>11706</v>
      </c>
      <c r="B9710" s="124" t="s">
        <v>11736</v>
      </c>
      <c r="C9710" s="132"/>
      <c r="D9710" s="125">
        <f t="shared" si="199"/>
        <v>0</v>
      </c>
      <c r="E9710" s="124" t="s">
        <v>8367</v>
      </c>
      <c r="F9710" s="126">
        <v>1</v>
      </c>
      <c r="G9710" s="127">
        <v>740.4</v>
      </c>
      <c r="H9710" s="124" t="s">
        <v>8368</v>
      </c>
      <c r="I9710" s="127">
        <v>568.79</v>
      </c>
      <c r="J9710" s="128">
        <v>2843.94</v>
      </c>
    </row>
    <row r="9711" spans="1:10" hidden="1" x14ac:dyDescent="0.25">
      <c r="A9711" s="124" t="s">
        <v>3179</v>
      </c>
      <c r="B9711" s="124" t="s">
        <v>11736</v>
      </c>
      <c r="C9711" s="132"/>
      <c r="D9711" s="125">
        <f t="shared" si="199"/>
        <v>0</v>
      </c>
      <c r="E9711" s="124" t="s">
        <v>8367</v>
      </c>
      <c r="F9711" s="126">
        <v>105</v>
      </c>
      <c r="G9711" s="128">
        <v>3150000</v>
      </c>
      <c r="H9711" s="124" t="s">
        <v>8368</v>
      </c>
      <c r="I9711" s="128">
        <v>102660</v>
      </c>
      <c r="J9711" s="128">
        <v>513300</v>
      </c>
    </row>
    <row r="9712" spans="1:10" hidden="1" x14ac:dyDescent="0.25">
      <c r="A9712" s="124" t="s">
        <v>6677</v>
      </c>
      <c r="B9712" s="124" t="s">
        <v>11736</v>
      </c>
      <c r="C9712" s="132"/>
      <c r="D9712" s="125">
        <f t="shared" si="199"/>
        <v>0</v>
      </c>
      <c r="E9712" s="124" t="s">
        <v>8367</v>
      </c>
      <c r="F9712" s="126">
        <v>86</v>
      </c>
      <c r="G9712" s="128">
        <v>18988.8</v>
      </c>
      <c r="H9712" s="124" t="s">
        <v>8368</v>
      </c>
      <c r="I9712" s="128">
        <v>4304.6000000000004</v>
      </c>
      <c r="J9712" s="128">
        <v>21523</v>
      </c>
    </row>
    <row r="9713" spans="1:10" hidden="1" x14ac:dyDescent="0.25">
      <c r="A9713" s="124" t="s">
        <v>6679</v>
      </c>
      <c r="B9713" s="124" t="s">
        <v>11736</v>
      </c>
      <c r="C9713" s="132"/>
      <c r="D9713" s="125">
        <f t="shared" ref="D9713" si="200">COUNTIF(A5511:A9712,A9713)</f>
        <v>0</v>
      </c>
      <c r="E9713" s="124" t="s">
        <v>8367</v>
      </c>
      <c r="F9713" s="126">
        <v>195</v>
      </c>
      <c r="G9713" s="128">
        <v>3412.73</v>
      </c>
      <c r="H9713" s="124" t="s">
        <v>8368</v>
      </c>
      <c r="I9713" s="128">
        <v>30092</v>
      </c>
      <c r="J9713" s="128">
        <v>150460</v>
      </c>
    </row>
    <row r="9714" spans="1:10" hidden="1" x14ac:dyDescent="0.25">
      <c r="A9714" s="124" t="s">
        <v>6668</v>
      </c>
      <c r="B9714" s="124" t="s">
        <v>11736</v>
      </c>
      <c r="C9714" s="132"/>
      <c r="D9714" s="125">
        <f t="shared" ref="D9714:D9749" si="201">COUNTIF(A5513:A9713,A9714)</f>
        <v>0</v>
      </c>
      <c r="E9714" s="124" t="s">
        <v>8367</v>
      </c>
      <c r="F9714" s="126">
        <v>590</v>
      </c>
      <c r="G9714" s="128">
        <v>615960</v>
      </c>
      <c r="H9714" s="124" t="s">
        <v>8368</v>
      </c>
      <c r="I9714" s="128">
        <v>25214.42</v>
      </c>
      <c r="J9714" s="128">
        <v>126072.09</v>
      </c>
    </row>
    <row r="9715" spans="1:10" hidden="1" x14ac:dyDescent="0.25">
      <c r="A9715" s="124" t="s">
        <v>11707</v>
      </c>
      <c r="B9715" s="124" t="s">
        <v>11736</v>
      </c>
      <c r="C9715" s="132"/>
      <c r="D9715" s="125">
        <f t="shared" si="201"/>
        <v>0</v>
      </c>
      <c r="E9715" s="124" t="s">
        <v>8367</v>
      </c>
      <c r="F9715" s="126">
        <v>36</v>
      </c>
      <c r="G9715" s="128">
        <v>25827.599999999999</v>
      </c>
      <c r="H9715" s="124" t="s">
        <v>8368</v>
      </c>
      <c r="I9715" s="128">
        <v>9062.7999999999993</v>
      </c>
      <c r="J9715" s="128">
        <v>45314</v>
      </c>
    </row>
    <row r="9716" spans="1:10" hidden="1" x14ac:dyDescent="0.25">
      <c r="A9716" s="124" t="s">
        <v>6298</v>
      </c>
      <c r="B9716" s="124" t="s">
        <v>11736</v>
      </c>
      <c r="C9716" s="132"/>
      <c r="D9716" s="125">
        <f t="shared" si="201"/>
        <v>0</v>
      </c>
      <c r="E9716" s="124" t="s">
        <v>8367</v>
      </c>
      <c r="F9716" s="126">
        <v>448</v>
      </c>
      <c r="G9716" s="128">
        <v>180552</v>
      </c>
      <c r="H9716" s="124" t="s">
        <v>8368</v>
      </c>
      <c r="I9716" s="128">
        <v>9062.7999999999993</v>
      </c>
      <c r="J9716" s="128">
        <v>45314</v>
      </c>
    </row>
    <row r="9717" spans="1:10" hidden="1" x14ac:dyDescent="0.25">
      <c r="A9717" s="124" t="s">
        <v>5266</v>
      </c>
      <c r="B9717" s="124" t="s">
        <v>11736</v>
      </c>
      <c r="C9717" s="132"/>
      <c r="D9717" s="125">
        <f t="shared" si="201"/>
        <v>0</v>
      </c>
      <c r="E9717" s="124" t="s">
        <v>8367</v>
      </c>
      <c r="F9717" s="126">
        <v>448</v>
      </c>
      <c r="G9717" s="128">
        <v>151286.51</v>
      </c>
      <c r="H9717" s="124" t="s">
        <v>8368</v>
      </c>
      <c r="I9717" s="128">
        <v>28479.93</v>
      </c>
      <c r="J9717" s="128">
        <v>142399.64000000001</v>
      </c>
    </row>
    <row r="9718" spans="1:10" hidden="1" x14ac:dyDescent="0.25">
      <c r="A9718" s="124" t="s">
        <v>6301</v>
      </c>
      <c r="B9718" s="124" t="s">
        <v>11736</v>
      </c>
      <c r="C9718" s="132"/>
      <c r="D9718" s="125">
        <f t="shared" si="201"/>
        <v>0</v>
      </c>
      <c r="E9718" s="124" t="s">
        <v>8367</v>
      </c>
      <c r="F9718" s="126">
        <v>158</v>
      </c>
      <c r="G9718" s="128">
        <v>54376.800000000003</v>
      </c>
      <c r="H9718" s="124" t="s">
        <v>8368</v>
      </c>
      <c r="I9718" s="128">
        <v>15046</v>
      </c>
      <c r="J9718" s="128">
        <v>75230</v>
      </c>
    </row>
    <row r="9719" spans="1:10" hidden="1" x14ac:dyDescent="0.25">
      <c r="A9719" s="124" t="s">
        <v>5270</v>
      </c>
      <c r="B9719" s="124" t="s">
        <v>11736</v>
      </c>
      <c r="C9719" s="132"/>
      <c r="D9719" s="125">
        <f t="shared" si="201"/>
        <v>0</v>
      </c>
      <c r="E9719" s="124" t="s">
        <v>8367</v>
      </c>
      <c r="F9719" s="126">
        <v>158</v>
      </c>
      <c r="G9719" s="128">
        <v>54376.800000000003</v>
      </c>
      <c r="H9719" s="124" t="s">
        <v>8368</v>
      </c>
      <c r="I9719" s="128">
        <v>12335.8</v>
      </c>
      <c r="J9719" s="128">
        <v>61679</v>
      </c>
    </row>
    <row r="9720" spans="1:10" hidden="1" x14ac:dyDescent="0.25">
      <c r="A9720" s="124" t="s">
        <v>6302</v>
      </c>
      <c r="B9720" s="124" t="s">
        <v>11736</v>
      </c>
      <c r="C9720" s="132"/>
      <c r="D9720" s="125">
        <f t="shared" si="201"/>
        <v>0</v>
      </c>
      <c r="E9720" s="124" t="s">
        <v>8367</v>
      </c>
      <c r="F9720" s="126">
        <v>424</v>
      </c>
      <c r="G9720" s="128">
        <v>170879.57</v>
      </c>
      <c r="H9720" s="124" t="s">
        <v>8368</v>
      </c>
      <c r="I9720" s="128">
        <v>24987.9</v>
      </c>
      <c r="J9720" s="128">
        <v>124939.52</v>
      </c>
    </row>
    <row r="9721" spans="1:10" hidden="1" x14ac:dyDescent="0.25">
      <c r="A9721" s="124" t="s">
        <v>5272</v>
      </c>
      <c r="B9721" s="124" t="s">
        <v>11736</v>
      </c>
      <c r="C9721" s="132"/>
      <c r="D9721" s="125">
        <f t="shared" si="201"/>
        <v>0</v>
      </c>
      <c r="E9721" s="124" t="s">
        <v>8367</v>
      </c>
      <c r="F9721" s="126">
        <v>224</v>
      </c>
      <c r="G9721" s="128">
        <v>90276</v>
      </c>
      <c r="H9721" s="124" t="s">
        <v>8368</v>
      </c>
      <c r="I9721" s="128">
        <v>14842.2</v>
      </c>
      <c r="J9721" s="128">
        <v>74211.009999999995</v>
      </c>
    </row>
    <row r="9722" spans="1:10" hidden="1" x14ac:dyDescent="0.25">
      <c r="A9722" s="124" t="s">
        <v>6303</v>
      </c>
      <c r="B9722" s="124" t="s">
        <v>11736</v>
      </c>
      <c r="C9722" s="132"/>
      <c r="D9722" s="125">
        <f t="shared" si="201"/>
        <v>0</v>
      </c>
      <c r="E9722" s="124" t="s">
        <v>8367</v>
      </c>
      <c r="F9722" s="126">
        <v>195</v>
      </c>
      <c r="G9722" s="128">
        <v>74014.8</v>
      </c>
      <c r="H9722" s="124" t="s">
        <v>8368</v>
      </c>
      <c r="I9722" s="128">
        <v>9907.6</v>
      </c>
      <c r="J9722" s="128">
        <v>49538</v>
      </c>
    </row>
    <row r="9723" spans="1:10" hidden="1" x14ac:dyDescent="0.25">
      <c r="A9723" s="124" t="s">
        <v>5274</v>
      </c>
      <c r="B9723" s="124" t="s">
        <v>11736</v>
      </c>
      <c r="C9723" s="132"/>
      <c r="D9723" s="125">
        <f t="shared" si="201"/>
        <v>0</v>
      </c>
      <c r="E9723" s="124" t="s">
        <v>8367</v>
      </c>
      <c r="F9723" s="126">
        <v>395</v>
      </c>
      <c r="G9723" s="128">
        <v>149927.42000000001</v>
      </c>
      <c r="H9723" s="124" t="s">
        <v>8368</v>
      </c>
      <c r="I9723" s="128">
        <v>9907.6</v>
      </c>
      <c r="J9723" s="128">
        <v>49538</v>
      </c>
    </row>
    <row r="9724" spans="1:10" hidden="1" x14ac:dyDescent="0.25">
      <c r="A9724" s="124" t="s">
        <v>11708</v>
      </c>
      <c r="B9724" s="124" t="s">
        <v>11736</v>
      </c>
      <c r="C9724" s="132"/>
      <c r="D9724" s="125">
        <f t="shared" si="201"/>
        <v>0</v>
      </c>
      <c r="E9724" s="124" t="s">
        <v>8367</v>
      </c>
      <c r="F9724" s="126">
        <v>342</v>
      </c>
      <c r="G9724" s="128">
        <v>89053.21</v>
      </c>
      <c r="H9724" s="124" t="s">
        <v>8368</v>
      </c>
      <c r="I9724" s="128">
        <v>4920</v>
      </c>
      <c r="J9724" s="128">
        <v>24600</v>
      </c>
    </row>
    <row r="9725" spans="1:10" hidden="1" x14ac:dyDescent="0.25">
      <c r="A9725" s="124" t="s">
        <v>11709</v>
      </c>
      <c r="B9725" s="124" t="s">
        <v>11736</v>
      </c>
      <c r="C9725" s="132"/>
      <c r="D9725" s="125">
        <f t="shared" si="201"/>
        <v>0</v>
      </c>
      <c r="E9725" s="124" t="s">
        <v>8367</v>
      </c>
      <c r="F9725" s="126">
        <v>306</v>
      </c>
      <c r="G9725" s="128">
        <v>59445.599999999999</v>
      </c>
      <c r="H9725" s="124" t="s">
        <v>8368</v>
      </c>
      <c r="I9725" s="127">
        <v>637.79999999999995</v>
      </c>
      <c r="J9725" s="128">
        <v>3189</v>
      </c>
    </row>
    <row r="9726" spans="1:10" hidden="1" x14ac:dyDescent="0.25">
      <c r="A9726" s="124" t="s">
        <v>5262</v>
      </c>
      <c r="B9726" s="124" t="s">
        <v>11736</v>
      </c>
      <c r="C9726" s="132"/>
      <c r="D9726" s="125">
        <f t="shared" si="201"/>
        <v>0</v>
      </c>
      <c r="E9726" s="124" t="s">
        <v>8367</v>
      </c>
      <c r="F9726" s="126">
        <v>306</v>
      </c>
      <c r="G9726" s="128">
        <v>59445.599999999999</v>
      </c>
      <c r="H9726" s="124" t="s">
        <v>8368</v>
      </c>
      <c r="I9726" s="127">
        <v>372</v>
      </c>
      <c r="J9726" s="128">
        <v>1860</v>
      </c>
    </row>
    <row r="9727" spans="1:10" hidden="1" x14ac:dyDescent="0.25">
      <c r="A9727" s="124" t="s">
        <v>11710</v>
      </c>
      <c r="B9727" s="124" t="s">
        <v>11736</v>
      </c>
      <c r="C9727" s="132"/>
      <c r="D9727" s="125">
        <f t="shared" si="201"/>
        <v>0</v>
      </c>
      <c r="E9727" s="124" t="s">
        <v>8367</v>
      </c>
      <c r="F9727" s="126">
        <v>4</v>
      </c>
      <c r="G9727" s="128">
        <v>29520</v>
      </c>
      <c r="H9727" s="124" t="s">
        <v>8368</v>
      </c>
      <c r="I9727" s="128">
        <v>3903</v>
      </c>
      <c r="J9727" s="128">
        <v>19515</v>
      </c>
    </row>
    <row r="9728" spans="1:10" hidden="1" x14ac:dyDescent="0.25">
      <c r="A9728" s="124" t="s">
        <v>11711</v>
      </c>
      <c r="B9728" s="124" t="s">
        <v>11736</v>
      </c>
      <c r="C9728" s="132"/>
      <c r="D9728" s="125">
        <f t="shared" si="201"/>
        <v>0</v>
      </c>
      <c r="E9728" s="124" t="s">
        <v>8367</v>
      </c>
      <c r="F9728" s="126">
        <v>5</v>
      </c>
      <c r="G9728" s="128">
        <v>3826.8</v>
      </c>
      <c r="H9728" s="124" t="s">
        <v>8368</v>
      </c>
      <c r="I9728" s="127">
        <v>236.8</v>
      </c>
      <c r="J9728" s="128">
        <v>1184</v>
      </c>
    </row>
    <row r="9729" spans="1:10" hidden="1" x14ac:dyDescent="0.25">
      <c r="A9729" s="124" t="s">
        <v>1514</v>
      </c>
      <c r="B9729" s="124" t="s">
        <v>11736</v>
      </c>
      <c r="C9729" s="132"/>
      <c r="D9729" s="125">
        <f t="shared" si="201"/>
        <v>0</v>
      </c>
      <c r="E9729" s="124" t="s">
        <v>8367</v>
      </c>
      <c r="F9729" s="126">
        <v>93</v>
      </c>
      <c r="G9729" s="128">
        <v>2232</v>
      </c>
      <c r="H9729" s="124" t="s">
        <v>8368</v>
      </c>
      <c r="I9729" s="128">
        <v>5781</v>
      </c>
      <c r="J9729" s="128">
        <v>28905</v>
      </c>
    </row>
    <row r="9730" spans="1:10" hidden="1" x14ac:dyDescent="0.25">
      <c r="A9730" s="124" t="s">
        <v>11712</v>
      </c>
      <c r="B9730" s="124" t="s">
        <v>11736</v>
      </c>
      <c r="C9730" s="132"/>
      <c r="D9730" s="125">
        <f t="shared" si="201"/>
        <v>0</v>
      </c>
      <c r="E9730" s="124" t="s">
        <v>8367</v>
      </c>
      <c r="F9730" s="126">
        <v>70</v>
      </c>
      <c r="G9730" s="128">
        <v>23418</v>
      </c>
      <c r="H9730" s="124" t="s">
        <v>8368</v>
      </c>
      <c r="I9730" s="128">
        <v>1312</v>
      </c>
      <c r="J9730" s="128">
        <v>6560</v>
      </c>
    </row>
    <row r="9731" spans="1:10" hidden="1" x14ac:dyDescent="0.25">
      <c r="A9731" s="124" t="s">
        <v>11713</v>
      </c>
      <c r="B9731" s="124" t="s">
        <v>11736</v>
      </c>
      <c r="C9731" s="132"/>
      <c r="D9731" s="125">
        <f t="shared" si="201"/>
        <v>0</v>
      </c>
      <c r="E9731" s="124" t="s">
        <v>8367</v>
      </c>
      <c r="F9731" s="126">
        <v>2</v>
      </c>
      <c r="G9731" s="128">
        <v>1420.8</v>
      </c>
      <c r="H9731" s="124" t="s">
        <v>8368</v>
      </c>
      <c r="I9731" s="127">
        <v>952</v>
      </c>
      <c r="J9731" s="128">
        <v>4760</v>
      </c>
    </row>
    <row r="9732" spans="1:10" hidden="1" x14ac:dyDescent="0.25">
      <c r="A9732" s="124" t="s">
        <v>11714</v>
      </c>
      <c r="B9732" s="124" t="s">
        <v>11736</v>
      </c>
      <c r="C9732" s="132"/>
      <c r="D9732" s="125">
        <f t="shared" si="201"/>
        <v>0</v>
      </c>
      <c r="E9732" s="124" t="s">
        <v>8367</v>
      </c>
      <c r="F9732" s="126">
        <v>15</v>
      </c>
      <c r="G9732" s="128">
        <v>34686</v>
      </c>
      <c r="H9732" s="124" t="s">
        <v>8368</v>
      </c>
      <c r="I9732" s="127">
        <v>527.96</v>
      </c>
      <c r="J9732" s="128">
        <v>2639.82</v>
      </c>
    </row>
    <row r="9733" spans="1:10" hidden="1" x14ac:dyDescent="0.25">
      <c r="A9733" s="124" t="s">
        <v>11715</v>
      </c>
      <c r="B9733" s="124" t="s">
        <v>11736</v>
      </c>
      <c r="C9733" s="132"/>
      <c r="D9733" s="125">
        <f t="shared" si="201"/>
        <v>0</v>
      </c>
      <c r="E9733" s="124" t="s">
        <v>8367</v>
      </c>
      <c r="F9733" s="126">
        <v>8</v>
      </c>
      <c r="G9733" s="128">
        <v>7872</v>
      </c>
      <c r="H9733" s="124" t="s">
        <v>8368</v>
      </c>
      <c r="I9733" s="128">
        <v>26236.799999999999</v>
      </c>
      <c r="J9733" s="128">
        <v>131184</v>
      </c>
    </row>
    <row r="9734" spans="1:10" hidden="1" x14ac:dyDescent="0.25">
      <c r="A9734" s="124" t="s">
        <v>11716</v>
      </c>
      <c r="B9734" s="124" t="s">
        <v>11736</v>
      </c>
      <c r="C9734" s="132"/>
      <c r="D9734" s="125">
        <f t="shared" si="201"/>
        <v>0</v>
      </c>
      <c r="E9734" s="124" t="s">
        <v>8367</v>
      </c>
      <c r="F9734" s="126">
        <v>34</v>
      </c>
      <c r="G9734" s="128">
        <v>5712</v>
      </c>
      <c r="H9734" s="124" t="s">
        <v>8368</v>
      </c>
      <c r="I9734" s="128">
        <v>26236.799999999999</v>
      </c>
      <c r="J9734" s="128">
        <v>131184</v>
      </c>
    </row>
    <row r="9735" spans="1:10" hidden="1" x14ac:dyDescent="0.25">
      <c r="A9735" s="124" t="s">
        <v>6623</v>
      </c>
      <c r="B9735" s="124" t="s">
        <v>11736</v>
      </c>
      <c r="C9735" s="132"/>
      <c r="D9735" s="125">
        <f t="shared" si="201"/>
        <v>0</v>
      </c>
      <c r="E9735" s="124" t="s">
        <v>8367</v>
      </c>
      <c r="F9735" s="126">
        <v>82</v>
      </c>
      <c r="G9735" s="128">
        <v>3167.78</v>
      </c>
      <c r="H9735" s="124" t="s">
        <v>8368</v>
      </c>
      <c r="I9735" s="128">
        <v>26236.799999999999</v>
      </c>
      <c r="J9735" s="128">
        <v>131184</v>
      </c>
    </row>
    <row r="9736" spans="1:10" hidden="1" x14ac:dyDescent="0.25">
      <c r="A9736" s="124" t="s">
        <v>11717</v>
      </c>
      <c r="B9736" s="124" t="s">
        <v>11736</v>
      </c>
      <c r="C9736" s="132"/>
      <c r="D9736" s="125">
        <f t="shared" si="201"/>
        <v>0</v>
      </c>
      <c r="E9736" s="124" t="s">
        <v>8367</v>
      </c>
      <c r="F9736" s="129">
        <v>1000</v>
      </c>
      <c r="G9736" s="128">
        <v>157420.79999999999</v>
      </c>
      <c r="H9736" s="124" t="s">
        <v>8368</v>
      </c>
      <c r="I9736" s="128">
        <v>104948.12</v>
      </c>
      <c r="J9736" s="128">
        <v>524740.61</v>
      </c>
    </row>
    <row r="9737" spans="1:10" hidden="1" x14ac:dyDescent="0.25">
      <c r="A9737" s="124" t="s">
        <v>11718</v>
      </c>
      <c r="B9737" s="124" t="s">
        <v>11736</v>
      </c>
      <c r="C9737" s="132"/>
      <c r="D9737" s="125">
        <f t="shared" si="201"/>
        <v>0</v>
      </c>
      <c r="E9737" s="124" t="s">
        <v>8367</v>
      </c>
      <c r="F9737" s="129">
        <v>1000</v>
      </c>
      <c r="G9737" s="128">
        <v>157420.79999999999</v>
      </c>
      <c r="H9737" s="124" t="s">
        <v>8368</v>
      </c>
      <c r="I9737" s="128">
        <v>104948.12</v>
      </c>
      <c r="J9737" s="128">
        <v>524740.61</v>
      </c>
    </row>
    <row r="9738" spans="1:10" hidden="1" x14ac:dyDescent="0.25">
      <c r="A9738" s="124" t="s">
        <v>11719</v>
      </c>
      <c r="B9738" s="124" t="s">
        <v>11736</v>
      </c>
      <c r="C9738" s="132"/>
      <c r="D9738" s="125">
        <f t="shared" si="201"/>
        <v>0</v>
      </c>
      <c r="E9738" s="124" t="s">
        <v>8367</v>
      </c>
      <c r="F9738" s="129">
        <v>1000</v>
      </c>
      <c r="G9738" s="128">
        <v>157420.79999999999</v>
      </c>
      <c r="H9738" s="124" t="s">
        <v>8368</v>
      </c>
      <c r="I9738" s="128">
        <v>104948.12</v>
      </c>
      <c r="J9738" s="128">
        <v>524740.61</v>
      </c>
    </row>
    <row r="9739" spans="1:10" hidden="1" x14ac:dyDescent="0.25">
      <c r="A9739" s="124" t="s">
        <v>11720</v>
      </c>
      <c r="B9739" s="124" t="s">
        <v>11736</v>
      </c>
      <c r="C9739" s="132"/>
      <c r="D9739" s="125">
        <f t="shared" si="201"/>
        <v>0</v>
      </c>
      <c r="E9739" s="124" t="s">
        <v>8367</v>
      </c>
      <c r="F9739" s="129">
        <v>4000</v>
      </c>
      <c r="G9739" s="128">
        <v>629688.73</v>
      </c>
      <c r="H9739" s="124" t="s">
        <v>8368</v>
      </c>
      <c r="I9739" s="128">
        <v>15945.75</v>
      </c>
      <c r="J9739" s="128">
        <v>79728.73</v>
      </c>
    </row>
    <row r="9740" spans="1:10" hidden="1" x14ac:dyDescent="0.25">
      <c r="A9740" s="124" t="s">
        <v>11721</v>
      </c>
      <c r="B9740" s="124" t="s">
        <v>11736</v>
      </c>
      <c r="C9740" s="132"/>
      <c r="D9740" s="125">
        <f t="shared" si="201"/>
        <v>0</v>
      </c>
      <c r="E9740" s="124" t="s">
        <v>8367</v>
      </c>
      <c r="F9740" s="129">
        <v>4000</v>
      </c>
      <c r="G9740" s="128">
        <v>629688.73</v>
      </c>
      <c r="H9740" s="124" t="s">
        <v>8368</v>
      </c>
      <c r="I9740" s="128">
        <v>73053.66</v>
      </c>
      <c r="J9740" s="128">
        <v>365268.29</v>
      </c>
    </row>
    <row r="9741" spans="1:10" hidden="1" x14ac:dyDescent="0.25">
      <c r="A9741" s="124" t="s">
        <v>11722</v>
      </c>
      <c r="B9741" s="124" t="s">
        <v>11736</v>
      </c>
      <c r="C9741" s="132"/>
      <c r="D9741" s="125">
        <f t="shared" si="201"/>
        <v>0</v>
      </c>
      <c r="E9741" s="124" t="s">
        <v>8367</v>
      </c>
      <c r="F9741" s="129">
        <v>4000</v>
      </c>
      <c r="G9741" s="128">
        <v>629688.73</v>
      </c>
      <c r="H9741" s="124" t="s">
        <v>8368</v>
      </c>
      <c r="I9741" s="128">
        <v>215000</v>
      </c>
      <c r="J9741" s="128">
        <v>1075000</v>
      </c>
    </row>
    <row r="9742" spans="1:10" hidden="1" x14ac:dyDescent="0.25">
      <c r="A9742" s="124" t="s">
        <v>11723</v>
      </c>
      <c r="B9742" s="124" t="s">
        <v>11736</v>
      </c>
      <c r="C9742" s="132"/>
      <c r="D9742" s="125">
        <f t="shared" si="201"/>
        <v>0</v>
      </c>
      <c r="E9742" s="124" t="s">
        <v>8367</v>
      </c>
      <c r="F9742" s="126">
        <v>200</v>
      </c>
      <c r="G9742" s="128">
        <v>95674.48</v>
      </c>
      <c r="H9742" s="124" t="s">
        <v>8368</v>
      </c>
      <c r="I9742" s="128">
        <v>620000</v>
      </c>
      <c r="J9742" s="128">
        <v>3100000</v>
      </c>
    </row>
    <row r="9743" spans="1:10" hidden="1" x14ac:dyDescent="0.25">
      <c r="A9743" s="124" t="s">
        <v>11724</v>
      </c>
      <c r="B9743" s="124" t="s">
        <v>11736</v>
      </c>
      <c r="C9743" s="132"/>
      <c r="D9743" s="125">
        <f t="shared" si="201"/>
        <v>0</v>
      </c>
      <c r="E9743" s="124" t="s">
        <v>8367</v>
      </c>
      <c r="F9743" s="126">
        <v>672</v>
      </c>
      <c r="G9743" s="128">
        <v>438321.95</v>
      </c>
      <c r="H9743" s="124" t="s">
        <v>8368</v>
      </c>
      <c r="I9743" s="128">
        <v>220000</v>
      </c>
      <c r="J9743" s="128">
        <v>1100000</v>
      </c>
    </row>
    <row r="9744" spans="1:10" hidden="1" x14ac:dyDescent="0.25">
      <c r="A9744" s="124" t="s">
        <v>6025</v>
      </c>
      <c r="B9744" s="124" t="s">
        <v>11736</v>
      </c>
      <c r="C9744" s="132"/>
      <c r="D9744" s="125">
        <f t="shared" si="201"/>
        <v>0</v>
      </c>
      <c r="E9744" s="124" t="s">
        <v>8367</v>
      </c>
      <c r="F9744" s="126">
        <v>500</v>
      </c>
      <c r="G9744" s="128">
        <v>1290000</v>
      </c>
      <c r="H9744" s="124" t="s">
        <v>8368</v>
      </c>
      <c r="I9744" s="128">
        <v>20020</v>
      </c>
      <c r="J9744" s="128">
        <v>100100</v>
      </c>
    </row>
    <row r="9745" spans="1:10" hidden="1" x14ac:dyDescent="0.25">
      <c r="A9745" s="124" t="s">
        <v>6024</v>
      </c>
      <c r="B9745" s="124" t="s">
        <v>11736</v>
      </c>
      <c r="C9745" s="132"/>
      <c r="D9745" s="125">
        <f t="shared" si="201"/>
        <v>0</v>
      </c>
      <c r="E9745" s="124" t="s">
        <v>8367</v>
      </c>
      <c r="F9745" s="126">
        <v>500</v>
      </c>
      <c r="G9745" s="128">
        <v>3720000</v>
      </c>
      <c r="H9745" s="124" t="s">
        <v>8368</v>
      </c>
      <c r="I9745" s="128">
        <v>649026.99</v>
      </c>
      <c r="J9745" s="128">
        <v>3245134.95</v>
      </c>
    </row>
    <row r="9746" spans="1:10" hidden="1" x14ac:dyDescent="0.25">
      <c r="A9746" s="124" t="s">
        <v>4124</v>
      </c>
      <c r="B9746" s="124" t="s">
        <v>11736</v>
      </c>
      <c r="C9746" s="132"/>
      <c r="D9746" s="125">
        <f t="shared" si="201"/>
        <v>0</v>
      </c>
      <c r="E9746" s="124" t="s">
        <v>8367</v>
      </c>
      <c r="F9746" s="129">
        <v>1000</v>
      </c>
      <c r="G9746" s="128">
        <v>1320000</v>
      </c>
      <c r="H9746" s="124" t="s">
        <v>8368</v>
      </c>
      <c r="I9746" s="128">
        <v>3249.93</v>
      </c>
      <c r="J9746" s="128">
        <v>16249.63</v>
      </c>
    </row>
    <row r="9747" spans="1:10" hidden="1" x14ac:dyDescent="0.25">
      <c r="A9747" s="124" t="s">
        <v>2291</v>
      </c>
      <c r="B9747" s="124" t="s">
        <v>11736</v>
      </c>
      <c r="C9747" s="132"/>
      <c r="D9747" s="125">
        <f t="shared" si="201"/>
        <v>0</v>
      </c>
      <c r="E9747" s="124" t="s">
        <v>8367</v>
      </c>
      <c r="F9747" s="126">
        <v>110</v>
      </c>
      <c r="G9747" s="128">
        <v>120120</v>
      </c>
      <c r="H9747" s="124" t="s">
        <v>8368</v>
      </c>
      <c r="I9747" s="128">
        <v>84443.49</v>
      </c>
      <c r="J9747" s="128">
        <v>422217.46</v>
      </c>
    </row>
    <row r="9748" spans="1:10" hidden="1" x14ac:dyDescent="0.25">
      <c r="A9748" s="124" t="s">
        <v>11725</v>
      </c>
      <c r="B9748" s="124" t="s">
        <v>11736</v>
      </c>
      <c r="C9748" s="132"/>
      <c r="D9748" s="125">
        <f t="shared" si="201"/>
        <v>0</v>
      </c>
      <c r="E9748" s="124" t="s">
        <v>8367</v>
      </c>
      <c r="F9748" s="126">
        <v>408</v>
      </c>
      <c r="G9748" s="128">
        <v>3894161.94</v>
      </c>
      <c r="H9748" s="124" t="s">
        <v>8368</v>
      </c>
      <c r="I9748" s="128">
        <v>45640</v>
      </c>
      <c r="J9748" s="128">
        <v>228199.98</v>
      </c>
    </row>
    <row r="9749" spans="1:10" hidden="1" x14ac:dyDescent="0.25">
      <c r="A9749" s="124" t="s">
        <v>11726</v>
      </c>
      <c r="B9749" s="124" t="s">
        <v>11736</v>
      </c>
      <c r="C9749" s="132"/>
      <c r="D9749" s="125">
        <f t="shared" si="201"/>
        <v>0</v>
      </c>
      <c r="E9749" s="124" t="s">
        <v>8367</v>
      </c>
      <c r="F9749" s="126">
        <v>245</v>
      </c>
      <c r="G9749" s="128">
        <v>19499.560000000001</v>
      </c>
      <c r="H9749" s="124" t="s">
        <v>8368</v>
      </c>
      <c r="I9749" s="128">
        <v>50956.36</v>
      </c>
      <c r="J9749" s="128">
        <v>254781.82</v>
      </c>
    </row>
    <row r="9750" spans="1:10" hidden="1" x14ac:dyDescent="0.25">
      <c r="A9750" s="124" t="s">
        <v>11727</v>
      </c>
      <c r="B9750" s="124" t="s">
        <v>11736</v>
      </c>
      <c r="C9750" s="132"/>
      <c r="D9750" s="125">
        <f t="shared" ref="D9750:D9770" si="202">COUNTIF(A5550:A9749,A9750)</f>
        <v>0</v>
      </c>
      <c r="E9750" s="124" t="s">
        <v>8367</v>
      </c>
      <c r="F9750" s="126">
        <v>173</v>
      </c>
      <c r="G9750" s="128">
        <v>506660.95</v>
      </c>
      <c r="H9750" s="124" t="s">
        <v>8368</v>
      </c>
      <c r="I9750" s="128">
        <v>9863.52</v>
      </c>
      <c r="J9750" s="128">
        <v>49317.599999999999</v>
      </c>
    </row>
    <row r="9751" spans="1:10" hidden="1" x14ac:dyDescent="0.25">
      <c r="A9751" s="124" t="s">
        <v>11728</v>
      </c>
      <c r="B9751" s="124" t="s">
        <v>11736</v>
      </c>
      <c r="C9751" s="132"/>
      <c r="D9751" s="125">
        <f t="shared" si="202"/>
        <v>0</v>
      </c>
      <c r="E9751" s="124" t="s">
        <v>8579</v>
      </c>
      <c r="F9751" s="126">
        <v>3.25</v>
      </c>
      <c r="G9751" s="128">
        <v>273839.98</v>
      </c>
      <c r="H9751" s="124" t="s">
        <v>8368</v>
      </c>
      <c r="I9751" s="128">
        <v>8360</v>
      </c>
      <c r="J9751" s="128">
        <v>41800</v>
      </c>
    </row>
    <row r="9752" spans="1:10" hidden="1" x14ac:dyDescent="0.25">
      <c r="A9752" s="124" t="s">
        <v>11729</v>
      </c>
      <c r="B9752" s="124" t="s">
        <v>11736</v>
      </c>
      <c r="C9752" s="132"/>
      <c r="D9752" s="125">
        <f t="shared" si="202"/>
        <v>0</v>
      </c>
      <c r="E9752" s="124" t="s">
        <v>8367</v>
      </c>
      <c r="F9752" s="126">
        <v>600</v>
      </c>
      <c r="G9752" s="128">
        <v>305738.18</v>
      </c>
      <c r="H9752" s="124" t="s">
        <v>8368</v>
      </c>
      <c r="I9752" s="128">
        <v>2563.4</v>
      </c>
      <c r="J9752" s="128">
        <v>12817</v>
      </c>
    </row>
    <row r="9753" spans="1:10" hidden="1" x14ac:dyDescent="0.25">
      <c r="A9753" s="124" t="s">
        <v>5287</v>
      </c>
      <c r="B9753" s="124" t="s">
        <v>11736</v>
      </c>
      <c r="C9753" s="132"/>
      <c r="D9753" s="125">
        <f t="shared" si="202"/>
        <v>0</v>
      </c>
      <c r="E9753" s="124" t="s">
        <v>1</v>
      </c>
      <c r="F9753" s="126">
        <v>4</v>
      </c>
      <c r="G9753" s="128">
        <v>59181.120000000003</v>
      </c>
      <c r="H9753" s="124" t="s">
        <v>8368</v>
      </c>
      <c r="I9753" s="128">
        <v>1157.5999999999999</v>
      </c>
      <c r="J9753" s="128">
        <v>5788</v>
      </c>
    </row>
    <row r="9754" spans="1:10" hidden="1" x14ac:dyDescent="0.25">
      <c r="A9754" s="124" t="s">
        <v>11730</v>
      </c>
      <c r="B9754" s="124" t="s">
        <v>11736</v>
      </c>
      <c r="C9754" s="132"/>
      <c r="D9754" s="125">
        <f t="shared" si="202"/>
        <v>0</v>
      </c>
      <c r="E9754" s="124" t="s">
        <v>8367</v>
      </c>
      <c r="F9754" s="126">
        <v>2</v>
      </c>
      <c r="G9754" s="128">
        <v>50160</v>
      </c>
      <c r="H9754" s="124" t="s">
        <v>8368</v>
      </c>
      <c r="I9754" s="128">
        <v>4206</v>
      </c>
      <c r="J9754" s="128">
        <v>21030</v>
      </c>
    </row>
    <row r="9755" spans="1:10" hidden="1" x14ac:dyDescent="0.25">
      <c r="A9755" s="124" t="s">
        <v>7264</v>
      </c>
      <c r="B9755" s="124" t="s">
        <v>11736</v>
      </c>
      <c r="C9755" s="132"/>
      <c r="D9755" s="125">
        <f t="shared" si="202"/>
        <v>0</v>
      </c>
      <c r="E9755" s="124" t="s">
        <v>8367</v>
      </c>
      <c r="F9755" s="126">
        <v>1</v>
      </c>
      <c r="G9755" s="128">
        <v>15380.4</v>
      </c>
      <c r="H9755" s="124" t="s">
        <v>8368</v>
      </c>
      <c r="I9755" s="128">
        <v>2122.8000000000002</v>
      </c>
      <c r="J9755" s="128">
        <v>10614</v>
      </c>
    </row>
    <row r="9756" spans="1:10" hidden="1" x14ac:dyDescent="0.25">
      <c r="A9756" s="124" t="s">
        <v>7270</v>
      </c>
      <c r="B9756" s="124" t="s">
        <v>11736</v>
      </c>
      <c r="C9756" s="132"/>
      <c r="D9756" s="125">
        <f t="shared" si="202"/>
        <v>0</v>
      </c>
      <c r="E9756" s="124" t="s">
        <v>8367</v>
      </c>
      <c r="F9756" s="126">
        <v>1</v>
      </c>
      <c r="G9756" s="128">
        <v>6945.6</v>
      </c>
      <c r="H9756" s="124" t="s">
        <v>8368</v>
      </c>
      <c r="I9756" s="128">
        <v>1310.8</v>
      </c>
      <c r="J9756" s="128">
        <v>6554</v>
      </c>
    </row>
    <row r="9757" spans="1:10" hidden="1" x14ac:dyDescent="0.25">
      <c r="A9757" s="124" t="s">
        <v>7269</v>
      </c>
      <c r="B9757" s="124" t="s">
        <v>11736</v>
      </c>
      <c r="C9757" s="132"/>
      <c r="D9757" s="125">
        <f t="shared" si="202"/>
        <v>0</v>
      </c>
      <c r="E9757" s="124" t="s">
        <v>8367</v>
      </c>
      <c r="F9757" s="126">
        <v>1</v>
      </c>
      <c r="G9757" s="128">
        <v>25236</v>
      </c>
      <c r="H9757" s="124" t="s">
        <v>8368</v>
      </c>
      <c r="I9757" s="128">
        <v>1984.8</v>
      </c>
      <c r="J9757" s="128">
        <v>9924</v>
      </c>
    </row>
    <row r="9758" spans="1:10" hidden="1" x14ac:dyDescent="0.25">
      <c r="A9758" s="124" t="s">
        <v>7268</v>
      </c>
      <c r="B9758" s="124" t="s">
        <v>11736</v>
      </c>
      <c r="C9758" s="132"/>
      <c r="D9758" s="125">
        <f t="shared" si="202"/>
        <v>0</v>
      </c>
      <c r="E9758" s="124" t="s">
        <v>8367</v>
      </c>
      <c r="F9758" s="126">
        <v>1</v>
      </c>
      <c r="G9758" s="128">
        <v>12736.8</v>
      </c>
      <c r="H9758" s="124" t="s">
        <v>8368</v>
      </c>
      <c r="I9758" s="128">
        <v>1721</v>
      </c>
      <c r="J9758" s="128">
        <v>8605</v>
      </c>
    </row>
    <row r="9759" spans="1:10" hidden="1" x14ac:dyDescent="0.25">
      <c r="A9759" s="124" t="s">
        <v>7266</v>
      </c>
      <c r="B9759" s="124" t="s">
        <v>11736</v>
      </c>
      <c r="C9759" s="132"/>
      <c r="D9759" s="125">
        <f t="shared" si="202"/>
        <v>0</v>
      </c>
      <c r="E9759" s="124" t="s">
        <v>8367</v>
      </c>
      <c r="F9759" s="126">
        <v>1</v>
      </c>
      <c r="G9759" s="128">
        <v>7864.8</v>
      </c>
      <c r="H9759" s="124" t="s">
        <v>8368</v>
      </c>
      <c r="I9759" s="128">
        <v>1586</v>
      </c>
      <c r="J9759" s="128">
        <v>7930</v>
      </c>
    </row>
    <row r="9760" spans="1:10" hidden="1" x14ac:dyDescent="0.25">
      <c r="A9760" s="124" t="s">
        <v>7258</v>
      </c>
      <c r="B9760" s="124" t="s">
        <v>11736</v>
      </c>
      <c r="C9760" s="132"/>
      <c r="D9760" s="125">
        <f t="shared" si="202"/>
        <v>0</v>
      </c>
      <c r="E9760" s="124" t="s">
        <v>8367</v>
      </c>
      <c r="F9760" s="126">
        <v>1</v>
      </c>
      <c r="G9760" s="128">
        <v>11908.8</v>
      </c>
      <c r="H9760" s="124" t="s">
        <v>8368</v>
      </c>
      <c r="I9760" s="128">
        <v>1074.2</v>
      </c>
      <c r="J9760" s="128">
        <v>5371</v>
      </c>
    </row>
    <row r="9761" spans="1:10" hidden="1" x14ac:dyDescent="0.25">
      <c r="A9761" s="124" t="s">
        <v>7256</v>
      </c>
      <c r="B9761" s="124" t="s">
        <v>11736</v>
      </c>
      <c r="C9761" s="132"/>
      <c r="D9761" s="125">
        <f t="shared" si="202"/>
        <v>0</v>
      </c>
      <c r="E9761" s="124" t="s">
        <v>8367</v>
      </c>
      <c r="F9761" s="126">
        <v>1</v>
      </c>
      <c r="G9761" s="128">
        <v>10326</v>
      </c>
      <c r="H9761" s="124" t="s">
        <v>8368</v>
      </c>
      <c r="I9761" s="128">
        <v>11319</v>
      </c>
      <c r="J9761" s="128">
        <v>56595</v>
      </c>
    </row>
    <row r="9762" spans="1:10" hidden="1" x14ac:dyDescent="0.25">
      <c r="A9762" s="124" t="s">
        <v>7254</v>
      </c>
      <c r="B9762" s="124" t="s">
        <v>11736</v>
      </c>
      <c r="C9762" s="132"/>
      <c r="D9762" s="125">
        <f t="shared" si="202"/>
        <v>0</v>
      </c>
      <c r="E9762" s="124" t="s">
        <v>8367</v>
      </c>
      <c r="F9762" s="126">
        <v>1</v>
      </c>
      <c r="G9762" s="128">
        <v>9516</v>
      </c>
      <c r="H9762" s="124" t="s">
        <v>8368</v>
      </c>
      <c r="I9762" s="128">
        <v>6154.4</v>
      </c>
      <c r="J9762" s="128">
        <v>30772</v>
      </c>
    </row>
    <row r="9763" spans="1:10" hidden="1" x14ac:dyDescent="0.25">
      <c r="A9763" s="124" t="s">
        <v>7272</v>
      </c>
      <c r="B9763" s="124" t="s">
        <v>11736</v>
      </c>
      <c r="C9763" s="132"/>
      <c r="D9763" s="125">
        <f t="shared" si="202"/>
        <v>0</v>
      </c>
      <c r="E9763" s="124" t="s">
        <v>8367</v>
      </c>
      <c r="F9763" s="126">
        <v>1</v>
      </c>
      <c r="G9763" s="128">
        <v>6445.2</v>
      </c>
      <c r="H9763" s="124" t="s">
        <v>8368</v>
      </c>
      <c r="I9763" s="127">
        <v>333.2</v>
      </c>
      <c r="J9763" s="128">
        <v>1666</v>
      </c>
    </row>
    <row r="9764" spans="1:10" hidden="1" x14ac:dyDescent="0.25">
      <c r="A9764" s="124" t="s">
        <v>11731</v>
      </c>
      <c r="B9764" s="124" t="s">
        <v>11736</v>
      </c>
      <c r="C9764" s="132"/>
      <c r="D9764" s="125">
        <f t="shared" si="202"/>
        <v>0</v>
      </c>
      <c r="E9764" s="124" t="s">
        <v>8367</v>
      </c>
      <c r="F9764" s="126">
        <v>77</v>
      </c>
      <c r="G9764" s="128">
        <v>67914</v>
      </c>
      <c r="H9764" s="124" t="s">
        <v>8368</v>
      </c>
      <c r="I9764" s="128">
        <v>22000</v>
      </c>
      <c r="J9764" s="128">
        <v>110000</v>
      </c>
    </row>
    <row r="9765" spans="1:10" hidden="1" x14ac:dyDescent="0.25">
      <c r="A9765" s="124" t="s">
        <v>11732</v>
      </c>
      <c r="B9765" s="124" t="s">
        <v>11736</v>
      </c>
      <c r="C9765" s="132"/>
      <c r="D9765" s="125">
        <f t="shared" si="202"/>
        <v>0</v>
      </c>
      <c r="E9765" s="124" t="s">
        <v>1</v>
      </c>
      <c r="F9765" s="126">
        <v>62.8</v>
      </c>
      <c r="G9765" s="128">
        <v>36926.400000000001</v>
      </c>
      <c r="H9765" s="124" t="s">
        <v>8368</v>
      </c>
      <c r="I9765" s="128">
        <v>6480.4</v>
      </c>
      <c r="J9765" s="128">
        <v>32402</v>
      </c>
    </row>
    <row r="9766" spans="1:10" hidden="1" x14ac:dyDescent="0.25">
      <c r="A9766" s="124" t="s">
        <v>6798</v>
      </c>
      <c r="B9766" s="124" t="s">
        <v>11736</v>
      </c>
      <c r="C9766" s="132"/>
      <c r="D9766" s="125">
        <f t="shared" si="202"/>
        <v>0</v>
      </c>
      <c r="E9766" s="124" t="s">
        <v>8</v>
      </c>
      <c r="F9766" s="126">
        <v>3.4</v>
      </c>
      <c r="G9766" s="128">
        <v>1999.2</v>
      </c>
      <c r="H9766" s="124" t="s">
        <v>8368</v>
      </c>
      <c r="I9766" s="127">
        <v>188.32</v>
      </c>
      <c r="J9766" s="127">
        <v>941.6</v>
      </c>
    </row>
    <row r="9767" spans="1:10" hidden="1" x14ac:dyDescent="0.25">
      <c r="A9767" s="124" t="s">
        <v>11733</v>
      </c>
      <c r="B9767" s="124" t="s">
        <v>11736</v>
      </c>
      <c r="C9767" s="132"/>
      <c r="D9767" s="125">
        <f t="shared" si="202"/>
        <v>0</v>
      </c>
      <c r="E9767" s="124" t="s">
        <v>8367</v>
      </c>
      <c r="F9767" s="126">
        <v>1</v>
      </c>
      <c r="G9767" s="128">
        <v>132000</v>
      </c>
      <c r="H9767" s="124" t="s">
        <v>8368</v>
      </c>
      <c r="I9767" s="128">
        <v>749630</v>
      </c>
      <c r="J9767" s="128">
        <v>3748150</v>
      </c>
    </row>
    <row r="9768" spans="1:10" hidden="1" x14ac:dyDescent="0.25">
      <c r="A9768" s="124" t="s">
        <v>11734</v>
      </c>
      <c r="B9768" s="124" t="s">
        <v>11736</v>
      </c>
      <c r="C9768" s="132"/>
      <c r="D9768" s="125">
        <f t="shared" si="202"/>
        <v>0</v>
      </c>
      <c r="E9768" s="124" t="s">
        <v>8367</v>
      </c>
      <c r="F9768" s="126">
        <v>200</v>
      </c>
      <c r="G9768" s="128">
        <v>38882.400000000001</v>
      </c>
      <c r="H9768" s="124" t="s">
        <v>8368</v>
      </c>
      <c r="I9768" s="128">
        <v>31825000</v>
      </c>
      <c r="J9768" s="128">
        <v>159125000</v>
      </c>
    </row>
    <row r="9769" spans="1:10" hidden="1" x14ac:dyDescent="0.25">
      <c r="A9769" s="124" t="s">
        <v>3744</v>
      </c>
      <c r="B9769" s="124" t="s">
        <v>11736</v>
      </c>
      <c r="C9769" s="132"/>
      <c r="D9769" s="125">
        <f t="shared" si="202"/>
        <v>0</v>
      </c>
      <c r="E9769" s="124" t="s">
        <v>8367</v>
      </c>
      <c r="F9769" s="126">
        <v>440</v>
      </c>
      <c r="G9769" s="128">
        <v>1129.92</v>
      </c>
    </row>
    <row r="9770" spans="1:10" hidden="1" x14ac:dyDescent="0.25">
      <c r="A9770" s="124" t="s">
        <v>11735</v>
      </c>
      <c r="B9770" s="124" t="s">
        <v>11736</v>
      </c>
      <c r="C9770" s="132"/>
      <c r="D9770" s="125">
        <f t="shared" si="202"/>
        <v>0</v>
      </c>
      <c r="E9770" s="124" t="s">
        <v>8</v>
      </c>
      <c r="F9770" s="126">
        <v>87.5</v>
      </c>
      <c r="G9770" s="128">
        <v>4497780</v>
      </c>
    </row>
    <row r="9771" spans="1:10" hidden="1" x14ac:dyDescent="0.25">
      <c r="A9771" s="124" t="s">
        <v>1914</v>
      </c>
      <c r="B9771" s="124" t="s">
        <v>11736</v>
      </c>
      <c r="C9771" s="132"/>
      <c r="D9771" s="125">
        <f>COUNTIF(A5572:A9770,A9771)</f>
        <v>0</v>
      </c>
      <c r="E9771" s="124" t="s">
        <v>8367</v>
      </c>
      <c r="F9771" s="129">
        <v>4750</v>
      </c>
      <c r="G9771" s="128">
        <v>190950000</v>
      </c>
    </row>
  </sheetData>
  <autoFilter ref="A1:M9771" xr:uid="{00000000-0009-0000-0000-000003000000}">
    <filterColumn colId="0">
      <filters>
        <filter val="МДФ шлифованная F 30х2800х2070мм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Запрос Данных для расчета</vt:lpstr>
      <vt:lpstr>Оборудоание</vt:lpstr>
      <vt:lpstr>Расчет</vt:lpstr>
      <vt:lpstr>Справочник для Запроса</vt:lpstr>
      <vt:lpstr>Справочник цен, ЗП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Короткая Юлия Мансуровна</dc:creator>
  <cp:lastModifiedBy>User-1</cp:lastModifiedBy>
  <cp:lastPrinted>2024-11-01T08:19:04Z</cp:lastPrinted>
  <dcterms:created xsi:type="dcterms:W3CDTF">2015-06-05T18:19:34Z</dcterms:created>
  <dcterms:modified xsi:type="dcterms:W3CDTF">2026-08-26T08:10:20Z</dcterms:modified>
</cp:coreProperties>
</file>